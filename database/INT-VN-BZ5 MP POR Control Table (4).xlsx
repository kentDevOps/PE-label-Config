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Z5 MP Release Note" sheetId="1" r:id="rId4"/>
    <sheet state="visible" name="BZ5 MP Control table_ VN" sheetId="2" r:id="rId5"/>
    <sheet state="visible" name="label approval artwork" sheetId="3" r:id="rId6"/>
    <sheet state="visible" name="MP SKUs" sheetId="4" r:id="rId7"/>
    <sheet state="visible" name="SKU matrix" sheetId="5" r:id="rId8"/>
    <sheet state="visible" name="MP  Route-IE" sheetId="6" r:id="rId9"/>
    <sheet state="visible" name="POR Config List" sheetId="7" r:id="rId10"/>
    <sheet state="visible" name="TAC Request &amp; Range" sheetId="8" r:id="rId11"/>
  </sheets>
  <definedNames>
    <definedName hidden="1" localSheetId="1" name="_xlnm._FilterDatabase">'BZ5 MP Control table_ VN'!$A$7:$BA$138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7">
      <text>
        <t xml:space="preserve">8/19 更新料號描述
----
@ngantn2@fih-foxconn.com 
Hi Maevy, update the description here for all SKU
_已分配给Maevy Nguyet Nga_
	-Gina Zhou</t>
      </text>
    </comment>
    <comment authorId="0" ref="AU7">
      <text>
        <t xml:space="preserve">@ngantn2@fih-foxconn.com 
Hi Meavy, EC released EU SKU need to update the retail label to REV B, remark in yellow color
_已分配给Maevy Nguyet Nga_
	-Gina Zhou
@hoapt3@fih-foxconn.com 
@ngoantt@fih-foxconn.com 
@trangnt78@fih-foxconn.com 
@trangnth7@fih-foxconn.com 
for vis and please assist to update retail label to REV B
	-Maevy Nguyet Nga
@ngantn2@fih-foxconn.com @hungnv9@fih-foxconn.com  JP- IN artwork upgraded to B version. Can you  update into this collum
_已重新分配给OPM Hung Tom_
	-Hoa (Hana)</t>
      </text>
    </comment>
    <comment authorId="0" ref="AO7">
      <text>
        <t xml:space="preserve">@ngantn2@fih-foxconn.com 
Hi  Maevy, you can pin VN IE to fill in the SFC route name here
_已分配给Maevy Nguyet Nga_
	-Gina Zhou
@manhvd@fih-foxconn.com Kindly help to add VN route here. Thank you!
	-Maevy Nguyet Nga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91">
      <text>
        <t xml:space="preserve">TMO  used UPC
ATT waiting Carrier reply the C-SKU</t>
      </text>
    </comment>
  </commentList>
</comments>
</file>

<file path=xl/sharedStrings.xml><?xml version="1.0" encoding="utf-8"?>
<sst xmlns="http://schemas.openxmlformats.org/spreadsheetml/2006/main" count="5930" uniqueCount="1011">
  <si>
    <t>Lesson learn:</t>
  </si>
  <si>
    <t>所有新增的SKU都需要EPM放到label approval tracking list內, label PE維護模板並ping客戶取到approval後才能生產</t>
  </si>
  <si>
    <t>BZ5 VN MP Retail/Carton/Pallet Labels Approval Tracking List</t>
  </si>
  <si>
    <t>[Int]BZ5 PVT/MP config list</t>
  </si>
  <si>
    <t>BZ5 SKU Matrix (go/bz5-sku-matrix)</t>
  </si>
  <si>
    <t>Version</t>
  </si>
  <si>
    <t>Date</t>
  </si>
  <si>
    <t>Change  Description</t>
  </si>
  <si>
    <t>Editor</t>
  </si>
  <si>
    <t>V1</t>
  </si>
  <si>
    <t>First version, on-going</t>
  </si>
  <si>
    <t>Gina周曉萍</t>
  </si>
  <si>
    <t>V2</t>
  </si>
  <si>
    <t>Update the AA column SKU desription, cancelled GA10296-US this TMO Pristine SKU</t>
  </si>
  <si>
    <t>V3</t>
  </si>
  <si>
    <t xml:space="preserve"> EC released EU SKU need to update the retail label  AU Column to REV B, remark in yellow color</t>
  </si>
  <si>
    <t>V4</t>
  </si>
  <si>
    <t>Update the AU column - change the SKU RAP label template for the GB SKU to REV B and mark the yellow parts.</t>
  </si>
  <si>
    <t>V5</t>
  </si>
  <si>
    <t>FRC Zombie for Non-VZW Sku :BD1A.250702.001
FRC SW for All SKUs: BD1A.250702.001</t>
  </si>
  <si>
    <t>Maevy</t>
  </si>
  <si>
    <t>V6</t>
  </si>
  <si>
    <t>FRC SW for VZW SKUs: BD1A.250702.001.A3
FRC Zombie for Non VZW SKUs: BD1A.250702.001</t>
  </si>
  <si>
    <t>New tac range: 
** BZ5 **
B0:D5:FB:BE:BF:50 - B0:D5:FB:C6:60:6F
Qty: 500K</t>
  </si>
  <si>
    <t>V7</t>
  </si>
  <si>
    <t>Change "Retail RAP printing GPN
REV A" for IN/JP SKUs</t>
  </si>
  <si>
    <t>V8</t>
  </si>
  <si>
    <t>Change BOB AW GPN from rev B to rev C (for CA SKUs)</t>
  </si>
  <si>
    <t>V9</t>
  </si>
  <si>
    <t>Change BOB AW GPN  (for US SKUs)</t>
  </si>
  <si>
    <t>V10</t>
  </si>
  <si>
    <t>a new IMEI range for BZ5 NA in VN
Range: 35 718913 340000x - 35 718913 639999x
new MAC address range for BZ5 in VN
Range: 30:E0:44:48:18:42 - 30:E0:44:4F:B9:61</t>
  </si>
  <si>
    <t>DRI: Gina (EPM); Suataining OPM</t>
  </si>
  <si>
    <t>TTL BOM config QTY:</t>
  </si>
  <si>
    <t>This table excluded Demo SKU, VN will not produce demo SKU</t>
  </si>
  <si>
    <t>Update Date:</t>
  </si>
  <si>
    <t>(V6)</t>
  </si>
  <si>
    <t>Cat.</t>
  </si>
  <si>
    <t>Config Q'ty</t>
  </si>
  <si>
    <t>Pristine</t>
  </si>
  <si>
    <t>IQ</t>
  </si>
  <si>
    <t>Press</t>
  </si>
  <si>
    <t>CLNR</t>
  </si>
  <si>
    <t>Demo</t>
  </si>
  <si>
    <t>Special build</t>
  </si>
  <si>
    <t>Item</t>
  </si>
  <si>
    <t>Stage</t>
  </si>
  <si>
    <t>Purpose</t>
  </si>
  <si>
    <t>Packout 
Type
（包裝類型）</t>
  </si>
  <si>
    <t>GB PN
(裸機料號)</t>
  </si>
  <si>
    <t>Laser GBPN
(鐳雕裸機料號)</t>
  </si>
  <si>
    <t>Sales SKU
（包裝料號）</t>
  </si>
  <si>
    <t>SKU Name</t>
  </si>
  <si>
    <t>MLB GPN
 主板料號</t>
  </si>
  <si>
    <t>RF Type
基頻種類</t>
  </si>
  <si>
    <t xml:space="preserve">Color key
</t>
  </si>
  <si>
    <t>Color ID
(SFC/iFUSE)</t>
  </si>
  <si>
    <t>Color Name in sleeve</t>
  </si>
  <si>
    <t>WCC
[WiFi Country Code]</t>
  </si>
  <si>
    <t>Model#
產品型號#</t>
  </si>
  <si>
    <t>P-SKU</t>
  </si>
  <si>
    <t>SKU ID (C-SKU for ATT only)</t>
  </si>
  <si>
    <t>UPC Code-12
(except EMEA)</t>
  </si>
  <si>
    <t>EAN Code-13
(EMEA only)</t>
  </si>
  <si>
    <t>UFS</t>
  </si>
  <si>
    <t>TAC Code
出貨地</t>
  </si>
  <si>
    <t>TAC  Start</t>
  </si>
  <si>
    <t>TAC(IMEI)
 Start Range</t>
  </si>
  <si>
    <t>TAC(IMEI)
 End Range</t>
  </si>
  <si>
    <t>WiFi/BT
 Start Range</t>
  </si>
  <si>
    <t>WiFi/BT
 End Range</t>
  </si>
  <si>
    <t>Description
(描述,關務備案內容)</t>
  </si>
  <si>
    <t>eSIM</t>
  </si>
  <si>
    <t>Regulatory /EU laser</t>
  </si>
  <si>
    <t>IN COO Laser</t>
  </si>
  <si>
    <t>SIMTray Laser</t>
  </si>
  <si>
    <t>Unite/Carton
 包規</t>
  </si>
  <si>
    <t>Sleeve
袖套
以BOM为准</t>
  </si>
  <si>
    <t>Closure Label
封口貼紙
以BOM为准</t>
  </si>
  <si>
    <t>DOC bundle
以BOM为准</t>
  </si>
  <si>
    <t>C2C Cable
以BOM为准</t>
  </si>
  <si>
    <t>Device Wrap
以BOM为准</t>
  </si>
  <si>
    <t>IN MRP標籤</t>
  </si>
  <si>
    <t>DEMO LABEL</t>
  </si>
  <si>
    <t xml:space="preserve">LOT X REWORK LABEL
能效标签 </t>
  </si>
  <si>
    <t>SFC Routing
SFC 路由名稱</t>
  </si>
  <si>
    <t>SW version</t>
  </si>
  <si>
    <t>Zombie OTA SW ROM</t>
  </si>
  <si>
    <t>HW Ver.
硬體版本</t>
  </si>
  <si>
    <t>Android Ver.
安卓版本
以手機SW版本附帶為準</t>
  </si>
  <si>
    <t>BOB  printing GPN
REV C</t>
  </si>
  <si>
    <t>Retail RAP printing GPN
REV A</t>
  </si>
  <si>
    <t>IN MRP printing GPN</t>
  </si>
  <si>
    <t>IN MRP Price</t>
  </si>
  <si>
    <t>Master Carton Label GPN &amp; Rev for printing</t>
  </si>
  <si>
    <t>Pallet Label GPN &amp; Rev
for printing</t>
  </si>
  <si>
    <t>Overlabel for Zombie use</t>
  </si>
  <si>
    <t>Overlabel artwork</t>
  </si>
  <si>
    <t>example</t>
  </si>
  <si>
    <t>PVT/MP</t>
  </si>
  <si>
    <t>彩盒包</t>
  </si>
  <si>
    <t>G950-13298-01</t>
  </si>
  <si>
    <t>GA05158-US</t>
  </si>
  <si>
    <t xml:space="preserve">VZW, US </t>
  </si>
  <si>
    <t>G710-05689-00</t>
  </si>
  <si>
    <t>mmWave</t>
  </si>
  <si>
    <t>CLR1</t>
  </si>
  <si>
    <t>BLK</t>
  </si>
  <si>
    <t>Obsidian</t>
  </si>
  <si>
    <t>US</t>
  </si>
  <si>
    <t>GR83Y</t>
  </si>
  <si>
    <t>UVZ</t>
  </si>
  <si>
    <t>128 GB</t>
  </si>
  <si>
    <t>VZW</t>
  </si>
  <si>
    <t>35 082327 020000x
35 082327 520000x
35 082327 570000x
35 082327 670000x
35 082327 770000x</t>
  </si>
  <si>
    <t>35 082327 519999x
35 082327 569999x
35 082327 669999x
35 082327 769999x
35 082327 869999x</t>
  </si>
  <si>
    <t>20:F0:94:01:64:0A
E8:D5:2B:5D:CE:B2
08:8B:C8:4C:61:C6 
C0:1C:6A:A6:88:28 
FC:41:16:B0:25:BA
98:98:FB:0E:97:26
98:98:FB:22:6D:46
04:00:6E:87:DB:52
04:00:6E:AE:4F:12</t>
  </si>
  <si>
    <t>20:F0:94:08:3A:D3
E8:D5:2B:5E:99:07
08:8B:C8:54:02:E5 
C0:1C:6A:AE:29:47
FC:41:16:B7:C6:D9
98:98:FB:13:2B:05
98:98:FB:27:01:25
04:00:6E:8C:6F:31
04:00:6E:B2:E2:F1</t>
  </si>
  <si>
    <t>Pixel 9 Pro, Obsidian, 128GB, VZW, US</t>
  </si>
  <si>
    <t>Yes</t>
  </si>
  <si>
    <t>NO</t>
  </si>
  <si>
    <t>10ct</t>
  </si>
  <si>
    <t>CM4-MP-彩盒包nomal</t>
  </si>
  <si>
    <t>BP1A.250405.007.D1</t>
  </si>
  <si>
    <t>MP1.0</t>
  </si>
  <si>
    <t>zombie 時使用</t>
  </si>
  <si>
    <t>GA09187-US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</si>
  <si>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</si>
  <si>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</si>
  <si>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</si>
  <si>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</si>
  <si>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BZ5-MP-Colorbox</t>
  </si>
  <si>
    <t>BD3A.250721.001.E1</t>
  </si>
  <si>
    <t>Android 16</t>
  </si>
  <si>
    <t>G990-08499-11-B</t>
  </si>
  <si>
    <t>VZN Master Carton Label</t>
  </si>
  <si>
    <t>VZN Pallet Label -&gt; BTS(Normal case)</t>
  </si>
  <si>
    <t>G952-05413-003AB</t>
  </si>
  <si>
    <t>retail pack</t>
  </si>
  <si>
    <t>G950-15986-03</t>
  </si>
  <si>
    <t>GA10276-US</t>
  </si>
  <si>
    <t>US-VZW</t>
  </si>
  <si>
    <t>G710-07813-00</t>
  </si>
  <si>
    <t>CLR3</t>
  </si>
  <si>
    <t>GRY</t>
  </si>
  <si>
    <t>Moonstone</t>
  </si>
  <si>
    <t>G4QUR</t>
  </si>
  <si>
    <t>840353926066</t>
  </si>
  <si>
    <t>128GB</t>
  </si>
  <si>
    <t>35 531042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</si>
  <si>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</si>
  <si>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</si>
  <si>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</si>
  <si>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</si>
  <si>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VZW, US</t>
  </si>
  <si>
    <t>G990-08499-31-B</t>
  </si>
  <si>
    <t/>
  </si>
  <si>
    <t>G950-18289-01</t>
  </si>
  <si>
    <t>GA09896-US</t>
  </si>
  <si>
    <t>G710-07813-10</t>
  </si>
  <si>
    <t>256GB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</si>
  <si>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</si>
  <si>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</si>
  <si>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</si>
  <si>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</si>
  <si>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256GB, VZW, US</t>
  </si>
  <si>
    <t>G990-08499-12-B</t>
  </si>
  <si>
    <t>MP</t>
  </si>
  <si>
    <t>G950-18289-03</t>
  </si>
  <si>
    <t>GA10278-US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</si>
  <si>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</si>
  <si>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</si>
  <si>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</si>
  <si>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</si>
  <si>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256GB, VZW, US</t>
  </si>
  <si>
    <t>G990-08499-32-B</t>
  </si>
  <si>
    <t>G950-18291-01</t>
  </si>
  <si>
    <t>GA09905-US</t>
  </si>
  <si>
    <t>G710-07813-20</t>
  </si>
  <si>
    <t>512GB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</si>
  <si>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</si>
  <si>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</si>
  <si>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</si>
  <si>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</si>
  <si>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512GB, VZW, US</t>
  </si>
  <si>
    <t>G990-08499-13-B</t>
  </si>
  <si>
    <t>G950-18291-03</t>
  </si>
  <si>
    <t>GA10281-US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</si>
  <si>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</si>
  <si>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</si>
  <si>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</si>
  <si>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</si>
  <si>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512GB, VZW, US</t>
  </si>
  <si>
    <t>G990-08499-33-B</t>
  </si>
  <si>
    <t>G950-18289-04</t>
  </si>
  <si>
    <t>GA10279-US</t>
  </si>
  <si>
    <t>CLR4</t>
  </si>
  <si>
    <t>GRN</t>
  </si>
  <si>
    <t>Jade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</si>
  <si>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</si>
  <si>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</si>
  <si>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</si>
  <si>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</si>
  <si>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256GB, VZW, US</t>
  </si>
  <si>
    <t>G990-08499-42-B</t>
  </si>
  <si>
    <t>G950-15986-01</t>
  </si>
  <si>
    <t>GA09885-US</t>
  </si>
  <si>
    <t>US - AT&amp;T</t>
  </si>
  <si>
    <t>UAT</t>
  </si>
  <si>
    <t>6993E</t>
  </si>
  <si>
    <t>840353925069</t>
  </si>
  <si>
    <t>ATT</t>
  </si>
  <si>
    <t>35 980215</t>
  </si>
  <si>
    <t>35 980215 020000</t>
  </si>
  <si>
    <t>35 980215 319999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</si>
  <si>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</si>
  <si>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</si>
  <si>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128GB, AT&amp;T, US</t>
  </si>
  <si>
    <t>MasterCartonLabel_IMEI-EID_ATT_FIH</t>
  </si>
  <si>
    <t>ATT Pallet label -&gt; BTS(Normal case)
ATT Pallet Label -&gt; BTO(EDI)</t>
  </si>
  <si>
    <t>GA10285-US</t>
  </si>
  <si>
    <t>6992E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</si>
  <si>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</si>
  <si>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</si>
  <si>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AT&amp;T, US</t>
  </si>
  <si>
    <t>GA10287-US</t>
  </si>
  <si>
    <t>6994E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</si>
  <si>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</si>
  <si>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</si>
  <si>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256GB, AT&amp;T, US</t>
  </si>
  <si>
    <t>GA09886-US</t>
  </si>
  <si>
    <t>US - Tmobile</t>
  </si>
  <si>
    <t>UTM</t>
  </si>
  <si>
    <t>TMO</t>
  </si>
  <si>
    <t>35 575145</t>
  </si>
  <si>
    <t>35 575145 020000</t>
  </si>
  <si>
    <t>35 575145 319999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</si>
  <si>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</si>
  <si>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</si>
  <si>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128GB, TMO, US</t>
  </si>
  <si>
    <t>MasterCartonLabel_10 pack_TMO</t>
  </si>
  <si>
    <t>T-Mobile Pallet Label-&gt; BTO(EDI)
T-Mobile Pallet Label-&gt; BTS(Normal case)</t>
  </si>
  <si>
    <t>G950-15986-02</t>
  </si>
  <si>
    <t>GA10293-US</t>
  </si>
  <si>
    <t>CLR2</t>
  </si>
  <si>
    <t>WHT</t>
  </si>
  <si>
    <t>Porcelain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</si>
  <si>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</si>
  <si>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</si>
  <si>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128GB, TMO, US</t>
  </si>
  <si>
    <t>G990-08499-21-B</t>
  </si>
  <si>
    <t>GA10294-US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</si>
  <si>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</si>
  <si>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</si>
  <si>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TMO, US</t>
  </si>
  <si>
    <t>GA09898-US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</si>
  <si>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</si>
  <si>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</si>
  <si>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256GB, TMO, US</t>
  </si>
  <si>
    <t>MP Cancelled demand</t>
  </si>
  <si>
    <t>GA10296-US</t>
  </si>
  <si>
    <t>04:00:6E:C8:EB:92
64:9D:38:00:00:32</t>
  </si>
  <si>
    <r>
      <rPr>
        <rFont val="Helvetica"/>
        <b/>
        <color theme="1"/>
        <sz val="11.0"/>
      </rPr>
      <t xml:space="preserve">04:00:6E:CA:FE:D1
64:9D:38:02:80:D1
</t>
    </r>
    <r>
      <rPr>
        <rFont val="Helvetica"/>
        <b/>
        <color rgb="FFFF0000"/>
        <sz val="11.0"/>
      </rPr>
      <t>B0:D5:FB:C6:60:6F</t>
    </r>
  </si>
  <si>
    <t>IQGA09187-US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</si>
  <si>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</si>
  <si>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</si>
  <si>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</si>
  <si>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</si>
  <si>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128GB, VZW, US, IQ</t>
  </si>
  <si>
    <t>IQGA10275-US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</si>
  <si>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</si>
  <si>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</si>
  <si>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</si>
  <si>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</si>
  <si>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128GB, VZW, US, IQ</t>
  </si>
  <si>
    <t>IQGA10276-US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</si>
  <si>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</si>
  <si>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</si>
  <si>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</si>
  <si>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</si>
  <si>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VZW, US, IQ</t>
  </si>
  <si>
    <t>IQGA09896-US</t>
  </si>
  <si>
    <t>0840353936614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</si>
  <si>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</si>
  <si>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</si>
  <si>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</si>
  <si>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</si>
  <si>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256GB, VZW, US, IQ</t>
  </si>
  <si>
    <t>G950-18289-02</t>
  </si>
  <si>
    <t>IQGA10277-US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</si>
  <si>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</si>
  <si>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</si>
  <si>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</si>
  <si>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</si>
  <si>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256GB, VZW, US, IQ</t>
  </si>
  <si>
    <t>G990-08499-22-B</t>
  </si>
  <si>
    <t>IQGA10278-US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</si>
  <si>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</si>
  <si>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</si>
  <si>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</si>
  <si>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</si>
  <si>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256GB, VZW, US, IQ</t>
  </si>
  <si>
    <t>IQGA10279-US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</si>
  <si>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</si>
  <si>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</si>
  <si>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</si>
  <si>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</si>
  <si>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256GB, VZW, US, IQ</t>
  </si>
  <si>
    <t>IQGA09905-US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</si>
  <si>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</si>
  <si>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</si>
  <si>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</si>
  <si>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</si>
  <si>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512GB, VZW, US, IQ</t>
  </si>
  <si>
    <t>G950-18291-02</t>
  </si>
  <si>
    <t>IQGA10280-US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</si>
  <si>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</si>
  <si>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</si>
  <si>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</si>
  <si>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</si>
  <si>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512GB, VZW, US, IQ</t>
  </si>
  <si>
    <t>G990-08499-23-B</t>
  </si>
  <si>
    <t>IQGA10281-US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</si>
  <si>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</si>
  <si>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</si>
  <si>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</si>
  <si>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</si>
  <si>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512GB, VZW, US, IQ</t>
  </si>
  <si>
    <t>G950-18291-04</t>
  </si>
  <si>
    <t>IQGA10282-US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</si>
  <si>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</si>
  <si>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</si>
  <si>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</si>
  <si>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</si>
  <si>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512GB, VZW, US, IQ</t>
  </si>
  <si>
    <t>G990-08499-43-B</t>
  </si>
  <si>
    <t>G950-18293-01</t>
  </si>
  <si>
    <t>IQGA09930-US</t>
  </si>
  <si>
    <t>G710-07813-30</t>
  </si>
  <si>
    <t>1TB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</si>
  <si>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</si>
  <si>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</si>
  <si>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</si>
  <si>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</si>
  <si>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1TB, VZW, US, IQ</t>
  </si>
  <si>
    <t>G990-08499-14-B</t>
  </si>
  <si>
    <t>G950-18293-03</t>
  </si>
  <si>
    <t>IQGA10283-US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</si>
  <si>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</si>
  <si>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</si>
  <si>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</si>
  <si>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</si>
  <si>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1TB, VZW, US, IQ</t>
  </si>
  <si>
    <t>G990-08499-34-B</t>
  </si>
  <si>
    <t>builk pack</t>
  </si>
  <si>
    <t>CLNRGOGA09187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</si>
  <si>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</si>
  <si>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</si>
  <si>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</si>
  <si>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</si>
  <si>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128GB, VZW, US, FRU</t>
  </si>
  <si>
    <t>30ct</t>
  </si>
  <si>
    <t>BZ5-MP-ENG-VZN</t>
  </si>
  <si>
    <t>CLNRGOGA10276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</si>
  <si>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</si>
  <si>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</si>
  <si>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</si>
  <si>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</si>
  <si>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VZW, US, FRU</t>
  </si>
  <si>
    <t>CLNRGOGA09896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</si>
  <si>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</si>
  <si>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</si>
  <si>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</si>
  <si>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</si>
  <si>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256GB, VZW, US, FRU</t>
  </si>
  <si>
    <t>CLNRGOGA10278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</si>
  <si>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</si>
  <si>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</si>
  <si>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</si>
  <si>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</si>
  <si>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256GB, VZW, US, FRU</t>
  </si>
  <si>
    <t>CLNRGOGA10279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</si>
  <si>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</si>
  <si>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</si>
  <si>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</si>
  <si>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</si>
  <si>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256GB, VZW, US, FRU</t>
  </si>
  <si>
    <t>CLNRGOGA09905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</si>
  <si>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</si>
  <si>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</si>
  <si>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</si>
  <si>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</si>
  <si>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512GB, VZW, US, FRU</t>
  </si>
  <si>
    <t>CLNRGOGA10281</t>
  </si>
  <si>
    <r>
      <rPr>
        <rFont val="Helvetica"/>
        <b/>
        <color theme="1"/>
        <sz val="11.0"/>
      </rPr>
      <t xml:space="preserve">35 531042 020000
</t>
    </r>
    <r>
      <rPr>
        <rFont val="Helvetica"/>
        <b/>
        <color rgb="FFFF0000"/>
        <sz val="11.0"/>
      </rPr>
      <t>35 531042 320000x</t>
    </r>
  </si>
  <si>
    <r>
      <rPr>
        <rFont val="Helvetica"/>
        <b/>
        <color theme="1"/>
        <sz val="11.0"/>
      </rPr>
      <t xml:space="preserve">35 531042 319999
</t>
    </r>
    <r>
      <rPr>
        <rFont val="Helvetica"/>
        <b/>
        <color rgb="FFFF0000"/>
        <sz val="11.0"/>
      </rPr>
      <t>35 531042 619999x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</si>
  <si>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</si>
  <si>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</si>
  <si>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512GB, VZW, US, FRU</t>
  </si>
  <si>
    <t>CLNRGA09886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</si>
  <si>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</si>
  <si>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</si>
  <si>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128GB, TMO, US, FRU</t>
  </si>
  <si>
    <t>BZ5-MP-ENG-ROW</t>
  </si>
  <si>
    <t>CLNRGA10293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</si>
  <si>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</si>
  <si>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</si>
  <si>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128GB, TMO, US, FRU</t>
  </si>
  <si>
    <t>CLNRGA10294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</si>
  <si>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</si>
  <si>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</si>
  <si>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TMO, US, FRU</t>
  </si>
  <si>
    <t>CLNRGA09898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</si>
  <si>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</si>
  <si>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</si>
  <si>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256GB, TMO, US, FRU</t>
  </si>
  <si>
    <t>CLNRGA10296</t>
  </si>
  <si>
    <r>
      <rPr>
        <rFont val="Helvetica"/>
        <b/>
        <strike/>
        <color theme="1"/>
        <sz val="11.0"/>
      </rPr>
      <t xml:space="preserve">04:00:6E:C8:EB:92
64:9D:38:00:00:32
B0:D5:FB:BE:BF:50
</t>
    </r>
    <r>
      <rPr>
        <rFont val="Helvetica"/>
        <b/>
        <strike/>
        <color rgb="FFFF0000"/>
        <sz val="11.0"/>
      </rPr>
      <t>30:E0:44:48:18:42</t>
    </r>
  </si>
  <si>
    <r>
      <rPr>
        <rFont val="Helvetica"/>
        <b/>
        <strike/>
        <color theme="1"/>
        <sz val="11.0"/>
      </rPr>
      <t xml:space="preserve">04:00:6E:CA:FE:D1
64:9D:38:02:80:D1
B0:D5:FB:C6:60:6F
</t>
    </r>
    <r>
      <rPr>
        <rFont val="Helvetica"/>
        <b/>
        <strike/>
        <color rgb="FFFF0000"/>
        <sz val="11.0"/>
      </rPr>
      <t>30:E0:44:4F:B9:61</t>
    </r>
  </si>
  <si>
    <t>Pixel 10 Pro, Moonstone, 256GB, TMO, US, FRU</t>
  </si>
  <si>
    <t>GA11018-US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</si>
  <si>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</si>
  <si>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</si>
  <si>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TMO, US, IQ</t>
  </si>
  <si>
    <t>GA09887-US</t>
  </si>
  <si>
    <t>US GStore</t>
  </si>
  <si>
    <t>00</t>
  </si>
  <si>
    <t>UGS</t>
  </si>
  <si>
    <t>NA</t>
  </si>
  <si>
    <t>35 718913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</si>
  <si>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</si>
  <si>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</si>
  <si>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</si>
  <si>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</si>
  <si>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128GB, GStore, US</t>
  </si>
  <si>
    <t>N/A</t>
  </si>
  <si>
    <t>ROW Master Carton Label (UPC)</t>
  </si>
  <si>
    <t>Standard Pallet Label -&gt; BTO(EDI)
Standard Pallet Label -&gt; BTS(Normal case)</t>
  </si>
  <si>
    <t>GA10302-US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</si>
  <si>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</si>
  <si>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</si>
  <si>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</si>
  <si>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</si>
  <si>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128GB, GStore, US</t>
  </si>
  <si>
    <t>GA10303-US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</si>
  <si>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</si>
  <si>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</si>
  <si>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</si>
  <si>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</si>
  <si>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GStore, US</t>
  </si>
  <si>
    <t>GA09899-US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</si>
  <si>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</si>
  <si>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</si>
  <si>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</si>
  <si>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</si>
  <si>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256GB, GStore, US</t>
  </si>
  <si>
    <t>GA10304-US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</si>
  <si>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</si>
  <si>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</si>
  <si>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</si>
  <si>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</si>
  <si>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256GB, GStore, US</t>
  </si>
  <si>
    <t>GA10305-US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</si>
  <si>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</si>
  <si>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</si>
  <si>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</si>
  <si>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</si>
  <si>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256GB, GStore, US</t>
  </si>
  <si>
    <t>GA10306-US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</si>
  <si>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</si>
  <si>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</si>
  <si>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</si>
  <si>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</si>
  <si>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256GB, GStore, US</t>
  </si>
  <si>
    <t>GA09908-US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</si>
  <si>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</si>
  <si>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</si>
  <si>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</si>
  <si>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</si>
  <si>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512GB, GStore, US</t>
  </si>
  <si>
    <t>GA10307-US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</si>
  <si>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</si>
  <si>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</si>
  <si>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</si>
  <si>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</si>
  <si>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512GB, GStore, US</t>
  </si>
  <si>
    <t>GA10308-US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</si>
  <si>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</si>
  <si>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</si>
  <si>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</si>
  <si>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</si>
  <si>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512GB, GStore, US</t>
  </si>
  <si>
    <t>GA09933-US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</si>
  <si>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</si>
  <si>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</si>
  <si>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</si>
  <si>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</si>
  <si>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1TB, GStore, US</t>
  </si>
  <si>
    <t>G950-18290-01</t>
  </si>
  <si>
    <t>GA09900-JP</t>
  </si>
  <si>
    <t>JP</t>
  </si>
  <si>
    <t>G710-07813-12</t>
  </si>
  <si>
    <t>SUB6</t>
  </si>
  <si>
    <t>GN4F5</t>
  </si>
  <si>
    <t>AJP</t>
  </si>
  <si>
    <t>35 223287</t>
  </si>
  <si>
    <t>35 223287 020000</t>
  </si>
  <si>
    <t>35 223287 319999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</si>
  <si>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</si>
  <si>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</si>
  <si>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256GB, JP</t>
  </si>
  <si>
    <t>BZ5-MP-Colorbox+LASERSIM</t>
  </si>
  <si>
    <t>G990-08495-00-B</t>
  </si>
  <si>
    <t>G950-18290-02</t>
  </si>
  <si>
    <t>GA10314-JP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</si>
  <si>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</si>
  <si>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</si>
  <si>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256GB, JP</t>
  </si>
  <si>
    <t>G950-18290-03</t>
  </si>
  <si>
    <t>GA10315-JP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</si>
  <si>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</si>
  <si>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</si>
  <si>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256GB, JP</t>
  </si>
  <si>
    <t>G950-18290-04</t>
  </si>
  <si>
    <t>GA10316-JP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</si>
  <si>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</si>
  <si>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</si>
  <si>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256GB, JP</t>
  </si>
  <si>
    <t>G950-18292-01</t>
  </si>
  <si>
    <t>GA09909-JP</t>
  </si>
  <si>
    <t>G710-07813-22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</si>
  <si>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</si>
  <si>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</si>
  <si>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512GB, JP</t>
  </si>
  <si>
    <t>G950-15987-01</t>
  </si>
  <si>
    <t>GA09601-CA</t>
  </si>
  <si>
    <t>CA/TW/SG/AU/MY/MX</t>
  </si>
  <si>
    <t>G710-07813-02</t>
  </si>
  <si>
    <t>GEHN3</t>
  </si>
  <si>
    <t>NCA</t>
  </si>
  <si>
    <t>ROW</t>
  </si>
  <si>
    <t>35 698855</t>
  </si>
  <si>
    <t>35 698855 040000</t>
  </si>
  <si>
    <t>35 698855 339999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</si>
  <si>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</si>
  <si>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</si>
  <si>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128GB, CA/TW/SG/AU/MY/MX</t>
  </si>
  <si>
    <t>G990-08528-11-C</t>
  </si>
  <si>
    <t>G950-15987-02</t>
  </si>
  <si>
    <t>GA10312-CA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</si>
  <si>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</si>
  <si>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</si>
  <si>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128GB, CA/TW/SG/AU/MY/MX</t>
  </si>
  <si>
    <t>G990-08528-21-C</t>
  </si>
  <si>
    <t>G950-15987-03</t>
  </si>
  <si>
    <t>GA10313-CA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</si>
  <si>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</si>
  <si>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</si>
  <si>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CA/TW/SG/AU/MY/MX</t>
  </si>
  <si>
    <t>G990-08528-31-C</t>
  </si>
  <si>
    <t>GA09900-CA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</si>
  <si>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</si>
  <si>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</si>
  <si>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256GB, CA/TW/SG/AU/MY/MX</t>
  </si>
  <si>
    <t>G990-08528-12-C</t>
  </si>
  <si>
    <t>GA10314-CA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</si>
  <si>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</si>
  <si>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</si>
  <si>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256GB, CA/TW/SG/AU/MY/MX</t>
  </si>
  <si>
    <t>G990-08528-22-C</t>
  </si>
  <si>
    <t>GA10315-CA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</si>
  <si>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</si>
  <si>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</si>
  <si>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256GB, CA/TW/SG/AU/MY/MX</t>
  </si>
  <si>
    <t>G990-08528-32-C</t>
  </si>
  <si>
    <t>GA10316-CA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</si>
  <si>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</si>
  <si>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</si>
  <si>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256GB, CA/TW/SG/AU/MY/MX</t>
  </si>
  <si>
    <t>G990-08528-42-C</t>
  </si>
  <si>
    <t>GA09909-CA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</si>
  <si>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</si>
  <si>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</si>
  <si>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512GB, CA/TW/SG/AU/MY/MX</t>
  </si>
  <si>
    <t>G990-08528-13-C</t>
  </si>
  <si>
    <t>G950-18292-03</t>
  </si>
  <si>
    <t>GA10318-CA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</si>
  <si>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</si>
  <si>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</si>
  <si>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512GB, CA/TW/SG/AU/MY/MX</t>
  </si>
  <si>
    <t>G990-08528-33-C</t>
  </si>
  <si>
    <t>G950-18294-01</t>
  </si>
  <si>
    <t>GA09934-CA</t>
  </si>
  <si>
    <t>G710-07813-32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</si>
  <si>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</si>
  <si>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</si>
  <si>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1TB, CA/TW/SG/AU/MY/MX</t>
  </si>
  <si>
    <t>G990-08528-14-C</t>
  </si>
  <si>
    <t>G950-15987-01-L</t>
  </si>
  <si>
    <t>GA09601-GB</t>
  </si>
  <si>
    <t>EU(GB, DE, IT, ES, IE, FR, NL, BE, AT, CH, PT, PL, CEE (RO, CZ, HU, SI, LV, LT, EE, FI), NO,SE,DK, SK)</t>
  </si>
  <si>
    <t>EMA</t>
  </si>
  <si>
    <t>0840353925977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</si>
  <si>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</si>
  <si>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</si>
  <si>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128GB, EU/UK</t>
  </si>
  <si>
    <t>ROW Master Carton Label (EAN)</t>
  </si>
  <si>
    <t>G950-15987-02-L</t>
  </si>
  <si>
    <t>GA10312-GB</t>
  </si>
  <si>
    <t>0840353926011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</si>
  <si>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</si>
  <si>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</si>
  <si>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128GB, EU/UK</t>
  </si>
  <si>
    <t>G950-15987-03-L</t>
  </si>
  <si>
    <t>GA10313-GB</t>
  </si>
  <si>
    <t>0840353926035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</si>
  <si>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</si>
  <si>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</si>
  <si>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EU/UK</t>
  </si>
  <si>
    <t>G950-18290-01-L</t>
  </si>
  <si>
    <t>GA09900-GB</t>
  </si>
  <si>
    <t>0840353925380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</si>
  <si>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</si>
  <si>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</si>
  <si>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256GB, EU/UK</t>
  </si>
  <si>
    <t>G950-18290-02-L</t>
  </si>
  <si>
    <t>GA10314-GB</t>
  </si>
  <si>
    <t>0840353925533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</si>
  <si>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</si>
  <si>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</si>
  <si>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256GB, EU/UK</t>
  </si>
  <si>
    <t>G950-18290-03-L</t>
  </si>
  <si>
    <t>GA10315-GB</t>
  </si>
  <si>
    <t>0840353925441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</si>
  <si>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</si>
  <si>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</si>
  <si>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256GB, EU/UK</t>
  </si>
  <si>
    <t>G950-18290-04-L</t>
  </si>
  <si>
    <t>GA10316-GB</t>
  </si>
  <si>
    <t>0840353925526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</si>
  <si>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</si>
  <si>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</si>
  <si>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256GB, EU/UK</t>
  </si>
  <si>
    <t>G950-18292-01-L</t>
  </si>
  <si>
    <t>GA09909-GB</t>
  </si>
  <si>
    <t>0840353925540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</si>
  <si>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</si>
  <si>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</si>
  <si>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512GB, EU/UK</t>
  </si>
  <si>
    <t>G950-18292-02</t>
  </si>
  <si>
    <t>G950-18292-02-L</t>
  </si>
  <si>
    <t>GA10317-GB</t>
  </si>
  <si>
    <t>0840353925670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</si>
  <si>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</si>
  <si>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</si>
  <si>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512GB, EU/UK</t>
  </si>
  <si>
    <t>G950-18292-03-L</t>
  </si>
  <si>
    <t>GA10318-GB</t>
  </si>
  <si>
    <t>0840353925694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</si>
  <si>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</si>
  <si>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</si>
  <si>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512GB, EU/UK</t>
  </si>
  <si>
    <t>G950-18294-01-L</t>
  </si>
  <si>
    <t>GA09934-GB</t>
  </si>
  <si>
    <t>0840353925755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</si>
  <si>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</si>
  <si>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</si>
  <si>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1TB, EU/UK</t>
  </si>
  <si>
    <t>G950-18290-01-I</t>
  </si>
  <si>
    <t>GA09900-IN</t>
  </si>
  <si>
    <t>IN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</si>
  <si>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</si>
  <si>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</si>
  <si>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256GB, IN</t>
  </si>
  <si>
    <t>G952-05415-04-A</t>
  </si>
  <si>
    <t>₹109,999</t>
  </si>
  <si>
    <t>IN Master Carton Label
(VN factory used)</t>
  </si>
  <si>
    <t>G950-18290-02-I</t>
  </si>
  <si>
    <t>GA10314-IN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</si>
  <si>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</si>
  <si>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</si>
  <si>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256GB, IN</t>
  </si>
  <si>
    <t>G950-18290-03-I</t>
  </si>
  <si>
    <t>GA10315-IN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</si>
  <si>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</si>
  <si>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</si>
  <si>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256GB, IN</t>
  </si>
  <si>
    <t>G950-18290-04-I</t>
  </si>
  <si>
    <t>GA10316-IN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</si>
  <si>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</si>
  <si>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</si>
  <si>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256GB, IN</t>
  </si>
  <si>
    <t>GA10796-US-N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</si>
  <si>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</si>
  <si>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</si>
  <si>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</si>
  <si>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</si>
  <si>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128GB, GStore, US , Press</t>
  </si>
  <si>
    <t>GA10797-US-N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</si>
  <si>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</si>
  <si>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</si>
  <si>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</si>
  <si>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</si>
  <si>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128GB, GStore, US , Press</t>
  </si>
  <si>
    <t>GA10798-US-N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</si>
  <si>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</si>
  <si>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</si>
  <si>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</si>
  <si>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</si>
  <si>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GStore, US, Press</t>
  </si>
  <si>
    <t>GA10803-US-N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</si>
  <si>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</si>
  <si>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</si>
  <si>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</si>
  <si>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</si>
  <si>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256GB, GStore, US, Press</t>
  </si>
  <si>
    <t>GA10796-JP-N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</si>
  <si>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</si>
  <si>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</si>
  <si>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256GB, JP, Press</t>
  </si>
  <si>
    <t>GA10797-JP-N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</si>
  <si>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</si>
  <si>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</si>
  <si>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256GB, JP, Press</t>
  </si>
  <si>
    <t>GA10798-JP-N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</si>
  <si>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</si>
  <si>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</si>
  <si>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256GB, JP, Press</t>
  </si>
  <si>
    <t>GA10803-JP-N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</si>
  <si>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</si>
  <si>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</si>
  <si>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256GB, JP, Press</t>
  </si>
  <si>
    <t>GA10796-CA-N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</si>
  <si>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</si>
  <si>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</si>
  <si>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128GB, CA/TW/SG/AU/MY/MX, Press</t>
  </si>
  <si>
    <t>GA10797-CA-N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</si>
  <si>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</si>
  <si>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</si>
  <si>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128GB, CA/TW/SG/AU/MY/MX, Press</t>
  </si>
  <si>
    <t>GA10798-CA-N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</si>
  <si>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</si>
  <si>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</si>
  <si>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CA/TW/SG/AU/MY/MX, Press</t>
  </si>
  <si>
    <t>GA10803-CA-N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</si>
  <si>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</si>
  <si>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</si>
  <si>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256GB, CA/TW/SG/AU/MY/MX, Press</t>
  </si>
  <si>
    <t>GA10796-GB-N</t>
  </si>
  <si>
    <t>0840353937628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</si>
  <si>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</si>
  <si>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</si>
  <si>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128GB, EU/UK, Press</t>
  </si>
  <si>
    <t>GA10797-GB-N</t>
  </si>
  <si>
    <t>0840353937666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</si>
  <si>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</si>
  <si>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</si>
  <si>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128GB, EU/UK, Press</t>
  </si>
  <si>
    <t>GA10798-GB-N</t>
  </si>
  <si>
    <t>0840353937703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</si>
  <si>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</si>
  <si>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</si>
  <si>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EU/UK, Press</t>
  </si>
  <si>
    <t>GA10803-GB-N</t>
  </si>
  <si>
    <t>0840353937901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</si>
  <si>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</si>
  <si>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</si>
  <si>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256GB, EU/UK, Press</t>
  </si>
  <si>
    <t>CLNRGA10490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</si>
  <si>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</si>
  <si>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</si>
  <si>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</si>
  <si>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</si>
  <si>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128GB, GStore, US, FRU</t>
  </si>
  <si>
    <t>CLNRGA10491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</si>
  <si>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</si>
  <si>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</si>
  <si>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</si>
  <si>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</si>
  <si>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128GB, GStore, US, FRU</t>
  </si>
  <si>
    <t>CLNRGA10492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</si>
  <si>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</si>
  <si>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</si>
  <si>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</si>
  <si>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</si>
  <si>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GStore, US, FRU</t>
  </si>
  <si>
    <t>CLNRGA10493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</si>
  <si>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</si>
  <si>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</si>
  <si>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</si>
  <si>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</si>
  <si>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256GB, GStore, US, FRU</t>
  </si>
  <si>
    <t>CLNRGA10494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</si>
  <si>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</si>
  <si>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</si>
  <si>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</si>
  <si>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</si>
  <si>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256GB, GStore, US, FRU</t>
  </si>
  <si>
    <t>CLNRGA10495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</si>
  <si>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</si>
  <si>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</si>
  <si>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</si>
  <si>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</si>
  <si>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256GB, GStore, US, FRU</t>
  </si>
  <si>
    <t>CLNRGA10496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</si>
  <si>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</si>
  <si>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</si>
  <si>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</si>
  <si>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</si>
  <si>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256GB, GStore, US, FRU</t>
  </si>
  <si>
    <t>CLNRGA10497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</si>
  <si>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</si>
  <si>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</si>
  <si>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</si>
  <si>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</si>
  <si>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512GB, GStore, US, FRU</t>
  </si>
  <si>
    <t>CLNRGA10498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</si>
  <si>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</si>
  <si>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</si>
  <si>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</si>
  <si>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</si>
  <si>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512GB, GStore, US, FRU</t>
  </si>
  <si>
    <t>CLNRGA10499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</si>
  <si>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</si>
  <si>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</si>
  <si>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</si>
  <si>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</si>
  <si>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512GB, GStore, US, FRU</t>
  </si>
  <si>
    <t>CLNRGA10501</t>
  </si>
  <si>
    <r>
      <rPr>
        <rFont val="Helvetica"/>
        <b/>
        <color theme="1"/>
        <sz val="11.0"/>
      </rPr>
      <t xml:space="preserve">35 718913 040000
</t>
    </r>
    <r>
      <rPr>
        <rFont val="Helvetica"/>
        <b/>
        <color rgb="FFFF0000"/>
        <sz val="11.0"/>
      </rPr>
      <t>35 718913 340000x</t>
    </r>
  </si>
  <si>
    <r>
      <rPr>
        <rFont val="Helvetica"/>
        <b/>
        <color theme="1"/>
        <sz val="11.0"/>
      </rPr>
      <t xml:space="preserve">35 718913 339999
</t>
    </r>
    <r>
      <rPr>
        <rFont val="Helvetica"/>
        <b/>
        <color rgb="FFFF0000"/>
        <sz val="11.0"/>
      </rPr>
      <t>35 718913 639999x</t>
    </r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</si>
  <si>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</si>
  <si>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</si>
  <si>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1TB, GStore,US , FRU</t>
  </si>
  <si>
    <t>CLNRGA09601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</si>
  <si>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</si>
  <si>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</si>
  <si>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128GB, CA/TW/SG/MY/AU/MX, FRU</t>
  </si>
  <si>
    <t>BZ5-MP-ENG-ROW+LaserSIM</t>
  </si>
  <si>
    <t>CLNRGA10312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</si>
  <si>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</si>
  <si>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</si>
  <si>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128GB, CA/TW/SG/MY/AU/MX, FRU</t>
  </si>
  <si>
    <t>CLNRGA10313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</si>
  <si>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</si>
  <si>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</si>
  <si>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CA/TW/SG/MY/AU/MX, FRU</t>
  </si>
  <si>
    <t>CLNRGA09900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</si>
  <si>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</si>
  <si>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</si>
  <si>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256GB, CA/TW/SG/MY/AU/MX, FRU</t>
  </si>
  <si>
    <t>CLNRGA10314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</si>
  <si>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</si>
  <si>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</si>
  <si>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256GB, CA/TW/SG/MY/AU/MX, FRU</t>
  </si>
  <si>
    <t>CLNRGA10315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</si>
  <si>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</si>
  <si>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</si>
  <si>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256GB, CA/TW/SG/MY/AU/MX, FRU</t>
  </si>
  <si>
    <t>CLNRGA10316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</si>
  <si>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</si>
  <si>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</si>
  <si>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256GB, CA/TW/SG/MY/AU/MX, FRU</t>
  </si>
  <si>
    <t>CLNRGA09909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</si>
  <si>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</si>
  <si>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</si>
  <si>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512GB, CA/TW/SG/MY/AU/MX, FRU</t>
  </si>
  <si>
    <t>CLNRGA10318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</si>
  <si>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</si>
  <si>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</si>
  <si>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512GB, CA/TW/SG/MY/AU/MX, FRU</t>
  </si>
  <si>
    <t>CLNRGA09934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</si>
  <si>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</si>
  <si>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</si>
  <si>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1TB, CA/TW/SG/MY/AU/MX, FRU</t>
  </si>
  <si>
    <t>CLNRGA10502</t>
  </si>
  <si>
    <t>0840353936751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</si>
  <si>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</si>
  <si>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</si>
  <si>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128GB, EU/UK, FRU</t>
  </si>
  <si>
    <t>CLNRGA10503</t>
  </si>
  <si>
    <t>0840353936812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</si>
  <si>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</si>
  <si>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</si>
  <si>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128GB, EU/UK, FRU</t>
  </si>
  <si>
    <t>CLNRGA10504</t>
  </si>
  <si>
    <t>0840353936874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</si>
  <si>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</si>
  <si>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</si>
  <si>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128GB, EU/UK, FRU</t>
  </si>
  <si>
    <t>CLNRGA10505</t>
  </si>
  <si>
    <t>0840353937291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</si>
  <si>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</si>
  <si>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</si>
  <si>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256GB, EU/UK, FRU</t>
  </si>
  <si>
    <t>CLNRGA10506</t>
  </si>
  <si>
    <t>0840353937307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</si>
  <si>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</si>
  <si>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</si>
  <si>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256GB, EU/UK, FRU</t>
  </si>
  <si>
    <t>CLNRGA10507</t>
  </si>
  <si>
    <t>0840353937314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</si>
  <si>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</si>
  <si>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</si>
  <si>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256GB, EU/UK, FRU</t>
  </si>
  <si>
    <t>CLNRGA10508</t>
  </si>
  <si>
    <t>0840353937321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</si>
  <si>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</si>
  <si>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</si>
  <si>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Jade, 256GB, EU/UK, FRU</t>
  </si>
  <si>
    <t>CLNRGA10509</t>
  </si>
  <si>
    <t>0840353937338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</si>
  <si>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</si>
  <si>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</si>
  <si>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512GB, EU/UK, FRU</t>
  </si>
  <si>
    <t>CLNRGA10510</t>
  </si>
  <si>
    <t>0840353937345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</si>
  <si>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</si>
  <si>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</si>
  <si>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Porcelain, 512GB, EU/UK, FRU</t>
  </si>
  <si>
    <t>CLNRGA10511</t>
  </si>
  <si>
    <t>0840353937352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</si>
  <si>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</si>
  <si>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</si>
  <si>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Moonstone, 512GB, EU/UK, FRU</t>
  </si>
  <si>
    <t>CLNRGA10513</t>
  </si>
  <si>
    <t>0840353937376</t>
  </si>
  <si>
    <r>
      <rPr>
        <rFont val="Helvetica"/>
        <b/>
        <color theme="1"/>
        <sz val="11.0"/>
      </rPr>
      <t xml:space="preserve">04:00:6E:C8:EB:92
64:9D:38:00:00:32
B0:D5:FB:BE:BF:50
</t>
    </r>
    <r>
      <rPr>
        <rFont val="Helvetica"/>
        <b/>
        <color rgb="FFFF0000"/>
        <sz val="11.0"/>
      </rPr>
      <t>30:E0:44:48:18:42</t>
    </r>
  </si>
  <si>
    <r>
      <rPr>
        <rFont val="Helvetica"/>
        <b/>
        <color theme="1"/>
        <sz val="11.0"/>
      </rPr>
      <t xml:space="preserve">04:00:6E:CA:FE:D1
64:9D:38:02:80:D1
B0:D5:FB:C6:60:6F
</t>
    </r>
    <r>
      <rPr>
        <rFont val="Helvetica"/>
        <b/>
        <color rgb="FFFF0000"/>
        <sz val="11.0"/>
      </rPr>
      <t>30:E0:44:4F:B9:61</t>
    </r>
  </si>
  <si>
    <t>Pixel 10 Pro, Obsidian, 1TB, EU/UK, FRU</t>
  </si>
  <si>
    <t>MP BOB ARTWORK</t>
  </si>
  <si>
    <t>MP Retail Artwork</t>
  </si>
  <si>
    <t>Sale SKU</t>
  </si>
  <si>
    <t>UPC CODE-12</t>
  </si>
  <si>
    <t>EAN CODE-13</t>
  </si>
  <si>
    <t>SAP/SKU ID for Retail label</t>
  </si>
  <si>
    <t>Master Carton Label</t>
  </si>
  <si>
    <t>Pallet Label</t>
  </si>
  <si>
    <t>BOB
Artwork GPN &amp; Rev</t>
  </si>
  <si>
    <t>Retail
Artwork GPN &amp; Rev</t>
  </si>
  <si>
    <t>Revison</t>
  </si>
  <si>
    <t xml:space="preserve">Memory
</t>
  </si>
  <si>
    <t>Color ID</t>
  </si>
  <si>
    <t>SKU</t>
  </si>
  <si>
    <t>Description</t>
  </si>
  <si>
    <t>Updated  XX/XX</t>
  </si>
  <si>
    <t>https://docs.google.com/spreadsheets/d/1bdACHV__0owP2Cr0OR6QHQXF63MtnFo1g516QzDCOes/edit?resourcekey=0-YESVYqJ_Zn5tRdzJpdT-Rw&amp;gid=511652342#gid=511652342</t>
  </si>
  <si>
    <t>TBC</t>
  </si>
  <si>
    <t>[Ext] BZ5 Key Allocation Tracker (go/bz5-key-allocation)</t>
  </si>
  <si>
    <t>BZ5 TAC Summary</t>
  </si>
  <si>
    <t>BZ5 foxconn-vn</t>
  </si>
  <si>
    <t>Model name</t>
  </si>
  <si>
    <t>Input Date</t>
  </si>
  <si>
    <t>CM Site</t>
  </si>
  <si>
    <t>Key Types</t>
  </si>
  <si>
    <t>Start Range</t>
  </si>
  <si>
    <t>End Range</t>
  </si>
  <si>
    <t>Amount</t>
  </si>
  <si>
    <t>TAC</t>
  </si>
  <si>
    <t>Requester</t>
  </si>
  <si>
    <t>Note</t>
  </si>
  <si>
    <t>OFFLINE</t>
  </si>
  <si>
    <t>Keys not in our key managerment system</t>
  </si>
  <si>
    <t>NPI</t>
  </si>
  <si>
    <t>Key for Proto, EVT and DVT</t>
  </si>
  <si>
    <t>foxconn-vn</t>
  </si>
  <si>
    <t>IMEI</t>
  </si>
  <si>
    <t>35 718913 000000x</t>
  </si>
  <si>
    <t>35 718913 019999x</t>
  </si>
  <si>
    <t>20K</t>
  </si>
  <si>
    <t>FIH VN</t>
  </si>
  <si>
    <t>35 575145 000000x</t>
  </si>
  <si>
    <t>35 575145 009999x</t>
  </si>
  <si>
    <t>10K</t>
  </si>
  <si>
    <t>35 980215 000000x</t>
  </si>
  <si>
    <t>35 980215 009999x</t>
  </si>
  <si>
    <t>35 531042 000000x</t>
  </si>
  <si>
    <t>35 531042 009999x</t>
  </si>
  <si>
    <t>35 698855 000000x</t>
  </si>
  <si>
    <t>35 698855 019999x</t>
  </si>
  <si>
    <t>JPN</t>
  </si>
  <si>
    <t>35 223287 000000x</t>
  </si>
  <si>
    <t>35 223287 009999x</t>
  </si>
  <si>
    <t>ALL</t>
  </si>
  <si>
    <t>MAC</t>
  </si>
  <si>
    <t>98:98:FB:36:BB:B6</t>
  </si>
  <si>
    <t>98:98:FB:37:30:E5</t>
  </si>
  <si>
    <t>30K</t>
  </si>
  <si>
    <t>PVT</t>
  </si>
  <si>
    <t>35 718913 020000</t>
  </si>
  <si>
    <t>35 718913 039999</t>
  </si>
  <si>
    <t>35 575145 010000</t>
  </si>
  <si>
    <t>35 575145 019999</t>
  </si>
  <si>
    <t>35 980215 010000</t>
  </si>
  <si>
    <t>35 980215 019999</t>
  </si>
  <si>
    <t>35 531042 010000</t>
  </si>
  <si>
    <t>35 531042 019999</t>
  </si>
  <si>
    <t>35 698855 020000</t>
  </si>
  <si>
    <t>35 698855 039999</t>
  </si>
  <si>
    <t>35 223287 010000</t>
  </si>
  <si>
    <t>35 223287 019999</t>
  </si>
  <si>
    <t>04:00:6E:AC:C8:72</t>
  </si>
  <si>
    <t>04:00:6E:AD:8B:C1</t>
  </si>
  <si>
    <t>50K</t>
  </si>
  <si>
    <t>35 718913 040000</t>
  </si>
  <si>
    <t>35 718913 339999</t>
  </si>
  <si>
    <t>300K</t>
  </si>
  <si>
    <t>35 531042 020000</t>
  </si>
  <si>
    <t>35 531042 319999</t>
  </si>
  <si>
    <t>64:9D:38:2D:FD:A2</t>
  </si>
  <si>
    <t>64:9D:38:32:91:81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</si>
</sst>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"/>
    <numFmt numFmtId="165" formatCode="mm&quot;/&quot;dd"/>
    <numFmt numFmtId="166" formatCode="yyyy-M-d"/>
    <numFmt numFmtId="167" formatCode="yyyy/M/d"/>
    <numFmt numFmtId="168" formatCode="M/d/yyyy"/>
    <numFmt numFmtId="169" formatCode="&quot;$&quot;#,##0.00"/>
    <numFmt numFmtId="170" formatCode="[$NT$-404]#,##0.00"/>
    <numFmt numFmtId="171" formatCode="m&quot;/&quot;d&quot;/&quot;yyyy"/>
    <numFmt numFmtId="172" formatCode="m/d/yyyy"/>
  </numFmts>
  <fonts count="76">
    <font>
      <sz val="10.0"/>
      <color rgb="FF000000"/>
      <name val="Arial"/>
      <scheme val="minor"/>
    </font>
    <font>
      <b/>
      <sz val="15.0"/>
      <color rgb="FFFF0000"/>
      <name val="Google Sans"/>
    </font>
    <font>
      <b/>
      <sz val="14.0"/>
      <color rgb="FFFF0000"/>
      <name val="Google Sans"/>
    </font>
    <font>
      <color theme="1"/>
      <name val="Arial"/>
    </font>
    <font>
      <u/>
      <color theme="1"/>
      <name val="Arial"/>
      <scheme val="minor"/>
    </font>
    <font>
      <u/>
      <color theme="1"/>
      <name val="Arial"/>
    </font>
    <font>
      <b/>
      <sz val="14.0"/>
      <color theme="1"/>
      <name val="Google Sans"/>
    </font>
    <font>
      <color theme="1"/>
      <name val="Google Sans"/>
    </font>
    <font>
      <color theme="1"/>
      <name val="Arial"/>
      <scheme val="minor"/>
    </font>
    <font>
      <sz val="11.0"/>
      <color theme="1"/>
      <name val="Google Sans"/>
    </font>
    <font>
      <sz val="11.0"/>
      <color theme="1"/>
      <name val="Arial"/>
      <scheme val="minor"/>
    </font>
    <font>
      <sz val="16.0"/>
      <color rgb="FF34A853"/>
      <name val="Google Sans"/>
    </font>
    <font/>
    <font>
      <b/>
      <sz val="14.0"/>
      <color rgb="FF0000FF"/>
      <name val="Google Sans"/>
    </font>
    <font>
      <color rgb="FFFF0000"/>
      <name val="Arial"/>
    </font>
    <font>
      <sz val="14.0"/>
      <color rgb="FF0B5394"/>
      <name val="Google Sans"/>
    </font>
    <font>
      <sz val="14.0"/>
      <color theme="1"/>
      <name val="Google Sans"/>
    </font>
    <font>
      <b/>
      <color theme="1"/>
      <name val="Google Sans"/>
    </font>
    <font>
      <b/>
      <sz val="9.0"/>
      <color theme="1"/>
      <name val="Google Sans"/>
    </font>
    <font>
      <sz val="8.0"/>
      <color rgb="FF0000FF"/>
      <name val="Google Sans"/>
    </font>
    <font>
      <color rgb="FFFF00FF"/>
      <name val="Google Sans"/>
    </font>
    <font>
      <sz val="8.0"/>
      <color rgb="FFCFE2F3"/>
      <name val="Google Sans"/>
    </font>
    <font>
      <color rgb="FF0000FF"/>
      <name val="Google Sans"/>
    </font>
    <font>
      <sz val="12.0"/>
      <color rgb="FFFFFFFF"/>
      <name val="Google Sans"/>
    </font>
    <font>
      <b/>
      <sz val="12.0"/>
      <color rgb="FFFFFFFF"/>
      <name val="Google Sans"/>
    </font>
    <font>
      <b/>
      <sz val="12.0"/>
      <color rgb="FF0000FF"/>
      <name val="Google Sans"/>
    </font>
    <font>
      <b/>
      <sz val="12.0"/>
      <color rgb="FFFFFF00"/>
      <name val="Google Sans"/>
    </font>
    <font>
      <b/>
      <sz val="10.0"/>
      <color rgb="FFFFFFFF"/>
      <name val="Tahoma"/>
    </font>
    <font>
      <b/>
      <sz val="13.0"/>
      <color rgb="FFFFFF00"/>
      <name val="Microsoft JhengHei"/>
    </font>
    <font>
      <color rgb="FF305496"/>
      <name val="Google Sans"/>
    </font>
    <font>
      <color rgb="FFFFFFFF"/>
      <name val="Google Sans"/>
    </font>
    <font>
      <b/>
      <color rgb="FF000000"/>
      <name val="Arial"/>
    </font>
    <font>
      <b/>
      <color rgb="FF000000"/>
      <name val="Helvetica"/>
    </font>
    <font>
      <b/>
      <color rgb="FF000000"/>
      <name val="Microsoft JhengHei"/>
    </font>
    <font>
      <b/>
      <color theme="1"/>
      <name val="Helvetica"/>
    </font>
    <font>
      <b/>
      <sz val="11.0"/>
      <color theme="1"/>
      <name val="Helvetica"/>
    </font>
    <font>
      <sz val="12.0"/>
      <color theme="1"/>
      <name val="Arial"/>
      <scheme val="minor"/>
    </font>
    <font>
      <b/>
      <sz val="12.0"/>
      <color rgb="FF000000"/>
      <name val="Microsoft JhengHei"/>
    </font>
    <font>
      <b/>
      <sz val="11.0"/>
      <color rgb="FF000000"/>
      <name val="Microsoft JhengHei"/>
    </font>
    <font>
      <color rgb="FF000000"/>
      <name val="Arial"/>
    </font>
    <font>
      <b/>
      <color theme="1"/>
      <name val="Arial"/>
      <scheme val="minor"/>
    </font>
    <font>
      <b/>
      <strike/>
      <color rgb="FF000000"/>
      <name val="Arial"/>
    </font>
    <font>
      <b/>
      <strike/>
      <color rgb="FF000000"/>
      <name val="Helvetica"/>
    </font>
    <font>
      <b/>
      <strike/>
      <color rgb="FF000000"/>
      <name val="Microsoft JhengHei"/>
    </font>
    <font>
      <strike/>
      <color theme="1"/>
      <name val="Arial"/>
      <scheme val="minor"/>
    </font>
    <font>
      <b/>
      <strike/>
      <color theme="1"/>
      <name val="Google Sans"/>
    </font>
    <font>
      <b/>
      <strike/>
      <color theme="1"/>
      <name val="Helvetica"/>
    </font>
    <font>
      <b/>
      <strike/>
      <sz val="11.0"/>
      <color theme="1"/>
      <name val="Helvetica"/>
    </font>
    <font>
      <strike/>
      <sz val="12.0"/>
      <color theme="1"/>
      <name val="Arial"/>
      <scheme val="minor"/>
    </font>
    <font>
      <b/>
      <strike/>
      <sz val="12.0"/>
      <color rgb="FF000000"/>
      <name val="Microsoft JhengHei"/>
    </font>
    <font>
      <b/>
      <strike/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Roboto"/>
    </font>
    <font>
      <b/>
      <sz val="11.0"/>
      <color rgb="FF000000"/>
      <name val="Helvetica"/>
    </font>
    <font>
      <color rgb="FFFFFF00"/>
      <name val="Arial"/>
    </font>
    <font>
      <color rgb="FFFFFFFF"/>
      <name val="Arial"/>
      <scheme val="minor"/>
    </font>
    <font>
      <u/>
      <color rgb="FF0000FF"/>
    </font>
    <font>
      <color rgb="FF383A42"/>
      <name val="Fira Code"/>
    </font>
    <font>
      <u/>
      <color rgb="FF0000FF"/>
    </font>
    <font>
      <color rgb="FF434343"/>
      <name val="Arial"/>
      <scheme val="minor"/>
    </font>
    <font>
      <u/>
      <color rgb="FF0000FF"/>
    </font>
    <font>
      <sz val="9.0"/>
      <color rgb="FFFF9900"/>
      <name val="Google Sans"/>
    </font>
    <font>
      <b/>
      <sz val="9.0"/>
      <color rgb="FFFFFFFF"/>
      <name val="Google Sans"/>
    </font>
    <font>
      <color theme="1"/>
      <name val="Microsoft JhengHei"/>
    </font>
    <font>
      <u/>
      <color rgb="FF1155CC"/>
      <name val="Microsoft JhengHei"/>
    </font>
    <font>
      <b/>
      <i/>
      <color rgb="FFFF0000"/>
      <name val="Microsoft JhengHei"/>
    </font>
    <font>
      <b/>
      <sz val="40.0"/>
      <color rgb="FFFFFFFF"/>
      <name val="Open Sans"/>
    </font>
    <font>
      <b/>
      <color theme="1"/>
      <name val="Open Sans"/>
    </font>
    <font>
      <b/>
      <sz val="14.0"/>
      <color theme="1"/>
      <name val="Open Sans"/>
    </font>
    <font>
      <b/>
      <sz val="12.0"/>
      <color rgb="FFFFFFFF"/>
      <name val="Arial"/>
    </font>
    <font>
      <color theme="1"/>
      <name val="Verdana"/>
    </font>
    <font>
      <color rgb="FFFFFFFF"/>
      <name val="Arial"/>
    </font>
    <font>
      <sz val="14.0"/>
      <color theme="1"/>
      <name val="Roboto"/>
    </font>
    <font>
      <color rgb="FF222222"/>
      <name val="Arial"/>
    </font>
    <font>
      <color rgb="FF999999"/>
      <name val="Verdana"/>
    </font>
    <font>
      <b/>
      <i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A5A5A5"/>
        <bgColor rgb="FFA5A5A5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000000"/>
        <bgColor rgb="FF000000"/>
      </patternFill>
    </fill>
    <fill>
      <patternFill patternType="solid">
        <fgColor rgb="FFFCE8B2"/>
        <bgColor rgb="FFFCE8B2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  <fill>
      <patternFill patternType="solid">
        <fgColor rgb="FF0B5394"/>
        <bgColor rgb="FF0B5394"/>
      </patternFill>
    </fill>
    <fill>
      <patternFill patternType="solid">
        <fgColor rgb="FF4285F4"/>
        <bgColor rgb="FF4285F4"/>
      </patternFill>
    </fill>
    <fill>
      <patternFill patternType="solid">
        <fgColor rgb="FF38761D"/>
        <bgColor rgb="FF38761D"/>
      </patternFill>
    </fill>
    <fill>
      <patternFill patternType="solid">
        <fgColor rgb="FF999999"/>
        <bgColor rgb="FF999999"/>
      </patternFill>
    </fill>
    <fill>
      <patternFill patternType="solid">
        <fgColor rgb="FFB45F06"/>
        <bgColor rgb="FFB45F06"/>
      </patternFill>
    </fill>
    <fill>
      <patternFill patternType="solid">
        <fgColor rgb="FF741B47"/>
        <bgColor rgb="FF741B47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medium">
        <color rgb="FF666666"/>
      </top>
      <bottom style="medium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Font="1"/>
    <xf borderId="0" fillId="2" fontId="3" numFmtId="0" xfId="0" applyFont="1"/>
    <xf borderId="0" fillId="0" fontId="4" numFmtId="0" xfId="0" applyAlignment="1" applyFont="1">
      <alignment horizontal="left" readingOrder="0"/>
    </xf>
    <xf borderId="0" fillId="2" fontId="5" numFmtId="0" xfId="0" applyAlignment="1" applyFont="1">
      <alignment readingOrder="0"/>
    </xf>
    <xf borderId="1" fillId="3" fontId="6" numFmtId="0" xfId="0" applyAlignment="1" applyBorder="1" applyFill="1" applyFont="1">
      <alignment horizontal="center"/>
    </xf>
    <xf borderId="2" fillId="3" fontId="6" numFmtId="0" xfId="0" applyAlignment="1" applyBorder="1" applyFont="1">
      <alignment horizontal="center"/>
    </xf>
    <xf borderId="0" fillId="0" fontId="3" numFmtId="0" xfId="0" applyFont="1"/>
    <xf borderId="3" fillId="0" fontId="7" numFmtId="0" xfId="0" applyAlignment="1" applyBorder="1" applyFont="1">
      <alignment horizontal="center" readingOrder="0"/>
    </xf>
    <xf borderId="4" fillId="0" fontId="7" numFmtId="164" xfId="0" applyAlignment="1" applyBorder="1" applyFont="1" applyNumberFormat="1">
      <alignment horizontal="center" readingOrder="0"/>
    </xf>
    <xf borderId="4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8" numFmtId="164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readingOrder="0"/>
    </xf>
    <xf borderId="3" fillId="0" fontId="7" numFmtId="0" xfId="0" applyAlignment="1" applyBorder="1" applyFont="1">
      <alignment horizontal="center" vertical="bottom"/>
    </xf>
    <xf borderId="4" fillId="0" fontId="7" numFmtId="164" xfId="0" applyAlignment="1" applyBorder="1" applyFont="1" applyNumberFormat="1">
      <alignment horizontal="center" vertical="bottom"/>
    </xf>
    <xf borderId="4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vertical="bottom"/>
    </xf>
    <xf borderId="4" fillId="0" fontId="8" numFmtId="164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5" fillId="0" fontId="7" numFmtId="0" xfId="0" applyAlignment="1" applyBorder="1" applyFont="1">
      <alignment horizontal="center"/>
    </xf>
    <xf borderId="6" fillId="0" fontId="12" numFmtId="0" xfId="0" applyBorder="1" applyFont="1"/>
    <xf borderId="7" fillId="0" fontId="13" numFmtId="0" xfId="0" applyAlignment="1" applyBorder="1" applyFont="1">
      <alignment horizontal="center" readingOrder="0"/>
    </xf>
    <xf borderId="0" fillId="4" fontId="14" numFmtId="49" xfId="0" applyAlignment="1" applyFill="1" applyFont="1" applyNumberFormat="1">
      <alignment readingOrder="0"/>
    </xf>
    <xf borderId="0" fillId="4" fontId="3" numFmtId="0" xfId="0" applyFont="1"/>
    <xf borderId="0" fillId="0" fontId="3" numFmtId="49" xfId="0" applyFont="1" applyNumberFormat="1"/>
    <xf borderId="0" fillId="0" fontId="3" numFmtId="0" xfId="0" applyAlignment="1" applyFont="1">
      <alignment shrinkToFit="0" wrapText="1"/>
    </xf>
    <xf borderId="0" fillId="0" fontId="3" numFmtId="165" xfId="0" applyFont="1" applyNumberFormat="1"/>
    <xf borderId="0" fillId="2" fontId="3" numFmtId="0" xfId="0" applyAlignment="1" applyFont="1">
      <alignment vertical="bottom"/>
    </xf>
    <xf borderId="0" fillId="4" fontId="15" numFmtId="0" xfId="0" applyAlignment="1" applyFont="1">
      <alignment horizontal="center"/>
    </xf>
    <xf borderId="0" fillId="4" fontId="16" numFmtId="166" xfId="0" applyAlignment="1" applyFont="1" applyNumberFormat="1">
      <alignment horizontal="center" readingOrder="0"/>
    </xf>
    <xf borderId="0" fillId="4" fontId="2" numFmtId="0" xfId="0" applyAlignment="1" applyFont="1">
      <alignment horizontal="center" readingOrder="0"/>
    </xf>
    <xf borderId="1" fillId="5" fontId="17" numFmtId="0" xfId="0" applyAlignment="1" applyBorder="1" applyFill="1" applyFont="1">
      <alignment horizontal="center" shrinkToFit="0" wrapText="1"/>
    </xf>
    <xf borderId="1" fillId="5" fontId="17" numFmtId="41" xfId="0" applyAlignment="1" applyBorder="1" applyFont="1" applyNumberFormat="1">
      <alignment horizontal="center"/>
    </xf>
    <xf borderId="0" fillId="0" fontId="3" numFmtId="41" xfId="0" applyFont="1" applyNumberFormat="1"/>
    <xf borderId="0" fillId="0" fontId="3" numFmtId="167" xfId="0" applyFont="1" applyNumberFormat="1"/>
    <xf borderId="1" fillId="0" fontId="18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 readingOrder="0" shrinkToFit="0" wrapText="1"/>
    </xf>
    <xf borderId="1" fillId="0" fontId="18" numFmtId="0" xfId="0" applyAlignment="1" applyBorder="1" applyFont="1">
      <alignment horizontal="center"/>
    </xf>
    <xf borderId="0" fillId="0" fontId="19" numFmtId="49" xfId="0" applyAlignment="1" applyFont="1" applyNumberFormat="1">
      <alignment horizontal="center" shrinkToFit="0" wrapText="1"/>
    </xf>
    <xf borderId="0" fillId="0" fontId="20" numFmtId="49" xfId="0" applyAlignment="1" applyFont="1" applyNumberFormat="1">
      <alignment horizontal="center"/>
    </xf>
    <xf borderId="0" fillId="0" fontId="21" numFmtId="49" xfId="0" applyAlignment="1" applyFont="1" applyNumberFormat="1">
      <alignment horizontal="center"/>
    </xf>
    <xf borderId="0" fillId="0" fontId="20" numFmtId="0" xfId="0" applyAlignment="1" applyFont="1">
      <alignment horizontal="center"/>
    </xf>
    <xf borderId="0" fillId="0" fontId="22" numFmtId="0" xfId="0" applyAlignment="1" applyFont="1">
      <alignment horizontal="center"/>
    </xf>
    <xf borderId="0" fillId="0" fontId="18" numFmtId="0" xfId="0" applyAlignment="1" applyFont="1">
      <alignment horizontal="center" shrinkToFit="0" wrapText="1"/>
    </xf>
    <xf borderId="0" fillId="0" fontId="18" numFmtId="0" xfId="0" applyAlignment="1" applyFont="1">
      <alignment horizontal="center"/>
    </xf>
    <xf borderId="1" fillId="6" fontId="23" numFmtId="0" xfId="0" applyAlignment="1" applyBorder="1" applyFill="1" applyFont="1">
      <alignment horizontal="center" shrinkToFit="0" wrapText="1"/>
    </xf>
    <xf borderId="1" fillId="6" fontId="24" numFmtId="49" xfId="0" applyAlignment="1" applyBorder="1" applyFont="1" applyNumberFormat="1">
      <alignment horizontal="center" shrinkToFit="0" wrapText="1"/>
    </xf>
    <xf borderId="1" fillId="6" fontId="24" numFmtId="0" xfId="0" applyAlignment="1" applyBorder="1" applyFont="1">
      <alignment horizontal="center" shrinkToFit="0" wrapText="1"/>
    </xf>
    <xf borderId="1" fillId="6" fontId="24" numFmtId="0" xfId="0" applyAlignment="1" applyBorder="1" applyFont="1">
      <alignment horizontal="center" readingOrder="0" shrinkToFit="0" wrapText="1"/>
    </xf>
    <xf borderId="1" fillId="7" fontId="25" numFmtId="0" xfId="0" applyAlignment="1" applyBorder="1" applyFill="1" applyFont="1">
      <alignment horizontal="center" shrinkToFit="0" wrapText="1"/>
    </xf>
    <xf borderId="1" fillId="6" fontId="23" numFmtId="0" xfId="0" applyAlignment="1" applyBorder="1" applyFont="1">
      <alignment horizontal="center" readingOrder="0" shrinkToFit="0" wrapText="1"/>
    </xf>
    <xf borderId="1" fillId="6" fontId="24" numFmtId="49" xfId="0" applyAlignment="1" applyBorder="1" applyFont="1" applyNumberFormat="1">
      <alignment horizontal="center" readingOrder="0" shrinkToFit="0" wrapText="1"/>
    </xf>
    <xf borderId="8" fillId="6" fontId="24" numFmtId="0" xfId="0" applyAlignment="1" applyBorder="1" applyFont="1">
      <alignment horizontal="center" shrinkToFit="0" wrapText="1"/>
    </xf>
    <xf borderId="1" fillId="6" fontId="26" numFmtId="0" xfId="0" applyAlignment="1" applyBorder="1" applyFont="1">
      <alignment horizontal="center" readingOrder="0" shrinkToFit="0" wrapText="1"/>
    </xf>
    <xf borderId="3" fillId="6" fontId="24" numFmtId="0" xfId="0" applyAlignment="1" applyBorder="1" applyFont="1">
      <alignment horizontal="center" shrinkToFit="0" wrapText="1"/>
    </xf>
    <xf borderId="9" fillId="6" fontId="24" numFmtId="0" xfId="0" applyAlignment="1" applyBorder="1" applyFont="1">
      <alignment horizontal="center" shrinkToFit="0" wrapText="1"/>
    </xf>
    <xf borderId="1" fillId="6" fontId="27" numFmtId="0" xfId="0" applyAlignment="1" applyBorder="1" applyFont="1">
      <alignment horizontal="center" readingOrder="0" shrinkToFit="0" vertical="center" wrapText="1"/>
    </xf>
    <xf borderId="1" fillId="6" fontId="26" numFmtId="0" xfId="0" applyAlignment="1" applyBorder="1" applyFont="1">
      <alignment horizontal="center" readingOrder="0" shrinkToFit="0" vertical="bottom" wrapText="1"/>
    </xf>
    <xf borderId="2" fillId="8" fontId="28" numFmtId="0" xfId="0" applyAlignment="1" applyBorder="1" applyFill="1" applyFont="1">
      <alignment horizontal="center" readingOrder="0" shrinkToFit="0" vertical="bottom" wrapText="1"/>
    </xf>
    <xf borderId="0" fillId="0" fontId="3" numFmtId="0" xfId="0" applyAlignment="1" applyFont="1">
      <alignment vertical="bottom"/>
    </xf>
    <xf borderId="1" fillId="9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9" fontId="29" numFmtId="0" xfId="0" applyAlignment="1" applyBorder="1" applyFont="1">
      <alignment horizontal="center"/>
    </xf>
    <xf borderId="1" fillId="0" fontId="17" numFmtId="0" xfId="0" applyAlignment="1" applyBorder="1" applyFont="1">
      <alignment horizontal="center" readingOrder="0"/>
    </xf>
    <xf borderId="1" fillId="10" fontId="7" numFmtId="0" xfId="0" applyAlignment="1" applyBorder="1" applyFill="1" applyFont="1">
      <alignment horizontal="center"/>
    </xf>
    <xf borderId="1" fillId="2" fontId="7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/>
    </xf>
    <xf borderId="1" fillId="11" fontId="30" numFmtId="0" xfId="0" applyAlignment="1" applyBorder="1" applyFill="1" applyFont="1">
      <alignment horizontal="center" shrinkToFit="0" wrapText="1"/>
    </xf>
    <xf borderId="1" fillId="0" fontId="7" numFmtId="49" xfId="0" applyAlignment="1" applyBorder="1" applyFont="1" applyNumberFormat="1">
      <alignment horizontal="center"/>
    </xf>
    <xf borderId="1" fillId="7" fontId="17" numFmtId="0" xfId="0" applyAlignment="1" applyBorder="1" applyFont="1">
      <alignment horizontal="center"/>
    </xf>
    <xf borderId="1" fillId="2" fontId="3" numFmtId="0" xfId="0" applyBorder="1" applyFont="1"/>
    <xf borderId="1" fillId="2" fontId="7" numFmtId="49" xfId="0" applyAlignment="1" applyBorder="1" applyFont="1" applyNumberFormat="1">
      <alignment horizontal="center"/>
    </xf>
    <xf borderId="1" fillId="2" fontId="3" numFmtId="49" xfId="0" applyBorder="1" applyFont="1" applyNumberFormat="1"/>
    <xf borderId="1" fillId="12" fontId="7" numFmtId="0" xfId="0" applyAlignment="1" applyBorder="1" applyFill="1" applyFont="1">
      <alignment horizontal="center"/>
    </xf>
    <xf borderId="8" fillId="2" fontId="7" numFmtId="0" xfId="0" applyAlignment="1" applyBorder="1" applyFont="1">
      <alignment horizontal="center"/>
    </xf>
    <xf borderId="1" fillId="2" fontId="22" numFmtId="0" xfId="0" applyAlignment="1" applyBorder="1" applyFont="1">
      <alignment horizontal="center"/>
    </xf>
    <xf borderId="9" fillId="2" fontId="22" numFmtId="0" xfId="0" applyAlignment="1" applyBorder="1" applyFont="1">
      <alignment horizontal="center" shrinkToFit="0" wrapText="1"/>
    </xf>
    <xf borderId="0" fillId="13" fontId="7" numFmtId="0" xfId="0" applyAlignment="1" applyFill="1" applyFont="1">
      <alignment horizontal="center"/>
    </xf>
    <xf borderId="2" fillId="14" fontId="7" numFmtId="49" xfId="0" applyAlignment="1" applyBorder="1" applyFill="1" applyFont="1" applyNumberFormat="1">
      <alignment horizontal="center"/>
    </xf>
    <xf borderId="1" fillId="14" fontId="7" numFmtId="49" xfId="0" applyAlignment="1" applyBorder="1" applyFont="1" applyNumberFormat="1">
      <alignment horizontal="center"/>
    </xf>
    <xf borderId="1" fillId="13" fontId="7" numFmtId="0" xfId="0" applyAlignment="1" applyBorder="1" applyFont="1">
      <alignment horizontal="center"/>
    </xf>
    <xf borderId="1" fillId="2" fontId="9" numFmtId="0" xfId="0" applyAlignment="1" applyBorder="1" applyFont="1">
      <alignment horizontal="center"/>
    </xf>
    <xf borderId="8" fillId="0" fontId="8" numFmtId="0" xfId="0" applyAlignment="1" applyBorder="1" applyFont="1">
      <alignment horizontal="center" readingOrder="0"/>
    </xf>
    <xf borderId="8" fillId="0" fontId="8" numFmtId="0" xfId="0" applyBorder="1" applyFont="1"/>
    <xf borderId="1" fillId="0" fontId="8" numFmtId="0" xfId="0" applyBorder="1" applyFont="1"/>
    <xf borderId="1" fillId="2" fontId="3" numFmtId="165" xfId="0" applyBorder="1" applyFont="1" applyNumberFormat="1"/>
    <xf borderId="1" fillId="0" fontId="3" numFmtId="0" xfId="0" applyBorder="1" applyFont="1"/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vertical="bottom"/>
    </xf>
    <xf borderId="0" fillId="2" fontId="31" numFmtId="0" xfId="0" applyAlignment="1" applyFont="1">
      <alignment horizontal="center" readingOrder="0" vertical="bottom"/>
    </xf>
    <xf borderId="0" fillId="2" fontId="32" numFmtId="0" xfId="0" applyAlignment="1" applyFont="1">
      <alignment horizontal="center" shrinkToFit="0" vertical="bottom" wrapText="1"/>
    </xf>
    <xf borderId="0" fillId="2" fontId="32" numFmtId="0" xfId="0" applyAlignment="1" applyFont="1">
      <alignment horizontal="center" readingOrder="0" shrinkToFit="0" vertical="bottom" wrapText="1"/>
    </xf>
    <xf borderId="0" fillId="2" fontId="33" numFmtId="0" xfId="0" applyAlignment="1" applyFont="1">
      <alignment horizontal="center" shrinkToFit="0" vertical="bottom" wrapText="1"/>
    </xf>
    <xf borderId="0" fillId="2" fontId="33" numFmtId="0" xfId="0" applyAlignment="1" applyFont="1">
      <alignment horizontal="center" readingOrder="0" shrinkToFit="0" vertical="bottom" wrapText="1"/>
    </xf>
    <xf borderId="0" fillId="2" fontId="32" numFmtId="0" xfId="0" applyAlignment="1" applyFont="1">
      <alignment vertical="bottom"/>
    </xf>
    <xf borderId="0" fillId="2" fontId="32" numFmtId="0" xfId="0" applyAlignment="1" applyFont="1">
      <alignment horizontal="center" vertical="bottom"/>
    </xf>
    <xf borderId="0" fillId="2" fontId="32" numFmtId="49" xfId="0" applyAlignment="1" applyFont="1" applyNumberFormat="1">
      <alignment horizontal="center" readingOrder="0" shrinkToFit="0" vertical="bottom" wrapText="1"/>
    </xf>
    <xf borderId="0" fillId="2" fontId="17" numFmtId="0" xfId="0" applyAlignment="1" applyFont="1">
      <alignment horizontal="center"/>
    </xf>
    <xf borderId="0" fillId="2" fontId="34" numFmtId="0" xfId="0" applyAlignment="1" applyFont="1">
      <alignment horizontal="center" vertical="bottom"/>
    </xf>
    <xf borderId="0" fillId="2" fontId="35" numFmtId="0" xfId="0" applyAlignment="1" applyFont="1">
      <alignment horizontal="center" readingOrder="0" vertical="bottom"/>
    </xf>
    <xf borderId="0" fillId="13" fontId="17" numFmtId="0" xfId="0" applyAlignment="1" applyFont="1">
      <alignment horizontal="center"/>
    </xf>
    <xf borderId="0" fillId="2" fontId="32" numFmtId="0" xfId="0" applyAlignment="1" applyFont="1">
      <alignment horizontal="center"/>
    </xf>
    <xf borderId="0" fillId="2" fontId="33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0" fillId="0" fontId="36" numFmtId="0" xfId="0" applyAlignment="1" applyFont="1">
      <alignment horizontal="center" readingOrder="0"/>
    </xf>
    <xf borderId="0" fillId="2" fontId="37" numFmtId="0" xfId="0" applyAlignment="1" applyFont="1">
      <alignment horizontal="center" readingOrder="0" shrinkToFit="0" vertical="bottom" wrapText="1"/>
    </xf>
    <xf borderId="0" fillId="2" fontId="38" numFmtId="0" xfId="0" applyAlignment="1" applyFont="1">
      <alignment horizontal="center" readingOrder="0" shrinkToFit="0" vertical="bottom" wrapText="1"/>
    </xf>
    <xf borderId="0" fillId="2" fontId="39" numFmtId="0" xfId="0" applyAlignment="1" applyFont="1">
      <alignment vertical="bottom"/>
    </xf>
    <xf borderId="0" fillId="0" fontId="40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15" fontId="8" numFmtId="0" xfId="0" applyAlignment="1" applyFill="1" applyFont="1">
      <alignment horizontal="center" readingOrder="0"/>
    </xf>
    <xf borderId="0" fillId="15" fontId="38" numFmtId="0" xfId="0" applyAlignment="1" applyFont="1">
      <alignment horizontal="center" readingOrder="0" shrinkToFit="0" vertical="bottom" wrapText="1"/>
    </xf>
    <xf borderId="0" fillId="2" fontId="35" numFmtId="0" xfId="0" applyAlignment="1" applyFont="1">
      <alignment horizontal="center" vertical="bottom"/>
    </xf>
    <xf borderId="0" fillId="16" fontId="41" numFmtId="0" xfId="0" applyAlignment="1" applyFill="1" applyFont="1">
      <alignment horizontal="center" readingOrder="0" vertical="bottom"/>
    </xf>
    <xf borderId="0" fillId="16" fontId="42" numFmtId="0" xfId="0" applyAlignment="1" applyFont="1">
      <alignment horizontal="center" readingOrder="0" shrinkToFit="0" vertical="bottom" wrapText="1"/>
    </xf>
    <xf borderId="0" fillId="16" fontId="43" numFmtId="0" xfId="0" applyAlignment="1" applyFont="1">
      <alignment horizontal="center" shrinkToFit="0" vertical="bottom" wrapText="1"/>
    </xf>
    <xf borderId="0" fillId="16" fontId="42" numFmtId="0" xfId="0" applyAlignment="1" applyFont="1">
      <alignment horizontal="center" shrinkToFit="0" vertical="bottom" wrapText="1"/>
    </xf>
    <xf borderId="0" fillId="16" fontId="44" numFmtId="0" xfId="0" applyAlignment="1" applyFont="1">
      <alignment horizontal="center" readingOrder="0"/>
    </xf>
    <xf borderId="0" fillId="16" fontId="42" numFmtId="0" xfId="0" applyAlignment="1" applyFont="1">
      <alignment vertical="bottom"/>
    </xf>
    <xf borderId="0" fillId="16" fontId="42" numFmtId="0" xfId="0" applyAlignment="1" applyFont="1">
      <alignment horizontal="center" vertical="bottom"/>
    </xf>
    <xf borderId="0" fillId="16" fontId="42" numFmtId="49" xfId="0" applyAlignment="1" applyFont="1" applyNumberFormat="1">
      <alignment horizontal="center" readingOrder="0" shrinkToFit="0" vertical="bottom" wrapText="1"/>
    </xf>
    <xf borderId="0" fillId="16" fontId="45" numFmtId="0" xfId="0" applyAlignment="1" applyFont="1">
      <alignment horizontal="center"/>
    </xf>
    <xf borderId="0" fillId="16" fontId="46" numFmtId="0" xfId="0" applyAlignment="1" applyFont="1">
      <alignment horizontal="center" vertical="bottom"/>
    </xf>
    <xf borderId="0" fillId="16" fontId="47" numFmtId="0" xfId="0" applyAlignment="1" applyFont="1">
      <alignment horizontal="center" vertical="bottom"/>
    </xf>
    <xf borderId="0" fillId="16" fontId="45" numFmtId="0" xfId="0" applyAlignment="1" applyFont="1">
      <alignment horizontal="center"/>
    </xf>
    <xf borderId="0" fillId="16" fontId="42" numFmtId="0" xfId="0" applyAlignment="1" applyFont="1">
      <alignment horizontal="center"/>
    </xf>
    <xf borderId="0" fillId="16" fontId="44" numFmtId="0" xfId="0" applyFont="1"/>
    <xf borderId="0" fillId="16" fontId="48" numFmtId="0" xfId="0" applyAlignment="1" applyFont="1">
      <alignment horizontal="center" readingOrder="0"/>
    </xf>
    <xf borderId="0" fillId="16" fontId="49" numFmtId="0" xfId="0" applyAlignment="1" applyFont="1">
      <alignment horizontal="center" readingOrder="0" shrinkToFit="0" vertical="bottom" wrapText="1"/>
    </xf>
    <xf borderId="0" fillId="16" fontId="43" numFmtId="0" xfId="0" applyAlignment="1" applyFont="1">
      <alignment horizontal="center" readingOrder="0" shrinkToFit="0" vertical="bottom" wrapText="1"/>
    </xf>
    <xf borderId="0" fillId="2" fontId="41" numFmtId="0" xfId="0" applyAlignment="1" applyFont="1">
      <alignment horizontal="center" readingOrder="0" vertical="bottom"/>
    </xf>
    <xf borderId="0" fillId="2" fontId="42" numFmtId="0" xfId="0" applyAlignment="1" applyFont="1">
      <alignment horizontal="center" shrinkToFit="0" vertical="bottom" wrapText="1"/>
    </xf>
    <xf borderId="0" fillId="2" fontId="42" numFmtId="0" xfId="0" applyAlignment="1" applyFont="1">
      <alignment horizontal="center" readingOrder="0" shrinkToFit="0" vertical="bottom" wrapText="1"/>
    </xf>
    <xf borderId="0" fillId="2" fontId="43" numFmtId="0" xfId="0" applyAlignment="1" applyFont="1">
      <alignment horizontal="center" shrinkToFit="0" vertical="bottom" wrapText="1"/>
    </xf>
    <xf borderId="0" fillId="9" fontId="44" numFmtId="0" xfId="0" applyAlignment="1" applyFont="1">
      <alignment horizontal="center" readingOrder="0"/>
    </xf>
    <xf borderId="0" fillId="2" fontId="43" numFmtId="0" xfId="0" applyAlignment="1" applyFont="1">
      <alignment horizontal="center" readingOrder="0" shrinkToFit="0" vertical="center" wrapText="1"/>
    </xf>
    <xf borderId="0" fillId="0" fontId="44" numFmtId="0" xfId="0" applyAlignment="1" applyFont="1">
      <alignment readingOrder="0"/>
    </xf>
    <xf borderId="0" fillId="2" fontId="43" numFmtId="0" xfId="0" applyAlignment="1" applyFont="1">
      <alignment horizontal="center" readingOrder="0" shrinkToFit="0" vertical="bottom" wrapText="1"/>
    </xf>
    <xf borderId="0" fillId="0" fontId="48" numFmtId="0" xfId="0" applyAlignment="1" applyFont="1">
      <alignment horizontal="center" readingOrder="0"/>
    </xf>
    <xf borderId="0" fillId="2" fontId="49" numFmtId="0" xfId="0" applyAlignment="1" applyFont="1">
      <alignment horizontal="center" readingOrder="0" shrinkToFit="0" vertical="bottom" wrapText="1"/>
    </xf>
    <xf borderId="0" fillId="0" fontId="50" numFmtId="0" xfId="0" applyAlignment="1" applyFont="1">
      <alignment horizontal="center" readingOrder="0"/>
    </xf>
    <xf borderId="0" fillId="0" fontId="44" numFmtId="0" xfId="0" applyFont="1"/>
    <xf borderId="0" fillId="0" fontId="8" numFmtId="0" xfId="0" applyAlignment="1" applyFont="1">
      <alignment horizontal="center" readingOrder="0" vertical="center"/>
    </xf>
    <xf borderId="0" fillId="2" fontId="42" numFmtId="0" xfId="0" applyAlignment="1" applyFont="1">
      <alignment vertical="bottom"/>
    </xf>
    <xf borderId="0" fillId="2" fontId="42" numFmtId="0" xfId="0" applyAlignment="1" applyFont="1">
      <alignment horizontal="center" vertical="bottom"/>
    </xf>
    <xf borderId="0" fillId="2" fontId="42" numFmtId="49" xfId="0" applyAlignment="1" applyFont="1" applyNumberFormat="1">
      <alignment horizontal="center" readingOrder="0" shrinkToFit="0" vertical="bottom" wrapText="1"/>
    </xf>
    <xf borderId="0" fillId="2" fontId="45" numFmtId="0" xfId="0" applyAlignment="1" applyFont="1">
      <alignment horizontal="center"/>
    </xf>
    <xf borderId="0" fillId="2" fontId="46" numFmtId="0" xfId="0" applyAlignment="1" applyFont="1">
      <alignment horizontal="center" vertical="bottom"/>
    </xf>
    <xf borderId="0" fillId="2" fontId="47" numFmtId="0" xfId="0" applyAlignment="1" applyFont="1">
      <alignment horizontal="center" vertical="bottom"/>
    </xf>
    <xf borderId="0" fillId="13" fontId="45" numFmtId="0" xfId="0" applyAlignment="1" applyFont="1">
      <alignment horizontal="center"/>
    </xf>
    <xf borderId="0" fillId="2" fontId="42" numFmtId="0" xfId="0" applyAlignment="1" applyFont="1">
      <alignment horizontal="center"/>
    </xf>
    <xf borderId="0" fillId="0" fontId="44" numFmtId="0" xfId="0" applyAlignment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4" fontId="33" numFmtId="0" xfId="0" applyAlignment="1" applyFont="1">
      <alignment horizontal="center" readingOrder="0" shrinkToFit="0" vertical="bottom" wrapText="1"/>
    </xf>
    <xf borderId="0" fillId="2" fontId="51" numFmtId="0" xfId="0" applyAlignment="1" applyFont="1">
      <alignment horizontal="center"/>
    </xf>
    <xf borderId="0" fillId="2" fontId="52" numFmtId="0" xfId="0" applyAlignment="1" applyFont="1">
      <alignment horizontal="center"/>
    </xf>
    <xf borderId="0" fillId="2" fontId="53" numFmtId="0" xfId="0" applyAlignment="1" applyFont="1">
      <alignment horizontal="center" vertical="bottom"/>
    </xf>
    <xf borderId="0" fillId="2" fontId="1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2" fontId="32" numFmtId="49" xfId="0" applyAlignment="1" applyFont="1" applyNumberFormat="1">
      <alignment horizontal="center" shrinkToFit="0" vertical="bottom" wrapText="1"/>
    </xf>
    <xf borderId="0" fillId="2" fontId="8" numFmtId="0" xfId="0" applyFont="1"/>
    <xf borderId="0" fillId="0" fontId="8" numFmtId="49" xfId="0" applyAlignment="1" applyFont="1" applyNumberFormat="1">
      <alignment shrinkToFit="0" wrapText="1"/>
    </xf>
    <xf borderId="0" fillId="0" fontId="8" numFmtId="0" xfId="0" applyAlignment="1" applyFont="1">
      <alignment shrinkToFit="0" wrapText="1"/>
    </xf>
    <xf borderId="0" fillId="17" fontId="54" numFmtId="0" xfId="0" applyAlignment="1" applyFill="1" applyFont="1">
      <alignment vertical="bottom"/>
    </xf>
    <xf borderId="0" fillId="17" fontId="55" numFmtId="0" xfId="0" applyFont="1"/>
    <xf borderId="0" fillId="17" fontId="55" numFmtId="49" xfId="0" applyFont="1" applyNumberFormat="1"/>
    <xf borderId="0" fillId="14" fontId="3" numFmtId="0" xfId="0" applyAlignment="1" applyFont="1">
      <alignment vertical="bottom"/>
    </xf>
    <xf borderId="0" fillId="14" fontId="8" numFmtId="0" xfId="0" applyFont="1"/>
    <xf borderId="0" fillId="14" fontId="8" numFmtId="3" xfId="0" applyFont="1" applyNumberFormat="1"/>
    <xf borderId="0" fillId="14" fontId="8" numFmtId="168" xfId="0" applyFont="1" applyNumberFormat="1"/>
    <xf borderId="0" fillId="14" fontId="8" numFmtId="14" xfId="0" applyFont="1" applyNumberFormat="1"/>
    <xf borderId="0" fillId="14" fontId="56" numFmtId="0" xfId="0" applyFont="1"/>
    <xf borderId="0" fillId="0" fontId="8" numFmtId="0" xfId="0" applyFont="1"/>
    <xf borderId="0" fillId="0" fontId="8" numFmtId="3" xfId="0" applyFont="1" applyNumberFormat="1"/>
    <xf borderId="0" fillId="0" fontId="57" numFmtId="0" xfId="0" applyAlignment="1" applyFont="1">
      <alignment vertical="bottom"/>
    </xf>
    <xf borderId="0" fillId="0" fontId="8" numFmtId="49" xfId="0" applyFont="1" applyNumberFormat="1"/>
    <xf borderId="0" fillId="0" fontId="8" numFmtId="168" xfId="0" applyFont="1" applyNumberFormat="1"/>
    <xf borderId="0" fillId="0" fontId="8" numFmtId="14" xfId="0" applyFont="1" applyNumberFormat="1"/>
    <xf borderId="0" fillId="0" fontId="58" numFmtId="0" xfId="0" applyFont="1"/>
    <xf borderId="0" fillId="0" fontId="8" numFmtId="169" xfId="0" applyFont="1" applyNumberFormat="1"/>
    <xf borderId="0" fillId="4" fontId="59" numFmtId="10" xfId="0" applyFont="1" applyNumberFormat="1"/>
    <xf borderId="0" fillId="0" fontId="3" numFmtId="0" xfId="0" applyAlignment="1" applyFont="1">
      <alignment horizontal="center" vertical="bottom"/>
    </xf>
    <xf borderId="0" fillId="0" fontId="60" numFmtId="164" xfId="0" applyFont="1" applyNumberFormat="1"/>
    <xf borderId="0" fillId="0" fontId="8" numFmtId="164" xfId="0" applyFont="1" applyNumberFormat="1"/>
    <xf borderId="0" fillId="4" fontId="61" numFmtId="0" xfId="0" applyAlignment="1" applyFont="1">
      <alignment horizontal="center" shrinkToFit="0" vertical="bottom" wrapText="1"/>
    </xf>
    <xf borderId="0" fillId="18" fontId="62" numFmtId="0" xfId="0" applyAlignment="1" applyFill="1" applyFont="1">
      <alignment horizontal="center" shrinkToFit="0" vertical="bottom" wrapText="1"/>
    </xf>
    <xf borderId="0" fillId="18" fontId="62" numFmtId="49" xfId="0" applyAlignment="1" applyFont="1" applyNumberFormat="1">
      <alignment horizontal="center" shrinkToFit="0" vertical="bottom" wrapText="1"/>
    </xf>
    <xf borderId="0" fillId="11" fontId="55" numFmtId="170" xfId="0" applyFont="1" applyNumberFormat="1"/>
    <xf borderId="0" fillId="17" fontId="55" numFmtId="170" xfId="0" applyFont="1" applyNumberFormat="1"/>
    <xf borderId="0" fillId="4" fontId="63" numFmtId="0" xfId="0" applyFont="1"/>
    <xf borderId="0" fillId="0" fontId="64" numFmtId="0" xfId="0" applyFont="1"/>
    <xf borderId="0" fillId="0" fontId="65" numFmtId="0" xfId="0" applyFont="1"/>
    <xf borderId="0" fillId="0" fontId="63" numFmtId="0" xfId="0" applyFont="1"/>
    <xf borderId="0" fillId="19" fontId="66" numFmtId="0" xfId="0" applyFill="1" applyFont="1"/>
    <xf borderId="10" fillId="0" fontId="67" numFmtId="0" xfId="0" applyAlignment="1" applyBorder="1" applyFont="1">
      <alignment horizontal="center"/>
    </xf>
    <xf borderId="10" fillId="0" fontId="68" numFmtId="0" xfId="0" applyAlignment="1" applyBorder="1" applyFont="1">
      <alignment horizontal="center"/>
    </xf>
    <xf borderId="11" fillId="20" fontId="69" numFmtId="0" xfId="0" applyAlignment="1" applyBorder="1" applyFill="1" applyFont="1">
      <alignment horizontal="center"/>
    </xf>
    <xf borderId="11" fillId="20" fontId="70" numFmtId="0" xfId="0" applyAlignment="1" applyBorder="1" applyFont="1">
      <alignment vertical="bottom"/>
    </xf>
    <xf borderId="11" fillId="20" fontId="70" numFmtId="171" xfId="0" applyBorder="1" applyFont="1" applyNumberFormat="1"/>
    <xf borderId="11" fillId="20" fontId="70" numFmtId="0" xfId="0" applyBorder="1" applyFont="1"/>
    <xf borderId="11" fillId="20" fontId="71" numFmtId="0" xfId="0" applyAlignment="1" applyBorder="1" applyFont="1">
      <alignment vertical="bottom"/>
    </xf>
    <xf borderId="12" fillId="2" fontId="70" numFmtId="0" xfId="0" applyBorder="1" applyFont="1"/>
    <xf borderId="12" fillId="2" fontId="70" numFmtId="0" xfId="0" applyAlignment="1" applyBorder="1" applyFont="1">
      <alignment vertical="bottom"/>
    </xf>
    <xf borderId="12" fillId="2" fontId="70" numFmtId="172" xfId="0" applyBorder="1" applyFont="1" applyNumberFormat="1"/>
    <xf borderId="13" fillId="2" fontId="70" numFmtId="0" xfId="0" applyBorder="1" applyFont="1"/>
    <xf borderId="11" fillId="21" fontId="69" numFmtId="0" xfId="0" applyAlignment="1" applyBorder="1" applyFill="1" applyFont="1">
      <alignment horizontal="center"/>
    </xf>
    <xf borderId="11" fillId="21" fontId="70" numFmtId="0" xfId="0" applyBorder="1" applyFont="1"/>
    <xf borderId="11" fillId="21" fontId="70" numFmtId="171" xfId="0" applyBorder="1" applyFont="1" applyNumberFormat="1"/>
    <xf borderId="11" fillId="21" fontId="71" numFmtId="0" xfId="0" applyBorder="1" applyFont="1"/>
    <xf borderId="12" fillId="0" fontId="3" numFmtId="0" xfId="0" applyAlignment="1" applyBorder="1" applyFont="1">
      <alignment horizontal="center"/>
    </xf>
    <xf borderId="12" fillId="2" fontId="3" numFmtId="0" xfId="0" applyAlignment="1" applyBorder="1" applyFont="1">
      <alignment horizontal="center"/>
    </xf>
    <xf borderId="12" fillId="2" fontId="3" numFmtId="172" xfId="0" applyAlignment="1" applyBorder="1" applyFont="1" applyNumberFormat="1">
      <alignment horizontal="center"/>
    </xf>
    <xf borderId="13" fillId="0" fontId="3" numFmtId="0" xfId="0" applyAlignment="1" applyBorder="1" applyFont="1">
      <alignment horizontal="center"/>
    </xf>
    <xf borderId="12" fillId="2" fontId="72" numFmtId="0" xfId="0" applyAlignment="1" applyBorder="1" applyFont="1">
      <alignment horizontal="center"/>
    </xf>
    <xf borderId="12" fillId="2" fontId="70" numFmtId="0" xfId="0" applyAlignment="1" applyBorder="1" applyFont="1">
      <alignment horizontal="center"/>
    </xf>
    <xf borderId="0" fillId="2" fontId="72" numFmtId="0" xfId="0" applyAlignment="1" applyFont="1">
      <alignment horizontal="center"/>
    </xf>
    <xf borderId="12" fillId="2" fontId="73" numFmtId="0" xfId="0" applyAlignment="1" applyBorder="1" applyFont="1">
      <alignment horizontal="center"/>
    </xf>
    <xf borderId="12" fillId="2" fontId="74" numFmtId="0" xfId="0" applyAlignment="1" applyBorder="1" applyFont="1">
      <alignment horizontal="center"/>
    </xf>
    <xf borderId="12" fillId="0" fontId="75" numFmtId="0" xfId="0" applyAlignment="1" applyBorder="1" applyFont="1">
      <alignment horizontal="center"/>
    </xf>
    <xf borderId="11" fillId="22" fontId="69" numFmtId="0" xfId="0" applyAlignment="1" applyBorder="1" applyFill="1" applyFont="1">
      <alignment horizontal="center"/>
    </xf>
    <xf borderId="11" fillId="22" fontId="70" numFmtId="0" xfId="0" applyBorder="1" applyFont="1"/>
    <xf borderId="11" fillId="22" fontId="70" numFmtId="171" xfId="0" applyBorder="1" applyFont="1" applyNumberFormat="1"/>
    <xf borderId="12" fillId="0" fontId="70" numFmtId="0" xfId="0" applyBorder="1" applyFont="1"/>
    <xf borderId="12" fillId="0" fontId="70" numFmtId="172" xfId="0" applyBorder="1" applyFont="1" applyNumberFormat="1"/>
    <xf borderId="11" fillId="19" fontId="69" numFmtId="0" xfId="0" applyAlignment="1" applyBorder="1" applyFont="1">
      <alignment horizontal="center"/>
    </xf>
    <xf borderId="11" fillId="19" fontId="70" numFmtId="0" xfId="0" applyBorder="1" applyFont="1"/>
    <xf borderId="11" fillId="19" fontId="70" numFmtId="171" xfId="0" applyBorder="1" applyFont="1" applyNumberFormat="1"/>
    <xf borderId="12" fillId="2" fontId="70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5lzIx3irnFzzB1FWzssnBG7N0TKQQGt1hWrVTnBNvgM/edit?gid=1763328259" TargetMode="External"/><Relationship Id="rId2" Type="http://schemas.openxmlformats.org/officeDocument/2006/relationships/hyperlink" Target="https://docs.google.com/spreadsheets/d/1vrBXqQBN6b7is-4EfHa8ePh8v-rwRhLgxx247RuWptU/edit?gid=1516417769" TargetMode="External"/><Relationship Id="rId3" Type="http://schemas.openxmlformats.org/officeDocument/2006/relationships/hyperlink" Target="https://docs.google.com/spreadsheets/d/1bs9B6WJRiV6PeqWeFAX484iri6rb6k0ySo8NETUVW3o/edit?resourcekey=0-_5WAW3anJipAMPIi1KBukQ&amp;gid=413440144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OdRDTFKu1t8tQPesMwSRYzDrRpywUE9p/view?usp=drive_link" TargetMode="External"/><Relationship Id="rId194" Type="http://schemas.openxmlformats.org/officeDocument/2006/relationships/hyperlink" Target="https://drive.google.com/file/d/12Kzhr_DUy7md1CVZNks6LT7JqH0W_2qP/view?usp=drive_link" TargetMode="External"/><Relationship Id="rId193" Type="http://schemas.openxmlformats.org/officeDocument/2006/relationships/hyperlink" Target="https://docs.google.com/document/d/1wtZNnJLTdYyRp_fETiv-TAvf8u-etjya7Jvl8XUsnoE/edit?tab=t.af4rrtflxaqs" TargetMode="External"/><Relationship Id="rId192" Type="http://schemas.openxmlformats.org/officeDocument/2006/relationships/hyperlink" Target="https://drive.google.com/file/d/1wDFcgiqja5GMQhnoD-GuYNkLkn0akslW/view?usp=drive_link" TargetMode="External"/><Relationship Id="rId191" Type="http://schemas.openxmlformats.org/officeDocument/2006/relationships/hyperlink" Target="https://drive.google.com/drive/folders/1WI5nmtDNVrU7OQtNVlHOrh6f4hRR-J5k" TargetMode="External"/><Relationship Id="rId187" Type="http://schemas.openxmlformats.org/officeDocument/2006/relationships/hyperlink" Target="https://docs.google.com/document/d/1a7s55LgGWUssevSE9qrtJqWM-1avYN6MWjQlZ4ZcbG8/edit?tab=t.af4rrtflxaqs" TargetMode="External"/><Relationship Id="rId186" Type="http://schemas.openxmlformats.org/officeDocument/2006/relationships/hyperlink" Target="https://drive.google.com/file/d/1x0OaxVwTLiP4aHg2o_Hn-rWVxzrn2KcC/view?usp=drive_link" TargetMode="External"/><Relationship Id="rId185" Type="http://schemas.openxmlformats.org/officeDocument/2006/relationships/hyperlink" Target="https://drive.google.com/drive/folders/1_ol7WCJ0o5ahImHdsL2ghA4aXptl2nNs" TargetMode="External"/><Relationship Id="rId184" Type="http://schemas.openxmlformats.org/officeDocument/2006/relationships/hyperlink" Target="https://drive.google.com/file/d/1bXVQzpG2_PLnyhCQVh7HA5jP7AQrmMn9/view?usp=drive_link" TargetMode="External"/><Relationship Id="rId189" Type="http://schemas.openxmlformats.org/officeDocument/2006/relationships/hyperlink" Target="https://drive.google.com/file/d/1NEwC1egYhDY5qluJhbrEX0Af0sZSWwo9/view?usp=drive_link" TargetMode="External"/><Relationship Id="rId188" Type="http://schemas.openxmlformats.org/officeDocument/2006/relationships/hyperlink" Target="https://drive.google.com/file/d/1q2lwswnBrOnuYZsFVb5kbBfTZ6lI5N4g/view?usp=drive_link" TargetMode="External"/><Relationship Id="rId183" Type="http://schemas.openxmlformats.org/officeDocument/2006/relationships/hyperlink" Target="https://drive.google.com/file/d/1zuJDXMjVboZ7OWFlDkIyr2rmr0VJLfL3/view?usp=drive_link" TargetMode="External"/><Relationship Id="rId182" Type="http://schemas.openxmlformats.org/officeDocument/2006/relationships/hyperlink" Target="https://drive.google.com/file/d/1St9rkqaJkuYbEriQoXuMQv8lxCn8BxgE/view?usp=drive_link" TargetMode="External"/><Relationship Id="rId181" Type="http://schemas.openxmlformats.org/officeDocument/2006/relationships/hyperlink" Target="https://docs.google.com/document/d/1qkXtEWd9UjEhN_n-6dW-Z4OclHhlBAwI5xHkjtReSi8/edit?usp=drive_link" TargetMode="External"/><Relationship Id="rId180" Type="http://schemas.openxmlformats.org/officeDocument/2006/relationships/hyperlink" Target="https://drive.google.com/file/d/1zuJDXMjVboZ7OWFlDkIyr2rmr0VJLfL3/view?usp=drive_link" TargetMode="External"/><Relationship Id="rId176" Type="http://schemas.openxmlformats.org/officeDocument/2006/relationships/hyperlink" Target="https://drive.google.com/file/d/11QIYm3f0Im0g4u6i7zXcI4B2JesOL6K6/view?usp=drive_link" TargetMode="External"/><Relationship Id="rId297" Type="http://schemas.openxmlformats.org/officeDocument/2006/relationships/hyperlink" Target="https://drive.google.com/file/d/1iHUNReqkLh4SeXMc9h3hYyQz-uNoFOjv/view?usp=drive_link" TargetMode="External"/><Relationship Id="rId175" Type="http://schemas.openxmlformats.org/officeDocument/2006/relationships/hyperlink" Target="https://docs.google.com/document/d/1OMyMhvH9bbWY_F1-jsHnu4-XWyX5SD6m5vVJjU7D6ng/edit?usp=drive_link" TargetMode="External"/><Relationship Id="rId296" Type="http://schemas.openxmlformats.org/officeDocument/2006/relationships/hyperlink" Target="https://drive.google.com/file/d/10Kg98Km3G22gZcHr1_jeKp4xwxpkwoE_/view?usp=drive_link&amp;resourcekey=0-ebkTlffvIJL3S4JQ6UsHbg" TargetMode="External"/><Relationship Id="rId174" Type="http://schemas.openxmlformats.org/officeDocument/2006/relationships/hyperlink" Target="https://drive.google.com/file/d/1zuJDXMjVboZ7OWFlDkIyr2rmr0VJLfL3/view?usp=drive_link" TargetMode="External"/><Relationship Id="rId295" Type="http://schemas.openxmlformats.org/officeDocument/2006/relationships/hyperlink" Target="https://drive.google.com/file/d/1Q6SklfhPr7_L9vP8eH_otaeZqapEU3ut/view?usp=drive_link" TargetMode="External"/><Relationship Id="rId173" Type="http://schemas.openxmlformats.org/officeDocument/2006/relationships/hyperlink" Target="https://drive.google.com/file/d/10pq5NZpwof6oD2IDvsSpYvAzlxJJgTX0/view?usp=drive_link" TargetMode="External"/><Relationship Id="rId294" Type="http://schemas.openxmlformats.org/officeDocument/2006/relationships/hyperlink" Target="https://docs.google.com/document/d/1Kvg4h48hUBvczJ7plcaA-labFhplDIA_CemIG9TcYN0/edit?usp=sharing" TargetMode="External"/><Relationship Id="rId179" Type="http://schemas.openxmlformats.org/officeDocument/2006/relationships/hyperlink" Target="https://drive.google.com/file/d/1pjBKQAZom2g__S5ktGw6OWvr-oDPptge/view?usp=drive_link" TargetMode="External"/><Relationship Id="rId178" Type="http://schemas.openxmlformats.org/officeDocument/2006/relationships/hyperlink" Target="https://docs.google.com/document/d/1ybd5dVrspGwAgQ4Tdezn4LE-YbKuqq063M_ts_qaqcA/edit?usp=drive_link" TargetMode="External"/><Relationship Id="rId299" Type="http://schemas.openxmlformats.org/officeDocument/2006/relationships/hyperlink" Target="https://drive.google.com/file/d/1sh3llfCmxk9QzQjpNWSWCYH64My2uWjx/view?usp=drive_link" TargetMode="External"/><Relationship Id="rId177" Type="http://schemas.openxmlformats.org/officeDocument/2006/relationships/hyperlink" Target="https://drive.google.com/file/d/1zuJDXMjVboZ7OWFlDkIyr2rmr0VJLfL3/view?usp=drive_link" TargetMode="External"/><Relationship Id="rId298" Type="http://schemas.openxmlformats.org/officeDocument/2006/relationships/hyperlink" Target="https://drive.google.com/drive/folders/1SxgTIxvA1c7Oqh6u9Fr3akKeBlcdPs9i" TargetMode="External"/><Relationship Id="rId198" Type="http://schemas.openxmlformats.org/officeDocument/2006/relationships/hyperlink" Target="https://drive.google.com/file/d/1qbZOLer8jqFfeSGsrneeW4JjnyD6lLMO/view?usp=drive_link" TargetMode="External"/><Relationship Id="rId197" Type="http://schemas.openxmlformats.org/officeDocument/2006/relationships/hyperlink" Target="https://drive.google.com/drive/folders/1lPcfWyKPrpd6D35ISn48vCEhFMS5GSf8" TargetMode="External"/><Relationship Id="rId196" Type="http://schemas.openxmlformats.org/officeDocument/2006/relationships/hyperlink" Target="https://drive.google.com/file/d/1SLpSoqpm0IC3saSsQuzAwJoM6WGJV5Gr/view?usp=drive_link" TargetMode="External"/><Relationship Id="rId195" Type="http://schemas.openxmlformats.org/officeDocument/2006/relationships/hyperlink" Target="https://drive.google.com/file/d/1NEwC1egYhDY5qluJhbrEX0Af0sZSWwo9/view?usp=drive_link" TargetMode="External"/><Relationship Id="rId199" Type="http://schemas.openxmlformats.org/officeDocument/2006/relationships/hyperlink" Target="https://docs.google.com/document/d/1Z1e87OzIJ5EaKQWxuHJny_5O9dnVnz2apDg6nqP1-SY/edit?usp=sharing" TargetMode="External"/><Relationship Id="rId150" Type="http://schemas.openxmlformats.org/officeDocument/2006/relationships/hyperlink" Target="https://drive.google.com/file/d/1NEwC1egYhDY5qluJhbrEX0Af0sZSWwo9/view?usp=drive_link" TargetMode="External"/><Relationship Id="rId271" Type="http://schemas.openxmlformats.org/officeDocument/2006/relationships/hyperlink" Target="https://drive.google.com/file/d/1ppzn9hvN5tUrUEsh9jwReO-8eKrgQ00D/view?usp=drive_link" TargetMode="External"/><Relationship Id="rId392" Type="http://schemas.openxmlformats.org/officeDocument/2006/relationships/hyperlink" Target="https://drive.google.com/file/d/1MWdYSmpHkR8CZEfhE3ku1z2kispCAMUP/view?usp=drive_link&amp;resourcekey=0-yxIF81s7jKdjG9UKbJhgdg" TargetMode="External"/><Relationship Id="rId270" Type="http://schemas.openxmlformats.org/officeDocument/2006/relationships/hyperlink" Target="https://docs.google.com/document/d/1EMZ3A6tPWZquOrq7Jvm5dACoqmrxSq7LX08rvvEyDe8/edit?usp=sharing" TargetMode="External"/><Relationship Id="rId391" Type="http://schemas.openxmlformats.org/officeDocument/2006/relationships/hyperlink" Target="https://drive.google.com/file/d/1uKGJ8Meh6u4Qx7f86COEhvuNv5fBtJIw/view?usp=drive_link" TargetMode="External"/><Relationship Id="rId390" Type="http://schemas.openxmlformats.org/officeDocument/2006/relationships/hyperlink" Target="https://docs.google.com/document/d/1J3-C559W1haKYc20ajqhb9kDYCRXMlHNVlNEhBn1k18/edit?tab=t.af4rrtflxaqs" TargetMode="External"/><Relationship Id="rId1" Type="http://schemas.openxmlformats.org/officeDocument/2006/relationships/hyperlink" Target="https://drive.google.com/file/d/18aNsOTBlZtfioYOMUbCm-MGzpixEfodw/view" TargetMode="External"/><Relationship Id="rId2" Type="http://schemas.openxmlformats.org/officeDocument/2006/relationships/hyperlink" Target="https://drive.google.com/file/d/18aNsOTBlZtfioYOMUbCm-MGzpixEfodw/view" TargetMode="External"/><Relationship Id="rId3" Type="http://schemas.openxmlformats.org/officeDocument/2006/relationships/hyperlink" Target="https://drive.google.com/drive/folders/1dUsRGWeZbsboa0JZdbmTLDPrcIZfxGB-" TargetMode="External"/><Relationship Id="rId149" Type="http://schemas.openxmlformats.org/officeDocument/2006/relationships/hyperlink" Target="https://drive.google.com/file/d/1aSnJ6l74tE7-EUieTl2yMo52BfQV3mPo/view?usp=drive_link" TargetMode="External"/><Relationship Id="rId4" Type="http://schemas.openxmlformats.org/officeDocument/2006/relationships/hyperlink" Target="https://docs.google.com/document/d/1hJyTgnu8IkmuWzSRexzM_0OY22yEJhTdiAO_RRWn9UI/edit?usp=drive_link" TargetMode="External"/><Relationship Id="rId148" Type="http://schemas.openxmlformats.org/officeDocument/2006/relationships/hyperlink" Target="https://docs.google.com/document/d/1lkmIG_KOAf5Nybfg6l9AaBfZR3Pv4Zdhs9_WCdBWZ2Y/edit?usp=drive_link" TargetMode="External"/><Relationship Id="rId269" Type="http://schemas.openxmlformats.org/officeDocument/2006/relationships/hyperlink" Target="https://drive.google.com/file/d/1h7xZIi6jxGD0YwLNLxqo-DpSHR9MdFNz/view?usp=drive_link" TargetMode="External"/><Relationship Id="rId9" Type="http://schemas.openxmlformats.org/officeDocument/2006/relationships/hyperlink" Target="https://drive.google.com/drive/folders/1INPB1QN8srzQHVqTJVzSM_Q6BjUpBWG_" TargetMode="External"/><Relationship Id="rId143" Type="http://schemas.openxmlformats.org/officeDocument/2006/relationships/hyperlink" Target="https://drive.google.com/file/d/161aXhOelbwtYovdJfOGy48wBvqGClpJt/view?usp=drive_link" TargetMode="External"/><Relationship Id="rId264" Type="http://schemas.openxmlformats.org/officeDocument/2006/relationships/hyperlink" Target="https://docs.google.com/document/d/14Qu5x0l09IpjwW1cK3KZD41LiBgr66dlFwFsE3lXuR4/edit?usp=sharing" TargetMode="External"/><Relationship Id="rId385" Type="http://schemas.openxmlformats.org/officeDocument/2006/relationships/hyperlink" Target="https://drive.google.com/file/d/1vjrHjq2AgpBaowZwR9b7hhkYyxi0DDEo/view?usp=drive_link" TargetMode="External"/><Relationship Id="rId142" Type="http://schemas.openxmlformats.org/officeDocument/2006/relationships/hyperlink" Target="https://docs.google.com/document/d/1TUOwG-AWmmVnC94kWKm8-kVIxRApucanAc5h7UFYUu8/edit?usp=drive_link" TargetMode="External"/><Relationship Id="rId263" Type="http://schemas.openxmlformats.org/officeDocument/2006/relationships/hyperlink" Target="https://drive.google.com/file/d/1btoJrBJmRgybMjoJ9IUhqS2uKRX6g97x/view?usp=drive_link" TargetMode="External"/><Relationship Id="rId384" Type="http://schemas.openxmlformats.org/officeDocument/2006/relationships/hyperlink" Target="https://docs.google.com/document/d/1HrQomE1Hbuebc8bA_itD5u5xXcPG2-ddfXYpUNHfblw/edit?usp=sharing" TargetMode="External"/><Relationship Id="rId141" Type="http://schemas.openxmlformats.org/officeDocument/2006/relationships/hyperlink" Target="https://drive.google.com/file/d/1NEwC1egYhDY5qluJhbrEX0Af0sZSWwo9/view?usp=drive_link" TargetMode="External"/><Relationship Id="rId262" Type="http://schemas.openxmlformats.org/officeDocument/2006/relationships/hyperlink" Target="https://drive.google.com/drive/folders/1AIQmPifEByDj_tWfLRMBtUfa6QwMdd7m" TargetMode="External"/><Relationship Id="rId383" Type="http://schemas.openxmlformats.org/officeDocument/2006/relationships/hyperlink" Target="https://drive.google.com/file/d/1Qaid7onaBmWVdm_T122WfGk2D7_1lYYS/view?usp=drive_link" TargetMode="External"/><Relationship Id="rId140" Type="http://schemas.openxmlformats.org/officeDocument/2006/relationships/hyperlink" Target="https://drive.google.com/file/d/13pZtyvWFv-BN11Hi0WRJ3u9-rPOduUQI/view?usp=drive_link" TargetMode="External"/><Relationship Id="rId261" Type="http://schemas.openxmlformats.org/officeDocument/2006/relationships/hyperlink" Target="https://drive.google.com/file/d/1U3MIYZSr9_9oT5Oo_bNKgChT1E-gJT5M/view?usp=drive_link" TargetMode="External"/><Relationship Id="rId382" Type="http://schemas.openxmlformats.org/officeDocument/2006/relationships/hyperlink" Target="https://drive.google.com/drive/folders/1mKCTJ5hBDS0NWBYhfGHodvSOTp5ojjZI" TargetMode="External"/><Relationship Id="rId5" Type="http://schemas.openxmlformats.org/officeDocument/2006/relationships/hyperlink" Target="https://drive.google.com/drive/folders/12hE_M_IUzuPTNkd53-u_Z9NMqMRHSIZG" TargetMode="External"/><Relationship Id="rId147" Type="http://schemas.openxmlformats.org/officeDocument/2006/relationships/hyperlink" Target="https://drive.google.com/file/d/1NEwC1egYhDY5qluJhbrEX0Af0sZSWwo9/view?usp=drive_link" TargetMode="External"/><Relationship Id="rId268" Type="http://schemas.openxmlformats.org/officeDocument/2006/relationships/hyperlink" Target="https://drive.google.com/drive/folders/1noATCMQMbgUtrFjXEGYtNKhDsQ8fHRum" TargetMode="External"/><Relationship Id="rId389" Type="http://schemas.openxmlformats.org/officeDocument/2006/relationships/hyperlink" Target="https://drive.google.com/file/d/160IfX3vDbyqBdwDypKn6LJrbqXF7_bNO/view?usp=drive_link" TargetMode="External"/><Relationship Id="rId6" Type="http://schemas.openxmlformats.org/officeDocument/2006/relationships/hyperlink" Target="https://docs.google.com/document/d/1X7lYkNyCNMSoOgnflmdOPC8YoDnsr8dRFlUQ29f6xmw/edit?usp=drive_link" TargetMode="External"/><Relationship Id="rId146" Type="http://schemas.openxmlformats.org/officeDocument/2006/relationships/hyperlink" Target="https://drive.google.com/file/d/1bcAE_Vh2bseDNTVLaDDdXdC4gek89xDH/view?usp=drive_link" TargetMode="External"/><Relationship Id="rId267" Type="http://schemas.openxmlformats.org/officeDocument/2006/relationships/hyperlink" Target="https://drive.google.com/file/d/10tSsujUC9TbtqvfxzFUjAvsUVEKfMjla/view?usp=drive_link" TargetMode="External"/><Relationship Id="rId388" Type="http://schemas.openxmlformats.org/officeDocument/2006/relationships/hyperlink" Target="https://drive.google.com/drive/folders/1OInne0YRxoGlVJ01WvNzaZin-T0GS7gl" TargetMode="External"/><Relationship Id="rId7" Type="http://schemas.openxmlformats.org/officeDocument/2006/relationships/hyperlink" Target="https://drive.google.com/drive/folders/1AJyvUvaWk6O3d4D6CxFboQCVSJaq58J6" TargetMode="External"/><Relationship Id="rId145" Type="http://schemas.openxmlformats.org/officeDocument/2006/relationships/hyperlink" Target="https://docs.google.com/document/d/1LSGjHZBnp8Ohvc4D5AaLLDDpZqBWOSUbGxdkEs4R-UM/edit?usp=drive_link" TargetMode="External"/><Relationship Id="rId266" Type="http://schemas.openxmlformats.org/officeDocument/2006/relationships/hyperlink" Target="https://drive.google.com/file/d/18e8HMVPdIQks9x0te6s10NcxhLsDpWNE/view?usp=drive_link" TargetMode="External"/><Relationship Id="rId387" Type="http://schemas.openxmlformats.org/officeDocument/2006/relationships/hyperlink" Target="https://drive.google.com/file/d/1xNXQ9VJ_Ic-Jhh7HRgRnNdgfJxinJ_0k/view?usp=drive_link" TargetMode="External"/><Relationship Id="rId8" Type="http://schemas.openxmlformats.org/officeDocument/2006/relationships/hyperlink" Target="https://docs.google.com/document/d/1vC9IniIncG6qQ38caxc67lj2Sqrv8lKLjVH-8-wtk_0/edit?usp=drive_link" TargetMode="External"/><Relationship Id="rId144" Type="http://schemas.openxmlformats.org/officeDocument/2006/relationships/hyperlink" Target="https://drive.google.com/file/d/1NEwC1egYhDY5qluJhbrEX0Af0sZSWwo9/view?usp=drive_link" TargetMode="External"/><Relationship Id="rId265" Type="http://schemas.openxmlformats.org/officeDocument/2006/relationships/hyperlink" Target="https://drive.google.com/file/d/1WHtTfbYyaepljasrApK2PU8G-484OLDr/view?usp=drive_link" TargetMode="External"/><Relationship Id="rId386" Type="http://schemas.openxmlformats.org/officeDocument/2006/relationships/hyperlink" Target="https://drive.google.com/file/d/1fWw6QMV9BFhVeT2tBMW8861leOZR31pk/view?usp=drive_link&amp;resourcekey=0-9R8f3Jmb3E0rbmfRbc199g" TargetMode="External"/><Relationship Id="rId260" Type="http://schemas.openxmlformats.org/officeDocument/2006/relationships/hyperlink" Target="https://drive.google.com/file/d/18e8HMVPdIQks9x0te6s10NcxhLsDpWNE/view?usp=drive_link" TargetMode="External"/><Relationship Id="rId381" Type="http://schemas.openxmlformats.org/officeDocument/2006/relationships/hyperlink" Target="https://drive.google.com/file/d/1EKMkLXdOAONJ4xju1zidI7AhB_akZjwR/view?usp=drive_link" TargetMode="External"/><Relationship Id="rId380" Type="http://schemas.openxmlformats.org/officeDocument/2006/relationships/hyperlink" Target="https://drive.google.com/file/d/1fWw6QMV9BFhVeT2tBMW8861leOZR31pk/view?usp=drive_link&amp;resourcekey=0-9R8f3Jmb3E0rbmfRbc199g" TargetMode="External"/><Relationship Id="rId139" Type="http://schemas.openxmlformats.org/officeDocument/2006/relationships/hyperlink" Target="https://docs.google.com/document/d/1B2IhuAcw5oudQ8EC0BBjNUySm99RWqAiBCyq9UD6cfA/edit?usp=drive_link" TargetMode="External"/><Relationship Id="rId138" Type="http://schemas.openxmlformats.org/officeDocument/2006/relationships/hyperlink" Target="https://drive.google.com/file/d/1NEwC1egYhDY5qluJhbrEX0Af0sZSWwo9/view?usp=drive_link" TargetMode="External"/><Relationship Id="rId259" Type="http://schemas.openxmlformats.org/officeDocument/2006/relationships/hyperlink" Target="https://drive.google.com/file/d/1XX8yGk_O05d0Cb_1FETVDQxYs6RzvZjT/view?usp=drive_link" TargetMode="External"/><Relationship Id="rId137" Type="http://schemas.openxmlformats.org/officeDocument/2006/relationships/hyperlink" Target="https://drive.google.com/file/d/1NujK9FPHYwyWN9GSWVFCunBdE3Hvy_bB/view?usp=drive_link" TargetMode="External"/><Relationship Id="rId258" Type="http://schemas.openxmlformats.org/officeDocument/2006/relationships/hyperlink" Target="https://docs.google.com/document/d/1hbpLHn0HZntCA7dkbCD7R__AWINqnUILVqHsKhwU-js/edit?tab=t.0" TargetMode="External"/><Relationship Id="rId379" Type="http://schemas.openxmlformats.org/officeDocument/2006/relationships/hyperlink" Target="https://drive.google.com/file/d/1ppzn9hvN5tUrUEsh9jwReO-8eKrgQ00D/view?usp=drive_link" TargetMode="External"/><Relationship Id="rId132" Type="http://schemas.openxmlformats.org/officeDocument/2006/relationships/hyperlink" Target="https://drive.google.com/file/d/11AFSncYBuCHbzpYhwdf91kj-y1CqqKhw/view?usp=sharing" TargetMode="External"/><Relationship Id="rId253" Type="http://schemas.openxmlformats.org/officeDocument/2006/relationships/hyperlink" Target="https://drive.google.com/file/d/1dJKbTHbMFvcnb7U2dARVJU7kalG2k8Nl/view?usp=drive_link" TargetMode="External"/><Relationship Id="rId374" Type="http://schemas.openxmlformats.org/officeDocument/2006/relationships/hyperlink" Target="https://drive.google.com/file/d/1fWw6QMV9BFhVeT2tBMW8861leOZR31pk/view?usp=drive_link&amp;resourcekey=0-9R8f3Jmb3E0rbmfRbc199g" TargetMode="External"/><Relationship Id="rId495" Type="http://schemas.openxmlformats.org/officeDocument/2006/relationships/hyperlink" Target="https://docs.google.com/document/d/1HL5VFLfljdtnejtDbQKrVB9sgk895NXEfMySjLA_idU/edit?usp=sharing" TargetMode="External"/><Relationship Id="rId131" Type="http://schemas.openxmlformats.org/officeDocument/2006/relationships/hyperlink" Target="https://drive.google.com/file/d/1laIRXK1RV0PbX1gtq8aamj64KB9IYsro/view?usp=drive_link" TargetMode="External"/><Relationship Id="rId252" Type="http://schemas.openxmlformats.org/officeDocument/2006/relationships/hyperlink" Target="https://docs.google.com/document/d/1tFj0tobOQ2Ac-3jQUm3XwWyU4Vj6TB1XxwXDTfMUx7g/edit?tab=t.af4rrtflxaqs" TargetMode="External"/><Relationship Id="rId373" Type="http://schemas.openxmlformats.org/officeDocument/2006/relationships/hyperlink" Target="https://drive.google.com/file/d/1WHtTfbYyaepljasrApK2PU8G-484OLDr/view?usp=drive_link" TargetMode="External"/><Relationship Id="rId494" Type="http://schemas.openxmlformats.org/officeDocument/2006/relationships/hyperlink" Target="https://drive.google.com/drive/folders/133K5zn5eCCmkkwB8IqSp3aLuhADPggu3" TargetMode="External"/><Relationship Id="rId130" Type="http://schemas.openxmlformats.org/officeDocument/2006/relationships/hyperlink" Target="https://docs.google.com/document/d/1qkqQ0X9zHHtxT6Da4_4mkH5JOWPF2_y8_R84BBVEx9g/edit?usp=drive_link" TargetMode="External"/><Relationship Id="rId251" Type="http://schemas.openxmlformats.org/officeDocument/2006/relationships/hyperlink" Target="https://drive.google.com/file/d/1BL27JwgqBFxv2PZ5_VeDhajgTzM7kmHW/view?usp=drive_link" TargetMode="External"/><Relationship Id="rId372" Type="http://schemas.openxmlformats.org/officeDocument/2006/relationships/hyperlink" Target="https://docs.google.com/document/d/1iFMYIh4vIzX_P9r5sO9JIhn0A3UH0tVTo_KooOyjljE/edit?tab=t.ev83lgi4dmuj" TargetMode="External"/><Relationship Id="rId493" Type="http://schemas.openxmlformats.org/officeDocument/2006/relationships/hyperlink" Target="https://drive.google.com/file/d/1pty9HtextoE-alXkDCnFYNqwnBw2akgM/view?usp=drive_link" TargetMode="External"/><Relationship Id="rId250" Type="http://schemas.openxmlformats.org/officeDocument/2006/relationships/hyperlink" Target="https://drive.google.com/file/d/1s8M463jpdhZduqSdGuv5bHsQCr6isFPI/view?usp=drive_link" TargetMode="External"/><Relationship Id="rId371" Type="http://schemas.openxmlformats.org/officeDocument/2006/relationships/hyperlink" Target="https://drive.google.com/file/d/13lBYURS4H2gIozyEpPsTe5WsMancgcLO/view?usp=drive_link" TargetMode="External"/><Relationship Id="rId492" Type="http://schemas.openxmlformats.org/officeDocument/2006/relationships/hyperlink" Target="https://docs.google.com/document/d/16xoyac6HYtcLPY-ulw8ucwSaOd2NrULJElVPUYVAvaI/edit?usp=sharing" TargetMode="External"/><Relationship Id="rId136" Type="http://schemas.openxmlformats.org/officeDocument/2006/relationships/hyperlink" Target="https://drive.google.com/file/d/1NEwC1egYhDY5qluJhbrEX0Af0sZSWwo9/view?usp=drive_link" TargetMode="External"/><Relationship Id="rId257" Type="http://schemas.openxmlformats.org/officeDocument/2006/relationships/hyperlink" Target="https://drive.google.com/file/d/1LkWmb-IbRW2wf0b0IW01PFNI4vrm0YOy/view?usp=drive_link" TargetMode="External"/><Relationship Id="rId378" Type="http://schemas.openxmlformats.org/officeDocument/2006/relationships/hyperlink" Target="https://docs.google.com/document/d/1RFQ2PfUkD6q7Hx2yLpKHDdiFH_-oUHXi_GqXLkN4gm8/edit?tab=t.af4rrtflxaqs" TargetMode="External"/><Relationship Id="rId499" Type="http://schemas.openxmlformats.org/officeDocument/2006/relationships/hyperlink" Target="https://drive.google.com/file/d/1lDPZ83Fl6UYyMfy-Q2PqDw9Gpl7dHZ91/view?usp=drive_link" TargetMode="External"/><Relationship Id="rId135" Type="http://schemas.openxmlformats.org/officeDocument/2006/relationships/hyperlink" Target="https://drive.google.com/file/d/1NAEk77XFnH0WnIwoOUGGhFwiycydo2Yi/view?usp=drive_link" TargetMode="External"/><Relationship Id="rId256" Type="http://schemas.openxmlformats.org/officeDocument/2006/relationships/hyperlink" Target="https://drive.google.com/drive/folders/1NGxKn1yh9q6FFTXisTgl8xkD5bUxE52-" TargetMode="External"/><Relationship Id="rId377" Type="http://schemas.openxmlformats.org/officeDocument/2006/relationships/hyperlink" Target="https://drive.google.com/file/d/1K0dFr3xg0niTonYEU-GA2nIPrndPGS4R/view?usp=drive_link" TargetMode="External"/><Relationship Id="rId498" Type="http://schemas.openxmlformats.org/officeDocument/2006/relationships/hyperlink" Target="https://docs.google.com/document/d/1YYxsJ5STVtwwIdpy_pgARz4rk3jAq2cNGRy2xvcAkyc/edit?usp=sharing" TargetMode="External"/><Relationship Id="rId134" Type="http://schemas.openxmlformats.org/officeDocument/2006/relationships/hyperlink" Target="https://docs.google.com/document/d/1QjP6WpAkN_KsHQLgj3NCROH2UNEt2Z_xLPxnBb968HI/edit?usp=drive_link" TargetMode="External"/><Relationship Id="rId255" Type="http://schemas.openxmlformats.org/officeDocument/2006/relationships/hyperlink" Target="https://drive.google.com/file/d/1Pf8729g3BbHx9lpAKzkqUlRLlK2LhPTM/view?usp=drive_link" TargetMode="External"/><Relationship Id="rId376" Type="http://schemas.openxmlformats.org/officeDocument/2006/relationships/hyperlink" Target="https://drive.google.com/drive/folders/1VS1pyuFAdL77cwRLOU-kY50mxzfUBSPI" TargetMode="External"/><Relationship Id="rId497" Type="http://schemas.openxmlformats.org/officeDocument/2006/relationships/hyperlink" Target="https://drive.google.com/drive/folders/1NCZgVYWvwXsafk4s69OGx_gT_DcQegSt" TargetMode="External"/><Relationship Id="rId133" Type="http://schemas.openxmlformats.org/officeDocument/2006/relationships/hyperlink" Target="https://drive.google.com/drive/folders/1TztBsZFlD5jbQaTUYFYIxJJMJbAw5t2q" TargetMode="External"/><Relationship Id="rId254" Type="http://schemas.openxmlformats.org/officeDocument/2006/relationships/hyperlink" Target="https://drive.google.com/file/d/1BL27JwgqBFxv2PZ5_VeDhajgTzM7kmHW/view?usp=drive_link" TargetMode="External"/><Relationship Id="rId375" Type="http://schemas.openxmlformats.org/officeDocument/2006/relationships/hyperlink" Target="https://drive.google.com/file/d/1ALaNZQgV3FgKxXnHO3vVljzBeFSacNSo/view?usp=drive_link" TargetMode="External"/><Relationship Id="rId496" Type="http://schemas.openxmlformats.org/officeDocument/2006/relationships/hyperlink" Target="https://drive.google.com/file/d/1n-3lX4p9uEXfN4ML8yyXzTgwu5vdiGal/view?usp=drive_link" TargetMode="External"/><Relationship Id="rId172" Type="http://schemas.openxmlformats.org/officeDocument/2006/relationships/hyperlink" Target="https://docs.google.com/document/d/13AzT7JKAEtFYTK0XgAEvFnTAYf-nlabvZsy5EjEamSI/edit?usp=drive_link" TargetMode="External"/><Relationship Id="rId293" Type="http://schemas.openxmlformats.org/officeDocument/2006/relationships/hyperlink" Target="https://drive.google.com/file/d/1CoDFElvHbv3obi-SRqE26FJXVTUfDPND/view?usp=drive_link" TargetMode="External"/><Relationship Id="rId171" Type="http://schemas.openxmlformats.org/officeDocument/2006/relationships/hyperlink" Target="https://drive.google.com/file/d/1zuJDXMjVboZ7OWFlDkIyr2rmr0VJLfL3/view?usp=drive_link" TargetMode="External"/><Relationship Id="rId292" Type="http://schemas.openxmlformats.org/officeDocument/2006/relationships/hyperlink" Target="https://drive.google.com/drive/folders/13HFk9Y0V2RrlUkEId-DtYtLfwayQN1qx" TargetMode="External"/><Relationship Id="rId170" Type="http://schemas.openxmlformats.org/officeDocument/2006/relationships/hyperlink" Target="https://drive.google.com/file/d/12AEPv-dO9uJICbRYn1Aq1VIgWWkDqQCf/view?usp=drive_link" TargetMode="External"/><Relationship Id="rId291" Type="http://schemas.openxmlformats.org/officeDocument/2006/relationships/hyperlink" Target="https://drive.google.com/file/d/1BgHA3g1HMznS_4glN3-wwEUvBf0QqXQv/view?usp=drive_link" TargetMode="External"/><Relationship Id="rId290" Type="http://schemas.openxmlformats.org/officeDocument/2006/relationships/hyperlink" Target="https://drive.google.com/file/d/18e8HMVPdIQks9x0te6s10NcxhLsDpWNE/view?usp=drive_link" TargetMode="External"/><Relationship Id="rId165" Type="http://schemas.openxmlformats.org/officeDocument/2006/relationships/hyperlink" Target="https://drive.google.com/file/d/1zuJDXMjVboZ7OWFlDkIyr2rmr0VJLfL3/view?usp=drive_link" TargetMode="External"/><Relationship Id="rId286" Type="http://schemas.openxmlformats.org/officeDocument/2006/relationships/hyperlink" Target="https://drive.google.com/file/d/1JXgTbqE6i4ONQ9iB7Iog3iYmABe5ElJV/view?usp=drive_link" TargetMode="External"/><Relationship Id="rId164" Type="http://schemas.openxmlformats.org/officeDocument/2006/relationships/hyperlink" Target="https://drive.google.com/file/d/1AR7UUMDauuaS_LV_KlcDgRGWG9zyNl_s/view?usp=drive_link" TargetMode="External"/><Relationship Id="rId285" Type="http://schemas.openxmlformats.org/officeDocument/2006/relationships/hyperlink" Target="https://docs.google.com/document/d/1JCjs4eItR3fZvkKudnTd4eOvptBL6SOx35bnJ2uz3cU/edit?usp=sharing" TargetMode="External"/><Relationship Id="rId163" Type="http://schemas.openxmlformats.org/officeDocument/2006/relationships/hyperlink" Target="https://docs.google.com/document/d/1csmcL-9Hr5if-6VfabExIU7vbCgIJyMJZ7ZTAHpYvFk/edit?usp=drive_link" TargetMode="External"/><Relationship Id="rId284" Type="http://schemas.openxmlformats.org/officeDocument/2006/relationships/hyperlink" Target="https://drive.google.com/file/d/18e8HMVPdIQks9x0te6s10NcxhLsDpWNE/view?usp=drive_link" TargetMode="External"/><Relationship Id="rId162" Type="http://schemas.openxmlformats.org/officeDocument/2006/relationships/hyperlink" Target="https://drive.google.com/file/d/1OOi6YiZ0ycZFxyl0KorvBEbRjwtPbXqr/view?usp=drive_link" TargetMode="External"/><Relationship Id="rId283" Type="http://schemas.openxmlformats.org/officeDocument/2006/relationships/hyperlink" Target="https://drive.google.com/file/d/1NatQ6YnzcJYMbvh53_yMjGiSEGr0JWiw/view?usp=drive_link" TargetMode="External"/><Relationship Id="rId169" Type="http://schemas.openxmlformats.org/officeDocument/2006/relationships/hyperlink" Target="https://docs.google.com/document/d/1kph7_3hZtcGMrdegSK8OCemxAK2ZFULQkgXigITd9oU/edit?usp=drive_link" TargetMode="External"/><Relationship Id="rId168" Type="http://schemas.openxmlformats.org/officeDocument/2006/relationships/hyperlink" Target="https://drive.google.com/file/d/1yrfPeAyjII0qadEcWIx9Pm43ZIQhqo_W/view?usp=drive_link" TargetMode="External"/><Relationship Id="rId289" Type="http://schemas.openxmlformats.org/officeDocument/2006/relationships/hyperlink" Target="https://drive.google.com/file/d/1vjrHjq2AgpBaowZwR9b7hhkYyxi0DDEo/view?usp=drive_link" TargetMode="External"/><Relationship Id="rId167" Type="http://schemas.openxmlformats.org/officeDocument/2006/relationships/hyperlink" Target="https://drive.google.com/drive/folders/1TYrLqyfb0Z0SaPTId2Idw7cJP4h1WGMX" TargetMode="External"/><Relationship Id="rId288" Type="http://schemas.openxmlformats.org/officeDocument/2006/relationships/hyperlink" Target="https://docs.google.com/document/d/1M5_UltyPNVq1A6TnLj3vQSCsRCGcZUhKPtFOAmDPi4k/edit?usp=sharing" TargetMode="External"/><Relationship Id="rId166" Type="http://schemas.openxmlformats.org/officeDocument/2006/relationships/hyperlink" Target="https://drive.google.com/file/d/170v-fshoXoVfymzoKTIsLg2JI3E850Rf/view?usp=drive_link" TargetMode="External"/><Relationship Id="rId287" Type="http://schemas.openxmlformats.org/officeDocument/2006/relationships/hyperlink" Target="https://drive.google.com/file/d/18e8HMVPdIQks9x0te6s10NcxhLsDpWNE/view?usp=drive_link" TargetMode="External"/><Relationship Id="rId161" Type="http://schemas.openxmlformats.org/officeDocument/2006/relationships/hyperlink" Target="https://drive.google.com/drive/folders/1otNFqhi52BdVdFSHmnljeIFRp7_1p_Eu" TargetMode="External"/><Relationship Id="rId282" Type="http://schemas.openxmlformats.org/officeDocument/2006/relationships/hyperlink" Target="https://docs.google.com/document/d/1SRX8LKnGpGtcCHVUUuY2PI9exkXYwR3fA5n33HBTId4/edit?usp=sharing" TargetMode="External"/><Relationship Id="rId160" Type="http://schemas.openxmlformats.org/officeDocument/2006/relationships/hyperlink" Target="https://drive.google.com/file/d/1M-IctxWGuQAOxiR9tfe-pB6QtS_kConi/view?usp=drive_link" TargetMode="External"/><Relationship Id="rId281" Type="http://schemas.openxmlformats.org/officeDocument/2006/relationships/hyperlink" Target="https://drive.google.com/file/d/18e8HMVPdIQks9x0te6s10NcxhLsDpWNE/view?usp=drive_link" TargetMode="External"/><Relationship Id="rId280" Type="http://schemas.openxmlformats.org/officeDocument/2006/relationships/hyperlink" Target="https://drive.google.com/file/d/1N-6yGtSDAjYfrLPMSe5docsNBhY89dSC/view?usp=drive_link" TargetMode="External"/><Relationship Id="rId159" Type="http://schemas.openxmlformats.org/officeDocument/2006/relationships/hyperlink" Target="https://drive.google.com/file/d/1zuJDXMjVboZ7OWFlDkIyr2rmr0VJLfL3/view?usp=drive_link" TargetMode="External"/><Relationship Id="rId154" Type="http://schemas.openxmlformats.org/officeDocument/2006/relationships/hyperlink" Target="https://drive.google.com/file/d/1gE4HTo1jPtfyEYOxepccz-LP9qcY9C1r/view?usp=drive_link" TargetMode="External"/><Relationship Id="rId275" Type="http://schemas.openxmlformats.org/officeDocument/2006/relationships/hyperlink" Target="https://drive.google.com/file/d/19Z9uWo7afW_AolwP37P7nZAfYXQ2EQJV/view?usp=drive_link" TargetMode="External"/><Relationship Id="rId396" Type="http://schemas.openxmlformats.org/officeDocument/2006/relationships/hyperlink" Target="https://docs.google.com/document/d/1ms12VoRRtqm85mYuSnWT61ssZOkz1Krsw2l1UWWJOT8/edit?usp=drive_link" TargetMode="External"/><Relationship Id="rId153" Type="http://schemas.openxmlformats.org/officeDocument/2006/relationships/hyperlink" Target="https://drive.google.com/file/d/1zuJDXMjVboZ7OWFlDkIyr2rmr0VJLfL3/view?usp=drive_link" TargetMode="External"/><Relationship Id="rId274" Type="http://schemas.openxmlformats.org/officeDocument/2006/relationships/hyperlink" Target="https://drive.google.com/drive/folders/1n59W2e6zY2C943GTn1jx0XswCj0UykXU" TargetMode="External"/><Relationship Id="rId395" Type="http://schemas.openxmlformats.org/officeDocument/2006/relationships/hyperlink" Target="https://drive.google.com/file/d/1wfvUo5kR9hGaW6fXY1k5LLMgNCIGOTVL/view?usp=drive_link" TargetMode="External"/><Relationship Id="rId152" Type="http://schemas.openxmlformats.org/officeDocument/2006/relationships/hyperlink" Target="https://drive.google.com/file/d/1Q6SklfhPr7_L9vP8eH_otaeZqapEU3ut/view?usp=drive_link" TargetMode="External"/><Relationship Id="rId273" Type="http://schemas.openxmlformats.org/officeDocument/2006/relationships/hyperlink" Target="https://drive.google.com/file/d/1Eh0ehfH_BcEeMlWRq-IlKMUxWbox9bUt/view?usp=drive_link" TargetMode="External"/><Relationship Id="rId394" Type="http://schemas.openxmlformats.org/officeDocument/2006/relationships/hyperlink" Target="https://drive.google.com/drive/folders/1phWROs74URIMI9Cld-704O_x_BVsegft" TargetMode="External"/><Relationship Id="rId151" Type="http://schemas.openxmlformats.org/officeDocument/2006/relationships/hyperlink" Target="https://docs.google.com/document/d/1jzLOAXJKg13UfE5VLxUKh80JQBKuDrYMYOQvvNXtLCY/edit?usp=drive_link" TargetMode="External"/><Relationship Id="rId272" Type="http://schemas.openxmlformats.org/officeDocument/2006/relationships/hyperlink" Target="https://drive.google.com/file/d/18e8HMVPdIQks9x0te6s10NcxhLsDpWNE/view?usp=drive_link" TargetMode="External"/><Relationship Id="rId393" Type="http://schemas.openxmlformats.org/officeDocument/2006/relationships/hyperlink" Target="https://drive.google.com/file/d/1PAEoUH8OO3IJCahqwJJRkvvZOPT3yTwD/view?usp=drive_link" TargetMode="External"/><Relationship Id="rId158" Type="http://schemas.openxmlformats.org/officeDocument/2006/relationships/hyperlink" Target="https://drive.google.com/file/d/1x6Wi260qyyokNx7KccVbN4gHAhKTAjNi/view?usp=drive_link" TargetMode="External"/><Relationship Id="rId279" Type="http://schemas.openxmlformats.org/officeDocument/2006/relationships/hyperlink" Target="https://docs.google.com/document/d/1evEiZbFNwtswDysu15w4sGliUpMHvFNehuvQkiZuUes/edit?usp=sharing" TargetMode="External"/><Relationship Id="rId157" Type="http://schemas.openxmlformats.org/officeDocument/2006/relationships/hyperlink" Target="https://docs.google.com/document/d/1r_D5MJ0yHmpcj82kXCAGKTc3u48MXXaZBouqCagdg54/edit?usp=drive_link" TargetMode="External"/><Relationship Id="rId278" Type="http://schemas.openxmlformats.org/officeDocument/2006/relationships/hyperlink" Target="https://drive.google.com/file/d/18e8HMVPdIQks9x0te6s10NcxhLsDpWNE/view?usp=drive_link" TargetMode="External"/><Relationship Id="rId399" Type="http://schemas.openxmlformats.org/officeDocument/2006/relationships/hyperlink" Target="https://drive.google.com/file/d/1zvuDo1ek6sV6S-0BY_sWwKeeslTf9Hwp/view?usp=drive_link" TargetMode="External"/><Relationship Id="rId156" Type="http://schemas.openxmlformats.org/officeDocument/2006/relationships/hyperlink" Target="https://drive.google.com/file/d/1QXpW4juBlJh7N-2VCSPSUw-xdN12JC27/view?usp=drive_link" TargetMode="External"/><Relationship Id="rId277" Type="http://schemas.openxmlformats.org/officeDocument/2006/relationships/hyperlink" Target="https://drive.google.com/file/d/1mY_5bXJ2rza-LP_mty72dVblNIL5AEDf/view?usp=drive_link" TargetMode="External"/><Relationship Id="rId398" Type="http://schemas.openxmlformats.org/officeDocument/2006/relationships/hyperlink" Target="https://drive.google.com/file/d/1MWdYSmpHkR8CZEfhE3ku1z2kispCAMUP/view?usp=drive_link&amp;resourcekey=0-yxIF81s7jKdjG9UKbJhgdg" TargetMode="External"/><Relationship Id="rId155" Type="http://schemas.openxmlformats.org/officeDocument/2006/relationships/hyperlink" Target="https://drive.google.com/drive/folders/1Dyq-zl1e_sTgfhclyy4PX1NfwOxGcdfO" TargetMode="External"/><Relationship Id="rId276" Type="http://schemas.openxmlformats.org/officeDocument/2006/relationships/hyperlink" Target="https://docs.google.com/document/d/1xyROdayl3TKJiO9qm9h6ioZDE_cpnIP9Bjo8IJLBvy8/edit?usp=sharing" TargetMode="External"/><Relationship Id="rId397" Type="http://schemas.openxmlformats.org/officeDocument/2006/relationships/hyperlink" Target="https://drive.google.com/file/d/1zAlkBcB6UeNhW1H6mB4eXVU-EeHEwS1B/view?usp=drive_link" TargetMode="External"/><Relationship Id="rId40" Type="http://schemas.openxmlformats.org/officeDocument/2006/relationships/hyperlink" Target="https://docs.google.com/document/d/10QU8nrB8oFqL_SW-p-ySzzj2r5gKu77FiePB2sVFVgg/edit?tab=t.nkz08yzcu0yd" TargetMode="External"/><Relationship Id="rId42" Type="http://schemas.openxmlformats.org/officeDocument/2006/relationships/hyperlink" Target="https://docs.google.com/document/d/1ipcP_MiZ_8qPo2sDL0RiWdAIfNJgzg3nCcVm8pxywrE/edit?usp=drive_link" TargetMode="External"/><Relationship Id="rId41" Type="http://schemas.openxmlformats.org/officeDocument/2006/relationships/hyperlink" Target="https://drive.google.com/drive/folders/1TePLaK9D2HEh5th-sJKc-pj6IzlFIVIM" TargetMode="External"/><Relationship Id="rId44" Type="http://schemas.openxmlformats.org/officeDocument/2006/relationships/hyperlink" Target="https://docs.google.com/document/d/1hhGlVb-y_17WOyEjRLPuwlaOxpdZM7dPRLraf11mZmM/edit?usp=drive_link" TargetMode="External"/><Relationship Id="rId43" Type="http://schemas.openxmlformats.org/officeDocument/2006/relationships/hyperlink" Target="https://drive.google.com/drive/folders/198tukjCJTbscJnTB_cE7gorPo2esnmD8" TargetMode="External"/><Relationship Id="rId46" Type="http://schemas.openxmlformats.org/officeDocument/2006/relationships/hyperlink" Target="https://docs.google.com/document/d/1AWZNen7x27XDD76kQRtH_UmbI0RshGrb61xVFq_d5xY/edit?usp=drive_link" TargetMode="External"/><Relationship Id="rId45" Type="http://schemas.openxmlformats.org/officeDocument/2006/relationships/hyperlink" Target="https://drive.google.com/drive/folders/1MfRJtbDozqkFWKfyzuKQFDaWr1wW-Wth" TargetMode="External"/><Relationship Id="rId509" Type="http://schemas.openxmlformats.org/officeDocument/2006/relationships/hyperlink" Target="https://drive.google.com/drive/folders/1HsjiwtERj-KqUz2SzmgYUAoQAU19z1Fq" TargetMode="External"/><Relationship Id="rId508" Type="http://schemas.openxmlformats.org/officeDocument/2006/relationships/hyperlink" Target="https://drive.google.com/file/d/1Qc1nQHaooZA3zZICPMT1mRuiTq8K21bM/view?usp=drive_link" TargetMode="External"/><Relationship Id="rId629" Type="http://schemas.openxmlformats.org/officeDocument/2006/relationships/hyperlink" Target="https://drive.google.com/file/d/1PB1ulanaX3ODPAT-yPS6X_zoJGT0cuIn/view?usp=sharing" TargetMode="External"/><Relationship Id="rId503" Type="http://schemas.openxmlformats.org/officeDocument/2006/relationships/hyperlink" Target="https://drive.google.com/drive/folders/1JG_oxTedMuQRhhupjtS-tGkMqv77j3fp" TargetMode="External"/><Relationship Id="rId624" Type="http://schemas.openxmlformats.org/officeDocument/2006/relationships/hyperlink" Target="https://drive.google.com/drive/folders/18xiWOdo936l_0sOYV3MB3iLtgXgtxCNL" TargetMode="External"/><Relationship Id="rId502" Type="http://schemas.openxmlformats.org/officeDocument/2006/relationships/hyperlink" Target="https://drive.google.com/file/d/1EXliW-J8_t1EfvprUDc3mTC5hBxUecUw/view?usp=sharing" TargetMode="External"/><Relationship Id="rId623" Type="http://schemas.openxmlformats.org/officeDocument/2006/relationships/hyperlink" Target="https://drive.google.com/file/d/1DCtpD1AGH5Q9d-KWUQOMDy24Kut76duS/view?usp=drive_link" TargetMode="External"/><Relationship Id="rId501" Type="http://schemas.openxmlformats.org/officeDocument/2006/relationships/hyperlink" Target="https://docs.google.com/document/d/16_6xUZVvM8GcoGVcUjGnRThTTMmvzATp_LSHO2W477I/edit?usp=sharing" TargetMode="External"/><Relationship Id="rId622" Type="http://schemas.openxmlformats.org/officeDocument/2006/relationships/hyperlink" Target="https://drive.google.com/file/d/13ExrQv6RFCop58Co49bT6eng6MTodUyA/view?usp=drive_link&amp;resourcekey=0-uQ9a-hFRSFnZaIwVAEmOGg" TargetMode="External"/><Relationship Id="rId500" Type="http://schemas.openxmlformats.org/officeDocument/2006/relationships/hyperlink" Target="https://drive.google.com/drive/folders/1PSsGcg3H9CkIW7QTyRfnJ7NTRY5Vyk7t" TargetMode="External"/><Relationship Id="rId621" Type="http://schemas.openxmlformats.org/officeDocument/2006/relationships/hyperlink" Target="https://drive.google.com/file/d/1AR7UUMDauuaS_LV_KlcDgRGWG9zyNl_s/view?usp=drive_link" TargetMode="External"/><Relationship Id="rId507" Type="http://schemas.openxmlformats.org/officeDocument/2006/relationships/hyperlink" Target="https://docs.google.com/document/d/1PDz6JniTr4mQns7xhtlnFqsHQby3ESlB3hy-Akhk4N4/edit?usp=sharing" TargetMode="External"/><Relationship Id="rId628" Type="http://schemas.openxmlformats.org/officeDocument/2006/relationships/hyperlink" Target="https://drive.google.com/file/d/1Q50Glk7wLFMG3E7TLhZtyFW_-Znx99v0/view?usp=drive_link" TargetMode="External"/><Relationship Id="rId506" Type="http://schemas.openxmlformats.org/officeDocument/2006/relationships/hyperlink" Target="https://drive.google.com/drive/folders/1ytDtoRVVsB-mc1wdUn2bzwy3oCnBFKXb?usp=drive_link" TargetMode="External"/><Relationship Id="rId627" Type="http://schemas.openxmlformats.org/officeDocument/2006/relationships/hyperlink" Target="https://drive.google.com/file/d/1Q6SklfhPr7_L9vP8eH_otaeZqapEU3ut/view?usp=drive_link" TargetMode="External"/><Relationship Id="rId505" Type="http://schemas.openxmlformats.org/officeDocument/2006/relationships/hyperlink" Target="https://drive.google.com/file/d/1vsZHSJ3v6MZ3eAf5UJSDGKve23m5Xe7u/view?usp=drive_link" TargetMode="External"/><Relationship Id="rId626" Type="http://schemas.openxmlformats.org/officeDocument/2006/relationships/hyperlink" Target="https://drive.google.com/file/d/1St9rkqaJkuYbEriQoXuMQv8lxCn8BxgE/view?usp=drive_link" TargetMode="External"/><Relationship Id="rId504" Type="http://schemas.openxmlformats.org/officeDocument/2006/relationships/hyperlink" Target="https://docs.google.com/document/d/17FF_kGxvS53yKjm0dOI5_jQlLrNNhAyBzYA9NEVWEbE/edit?usp=sharing" TargetMode="External"/><Relationship Id="rId625" Type="http://schemas.openxmlformats.org/officeDocument/2006/relationships/hyperlink" Target="https://drive.google.com/file/d/1w1FlLDKyn02UpzSVS7L_CQAIiDCOV8Pv/view?usp=sharing" TargetMode="External"/><Relationship Id="rId48" Type="http://schemas.openxmlformats.org/officeDocument/2006/relationships/hyperlink" Target="https://docs.google.com/document/d/1yCuan1rwdu9rfGEUMNeSjDTjj5ehteOF2OlNs_1nOvc/edit?usp=drive_link" TargetMode="External"/><Relationship Id="rId47" Type="http://schemas.openxmlformats.org/officeDocument/2006/relationships/hyperlink" Target="https://drive.google.com/drive/folders/1kaXA4BUDVxRK3ivTKIFmA6ABA3N0yRPb" TargetMode="External"/><Relationship Id="rId49" Type="http://schemas.openxmlformats.org/officeDocument/2006/relationships/hyperlink" Target="https://drive.google.com/file/d/1SkSKi0An9buv15cgQVNBeDKIHpxvmo5d/view?usp=drive_link" TargetMode="External"/><Relationship Id="rId620" Type="http://schemas.openxmlformats.org/officeDocument/2006/relationships/hyperlink" Target="https://drive.google.com/file/d/168pDKpkt-N5Q-rzMe72Ii2DljSvnihVB/view?usp=drive_link" TargetMode="External"/><Relationship Id="rId31" Type="http://schemas.openxmlformats.org/officeDocument/2006/relationships/hyperlink" Target="https://drive.google.com/file/d/1NEwC1egYhDY5qluJhbrEX0Af0sZSWwo9/view?usp=drive_link" TargetMode="External"/><Relationship Id="rId30" Type="http://schemas.openxmlformats.org/officeDocument/2006/relationships/hyperlink" Target="https://drive.google.com/file/d/1q2lwswnBrOnuYZsFVb5kbBfTZ6lI5N4g/view?usp=drive_link" TargetMode="External"/><Relationship Id="rId33" Type="http://schemas.openxmlformats.org/officeDocument/2006/relationships/hyperlink" Target="https://drive.google.com/file/d/12Kzhr_DUy7md1CVZNks6LT7JqH0W_2qP/view?usp=drive_link" TargetMode="External"/><Relationship Id="rId32" Type="http://schemas.openxmlformats.org/officeDocument/2006/relationships/hyperlink" Target="https://docs.google.com/document/d/1ooDf_7PSoI32N7OqNH1yxeA58WXZ9qsynXuc24gt2W4/edit?usp=drive_link" TargetMode="External"/><Relationship Id="rId35" Type="http://schemas.openxmlformats.org/officeDocument/2006/relationships/hyperlink" Target="https://docs.google.com/document/d/1b7yEhRf7XZAbeuVQcIfOp2bZssfaj8EfJeyXX8klw5w/edit?usp=drive_link" TargetMode="External"/><Relationship Id="rId34" Type="http://schemas.openxmlformats.org/officeDocument/2006/relationships/hyperlink" Target="https://drive.google.com/file/d/1NEwC1egYhDY5qluJhbrEX0Af0sZSWwo9/view?usp=drive_link" TargetMode="External"/><Relationship Id="rId619" Type="http://schemas.openxmlformats.org/officeDocument/2006/relationships/hyperlink" Target="https://drive.google.com/file/d/1x6Wi260qyyokNx7KccVbN4gHAhKTAjNi/view?usp=drive_link" TargetMode="External"/><Relationship Id="rId618" Type="http://schemas.openxmlformats.org/officeDocument/2006/relationships/hyperlink" Target="https://drive.google.com/file/d/1TsBvJPFlkFx7FiWuWLaBdR6vaYPQ6xWc/view?usp=drive_link&amp;resourcekey=0-CWFrp4Bd1_GNp40FskasBA" TargetMode="External"/><Relationship Id="rId613" Type="http://schemas.openxmlformats.org/officeDocument/2006/relationships/hyperlink" Target="https://drive.google.com/drive/folders/1-AVXnJ2QmKUBEN_39Mhzqg5EZLQpGILH" TargetMode="External"/><Relationship Id="rId612" Type="http://schemas.openxmlformats.org/officeDocument/2006/relationships/hyperlink" Target="https://docs.google.com/document/d/1mM87LwLgHyYlAdFAQpQv5jMTE5LgcKPLBKlw0haFxh0/edit?tab=t.0" TargetMode="External"/><Relationship Id="rId611" Type="http://schemas.openxmlformats.org/officeDocument/2006/relationships/hyperlink" Target="https://drive.google.com/drive/folders/1dAiah55iOLKirSx9Ri7S8Wyn0PnXinG1" TargetMode="External"/><Relationship Id="rId610" Type="http://schemas.openxmlformats.org/officeDocument/2006/relationships/hyperlink" Target="https://docs.google.com/document/d/1YoOAsHApQi8gUnsdQkeAkVqdRod1VyL5l4Hwk6dtVss/edit?usp=sharing" TargetMode="External"/><Relationship Id="rId617" Type="http://schemas.openxmlformats.org/officeDocument/2006/relationships/hyperlink" Target="https://drive.google.com/file/d/1Q6SklfhPr7_L9vP8eH_otaeZqapEU3ut/view?usp=drive_link" TargetMode="External"/><Relationship Id="rId616" Type="http://schemas.openxmlformats.org/officeDocument/2006/relationships/hyperlink" Target="https://docs.google.com/document/d/19AbMr_FFXU_2j1MTjuf3x5PNUubVsXwGopBoWsZiczc/edit?tab=t.0" TargetMode="External"/><Relationship Id="rId615" Type="http://schemas.openxmlformats.org/officeDocument/2006/relationships/hyperlink" Target="https://drive.google.com/drive/folders/1MI78cS5kVEmh0Vlzm2uEn9zVm7G4zmWm" TargetMode="External"/><Relationship Id="rId614" Type="http://schemas.openxmlformats.org/officeDocument/2006/relationships/hyperlink" Target="https://docs.google.com/document/d/1k6-40X5y9PMTvrbTrYKT4FGO3bhvGrF-54I7hp2_QRU/edit?tab=t.0" TargetMode="External"/><Relationship Id="rId37" Type="http://schemas.openxmlformats.org/officeDocument/2006/relationships/hyperlink" Target="https://drive.google.com/file/d/1NEwC1egYhDY5qluJhbrEX0Af0sZSWwo9/view?usp=drive_link" TargetMode="External"/><Relationship Id="rId36" Type="http://schemas.openxmlformats.org/officeDocument/2006/relationships/hyperlink" Target="https://drive.google.com/file/d/1yHDSmlsxOCaWqpxCAQpdTHTKS0gb3_1K/view?usp=drive_link" TargetMode="External"/><Relationship Id="rId39" Type="http://schemas.openxmlformats.org/officeDocument/2006/relationships/hyperlink" Target="https://drive.google.com/drive/folders/1UxYvcZcSLHN3DkbAWgxPSgp0Si8k-7SA" TargetMode="External"/><Relationship Id="rId38" Type="http://schemas.openxmlformats.org/officeDocument/2006/relationships/hyperlink" Target="https://docs.google.com/document/d/1N_w3MkIGfY2PEl7wbEe-XbU0PAJpDnxJHu_RacMV5mw/edit?usp=drive_link" TargetMode="External"/><Relationship Id="rId20" Type="http://schemas.openxmlformats.org/officeDocument/2006/relationships/hyperlink" Target="https://docs.google.com/document/d/14i4yOpGixUzlS5ADwtjWcUuf5n_biH2FC28iI1wzBdk/edit?tab=t.af4rrtflxaqs" TargetMode="External"/><Relationship Id="rId22" Type="http://schemas.openxmlformats.org/officeDocument/2006/relationships/hyperlink" Target="https://docs.google.com/document/d/1ngeWEZK-ksKFL8jCa40AgGjKy7kMRVR00bUtpsGBlYQ/edit?usp=drive_link" TargetMode="External"/><Relationship Id="rId21" Type="http://schemas.openxmlformats.org/officeDocument/2006/relationships/hyperlink" Target="https://drive.google.com/drive/folders/1G1eKUSonwXIqKCTamLOfojQTkGdk1oXi" TargetMode="External"/><Relationship Id="rId24" Type="http://schemas.openxmlformats.org/officeDocument/2006/relationships/hyperlink" Target="https://docs.google.com/document/d/1bVvPHnQr4LBzYfWv6BONs5a3e54Z7KoOiLlSLN0WY60/edit?usp=drive_link" TargetMode="External"/><Relationship Id="rId23" Type="http://schemas.openxmlformats.org/officeDocument/2006/relationships/hyperlink" Target="https://drive.google.com/file/d/1N39PIUo8C6Z8SASqHzSQAaUA0UcTdx2D/view?usp=drive_link" TargetMode="External"/><Relationship Id="rId409" Type="http://schemas.openxmlformats.org/officeDocument/2006/relationships/hyperlink" Target="https://drive.google.com/file/d/1ANv2ZMGbGbdrltIUAfM2-wAJ5Q-T7uCQ/view?usp=drive_link" TargetMode="External"/><Relationship Id="rId404" Type="http://schemas.openxmlformats.org/officeDocument/2006/relationships/hyperlink" Target="https://drive.google.com/file/d/1MWdYSmpHkR8CZEfhE3ku1z2kispCAMUP/view?usp=drive_link&amp;resourcekey=0-yxIF81s7jKdjG9UKbJhgdg" TargetMode="External"/><Relationship Id="rId525" Type="http://schemas.openxmlformats.org/officeDocument/2006/relationships/hyperlink" Target="https://drive.google.com/file/d/1pCG8pdoNGy0e_5PJog6sibw8kpCraCby/view?usp=drive_link" TargetMode="External"/><Relationship Id="rId646" Type="http://schemas.openxmlformats.org/officeDocument/2006/relationships/hyperlink" Target="https://drive.google.com/drive/folders/1yMX3woOFLIzJ4AcfpD7VNQBUMgcKEI5r" TargetMode="External"/><Relationship Id="rId403" Type="http://schemas.openxmlformats.org/officeDocument/2006/relationships/hyperlink" Target="https://drive.google.com/file/d/1_ARd2Kmms2y8yi8wEBFwVWGVzsYtrKxa/view?usp=drive_link" TargetMode="External"/><Relationship Id="rId524" Type="http://schemas.openxmlformats.org/officeDocument/2006/relationships/hyperlink" Target="https://docs.google.com/document/d/1lIKbGYbMD3q_DrsxGo9uws9pYl5cDKhHU8UgaKqh-L0/edit?usp=sharing" TargetMode="External"/><Relationship Id="rId645" Type="http://schemas.openxmlformats.org/officeDocument/2006/relationships/hyperlink" Target="https://drive.google.com/file/d/1St9rkqaJkuYbEriQoXuMQv8lxCn8BxgE/view?usp=drive_link" TargetMode="External"/><Relationship Id="rId402" Type="http://schemas.openxmlformats.org/officeDocument/2006/relationships/hyperlink" Target="https://docs.google.com/document/d/14JiNanOQKxjX2wZ3ooCGPsnP7kwKwkllnBj3rjZTrTI/edit?usp=drive_link" TargetMode="External"/><Relationship Id="rId523" Type="http://schemas.openxmlformats.org/officeDocument/2006/relationships/hyperlink" Target="https://drive.google.com/drive/folders/1LLhxkiAzqOATXFUEe5zkXbRQlwsyJH0N" TargetMode="External"/><Relationship Id="rId644" Type="http://schemas.openxmlformats.org/officeDocument/2006/relationships/hyperlink" Target="https://docs.google.com/document/d/1w23PnpbU_LEKFoXnv4d-RLYZocz84WO5g-vLOFOPSck/edit?tab=t.ede60da7c69s" TargetMode="External"/><Relationship Id="rId401" Type="http://schemas.openxmlformats.org/officeDocument/2006/relationships/hyperlink" Target="https://drive.google.com/file/d/1tgIykMxFcvnM08Hhi4jGceh5MWqF9OTP/view?usp=drive_link" TargetMode="External"/><Relationship Id="rId522" Type="http://schemas.openxmlformats.org/officeDocument/2006/relationships/hyperlink" Target="https://docs.google.com/document/d/1TFt7cy4FhNgQm3OTr93rdZGoc1P4Cj1D8qyHMDDAj6g/edit?usp=sharing" TargetMode="External"/><Relationship Id="rId643" Type="http://schemas.openxmlformats.org/officeDocument/2006/relationships/hyperlink" Target="https://drive.google.com/file/d/1mpLlXcWmBw845kz82iwn6NdaS0EyFxDz/view?usp=drive_link" TargetMode="External"/><Relationship Id="rId408" Type="http://schemas.openxmlformats.org/officeDocument/2006/relationships/hyperlink" Target="https://docs.google.com/document/d/1eBC0_sqOkdq_k67N9nr0B2Orwywli2xTrcuXYVCM_6o/edit?usp=drive_link" TargetMode="External"/><Relationship Id="rId529" Type="http://schemas.openxmlformats.org/officeDocument/2006/relationships/hyperlink" Target="https://drive.google.com/file/d/1N39PIUo8C6Z8SASqHzSQAaUA0UcTdx2D/view?usp=drive_link" TargetMode="External"/><Relationship Id="rId407" Type="http://schemas.openxmlformats.org/officeDocument/2006/relationships/hyperlink" Target="https://drive.google.com/file/d/1ypiFWn_1Qhx_UD2qeP5Wtsi31PWu36Nf/view?usp=drive_link" TargetMode="External"/><Relationship Id="rId528" Type="http://schemas.openxmlformats.org/officeDocument/2006/relationships/hyperlink" Target="https://docs.google.com/document/d/1_pn7RCzg6g8KR-0JpmX4bUPwsbhNyR83nc3IFGSVX1s/edit?usp=sharing" TargetMode="External"/><Relationship Id="rId649" Type="http://schemas.openxmlformats.org/officeDocument/2006/relationships/hyperlink" Target="https://docs.google.com/document/d/1fHdTduyOKK54KkCeHm9mGybKwMX3aSy-VwZtWLcand0/edit?tab=t.af4rrtflxaqs" TargetMode="External"/><Relationship Id="rId406" Type="http://schemas.openxmlformats.org/officeDocument/2006/relationships/hyperlink" Target="https://drive.google.com/drive/folders/1m7gJ08kBmvJxfhy_D4sFpN597ifzHoZF" TargetMode="External"/><Relationship Id="rId527" Type="http://schemas.openxmlformats.org/officeDocument/2006/relationships/hyperlink" Target="https://drive.google.com/drive/folders/1B1LnLrtQJ9H1lz5uY2mExFP4yERDdzwN" TargetMode="External"/><Relationship Id="rId648" Type="http://schemas.openxmlformats.org/officeDocument/2006/relationships/hyperlink" Target="https://drive.google.com/drive/folders/1-IgPfilYIbHMDEoYKiP9aRfJjcqbKFsH" TargetMode="External"/><Relationship Id="rId405" Type="http://schemas.openxmlformats.org/officeDocument/2006/relationships/hyperlink" Target="https://drive.google.com/file/d/1FQ1iJF1qt7itxNBqODQ0OEqufZq8cVYc/view?usp=drive_link" TargetMode="External"/><Relationship Id="rId526" Type="http://schemas.openxmlformats.org/officeDocument/2006/relationships/hyperlink" Target="https://drive.google.com/file/d/132OSRnWpnZqFksPPZ-qkbz6iRP_hsJzP/view?usp=sharing" TargetMode="External"/><Relationship Id="rId647" Type="http://schemas.openxmlformats.org/officeDocument/2006/relationships/hyperlink" Target="https://drive.google.com/file/d/1IXF7gA3mf0ttMPhRWtJt27aWJHFBQkrd/view?usp=drive_link" TargetMode="External"/><Relationship Id="rId26" Type="http://schemas.openxmlformats.org/officeDocument/2006/relationships/hyperlink" Target="https://docs.google.com/document/d/13X7ca4FQkUmyrzt0ONm5EDYHfEEy1cQEFJFRXVQXPB8/edit?usp=drive_link" TargetMode="External"/><Relationship Id="rId25" Type="http://schemas.openxmlformats.org/officeDocument/2006/relationships/hyperlink" Target="https://drive.google.com/drive/folders/1vwEAoXuom4cUCk196-8IefqSc7M7Jiu3" TargetMode="External"/><Relationship Id="rId28" Type="http://schemas.openxmlformats.org/officeDocument/2006/relationships/hyperlink" Target="https://drive.google.com/file/d/1zuJDXMjVboZ7OWFlDkIyr2rmr0VJLfL3/view?usp=drive_link" TargetMode="External"/><Relationship Id="rId27" Type="http://schemas.openxmlformats.org/officeDocument/2006/relationships/hyperlink" Target="https://drive.google.com/file/d/1PIVs5ZUy7cu8R3tXjOIJb67KH-0sFwJM/view?usp=drive_link" TargetMode="External"/><Relationship Id="rId400" Type="http://schemas.openxmlformats.org/officeDocument/2006/relationships/hyperlink" Target="https://drive.google.com/drive/folders/1S_y5CBCdR_dftgCQJ28fyBQVYBN_jpB9" TargetMode="External"/><Relationship Id="rId521" Type="http://schemas.openxmlformats.org/officeDocument/2006/relationships/hyperlink" Target="https://drive.google.com/drive/folders/1HzC2ai1U8C4BR9SIw9cIYwk9gZSAGUdB" TargetMode="External"/><Relationship Id="rId642" Type="http://schemas.openxmlformats.org/officeDocument/2006/relationships/hyperlink" Target="https://drive.google.com/drive/folders/1dDeLzSZwdj0T-fOcZ33bCRTawWDm2138" TargetMode="External"/><Relationship Id="rId29" Type="http://schemas.openxmlformats.org/officeDocument/2006/relationships/hyperlink" Target="https://docs.google.com/document/d/1qs-wglTc793uH3duJoexNeFiwvZJyQbilRFUwFjhhHA/edit?usp=drive_link" TargetMode="External"/><Relationship Id="rId520" Type="http://schemas.openxmlformats.org/officeDocument/2006/relationships/hyperlink" Target="https://drive.google.com/file/d/132OSRnWpnZqFksPPZ-qkbz6iRP_hsJzP/view?usp=sharing" TargetMode="External"/><Relationship Id="rId641" Type="http://schemas.openxmlformats.org/officeDocument/2006/relationships/hyperlink" Target="https://drive.google.com/file/d/1-vODv_QScrUNT1NhkA5dO2UjW-cxVxLL/view?usp=drive_link" TargetMode="External"/><Relationship Id="rId640" Type="http://schemas.openxmlformats.org/officeDocument/2006/relationships/hyperlink" Target="https://drive.google.com/file/d/1gvgN30kFdgXLUgVkui-uvr2As8sZCI3t/view?usp=drive_link" TargetMode="External"/><Relationship Id="rId11" Type="http://schemas.openxmlformats.org/officeDocument/2006/relationships/hyperlink" Target="https://drive.google.com/drive/folders/1ZFG0JxvB23a1lXna3tVS2FB9ZAqylp8G" TargetMode="External"/><Relationship Id="rId10" Type="http://schemas.openxmlformats.org/officeDocument/2006/relationships/hyperlink" Target="https://docs.google.com/document/d/1wHsEuAElPe5fS7-wA07ur2PSQIvu3NRcpNsjNNuSPBs/edit?usp=drive_link" TargetMode="External"/><Relationship Id="rId13" Type="http://schemas.openxmlformats.org/officeDocument/2006/relationships/hyperlink" Target="https://drive.google.com/drive/folders/1UuWgBlWbVtJAcey95zlwCzysk0JJ2YHG" TargetMode="External"/><Relationship Id="rId12" Type="http://schemas.openxmlformats.org/officeDocument/2006/relationships/hyperlink" Target="https://docs.google.com/document/d/1AEKw9qGk_DorQx3IFeidp420l-avGK4MKixIxfRDl64/edit?usp=drive_link" TargetMode="External"/><Relationship Id="rId519" Type="http://schemas.openxmlformats.org/officeDocument/2006/relationships/hyperlink" Target="https://drive.google.com/file/d/11QIYm3f0Im0g4u6i7zXcI4B2JesOL6K6/view?usp=drive_link" TargetMode="External"/><Relationship Id="rId514" Type="http://schemas.openxmlformats.org/officeDocument/2006/relationships/hyperlink" Target="https://drive.google.com/file/d/132OSRnWpnZqFksPPZ-qkbz6iRP_hsJzP/view?usp=sharing" TargetMode="External"/><Relationship Id="rId635" Type="http://schemas.openxmlformats.org/officeDocument/2006/relationships/hyperlink" Target="https://drive.google.com/file/d/1bzlpI_fdLlvyxRWPbXYR_VmSBFj9sEWg/view?usp=sharing" TargetMode="External"/><Relationship Id="rId513" Type="http://schemas.openxmlformats.org/officeDocument/2006/relationships/hyperlink" Target="https://drive.google.com/file/d/1x6Wi260qyyokNx7KccVbN4gHAhKTAjNi/view?usp=drive_link" TargetMode="External"/><Relationship Id="rId634" Type="http://schemas.openxmlformats.org/officeDocument/2006/relationships/hyperlink" Target="https://drive.google.com/file/d/1ij-AxPTfkjg-_MWR_fqS_Xq2ZH633vYS/view?usp=drive_link" TargetMode="External"/><Relationship Id="rId512" Type="http://schemas.openxmlformats.org/officeDocument/2006/relationships/hyperlink" Target="https://docs.google.com/document/d/1vbFYXsegCwSFa4uH3sNAlG2-1_8-nA2wXLsN7jaZjfk/edit?tab=t.0" TargetMode="External"/><Relationship Id="rId633" Type="http://schemas.openxmlformats.org/officeDocument/2006/relationships/hyperlink" Target="https://drive.google.com/file/d/1x6Wi260qyyokNx7KccVbN4gHAhKTAjNi/view?usp=drive_link" TargetMode="External"/><Relationship Id="rId511" Type="http://schemas.openxmlformats.org/officeDocument/2006/relationships/hyperlink" Target="https://drive.google.com/drive/folders/1v2XOJSf7wQ_1PbTaBRNFuJ7Vy6AWLCsv" TargetMode="External"/><Relationship Id="rId632" Type="http://schemas.openxmlformats.org/officeDocument/2006/relationships/hyperlink" Target="https://docs.google.com/document/d/192tIpJy_ObQYAJbr2E7ghOUHU5aN3SyitSe2oRZjJHA/edit?usp=sharing" TargetMode="External"/><Relationship Id="rId518" Type="http://schemas.openxmlformats.org/officeDocument/2006/relationships/hyperlink" Target="https://docs.google.com/document/d/1myKBzogtnVo74gr75jOXbXIEfMD4iPOl_0Gfjc-uNWI/edit?usp=drive_link" TargetMode="External"/><Relationship Id="rId639" Type="http://schemas.openxmlformats.org/officeDocument/2006/relationships/hyperlink" Target="https://drive.google.com/file/d/1AR7UUMDauuaS_LV_KlcDgRGWG9zyNl_s/view?usp=drive_link" TargetMode="External"/><Relationship Id="rId517" Type="http://schemas.openxmlformats.org/officeDocument/2006/relationships/hyperlink" Target="https://drive.google.com/drive/folders/1gl_Krq3DEL9uTlw2LUdbUSPk3j4lb6XR" TargetMode="External"/><Relationship Id="rId638" Type="http://schemas.openxmlformats.org/officeDocument/2006/relationships/hyperlink" Target="https://docs.google.com/document/d/1x1Ju7UcP8bV3PFJKT7d-l-IRkpzZf1v_1yqyHdetuzQ/edit?usp=sharing" TargetMode="External"/><Relationship Id="rId516" Type="http://schemas.openxmlformats.org/officeDocument/2006/relationships/hyperlink" Target="https://docs.google.com/document/d/1ndcd9KimGfyRw05H0FdV5tgq5q8R_O_RJVODebw7CAE/edit?usp=sharing" TargetMode="External"/><Relationship Id="rId637" Type="http://schemas.openxmlformats.org/officeDocument/2006/relationships/hyperlink" Target="https://drive.google.com/file/d/1IhK8KYnkwv6ITZLl849N3rhnsbJEyR1g/view?usp=drive_link" TargetMode="External"/><Relationship Id="rId515" Type="http://schemas.openxmlformats.org/officeDocument/2006/relationships/hyperlink" Target="https://drive.google.com/drive/folders/16-mHzGG7lj0DcjO0S6W-AE8440t00TzH" TargetMode="External"/><Relationship Id="rId636" Type="http://schemas.openxmlformats.org/officeDocument/2006/relationships/hyperlink" Target="https://drive.google.com/drive/folders/1grMgpmAVCavCsXNEyT0_lcV7E1-CIok7" TargetMode="External"/><Relationship Id="rId15" Type="http://schemas.openxmlformats.org/officeDocument/2006/relationships/hyperlink" Target="https://drive.google.com/drive/folders/1KCHsKRjSCpALRbkpBXcm3apfaeewjdtO" TargetMode="External"/><Relationship Id="rId14" Type="http://schemas.openxmlformats.org/officeDocument/2006/relationships/hyperlink" Target="https://docs.google.com/document/d/1FKDsT8X9VQFdkupA1gc9VeL3jgD_myrJH6DbP7tb4Tw/edit?usp=drive_link" TargetMode="External"/><Relationship Id="rId17" Type="http://schemas.openxmlformats.org/officeDocument/2006/relationships/hyperlink" Target="https://drive.google.com/drive/folders/1UBOLJf4FQ5PQir__L2PdYq25h82DkrOH" TargetMode="External"/><Relationship Id="rId16" Type="http://schemas.openxmlformats.org/officeDocument/2006/relationships/hyperlink" Target="https://docs.google.com/document/d/1p0YlA71ajnQNaQWEtRx1A7hJFERE0wCY31uwaA2BP88/edit?usp=drive_link" TargetMode="External"/><Relationship Id="rId19" Type="http://schemas.openxmlformats.org/officeDocument/2006/relationships/hyperlink" Target="https://drive.google.com/drive/folders/1Y_CBtNs8_WUFai6vNTMmfb_yrK9Q8xqh" TargetMode="External"/><Relationship Id="rId510" Type="http://schemas.openxmlformats.org/officeDocument/2006/relationships/hyperlink" Target="https://docs.google.com/document/d/1De7_ctLSbPuzi6qQCT7VOLAgO01hialuXQTeNwiHP78/edit?usp=sharing" TargetMode="External"/><Relationship Id="rId631" Type="http://schemas.openxmlformats.org/officeDocument/2006/relationships/hyperlink" Target="https://drive.google.com/file/d/10NHQt0Omkvn-xCwBN69-WxpAL-kYT2jf/view?usp=drive_link" TargetMode="External"/><Relationship Id="rId18" Type="http://schemas.openxmlformats.org/officeDocument/2006/relationships/hyperlink" Target="https://docs.google.com/document/d/1bJJ297vXPH3ZzEMQshFjjDi5ZAB7NpVTM61nhwATpzQ/edit?usp=drive_link" TargetMode="External"/><Relationship Id="rId630" Type="http://schemas.openxmlformats.org/officeDocument/2006/relationships/hyperlink" Target="https://drive.google.com/drive/folders/1xdHRVBsyOLIiucAqKwMY33ihCkzhkFwv" TargetMode="External"/><Relationship Id="rId84" Type="http://schemas.openxmlformats.org/officeDocument/2006/relationships/hyperlink" Target="https://drive.google.com/file/d/1V0nM6mbL-pRrJyjmqqS_GAeZVtuZJWo9/view?usp=drive_link" TargetMode="External"/><Relationship Id="rId83" Type="http://schemas.openxmlformats.org/officeDocument/2006/relationships/hyperlink" Target="https://docs.google.com/document/d/1-2_mmvn4E9jGRYFehxWLls8XQUGPe9kOsKUJrNSrGjQ/edit?usp=drive_link" TargetMode="External"/><Relationship Id="rId86" Type="http://schemas.openxmlformats.org/officeDocument/2006/relationships/hyperlink" Target="https://drive.google.com/drive/folders/1SIYbP0Rfzjvuk08j5b_Q20h2CEe6Vuy3" TargetMode="External"/><Relationship Id="rId85" Type="http://schemas.openxmlformats.org/officeDocument/2006/relationships/hyperlink" Target="https://docs.google.com/document/d/1AZHzZLkBvOfrOq6CnkHKjn8IWakTQPBsOBRToY9kh30/edit?usp=drive_link" TargetMode="External"/><Relationship Id="rId88" Type="http://schemas.openxmlformats.org/officeDocument/2006/relationships/hyperlink" Target="https://drive.google.com/file/d/1jGgFsYZ_REs-oMp4UInkgn8-9fDXGkXr/view?usp=drive_link" TargetMode="External"/><Relationship Id="rId87" Type="http://schemas.openxmlformats.org/officeDocument/2006/relationships/hyperlink" Target="https://docs.google.com/document/d/1yPOn2OuVf9ovAOhhz8D8xK5ROTtwZ0PdYtVMVbVNwE8/edit?usp=drive_link" TargetMode="External"/><Relationship Id="rId89" Type="http://schemas.openxmlformats.org/officeDocument/2006/relationships/hyperlink" Target="https://drive.google.com/file/d/1BL27JwgqBFxv2PZ5_VeDhajgTzM7kmHW/view?usp=drive_link" TargetMode="External"/><Relationship Id="rId80" Type="http://schemas.openxmlformats.org/officeDocument/2006/relationships/hyperlink" Target="https://drive.google.com/file/d/1UMKQfHf8qMZASAn62-X5BZp1PY1nvxK7/view?usp=drive_link" TargetMode="External"/><Relationship Id="rId82" Type="http://schemas.openxmlformats.org/officeDocument/2006/relationships/hyperlink" Target="https://drive.google.com/drive/folders/17k-fCXuc26-HibD1koHG-BazTpJ_mh-w" TargetMode="External"/><Relationship Id="rId81" Type="http://schemas.openxmlformats.org/officeDocument/2006/relationships/hyperlink" Target="https://docs.google.com/document/d/1VU5HkmmNgRuBdregpO3PYhmjjFgMZRIFwJkiglMNMjc/edit?usp=drive_link" TargetMode="External"/><Relationship Id="rId73" Type="http://schemas.openxmlformats.org/officeDocument/2006/relationships/hyperlink" Target="https://docs.google.com/document/d/15gPwyU6A1aHgPqA3hXcPnfWVpfWnzwmxuOnyvLyefFM/edit?usp=drive_link" TargetMode="External"/><Relationship Id="rId72" Type="http://schemas.openxmlformats.org/officeDocument/2006/relationships/hyperlink" Target="https://drive.google.com/drive/folders/1v9PifmqReTzDIRkG1gUgNS4T3vFfadUU" TargetMode="External"/><Relationship Id="rId75" Type="http://schemas.openxmlformats.org/officeDocument/2006/relationships/hyperlink" Target="https://docs.google.com/document/d/1mvE0qo9S3xsd2GCosThA_4DWDBcmF62aXGEddrV7ExI/edit?usp=drive_link" TargetMode="External"/><Relationship Id="rId74" Type="http://schemas.openxmlformats.org/officeDocument/2006/relationships/hyperlink" Target="https://drive.google.com/drive/folders/16fFqFKlac0xUi8Z1Ff7mmSlWQg6cmok8" TargetMode="External"/><Relationship Id="rId77" Type="http://schemas.openxmlformats.org/officeDocument/2006/relationships/hyperlink" Target="https://docs.google.com/document/d/16J8a070Dnx_vwUDD10wIwNMUMWRnM95yMl_Sg4XkgpQ/edit?usp=drive_link" TargetMode="External"/><Relationship Id="rId76" Type="http://schemas.openxmlformats.org/officeDocument/2006/relationships/hyperlink" Target="https://drive.google.com/drive/folders/1NBjRjkWy3_uF9LYNcNWclFthrgotgt9P" TargetMode="External"/><Relationship Id="rId79" Type="http://schemas.openxmlformats.org/officeDocument/2006/relationships/hyperlink" Target="https://docs.google.com/document/d/1JIrbksyDzxKMiKl8Dd8gzavgXNClZJQsVPoDuyPDLrE/edit?usp=drive_link" TargetMode="External"/><Relationship Id="rId78" Type="http://schemas.openxmlformats.org/officeDocument/2006/relationships/hyperlink" Target="https://drive.google.com/drive/folders/1TGJYXifnA6kLqdhhClq9aQzlIcYhgAEO" TargetMode="External"/><Relationship Id="rId71" Type="http://schemas.openxmlformats.org/officeDocument/2006/relationships/hyperlink" Target="https://docs.google.com/document/d/1BenNTU4s4z42tZZeM5UHfEKxRLWOvtvHx-XbgTnNQ30/edit?usp=drive_link" TargetMode="External"/><Relationship Id="rId70" Type="http://schemas.openxmlformats.org/officeDocument/2006/relationships/hyperlink" Target="https://drive.google.com/drive/folders/1aowxbu9KLhoIljqHPHcKoZKBGiV7pMMF" TargetMode="External"/><Relationship Id="rId62" Type="http://schemas.openxmlformats.org/officeDocument/2006/relationships/hyperlink" Target="https://drive.google.com/file/d/1NEwC1egYhDY5qluJhbrEX0Af0sZSWwo9/view?usp=drive_link" TargetMode="External"/><Relationship Id="rId61" Type="http://schemas.openxmlformats.org/officeDocument/2006/relationships/hyperlink" Target="https://drive.google.com/file/d/1_fXnRhupR0y3PTcEU_c-huj7fqxvJr-A/view?usp=drive_link" TargetMode="External"/><Relationship Id="rId64" Type="http://schemas.openxmlformats.org/officeDocument/2006/relationships/hyperlink" Target="https://drive.google.com/drive/folders/1wKkP1pem0MSC7S8LOCZ8GCKbwJF_z1ko" TargetMode="External"/><Relationship Id="rId63" Type="http://schemas.openxmlformats.org/officeDocument/2006/relationships/hyperlink" Target="https://docs.google.com/document/d/1F_DGlyV2xpIhw0bAhJ8p8YK2dlvMobItqr9Ff3kky6g/edit?usp=drive_link" TargetMode="External"/><Relationship Id="rId66" Type="http://schemas.openxmlformats.org/officeDocument/2006/relationships/hyperlink" Target="https://drive.google.com/drive/folders/14WZtqTrqXG1Cv-wCGmH_dcvTBBu0ZISf" TargetMode="External"/><Relationship Id="rId65" Type="http://schemas.openxmlformats.org/officeDocument/2006/relationships/hyperlink" Target="https://docs.google.com/document/d/1XsqWmhXEdHN6bR7oawH_ifWLYn7-Mc9fDMi7Sl8CwCU/edit?usp=drive_link" TargetMode="External"/><Relationship Id="rId68" Type="http://schemas.openxmlformats.org/officeDocument/2006/relationships/hyperlink" Target="https://drive.google.com/drive/folders/1zqvXOo9KF_kxdOQ4Yhk5OiUHIJo_tspS" TargetMode="External"/><Relationship Id="rId67" Type="http://schemas.openxmlformats.org/officeDocument/2006/relationships/hyperlink" Target="https://docs.google.com/document/d/1o_I_3TULDc9vvhp_CxXJi_wWF-cUMLL2xVUpEnDjD1s/edit?tab=t.0" TargetMode="External"/><Relationship Id="rId609" Type="http://schemas.openxmlformats.org/officeDocument/2006/relationships/hyperlink" Target="https://drive.google.com/drive/folders/1hbGOAfOLT-T4dQO3p-YeOCu8nYie6UMY" TargetMode="External"/><Relationship Id="rId608" Type="http://schemas.openxmlformats.org/officeDocument/2006/relationships/hyperlink" Target="https://docs.google.com/document/d/1P6dxf5IYagXBiHVubPyWdnOvdpcWg_ZQbQS6Tv9m5Cg/edit?tab=t.0" TargetMode="External"/><Relationship Id="rId607" Type="http://schemas.openxmlformats.org/officeDocument/2006/relationships/hyperlink" Target="https://drive.google.com/drive/folders/1hoi-EUJrA8ICgNm96Fy3OeaVArCFaFjo" TargetMode="External"/><Relationship Id="rId60" Type="http://schemas.openxmlformats.org/officeDocument/2006/relationships/hyperlink" Target="https://docs.google.com/document/d/1JN-bZqjwlTp2DqPs4V0HUzIw1N4r6zAHBV5zE2EwZeQ/edit?usp=drive_link" TargetMode="External"/><Relationship Id="rId602" Type="http://schemas.openxmlformats.org/officeDocument/2006/relationships/hyperlink" Target="https://docs.google.com/document/d/150BJ-UAo_4_VfLyPyOQsFigtt5IC2atctG_9g4wHyWA/edit?tab=t.0" TargetMode="External"/><Relationship Id="rId601" Type="http://schemas.openxmlformats.org/officeDocument/2006/relationships/hyperlink" Target="https://drive.google.com/drive/folders/1njGgfuoG5ftTcaQy2sLGLDgtYcCXue-P" TargetMode="External"/><Relationship Id="rId600" Type="http://schemas.openxmlformats.org/officeDocument/2006/relationships/hyperlink" Target="https://docs.google.com/document/d/125Q9b3pzf97Vfy0v29eQcVLr0utjd7ZVEAQYi1s1WWI/edit?tab=t.0" TargetMode="External"/><Relationship Id="rId606" Type="http://schemas.openxmlformats.org/officeDocument/2006/relationships/hyperlink" Target="https://docs.google.com/document/d/1UjkYK-KvmzMRrorqLmdcClhsiD03ixDJvh2aDlhoGCM/edit?tab=t.p6qr1zc954dc" TargetMode="External"/><Relationship Id="rId605" Type="http://schemas.openxmlformats.org/officeDocument/2006/relationships/hyperlink" Target="https://drive.google.com/drive/folders/19PeN-RBA4wLa6d7-Ki5nfweJ3KbIukfq" TargetMode="External"/><Relationship Id="rId604" Type="http://schemas.openxmlformats.org/officeDocument/2006/relationships/hyperlink" Target="https://docs.google.com/document/d/1UUAqJyPP0BcLHOd8sHfWuB7cGrEd4EpndwNgTobOpac/edit?tab=t.0" TargetMode="External"/><Relationship Id="rId603" Type="http://schemas.openxmlformats.org/officeDocument/2006/relationships/hyperlink" Target="https://drive.google.com/drive/folders/1FlHh8GJq89-zF0Hcno9d7by32f9hdWBm" TargetMode="External"/><Relationship Id="rId69" Type="http://schemas.openxmlformats.org/officeDocument/2006/relationships/hyperlink" Target="https://docs.google.com/document/d/1hnnvEM4n-F-sQweLSw-hS1TOsy1Q3Z01i1HvvsC2ao4/edit?usp=drive_link" TargetMode="External"/><Relationship Id="rId51" Type="http://schemas.openxmlformats.org/officeDocument/2006/relationships/hyperlink" Target="https://docs.google.com/document/d/1zPBQY9gF5GNJZUe4yhWtqVs8yR7SBPHUFK-LOEXCJno/edit?usp=drive_link" TargetMode="External"/><Relationship Id="rId50" Type="http://schemas.openxmlformats.org/officeDocument/2006/relationships/hyperlink" Target="https://drive.google.com/file/d/1NEwC1egYhDY5qluJhbrEX0Af0sZSWwo9/view?usp=drive_link" TargetMode="External"/><Relationship Id="rId53" Type="http://schemas.openxmlformats.org/officeDocument/2006/relationships/hyperlink" Target="https://drive.google.com/file/d/1NEwC1egYhDY5qluJhbrEX0Af0sZSWwo9/view?usp=drive_link" TargetMode="External"/><Relationship Id="rId52" Type="http://schemas.openxmlformats.org/officeDocument/2006/relationships/hyperlink" Target="https://drive.google.com/file/d/1Qwaq2TvPxO7j3RMmKJN06RxErXltgoj7/view?usp=drive_link" TargetMode="External"/><Relationship Id="rId55" Type="http://schemas.openxmlformats.org/officeDocument/2006/relationships/hyperlink" Target="https://drive.google.com/file/d/1Jchtpe3PraOKjdQ4zNe7qjJdgKwmkRkj/view?usp=drive_link" TargetMode="External"/><Relationship Id="rId54" Type="http://schemas.openxmlformats.org/officeDocument/2006/relationships/hyperlink" Target="https://docs.google.com/document/d/17PZKcy80WytTqUyXjEhbV1bMIRz2k_bSBJGDNVG3K0c/edit?usp=drive_link" TargetMode="External"/><Relationship Id="rId57" Type="http://schemas.openxmlformats.org/officeDocument/2006/relationships/hyperlink" Target="https://docs.google.com/document/d/1Xke4lRdDIU6wyeUX47WYhP1IGail1N1ewFaIY17tIjM/edit?usp=drive_link" TargetMode="External"/><Relationship Id="rId56" Type="http://schemas.openxmlformats.org/officeDocument/2006/relationships/hyperlink" Target="https://drive.google.com/file/d/1NEwC1egYhDY5qluJhbrEX0Af0sZSWwo9/view?usp=drive_link" TargetMode="External"/><Relationship Id="rId59" Type="http://schemas.openxmlformats.org/officeDocument/2006/relationships/hyperlink" Target="https://drive.google.com/file/d/1NEwC1egYhDY5qluJhbrEX0Af0sZSWwo9/view?usp=drive_link" TargetMode="External"/><Relationship Id="rId58" Type="http://schemas.openxmlformats.org/officeDocument/2006/relationships/hyperlink" Target="https://drive.google.com/file/d/1xcun83iGxiQ-y178zqlpHS2ILEbnL4jX/view?usp=drive_link" TargetMode="External"/><Relationship Id="rId590" Type="http://schemas.openxmlformats.org/officeDocument/2006/relationships/hyperlink" Target="https://drive.google.com/file/d/1sbD5JtuXG2dnDFbk_PopKW-t1G1L5kYu/view?usp=sharing" TargetMode="External"/><Relationship Id="rId107" Type="http://schemas.openxmlformats.org/officeDocument/2006/relationships/hyperlink" Target="https://drive.google.com/drive/folders/1Z2_ZyeZqnNNH4qRqb6H9NPJivfYAwYI4" TargetMode="External"/><Relationship Id="rId228" Type="http://schemas.openxmlformats.org/officeDocument/2006/relationships/hyperlink" Target="https://drive.google.com/file/d/1oiXRX9H2fvcnfh8hw6xLduI5bUCjoO7U/view?usp=drive_link" TargetMode="External"/><Relationship Id="rId349" Type="http://schemas.openxmlformats.org/officeDocument/2006/relationships/hyperlink" Target="https://drive.google.com/file/d/1WkiJ-xQw_zBtEUwaAyt6hFufz9UIkz71/view?usp=drive_link" TargetMode="External"/><Relationship Id="rId106" Type="http://schemas.openxmlformats.org/officeDocument/2006/relationships/hyperlink" Target="https://docs.google.com/document/d/1KQiHWMybve1nuhr6kylJxJa-C3R_recqjv2RzsQH4Ag/edit?usp=drive_link" TargetMode="External"/><Relationship Id="rId227" Type="http://schemas.openxmlformats.org/officeDocument/2006/relationships/hyperlink" Target="https://drive.google.com/drive/folders/1YLj6TXmrJFYyo80OJ5orWtIDnd1xnBUn" TargetMode="External"/><Relationship Id="rId348" Type="http://schemas.openxmlformats.org/officeDocument/2006/relationships/hyperlink" Target="https://docs.google.com/document/d/10qG94PAEsUt7Jp7o6LKtFwdYrDIuntgPRG2eniDKaco/edit?tab=t.af4rrtflxaqs" TargetMode="External"/><Relationship Id="rId469" Type="http://schemas.openxmlformats.org/officeDocument/2006/relationships/hyperlink" Target="https://drive.google.com/file/d/1yY_t9EP2nYtztvCD0FbxBqIeTu22974G/view?usp=drive_link" TargetMode="External"/><Relationship Id="rId105" Type="http://schemas.openxmlformats.org/officeDocument/2006/relationships/hyperlink" Target="https://drive.google.com/drive/folders/1ITWmziO2G01AjWzkYFEnzrgTxrgX_D5g" TargetMode="External"/><Relationship Id="rId226" Type="http://schemas.openxmlformats.org/officeDocument/2006/relationships/hyperlink" Target="https://drive.google.com/file/d/1G_gnW5ICqiLiE-hRmZ-t4eJ-qavNfYY-/view?usp=drive_link" TargetMode="External"/><Relationship Id="rId347" Type="http://schemas.openxmlformats.org/officeDocument/2006/relationships/hyperlink" Target="https://drive.google.com/file/d/1LQnAScIewJ7JjfPXriydnn3YM8T00yVz/view?usp=drive_link" TargetMode="External"/><Relationship Id="rId468" Type="http://schemas.openxmlformats.org/officeDocument/2006/relationships/hyperlink" Target="https://docs.google.com/document/d/1dI8Qf80e62Ga5fKK6PbGSo0_tZ4RryYpEOpd9uDfRDY/edit?tab=t.0" TargetMode="External"/><Relationship Id="rId589" Type="http://schemas.openxmlformats.org/officeDocument/2006/relationships/hyperlink" Target="https://drive.google.com/file/d/1PIVs5ZUy7cu8R3tXjOIJb67KH-0sFwJM/view?usp=drive_link" TargetMode="External"/><Relationship Id="rId104" Type="http://schemas.openxmlformats.org/officeDocument/2006/relationships/hyperlink" Target="https://docs.google.com/document/d/10sXyHDTg9wBJoLZldEbCjHjkXgt2Cey734VBAeTYAEk/edit?usp=drive_link" TargetMode="External"/><Relationship Id="rId225" Type="http://schemas.openxmlformats.org/officeDocument/2006/relationships/hyperlink" Target="https://drive.google.com/file/d/1BL27JwgqBFxv2PZ5_VeDhajgTzM7kmHW/view?usp=drive_link" TargetMode="External"/><Relationship Id="rId346" Type="http://schemas.openxmlformats.org/officeDocument/2006/relationships/hyperlink" Target="https://drive.google.com/drive/folders/1q9kwMy2S5-YrXYHdIgJc-VTPb-t7Ropx" TargetMode="External"/><Relationship Id="rId467" Type="http://schemas.openxmlformats.org/officeDocument/2006/relationships/hyperlink" Target="https://drive.google.com/drive/folders/1KDa6wDqqP3MLQOSvlw0G_TQBUOQ7Bq96" TargetMode="External"/><Relationship Id="rId588" Type="http://schemas.openxmlformats.org/officeDocument/2006/relationships/hyperlink" Target="https://drive.google.com/file/d/1W6zR_IrhrUQHD8CcX7g9VxUeaOkQaW2_/view?usp=sharing" TargetMode="External"/><Relationship Id="rId109" Type="http://schemas.openxmlformats.org/officeDocument/2006/relationships/hyperlink" Target="https://drive.google.com/drive/folders/1QPVINdpOaovmLsUFLJ8VK0vL2OVFtshv" TargetMode="External"/><Relationship Id="rId108" Type="http://schemas.openxmlformats.org/officeDocument/2006/relationships/hyperlink" Target="https://docs.google.com/document/d/1je0Zx8z6CBD3bvpQonUDgx7o7x2DhDKZDK_uLu4zZt8/edit?usp=drive_link" TargetMode="External"/><Relationship Id="rId229" Type="http://schemas.openxmlformats.org/officeDocument/2006/relationships/hyperlink" Target="https://docs.google.com/document/d/1X_AfBdZRwp950GtR3NrtxZhuinkSQyJlNAm0jmrC3MY/edit?tab=t.af4rrtflxaqs" TargetMode="External"/><Relationship Id="rId220" Type="http://schemas.openxmlformats.org/officeDocument/2006/relationships/hyperlink" Target="https://drive.google.com/file/d/10_j8ZktEfP-I4Z6A1QFyWcr6G70zQi5R/view?usp=drive_link" TargetMode="External"/><Relationship Id="rId341" Type="http://schemas.openxmlformats.org/officeDocument/2006/relationships/hyperlink" Target="https://drive.google.com/file/d/1Fh6iAR5ur_FOjrB96foTSMOpI1VhCo3g/view?usp=drive_link" TargetMode="External"/><Relationship Id="rId462" Type="http://schemas.openxmlformats.org/officeDocument/2006/relationships/hyperlink" Target="https://docs.google.com/document/d/1mq3XOgnEt9TqB9-03Kzm1dE3pphnvBC2a_s78V5lzqc/edit?tab=t.0" TargetMode="External"/><Relationship Id="rId583" Type="http://schemas.openxmlformats.org/officeDocument/2006/relationships/hyperlink" Target="https://drive.google.com/file/d/16yisjO9-LHkDhPGmENwEZ95xLMcql0hh/view?usp=drive_link" TargetMode="External"/><Relationship Id="rId340" Type="http://schemas.openxmlformats.org/officeDocument/2006/relationships/hyperlink" Target="https://drive.google.com/drive/folders/1uSvW6B4TRyE_-onpv-0cdViurCp0UIn4" TargetMode="External"/><Relationship Id="rId461" Type="http://schemas.openxmlformats.org/officeDocument/2006/relationships/hyperlink" Target="https://drive.google.com/drive/folders/1Rmpg2qwWaXWIYvo6VU6Z1chmwU_bt2Z-" TargetMode="External"/><Relationship Id="rId582" Type="http://schemas.openxmlformats.org/officeDocument/2006/relationships/hyperlink" Target="https://drive.google.com/file/d/1oYp33ZcJzu7JbOAzogxk8IKyAxY2Pv54/view?usp=sharing" TargetMode="External"/><Relationship Id="rId460" Type="http://schemas.openxmlformats.org/officeDocument/2006/relationships/hyperlink" Target="https://drive.google.com/file/d/1y6LilTP6PseOQpe9zR_-K64VDqX7-gVY/view?usp=drive_link" TargetMode="External"/><Relationship Id="rId581" Type="http://schemas.openxmlformats.org/officeDocument/2006/relationships/hyperlink" Target="https://drive.google.com/file/d/1pCG8pdoNGy0e_5PJog6sibw8kpCraCby/view?usp=drive_link" TargetMode="External"/><Relationship Id="rId580" Type="http://schemas.openxmlformats.org/officeDocument/2006/relationships/hyperlink" Target="https://drive.google.com/file/d/1dvkBZOg5L8SquprBUohTwdW0tq0dh9Lm/view?usp=sharing" TargetMode="External"/><Relationship Id="rId103" Type="http://schemas.openxmlformats.org/officeDocument/2006/relationships/hyperlink" Target="https://drive.google.com/drive/folders/16m9oVt7seYoGZZLkzlAnt7ODsmvTEWRy" TargetMode="External"/><Relationship Id="rId224" Type="http://schemas.openxmlformats.org/officeDocument/2006/relationships/hyperlink" Target="https://drive.google.com/file/d/1tFh7voFs24DXjp_G1aAy1njdgdMnXjq1/view?usp=drive_link" TargetMode="External"/><Relationship Id="rId345" Type="http://schemas.openxmlformats.org/officeDocument/2006/relationships/hyperlink" Target="https://drive.google.com/file/d/1UryS6YU-5M6xAdmHDn3zWSEKOzo9BIDe/view?usp=drive_link" TargetMode="External"/><Relationship Id="rId466" Type="http://schemas.openxmlformats.org/officeDocument/2006/relationships/hyperlink" Target="https://drive.google.com/file/d/1ixQ2vVGjB7aAELDaQYj9a9LGxdP668R7/view?usp=sharing" TargetMode="External"/><Relationship Id="rId587" Type="http://schemas.openxmlformats.org/officeDocument/2006/relationships/hyperlink" Target="https://drive.google.com/file/d/1haLOw4jaaooROn4GY-meUCl7RQlPzPqQ/view?usp=drive_link" TargetMode="External"/><Relationship Id="rId102" Type="http://schemas.openxmlformats.org/officeDocument/2006/relationships/hyperlink" Target="https://docs.google.com/document/d/15L0smsocGAEcT6YiQRcvsB7CLcsPyQbvIt2QA7aTino/edit?usp=drive_link" TargetMode="External"/><Relationship Id="rId223" Type="http://schemas.openxmlformats.org/officeDocument/2006/relationships/hyperlink" Target="https://docs.google.com/document/d/1LovIAurY1R5Egr2uMYuE27sYe5jmHDt__EmeW15eJVI/edit?usp=drive_link" TargetMode="External"/><Relationship Id="rId344" Type="http://schemas.openxmlformats.org/officeDocument/2006/relationships/hyperlink" Target="https://drive.google.com/file/d/1NFNckdPIAt1Ky-gbJWUuEx-gIBrvWicp/view?usp=drive_link&amp;resourcekey=0-FM9YTwbJ8LSGb2iC9w7qwA" TargetMode="External"/><Relationship Id="rId465" Type="http://schemas.openxmlformats.org/officeDocument/2006/relationships/hyperlink" Target="https://docs.google.com/document/d/1kGlzKd9eT_4iRxBaPfYDjln6WI9_NEEvC2wTeV7-nkc/edit?tab=t.0" TargetMode="External"/><Relationship Id="rId586" Type="http://schemas.openxmlformats.org/officeDocument/2006/relationships/hyperlink" Target="https://drive.google.com/file/d/1gNbfbTV8JFKx46NtjaEIJCswIxQVrIcC/view?usp=sharing" TargetMode="External"/><Relationship Id="rId101" Type="http://schemas.openxmlformats.org/officeDocument/2006/relationships/hyperlink" Target="https://drive.google.com/drive/folders/1_dMA7c0zS_UBozXdhWa4R-kS-6AfoeIt" TargetMode="External"/><Relationship Id="rId222" Type="http://schemas.openxmlformats.org/officeDocument/2006/relationships/hyperlink" Target="https://drive.google.com/file/d/1xpmmh9pFrGgZGrbZt9y7hvj_P8BvpknA/view?usp=drive_link" TargetMode="External"/><Relationship Id="rId343" Type="http://schemas.openxmlformats.org/officeDocument/2006/relationships/hyperlink" Target="https://drive.google.com/file/d/1tFh7voFs24DXjp_G1aAy1njdgdMnXjq1/view?usp=drive_link" TargetMode="External"/><Relationship Id="rId464" Type="http://schemas.openxmlformats.org/officeDocument/2006/relationships/hyperlink" Target="https://drive.google.com/drive/folders/1mxaHNcoVfl39hxtm5gV_AMEMbeU0X0Ay" TargetMode="External"/><Relationship Id="rId585" Type="http://schemas.openxmlformats.org/officeDocument/2006/relationships/hyperlink" Target="https://drive.google.com/file/d/1N39PIUo8C6Z8SASqHzSQAaUA0UcTdx2D/view?usp=drive_link" TargetMode="External"/><Relationship Id="rId100" Type="http://schemas.openxmlformats.org/officeDocument/2006/relationships/hyperlink" Target="https://docs.google.com/document/d/1tJkZIe2zeSL4oGtLPpSKPjpwqd7S6IA-OEvOIjUtMnI/edit?usp=drive_link" TargetMode="External"/><Relationship Id="rId221" Type="http://schemas.openxmlformats.org/officeDocument/2006/relationships/hyperlink" Target="https://drive.google.com/drive/folders/1NlbXo--BpqGlOxOkCeEKKdCxbFmrpGbB" TargetMode="External"/><Relationship Id="rId342" Type="http://schemas.openxmlformats.org/officeDocument/2006/relationships/hyperlink" Target="https://docs.google.com/document/d/1zIOFoXrhQ6RPjQNe24s1h7WYh8ux10043O7SvTaL_vg/edit?usp=drive_link" TargetMode="External"/><Relationship Id="rId463" Type="http://schemas.openxmlformats.org/officeDocument/2006/relationships/hyperlink" Target="https://drive.google.com/file/d/1My84oVfac1ffvYGk9R7-9Arj7EWkpwBm/view?usp=drive_link" TargetMode="External"/><Relationship Id="rId584" Type="http://schemas.openxmlformats.org/officeDocument/2006/relationships/hyperlink" Target="https://drive.google.com/file/d/10xGJfs4Q014L281yuXdb15JtyVMpnbBc/view?usp=sharing" TargetMode="External"/><Relationship Id="rId217" Type="http://schemas.openxmlformats.org/officeDocument/2006/relationships/hyperlink" Target="https://docs.google.com/document/d/1nYp9yrjfd_AIKL55SsTvzH-doMYHO1qgAbG5fY5uuRk/edit?usp=drive_link" TargetMode="External"/><Relationship Id="rId338" Type="http://schemas.openxmlformats.org/officeDocument/2006/relationships/hyperlink" Target="https://drive.google.com/file/d/1MWdYSmpHkR8CZEfhE3ku1z2kispCAMUP/view?usp=drive_link&amp;resourcekey=0-yxIF81s7jKdjG9UKbJhgdg" TargetMode="External"/><Relationship Id="rId459" Type="http://schemas.openxmlformats.org/officeDocument/2006/relationships/hyperlink" Target="https://docs.google.com/document/d/1nNjHOTZthunDQmASyrHBvzKpI5u0Lzrv98PehgmEUCs/edit?tab=t.af4rrtflxaqs" TargetMode="External"/><Relationship Id="rId216" Type="http://schemas.openxmlformats.org/officeDocument/2006/relationships/hyperlink" Target="https://drive.google.com/file/d/1NEwC1egYhDY5qluJhbrEX0Af0sZSWwo9/view?usp=drive_link" TargetMode="External"/><Relationship Id="rId337" Type="http://schemas.openxmlformats.org/officeDocument/2006/relationships/hyperlink" Target="https://drive.google.com/file/d/1mJoGr3L-wWU90Pwa2MjjESDcxoQIpo8a/view?usp=drive_link" TargetMode="External"/><Relationship Id="rId458" Type="http://schemas.openxmlformats.org/officeDocument/2006/relationships/hyperlink" Target="https://drive.google.com/drive/folders/1E-QUhUND91pIWzZGngoN2xQpu6G8j9Ev" TargetMode="External"/><Relationship Id="rId579" Type="http://schemas.openxmlformats.org/officeDocument/2006/relationships/hyperlink" Target="https://drive.google.com/file/d/1ZLzZhNAyAY8kTTO3WaTscdFhmGoJiT4Z/view?usp=drive_link" TargetMode="External"/><Relationship Id="rId215" Type="http://schemas.openxmlformats.org/officeDocument/2006/relationships/hyperlink" Target="https://drive.google.com/file/d/12kQmkYanUzWwLwFNTUspVmEvz8gMYjXM/view?usp=drive_link" TargetMode="External"/><Relationship Id="rId336" Type="http://schemas.openxmlformats.org/officeDocument/2006/relationships/hyperlink" Target="https://docs.google.com/document/d/1qs-fvgJCtplCtst9IFerj-tqWdk0uUO9oMg-HsLjCDY/edit?usp=drive_link" TargetMode="External"/><Relationship Id="rId457" Type="http://schemas.openxmlformats.org/officeDocument/2006/relationships/hyperlink" Target="https://drive.google.com/file/d/1ni59xhrcHjXYs_Nj7VKOANm-OjSpy341/view?usp=drive_link" TargetMode="External"/><Relationship Id="rId578" Type="http://schemas.openxmlformats.org/officeDocument/2006/relationships/hyperlink" Target="https://drive.google.com/file/d/1qoHvqtGc2cwjTqFm3rgXtCPS64jiQqjv/view?usp=sharing" TargetMode="External"/><Relationship Id="rId214" Type="http://schemas.openxmlformats.org/officeDocument/2006/relationships/hyperlink" Target="https://docs.google.com/document/d/1r6xPA1MY-Y1TzG9HgwoXT2Ks2WKD13qZA1S59oNP4T0/edit?usp=drive_link" TargetMode="External"/><Relationship Id="rId335" Type="http://schemas.openxmlformats.org/officeDocument/2006/relationships/hyperlink" Target="https://drive.google.com/file/d/1T10_v93Y825E-rvoHfeOpp0oL6BulwxR/view?usp=drive_link" TargetMode="External"/><Relationship Id="rId456" Type="http://schemas.openxmlformats.org/officeDocument/2006/relationships/hyperlink" Target="https://docs.google.com/document/d/1ACv0zUqdZ1Vmuu6Gk4UgnZAykZr8OiRFVbIrRGUu7cI/edit?usp=drive_link" TargetMode="External"/><Relationship Id="rId577" Type="http://schemas.openxmlformats.org/officeDocument/2006/relationships/hyperlink" Target="https://drive.google.com/file/d/1St9rkqaJkuYbEriQoXuMQv8lxCn8BxgE/view?usp=drive_link" TargetMode="External"/><Relationship Id="rId219" Type="http://schemas.openxmlformats.org/officeDocument/2006/relationships/hyperlink" Target="https://drive.google.com/file/d/1NEwC1egYhDY5qluJhbrEX0Af0sZSWwo9/view?usp=drive_link" TargetMode="External"/><Relationship Id="rId218" Type="http://schemas.openxmlformats.org/officeDocument/2006/relationships/hyperlink" Target="https://drive.google.com/file/d/1mJoGr3L-wWU90Pwa2MjjESDcxoQIpo8a/view?usp=drive_link" TargetMode="External"/><Relationship Id="rId339" Type="http://schemas.openxmlformats.org/officeDocument/2006/relationships/hyperlink" Target="https://drive.google.com/file/d/1VKfD2ZwlGh72Cv18vbTlSnfEjuxEeAh8/view?usp=drive_link" TargetMode="External"/><Relationship Id="rId330" Type="http://schemas.openxmlformats.org/officeDocument/2006/relationships/hyperlink" Target="https://docs.google.com/document/d/1-85fD0kDIIPn_CVTEhGUXTjC37Cvf4ZB1vlWksr3ZEA/edit?usp=drive_link" TargetMode="External"/><Relationship Id="rId451" Type="http://schemas.openxmlformats.org/officeDocument/2006/relationships/hyperlink" Target="https://drive.google.com/file/d/1ni59xhrcHjXYs_Nj7VKOANm-OjSpy341/view?usp=drive_link" TargetMode="External"/><Relationship Id="rId572" Type="http://schemas.openxmlformats.org/officeDocument/2006/relationships/hyperlink" Target="https://drive.google.com/file/d/11QIYm3f0Im0g4u6i7zXcI4B2JesOL6K6/view?usp=drive_link" TargetMode="External"/><Relationship Id="rId450" Type="http://schemas.openxmlformats.org/officeDocument/2006/relationships/hyperlink" Target="https://docs.google.com/document/d/1owr4htgPN4By_o4F9C73rrbnFM6vLazYjrZH_8KzjmE/edit?tab=t.af4rrtflxaqs" TargetMode="External"/><Relationship Id="rId571" Type="http://schemas.openxmlformats.org/officeDocument/2006/relationships/hyperlink" Target="https://docs.google.com/document/d/1Um-qbtAX5DR8z6LrOHarqsy7X6CltHBNJQKdgGr5UM8/edit?usp=sharing" TargetMode="External"/><Relationship Id="rId570" Type="http://schemas.openxmlformats.org/officeDocument/2006/relationships/hyperlink" Target="https://drive.google.com/drive/folders/1l-l5POU4GnlA9f8BiflEUTCnY7mQ3lIp" TargetMode="External"/><Relationship Id="rId213" Type="http://schemas.openxmlformats.org/officeDocument/2006/relationships/hyperlink" Target="https://drive.google.com/file/d/1NEwC1egYhDY5qluJhbrEX0Af0sZSWwo9/view?usp=drive_link" TargetMode="External"/><Relationship Id="rId334" Type="http://schemas.openxmlformats.org/officeDocument/2006/relationships/hyperlink" Target="https://drive.google.com/drive/folders/145dw1hMPZKpqZjYJgXCu1LQBWk1u7LWS" TargetMode="External"/><Relationship Id="rId455" Type="http://schemas.openxmlformats.org/officeDocument/2006/relationships/hyperlink" Target="https://drive.google.com/drive/folders/1r3HPiVDaa5W6RkLGpUks-_gD9n0nU-yA" TargetMode="External"/><Relationship Id="rId576" Type="http://schemas.openxmlformats.org/officeDocument/2006/relationships/hyperlink" Target="https://docs.google.com/document/d/1U3ea5KNAsYOZKy0aaP8RQY30jFRsdkgidc1s-3zH80E/edit?usp=sharing" TargetMode="External"/><Relationship Id="rId212" Type="http://schemas.openxmlformats.org/officeDocument/2006/relationships/hyperlink" Target="https://drive.google.com/file/d/19n6RWegb7nQHQArUdd-JDZJEKqyLKBBD/view?usp=drive_link" TargetMode="External"/><Relationship Id="rId333" Type="http://schemas.openxmlformats.org/officeDocument/2006/relationships/hyperlink" Target="https://drive.google.com/file/d/1Nxs-BFzyOO48v7EeXihDyLTjkdtRsVVf/view?usp=drive_link" TargetMode="External"/><Relationship Id="rId454" Type="http://schemas.openxmlformats.org/officeDocument/2006/relationships/hyperlink" Target="https://drive.google.com/file/d/1LHDdZt5j0XdSCNq-BGcWCHl6PcFjsAWo/view?usp=drive_link" TargetMode="External"/><Relationship Id="rId575" Type="http://schemas.openxmlformats.org/officeDocument/2006/relationships/hyperlink" Target="https://drive.google.com/drive/folders/12YjRaTOBdAATF-iBuywwGFEUJOndWtg6" TargetMode="External"/><Relationship Id="rId211" Type="http://schemas.openxmlformats.org/officeDocument/2006/relationships/hyperlink" Target="https://docs.google.com/document/d/1kfkYg5Hy0oaPB_zIieNfZuJxk9_R3b7oPdAUZu2ZBhE/edit?usp=drive_link" TargetMode="External"/><Relationship Id="rId332" Type="http://schemas.openxmlformats.org/officeDocument/2006/relationships/hyperlink" Target="https://drive.google.com/file/d/1MWdYSmpHkR8CZEfhE3ku1z2kispCAMUP/view?usp=drive_link&amp;resourcekey=0-yxIF81s7jKdjG9UKbJhgdg" TargetMode="External"/><Relationship Id="rId453" Type="http://schemas.openxmlformats.org/officeDocument/2006/relationships/hyperlink" Target="https://docs.google.com/document/d/1uYeRC53xprwjpMvTcOESHYpRe9f9G0Q0cZ9dtFU52nc/edit?tab=t.af4rrtflxaqs" TargetMode="External"/><Relationship Id="rId574" Type="http://schemas.openxmlformats.org/officeDocument/2006/relationships/hyperlink" Target="https://drive.google.com/file/d/1Rkaz8dmVrRBtnuhlzbAfX0MV3kpqmshD/view?usp=sharing" TargetMode="External"/><Relationship Id="rId210" Type="http://schemas.openxmlformats.org/officeDocument/2006/relationships/hyperlink" Target="https://drive.google.com/file/d/1NEwC1egYhDY5qluJhbrEX0Af0sZSWwo9/view?usp=drive_link" TargetMode="External"/><Relationship Id="rId331" Type="http://schemas.openxmlformats.org/officeDocument/2006/relationships/hyperlink" Target="https://drive.google.com/file/d/1yHDSmlsxOCaWqpxCAQpdTHTKS0gb3_1K/view?usp=drive_link" TargetMode="External"/><Relationship Id="rId452" Type="http://schemas.openxmlformats.org/officeDocument/2006/relationships/hyperlink" Target="https://drive.google.com/drive/folders/1Ols-fLJ1d0pIDcxOaUVYMpV0ZLOQRud9" TargetMode="External"/><Relationship Id="rId573" Type="http://schemas.openxmlformats.org/officeDocument/2006/relationships/hyperlink" Target="https://drive.google.com/file/d/1DUwpTK88HDCsm3uelITW3cxiA1Rs8z8p/view?usp=sharing" TargetMode="External"/><Relationship Id="rId370" Type="http://schemas.openxmlformats.org/officeDocument/2006/relationships/hyperlink" Target="https://drive.google.com/drive/folders/1JeorlO_Nk79oSfi0DGN4al6msdFWYS_5" TargetMode="External"/><Relationship Id="rId491" Type="http://schemas.openxmlformats.org/officeDocument/2006/relationships/hyperlink" Target="https://drive.google.com/drive/folders/1XQA0V2ORvrnGbKHa_6tZDr9G1ZNHbPf7" TargetMode="External"/><Relationship Id="rId490" Type="http://schemas.openxmlformats.org/officeDocument/2006/relationships/hyperlink" Target="https://drive.google.com/file/d/1KBpGBc8juoC_cEl6UHD2oMahr6IlHmdI/view?usp=drive_link" TargetMode="External"/><Relationship Id="rId129" Type="http://schemas.openxmlformats.org/officeDocument/2006/relationships/hyperlink" Target="https://drive.google.com/drive/folders/1j1VpZlqOo8oiGUxT9OBJMqCyznn0P_hD" TargetMode="External"/><Relationship Id="rId128" Type="http://schemas.openxmlformats.org/officeDocument/2006/relationships/hyperlink" Target="https://drive.google.com/file/d/1VwiDjy6PY-gBEp2iZCdeyvBSibBehpi_/view?usp=sharing" TargetMode="External"/><Relationship Id="rId249" Type="http://schemas.openxmlformats.org/officeDocument/2006/relationships/hyperlink" Target="https://drive.google.com/file/d/1BL27JwgqBFxv2PZ5_VeDhajgTzM7kmHW/view?usp=drive_link" TargetMode="External"/><Relationship Id="rId127" Type="http://schemas.openxmlformats.org/officeDocument/2006/relationships/hyperlink" Target="https://drive.google.com/file/d/1laIRXK1RV0PbX1gtq8aamj64KB9IYsro/view?usp=drive_link" TargetMode="External"/><Relationship Id="rId248" Type="http://schemas.openxmlformats.org/officeDocument/2006/relationships/hyperlink" Target="https://drive.google.com/file/d/1Pic3v1epmBDxQnWZMDzdDUnjLU6Ve_vT/view?usp=drive_link" TargetMode="External"/><Relationship Id="rId369" Type="http://schemas.openxmlformats.org/officeDocument/2006/relationships/hyperlink" Target="https://drive.google.com/file/d/1OX2kOQg6hSmZHiPZZg20gr8oy0nOQCSK/view?usp=drive_link" TargetMode="External"/><Relationship Id="rId126" Type="http://schemas.openxmlformats.org/officeDocument/2006/relationships/hyperlink" Target="https://docs.google.com/document/d/1E2pkzQvrmT3UcDNRiz5hsc6hSmduP4RVaBHK2nLqqM4/edit?usp=drive_link" TargetMode="External"/><Relationship Id="rId247" Type="http://schemas.openxmlformats.org/officeDocument/2006/relationships/hyperlink" Target="https://docs.google.com/document/d/1bYoNc5dFc3T84XolLBiEEoMFKrUJ7e0GjWeYtFeNJdo/edit?tab=t.af4rrtflxaqs" TargetMode="External"/><Relationship Id="rId368" Type="http://schemas.openxmlformats.org/officeDocument/2006/relationships/hyperlink" Target="https://drive.google.com/file/d/1fWw6QMV9BFhVeT2tBMW8861leOZR31pk/view?usp=drive_link&amp;resourcekey=0-9R8f3Jmb3E0rbmfRbc199g" TargetMode="External"/><Relationship Id="rId489" Type="http://schemas.openxmlformats.org/officeDocument/2006/relationships/hyperlink" Target="https://docs.google.com/document/d/1thkW2QfGrRACy28Nsoqh1HgODPLnr7keNu3Wd0gJijQ/edit?usp=sharing" TargetMode="External"/><Relationship Id="rId121" Type="http://schemas.openxmlformats.org/officeDocument/2006/relationships/hyperlink" Target="https://drive.google.com/drive/folders/1ICCGXX66h2RJCdZJCPK5OLVmXqYa6DsB" TargetMode="External"/><Relationship Id="rId242" Type="http://schemas.openxmlformats.org/officeDocument/2006/relationships/hyperlink" Target="https://drive.google.com/file/d/1T_jtU3BRi7UH9zY8M-2hJ6K5Z1qJbqSI/view?usp=drive_link" TargetMode="External"/><Relationship Id="rId363" Type="http://schemas.openxmlformats.org/officeDocument/2006/relationships/hyperlink" Target="https://drive.google.com/file/d/18FUE_245K3th3ROQk-CQv1ZKEWC61jA-/view?usp=drive_link" TargetMode="External"/><Relationship Id="rId484" Type="http://schemas.openxmlformats.org/officeDocument/2006/relationships/hyperlink" Target="https://drive.google.com/file/d/1rYE56j4yM96jXkRDVrZMUZydhWB6Jhxa/view?usp=drive_link" TargetMode="External"/><Relationship Id="rId120" Type="http://schemas.openxmlformats.org/officeDocument/2006/relationships/hyperlink" Target="https://drive.google.com/file/d/1T8NPQyv8bERB3RNY0DWKgZbjH07aTIe3/view?usp=sharing" TargetMode="External"/><Relationship Id="rId241" Type="http://schemas.openxmlformats.org/officeDocument/2006/relationships/hyperlink" Target="https://docs.google.com/document/d/1rDNTcZYcFRxlu630pjbONEdLbvDYgFJ5BCOOlLvwat0/edit?usp=sharing" TargetMode="External"/><Relationship Id="rId362" Type="http://schemas.openxmlformats.org/officeDocument/2006/relationships/hyperlink" Target="https://drive.google.com/file/d/1NFNckdPIAt1Ky-gbJWUuEx-gIBrvWicp/view?usp=drive_link&amp;resourcekey=0-FM9YTwbJ8LSGb2iC9w7qwA" TargetMode="External"/><Relationship Id="rId483" Type="http://schemas.openxmlformats.org/officeDocument/2006/relationships/hyperlink" Target="https://docs.google.com/document/d/1z3Y9vofDdQ9yKlqtfCKf3luQaa8eGrqZkokKdcCPrgw/edit?usp=sharing" TargetMode="External"/><Relationship Id="rId240" Type="http://schemas.openxmlformats.org/officeDocument/2006/relationships/hyperlink" Target="https://drive.google.com/file/d/1f6En1kRe5O2nA_E98oY76kAjn3AWz8X4/view?usp=drive_link" TargetMode="External"/><Relationship Id="rId361" Type="http://schemas.openxmlformats.org/officeDocument/2006/relationships/hyperlink" Target="https://drive.google.com/file/d/1dJKbTHbMFvcnb7U2dARVJU7kalG2k8Nl/view?usp=drive_link" TargetMode="External"/><Relationship Id="rId482" Type="http://schemas.openxmlformats.org/officeDocument/2006/relationships/hyperlink" Target="https://drive.google.com/drive/folders/170RIKMIHEjK-hydoSn3IXlq0wv_7NPPk" TargetMode="External"/><Relationship Id="rId360" Type="http://schemas.openxmlformats.org/officeDocument/2006/relationships/hyperlink" Target="https://docs.google.com/document/d/1ylFUdHv5UckWRkmuCJ1JqZzLMgObwLDyPY1X9q748HE/edit?tab=t.af4rrtflxaqs" TargetMode="External"/><Relationship Id="rId481" Type="http://schemas.openxmlformats.org/officeDocument/2006/relationships/hyperlink" Target="https://drive.google.com/file/d/10zjTWHxcFkaJliQPArB_gu6jocyHdSL6/view?usp=drive_link" TargetMode="External"/><Relationship Id="rId125" Type="http://schemas.openxmlformats.org/officeDocument/2006/relationships/hyperlink" Target="https://drive.google.com/drive/folders/1OiVjk6I9Jdefzr2a7OKzvU0FsU7X1NWm" TargetMode="External"/><Relationship Id="rId246" Type="http://schemas.openxmlformats.org/officeDocument/2006/relationships/hyperlink" Target="https://drive.google.com/file/d/1BL27JwgqBFxv2PZ5_VeDhajgTzM7kmHW/view?usp=drive_link" TargetMode="External"/><Relationship Id="rId367" Type="http://schemas.openxmlformats.org/officeDocument/2006/relationships/hyperlink" Target="https://drive.google.com/file/d/1XX8yGk_O05d0Cb_1FETVDQxYs6RzvZjT/view?usp=drive_link" TargetMode="External"/><Relationship Id="rId488" Type="http://schemas.openxmlformats.org/officeDocument/2006/relationships/hyperlink" Target="https://drive.google.com/drive/folders/1zwicU6a7KUKoZE1TweZ8CVol4bHYJJsl?usp=drive_link" TargetMode="External"/><Relationship Id="rId124" Type="http://schemas.openxmlformats.org/officeDocument/2006/relationships/hyperlink" Target="https://drive.google.com/file/d/1muYWrPi67yu_CO2zLGJKZWcGTOans6RQ/view?usp=sharing" TargetMode="External"/><Relationship Id="rId245" Type="http://schemas.openxmlformats.org/officeDocument/2006/relationships/hyperlink" Target="https://drive.google.com/file/d/1uUGgEYqXDiPP40hDTT8Y56AyfF2UyWFi/view?usp=drive_link" TargetMode="External"/><Relationship Id="rId366" Type="http://schemas.openxmlformats.org/officeDocument/2006/relationships/hyperlink" Target="https://docs.google.com/document/d/11eFgRM4kBP3_kE-JcBXqds6dALqFFP86lbgEc9gt__4/edit?tab=t.af4rrtflxaqs" TargetMode="External"/><Relationship Id="rId487" Type="http://schemas.openxmlformats.org/officeDocument/2006/relationships/hyperlink" Target="https://drive.google.com/file/d/1J7jPWxpELoHs76pZPB9Kl-jysm1-_mhI/view?usp=drive_link" TargetMode="External"/><Relationship Id="rId123" Type="http://schemas.openxmlformats.org/officeDocument/2006/relationships/hyperlink" Target="https://drive.google.com/file/d/1laIRXK1RV0PbX1gtq8aamj64KB9IYsro/view?usp=drive_link" TargetMode="External"/><Relationship Id="rId244" Type="http://schemas.openxmlformats.org/officeDocument/2006/relationships/hyperlink" Target="https://docs.google.com/document/d/1CVVdCaWLV9XIIzRN7Ry3N6w9JSxfx1CIwMyxZSG-MYU/edit?tab=t.af4rrtflxaqs" TargetMode="External"/><Relationship Id="rId365" Type="http://schemas.openxmlformats.org/officeDocument/2006/relationships/hyperlink" Target="https://drive.google.com/file/d/1eQe_41STcOXyi3Imc9jd8BQtwxr1oH3t/view?usp=drive_link" TargetMode="External"/><Relationship Id="rId486" Type="http://schemas.openxmlformats.org/officeDocument/2006/relationships/hyperlink" Target="https://docs.google.com/document/d/1V0rqu_Y0Di4fdJ-rzCs6kZRclKAy_-5O97E1AtU6J4I/edit?usp=sharing" TargetMode="External"/><Relationship Id="rId122" Type="http://schemas.openxmlformats.org/officeDocument/2006/relationships/hyperlink" Target="https://docs.google.com/document/d/1mWx3rxeJw_xNsQNQZIP8whZkl07Ovb76Ni_ugdygRmQ/edit?usp=drive_link" TargetMode="External"/><Relationship Id="rId243" Type="http://schemas.openxmlformats.org/officeDocument/2006/relationships/hyperlink" Target="https://drive.google.com/file/d/1BL27JwgqBFxv2PZ5_VeDhajgTzM7kmHW/view?usp=drive_link" TargetMode="External"/><Relationship Id="rId364" Type="http://schemas.openxmlformats.org/officeDocument/2006/relationships/hyperlink" Target="https://drive.google.com/drive/folders/1s85TKbcLxg2zz8x-KGlCIxAm5RaW6r3y" TargetMode="External"/><Relationship Id="rId485" Type="http://schemas.openxmlformats.org/officeDocument/2006/relationships/hyperlink" Target="https://drive.google.com/drive/folders/19wiOj03URSrajuSaRBEx7SII2msPhl5l" TargetMode="External"/><Relationship Id="rId95" Type="http://schemas.openxmlformats.org/officeDocument/2006/relationships/hyperlink" Target="https://drive.google.com/drive/folders/1ldJR5MjLxDYjS5o3_Re8TYN0-Difdo9Y" TargetMode="External"/><Relationship Id="rId94" Type="http://schemas.openxmlformats.org/officeDocument/2006/relationships/hyperlink" Target="https://docs.google.com/document/d/1dvuCJ-xcuW2MxudEL_FiB4FTKg40zSaG1sQ18TLWiVs/edit?usp=drive_link" TargetMode="External"/><Relationship Id="rId97" Type="http://schemas.openxmlformats.org/officeDocument/2006/relationships/hyperlink" Target="https://drive.google.com/drive/folders/1fSZhT3F8so4A5MNJ2zRSFrl_pOYpt_ix" TargetMode="External"/><Relationship Id="rId96" Type="http://schemas.openxmlformats.org/officeDocument/2006/relationships/hyperlink" Target="https://docs.google.com/document/d/1c8zu4_ZqAqY6F9K-7tHzBgslW-RX8_X_zyRyZ6UBJVE/edit?tab=t.0" TargetMode="External"/><Relationship Id="rId99" Type="http://schemas.openxmlformats.org/officeDocument/2006/relationships/hyperlink" Target="https://drive.google.com/drive/folders/1JOPzNQQtx8CW9W2Tdv83uWs6zHIzSkVR" TargetMode="External"/><Relationship Id="rId480" Type="http://schemas.openxmlformats.org/officeDocument/2006/relationships/hyperlink" Target="https://docs.google.com/document/d/1r1IFyuKHCTxm_X2zIrmdSwdeS52QG1DvRI7r-OsOVQQ/edit?tab=t.af4rrtflxaqs" TargetMode="External"/><Relationship Id="rId98" Type="http://schemas.openxmlformats.org/officeDocument/2006/relationships/hyperlink" Target="https://docs.google.com/document/d/1_NrAX811emJYOxHtQeTcDT-OwZnKF0gpJL58hZH9qFs/edit?usp=drive_link" TargetMode="External"/><Relationship Id="rId91" Type="http://schemas.openxmlformats.org/officeDocument/2006/relationships/hyperlink" Target="https://drive.google.com/drive/folders/1MZNgaEYkPfhd1xaRCJ2LEA0pna-kk_XD" TargetMode="External"/><Relationship Id="rId90" Type="http://schemas.openxmlformats.org/officeDocument/2006/relationships/hyperlink" Target="https://docs.google.com/document/d/1xqgtltdI_Jnfd1NXps4BA_js3iM_g2HBfyerokHB9rY/edit?usp=drive_link" TargetMode="External"/><Relationship Id="rId93" Type="http://schemas.openxmlformats.org/officeDocument/2006/relationships/hyperlink" Target="https://drive.google.com/drive/folders/1K0ibPkyTABgc7Gvo231WrOGrXHdpeiQz" TargetMode="External"/><Relationship Id="rId92" Type="http://schemas.openxmlformats.org/officeDocument/2006/relationships/hyperlink" Target="https://docs.google.com/document/d/1K_4l9Ak-RkXa7Ba-JeW3ZHphXJp6wpR5wunBF6CaEOs/edit?usp=drive_link" TargetMode="External"/><Relationship Id="rId118" Type="http://schemas.openxmlformats.org/officeDocument/2006/relationships/hyperlink" Target="https://drive.google.com/file/d/1laIRXK1RV0PbX1gtq8aamj64KB9IYsro/view?usp=drive_link" TargetMode="External"/><Relationship Id="rId239" Type="http://schemas.openxmlformats.org/officeDocument/2006/relationships/hyperlink" Target="https://drive.google.com/drive/folders/1mZ13AE26nmr3nNgSyod7f30QVhJ4d8uv" TargetMode="External"/><Relationship Id="rId117" Type="http://schemas.openxmlformats.org/officeDocument/2006/relationships/hyperlink" Target="https://docs.google.com/document/d/1EVdIjP096xT4uwXYjOK7ffEP_fIzBiVSMD5akuGDSiY/edit?usp=drive_link" TargetMode="External"/><Relationship Id="rId238" Type="http://schemas.openxmlformats.org/officeDocument/2006/relationships/hyperlink" Target="https://drive.google.com/file/d/1CYa9dYy8vUN_CJro7YWEKi9BplMJgMOg/view?usp=drive_link" TargetMode="External"/><Relationship Id="rId359" Type="http://schemas.openxmlformats.org/officeDocument/2006/relationships/hyperlink" Target="https://drive.google.com/file/d/1IG_D2DEJv5uei8WtFSEuFyLluRWkGWaT/view?usp=drive_link" TargetMode="External"/><Relationship Id="rId116" Type="http://schemas.openxmlformats.org/officeDocument/2006/relationships/hyperlink" Target="https://drive.google.com/file/d/1A7GzJ3j_E-43GXF_zo7Hk6Ta-gkbpAhN/view?usp=drive_link" TargetMode="External"/><Relationship Id="rId237" Type="http://schemas.openxmlformats.org/officeDocument/2006/relationships/hyperlink" Target="https://drive.google.com/file/d/1BL27JwgqBFxv2PZ5_VeDhajgTzM7kmHW/view?usp=drive_link" TargetMode="External"/><Relationship Id="rId358" Type="http://schemas.openxmlformats.org/officeDocument/2006/relationships/hyperlink" Target="https://drive.google.com/drive/folders/1MI85WbqnQk-w5eMWXS2329jPFOkvQy7a" TargetMode="External"/><Relationship Id="rId479" Type="http://schemas.openxmlformats.org/officeDocument/2006/relationships/hyperlink" Target="https://drive.google.com/drive/folders/12anH0wTLBibO5TFUIwY3DFDMz8qM91Nw" TargetMode="External"/><Relationship Id="rId115" Type="http://schemas.openxmlformats.org/officeDocument/2006/relationships/hyperlink" Target="https://drive.google.com/file/d/1MlSyD2O-DniCkTtjiAsdJj7g8tElAPsU/view?usp=drive_link" TargetMode="External"/><Relationship Id="rId236" Type="http://schemas.openxmlformats.org/officeDocument/2006/relationships/hyperlink" Target="https://drive.google.com/file/d/1zljUrG6iVxVHPXDEzgLTVqL2ujTe2NEo/view?usp=drive_link" TargetMode="External"/><Relationship Id="rId357" Type="http://schemas.openxmlformats.org/officeDocument/2006/relationships/hyperlink" Target="https://drive.google.com/file/d/1qDpyn-bBzvRcpBVyZPyLkrJzT_gA7Dsh/view?usp=drive_link" TargetMode="External"/><Relationship Id="rId478" Type="http://schemas.openxmlformats.org/officeDocument/2006/relationships/hyperlink" Target="https://drive.google.com/file/d/1mNbQW2QbHweCyG4dQKVVSRu6O84mcK0I/view?usp=sharing" TargetMode="External"/><Relationship Id="rId599" Type="http://schemas.openxmlformats.org/officeDocument/2006/relationships/hyperlink" Target="https://drive.google.com/drive/folders/1wTV5PypbuTfC-mkU6he-pqF1bsKNJKCM" TargetMode="External"/><Relationship Id="rId119" Type="http://schemas.openxmlformats.org/officeDocument/2006/relationships/hyperlink" Target="https://drive.google.com/file/d/1gjyHS_6HxhQ5-9I2Kh60uGP4VssQDuEL/view?usp=drive_link" TargetMode="External"/><Relationship Id="rId110" Type="http://schemas.openxmlformats.org/officeDocument/2006/relationships/hyperlink" Target="https://docs.google.com/document/d/1Tp0aKY7Fo_VIyR4reEZ55Y76oc8aYYgPRlscmHzrasY/edit?tab=t.af4rrtflxaqs" TargetMode="External"/><Relationship Id="rId231" Type="http://schemas.openxmlformats.org/officeDocument/2006/relationships/hyperlink" Target="https://drive.google.com/file/d/1BL27JwgqBFxv2PZ5_VeDhajgTzM7kmHW/view?usp=drive_link" TargetMode="External"/><Relationship Id="rId352" Type="http://schemas.openxmlformats.org/officeDocument/2006/relationships/hyperlink" Target="https://drive.google.com/drive/folders/1cC9pxo46vtsUQSNMp3EwIxeKKVw_n3Qq" TargetMode="External"/><Relationship Id="rId473" Type="http://schemas.openxmlformats.org/officeDocument/2006/relationships/hyperlink" Target="https://drive.google.com/drive/folders/1roKD53PNjn_cghiHgkJ0kvn_29pEaqN7" TargetMode="External"/><Relationship Id="rId594" Type="http://schemas.openxmlformats.org/officeDocument/2006/relationships/hyperlink" Target="https://docs.google.com/document/d/1ZhOYk57cvQ8lHuZVuGdm1PtZmyrppwF9KlqBjatrHAU/edit?tab=t.0" TargetMode="External"/><Relationship Id="rId230" Type="http://schemas.openxmlformats.org/officeDocument/2006/relationships/hyperlink" Target="https://drive.google.com/file/d/1WkiJ-xQw_zBtEUwaAyt6hFufz9UIkz71/view?usp=drive_link" TargetMode="External"/><Relationship Id="rId351" Type="http://schemas.openxmlformats.org/officeDocument/2006/relationships/hyperlink" Target="https://drive.google.com/file/d/1yyu3fUHxdFNt-JLIKdcwNIsoIMZGj0hd/view?usp=drive_link" TargetMode="External"/><Relationship Id="rId472" Type="http://schemas.openxmlformats.org/officeDocument/2006/relationships/hyperlink" Target="https://drive.google.com/file/d/14yb3QJf2WwiRRbouXRrGOYbkbYqZJGQ8/view?usp=drive_link" TargetMode="External"/><Relationship Id="rId593" Type="http://schemas.openxmlformats.org/officeDocument/2006/relationships/hyperlink" Target="https://drive.google.com/drive/folders/1BsIB3V_CkfvUoDFK9mqJbNG968gp9W2O" TargetMode="External"/><Relationship Id="rId350" Type="http://schemas.openxmlformats.org/officeDocument/2006/relationships/hyperlink" Target="https://drive.google.com/file/d/1NFNckdPIAt1Ky-gbJWUuEx-gIBrvWicp/view?usp=drive_link&amp;resourcekey=0-FM9YTwbJ8LSGb2iC9w7qwA" TargetMode="External"/><Relationship Id="rId471" Type="http://schemas.openxmlformats.org/officeDocument/2006/relationships/hyperlink" Target="https://docs.google.com/document/d/13VcYtTprsGQEShXF4o7C1w6WgJ2CE9dhKAp5rs5lKDs/edit?tab=t.af4rrtflxaqs" TargetMode="External"/><Relationship Id="rId592" Type="http://schemas.openxmlformats.org/officeDocument/2006/relationships/hyperlink" Target="https://docs.google.com/document/d/14Ah_Xn48awEBhq4g7pcWBxQF_bHN2uQpLLCH2g02PrA/edit?tab=t.0" TargetMode="External"/><Relationship Id="rId470" Type="http://schemas.openxmlformats.org/officeDocument/2006/relationships/hyperlink" Target="https://drive.google.com/drive/folders/1qXV4RpgpBrxB1fVTLxMprPFMSYUeN1iv" TargetMode="External"/><Relationship Id="rId591" Type="http://schemas.openxmlformats.org/officeDocument/2006/relationships/hyperlink" Target="https://drive.google.com/drive/folders/1mZjo05D4WekFhmWJnP9MEw2kjDfyLWGG" TargetMode="External"/><Relationship Id="rId114" Type="http://schemas.openxmlformats.org/officeDocument/2006/relationships/hyperlink" Target="https://docs.google.com/document/d/112AoS9f-QdrgMWFRjFGb2x-KkNySB13EbaFzL03mYEs/edit?usp=drive_link" TargetMode="External"/><Relationship Id="rId235" Type="http://schemas.openxmlformats.org/officeDocument/2006/relationships/hyperlink" Target="https://docs.google.com/document/d/1BWAB99zpoxVZweZhmn3OcugjJW7gC-NjDy0PLPrFFbQ/edit?tab=t.af4rrtflxaqs" TargetMode="External"/><Relationship Id="rId356" Type="http://schemas.openxmlformats.org/officeDocument/2006/relationships/hyperlink" Target="https://drive.google.com/file/d/1NFNckdPIAt1Ky-gbJWUuEx-gIBrvWicp/view?usp=drive_link&amp;resourcekey=0-FM9YTwbJ8LSGb2iC9w7qwA" TargetMode="External"/><Relationship Id="rId477" Type="http://schemas.openxmlformats.org/officeDocument/2006/relationships/hyperlink" Target="https://docs.google.com/document/d/1TM8_Z9bBhfBQHCx4vuEI_YFmXC_EV56vgIO0RYUsqVA/edit?tab=t.0" TargetMode="External"/><Relationship Id="rId598" Type="http://schemas.openxmlformats.org/officeDocument/2006/relationships/hyperlink" Target="https://docs.google.com/document/d/199iDdDDlUgFKKskOONdjwuaQ6XLMu19DihtUdcJ_sSI/edit?tab=t.0" TargetMode="External"/><Relationship Id="rId113" Type="http://schemas.openxmlformats.org/officeDocument/2006/relationships/hyperlink" Target="https://drive.google.com/drive/folders/1IQkc5LVqHrjN5Lje4og5uDvv5Avf7NL-" TargetMode="External"/><Relationship Id="rId234" Type="http://schemas.openxmlformats.org/officeDocument/2006/relationships/hyperlink" Target="https://drive.google.com/file/d/1aeaOj4KeRsalIOLyFGRgAdsBd9-_MzIN/view?usp=drive_link" TargetMode="External"/><Relationship Id="rId355" Type="http://schemas.openxmlformats.org/officeDocument/2006/relationships/hyperlink" Target="https://drive.google.com/file/d/1zljUrG6iVxVHPXDEzgLTVqL2ujTe2NEo/view?usp=drive_link" TargetMode="External"/><Relationship Id="rId476" Type="http://schemas.openxmlformats.org/officeDocument/2006/relationships/hyperlink" Target="https://drive.google.com/drive/folders/1F28Wh0v1VL3PkrMAJU4ENlMdK5atBUSG" TargetMode="External"/><Relationship Id="rId597" Type="http://schemas.openxmlformats.org/officeDocument/2006/relationships/hyperlink" Target="https://drive.google.com/drive/folders/1yzoGDb3LbbeYzge3zd1bgmk3tr6d1Czd" TargetMode="External"/><Relationship Id="rId112" Type="http://schemas.openxmlformats.org/officeDocument/2006/relationships/hyperlink" Target="https://docs.google.com/document/d/15ggu7-3HlJc2lntPJLEOidGw1_MmfA0vpsBOeVkQJ9U/edit?usp=drive_link" TargetMode="External"/><Relationship Id="rId233" Type="http://schemas.openxmlformats.org/officeDocument/2006/relationships/hyperlink" Target="https://drive.google.com/drive/folders/1coeafm5xtKeXB5OSAUdesxbpmHA5U4JT" TargetMode="External"/><Relationship Id="rId354" Type="http://schemas.openxmlformats.org/officeDocument/2006/relationships/hyperlink" Target="https://docs.google.com/document/d/1_yMTYrVycdfZbrF4fbYK7nd32Y5HFMqx5_19t9-T8UQ/edit?tab=t.af4rrtflxaqs" TargetMode="External"/><Relationship Id="rId475" Type="http://schemas.openxmlformats.org/officeDocument/2006/relationships/hyperlink" Target="https://drive.google.com/file/d/14ahLt6W954suIMV0H-BooEJDrBsDQ-Y2/view?usp=drive_link" TargetMode="External"/><Relationship Id="rId596" Type="http://schemas.openxmlformats.org/officeDocument/2006/relationships/hyperlink" Target="https://docs.google.com/document/d/18ZAgaxZNnCHcllewIwo24cW2O73SgB32DeawNvKOnEI/edit?tab=t.0" TargetMode="External"/><Relationship Id="rId111" Type="http://schemas.openxmlformats.org/officeDocument/2006/relationships/hyperlink" Target="https://drive.google.com/file/d/1cL9iZcnABY4MaLdr2FPTcQzMh8mq3qh5/view?usp=drive_link" TargetMode="External"/><Relationship Id="rId232" Type="http://schemas.openxmlformats.org/officeDocument/2006/relationships/hyperlink" Target="https://drive.google.com/file/d/1eyigRBoJYJkCh6T8Lzg5xSswyej9e8bF/view?usp=drive_link" TargetMode="External"/><Relationship Id="rId353" Type="http://schemas.openxmlformats.org/officeDocument/2006/relationships/hyperlink" Target="https://drive.google.com/file/d/1ox9a5N9Y-2wFLIFNLybvkCiVvcgulZQI/view?usp=drive_link" TargetMode="External"/><Relationship Id="rId474" Type="http://schemas.openxmlformats.org/officeDocument/2006/relationships/hyperlink" Target="https://docs.google.com/document/d/1uhrDy5u8yFjXe-ApIibKy95hVdUINySlUm-PjjKQCbI/edit?tab=t.0" TargetMode="External"/><Relationship Id="rId595" Type="http://schemas.openxmlformats.org/officeDocument/2006/relationships/hyperlink" Target="https://drive.google.com/drive/folders/1Y4TOHm4fNCPPnRogOgg4nLekShsK4MBQ" TargetMode="External"/><Relationship Id="rId305" Type="http://schemas.openxmlformats.org/officeDocument/2006/relationships/hyperlink" Target="https://drive.google.com/file/d/1LpibTN1rcjgrVk568dXPnCvEgtpBexHp/view?usp=drive_link" TargetMode="External"/><Relationship Id="rId426" Type="http://schemas.openxmlformats.org/officeDocument/2006/relationships/hyperlink" Target="https://docs.google.com/document/d/1mGauN8pb6vpHTjRVA-j3f0lpNhotkeoOLclyvEEvTtU/edit?tab=t.0" TargetMode="External"/><Relationship Id="rId547" Type="http://schemas.openxmlformats.org/officeDocument/2006/relationships/hyperlink" Target="https://docs.google.com/document/d/1OkD92jT3L6zy7K1iHkj7m3pFtc-gmujRaR3YlQ2cDi4/edit?usp=sharing" TargetMode="External"/><Relationship Id="rId668" Type="http://schemas.openxmlformats.org/officeDocument/2006/relationships/hyperlink" Target="https://docs.google.com/document/d/1AhbGSrGWfWFU7rcxM2u7GHoKErEEm-ny57WVIWhGW7w/edit?tab=t.0" TargetMode="External"/><Relationship Id="rId304" Type="http://schemas.openxmlformats.org/officeDocument/2006/relationships/hyperlink" Target="https://drive.google.com/drive/folders/15U9uAmtO3Ro6ITnjFMJ-sCuEWYCFr0Us" TargetMode="External"/><Relationship Id="rId425" Type="http://schemas.openxmlformats.org/officeDocument/2006/relationships/hyperlink" Target="https://drive.google.com/drive/folders/1vGPyE1c7xOwsnq18gez4BVleyCBF6Tmb" TargetMode="External"/><Relationship Id="rId546" Type="http://schemas.openxmlformats.org/officeDocument/2006/relationships/hyperlink" Target="https://drive.google.com/file/d/1ZjQ5TFYirK7136xWd40FJ4IvKj9rCNCL/view?usp=sharing" TargetMode="External"/><Relationship Id="rId667" Type="http://schemas.openxmlformats.org/officeDocument/2006/relationships/hyperlink" Target="https://drive.google.com/drive/folders/1kshEipjrv824xbPBIZqX6-CZW1xGN7sR" TargetMode="External"/><Relationship Id="rId303" Type="http://schemas.openxmlformats.org/officeDocument/2006/relationships/hyperlink" Target="https://drive.google.com/file/d/1Iob9PhPvCptO-y7odO0bmRgi9am2qZbK/view?usp=drive_link" TargetMode="External"/><Relationship Id="rId424" Type="http://schemas.openxmlformats.org/officeDocument/2006/relationships/hyperlink" Target="https://drive.google.com/file/d/1JycyNhES9t_epqFosel11U6-BL4qcgWM/view?usp=drive_link" TargetMode="External"/><Relationship Id="rId545" Type="http://schemas.openxmlformats.org/officeDocument/2006/relationships/hyperlink" Target="https://drive.google.com/file/d/11QIYm3f0Im0g4u6i7zXcI4B2JesOL6K6/view?usp=drive_link" TargetMode="External"/><Relationship Id="rId666" Type="http://schemas.openxmlformats.org/officeDocument/2006/relationships/hyperlink" Target="https://drive.google.com/file/d/1GDBqXrnX4FXYBKPSOejMQI3qM1jVi-GY/view?usp=drive_link" TargetMode="External"/><Relationship Id="rId302" Type="http://schemas.openxmlformats.org/officeDocument/2006/relationships/hyperlink" Target="https://drive.google.com/file/d/10Kg98Km3G22gZcHr1_jeKp4xwxpkwoE_/view?usp=drive_link&amp;resourcekey=0-ebkTlffvIJL3S4JQ6UsHbg" TargetMode="External"/><Relationship Id="rId423" Type="http://schemas.openxmlformats.org/officeDocument/2006/relationships/hyperlink" Target="https://docs.google.com/document/d/1V1KWBvSKWiu4AXsTRjDJrIvxMmhiBPOYragOISX923E/edit?tab=t.0" TargetMode="External"/><Relationship Id="rId544" Type="http://schemas.openxmlformats.org/officeDocument/2006/relationships/hyperlink" Target="https://drive.google.com/file/d/1mErW2dwXImAhrfBb0Tz8U8A2hpRf-Qcp/view?usp=sharing" TargetMode="External"/><Relationship Id="rId665" Type="http://schemas.openxmlformats.org/officeDocument/2006/relationships/hyperlink" Target="https://docs.google.com/document/d/1_R0Xu3eoyUbeCmQZHNnVdyXOD0K_R-VK-tVERR5QAx8/edit?tab=t.af4rrtflxaqs" TargetMode="External"/><Relationship Id="rId309" Type="http://schemas.openxmlformats.org/officeDocument/2006/relationships/hyperlink" Target="https://drive.google.com/file/d/1P1dAr16nks0yW__4D-9e442Q7X5YGjNb/view?usp=drive_link" TargetMode="External"/><Relationship Id="rId308" Type="http://schemas.openxmlformats.org/officeDocument/2006/relationships/hyperlink" Target="https://drive.google.com/file/d/10Kg98Km3G22gZcHr1_jeKp4xwxpkwoE_/view?usp=drive_link&amp;resourcekey=0-ebkTlffvIJL3S4JQ6UsHbg" TargetMode="External"/><Relationship Id="rId429" Type="http://schemas.openxmlformats.org/officeDocument/2006/relationships/hyperlink" Target="https://docs.google.com/document/d/1U54dwdtbJoTNP06uGE3EnmNBV0iihe4qGTSYg1A7o74/edit?tab=t.0" TargetMode="External"/><Relationship Id="rId307" Type="http://schemas.openxmlformats.org/officeDocument/2006/relationships/hyperlink" Target="https://drive.google.com/file/d/1AR7UUMDauuaS_LV_KlcDgRGWG9zyNl_s/view?usp=drive_link" TargetMode="External"/><Relationship Id="rId428" Type="http://schemas.openxmlformats.org/officeDocument/2006/relationships/hyperlink" Target="https://drive.google.com/drive/folders/12H5Y78_HXoVYo8Y6a2FZY0tqvP37jcm6" TargetMode="External"/><Relationship Id="rId549" Type="http://schemas.openxmlformats.org/officeDocument/2006/relationships/hyperlink" Target="https://docs.google.com/document/d/1OkD92jT3L6zy7K1iHkj7m3pFtc-gmujRaR3YlQ2cDi4/edit?usp=sharing" TargetMode="External"/><Relationship Id="rId306" Type="http://schemas.openxmlformats.org/officeDocument/2006/relationships/hyperlink" Target="https://docs.google.com/document/d/1anSwX9tMW3HHSVjqnr1KIlB3RX2oJeu3zbaHjYTqTZU/edit?usp=drive_link" TargetMode="External"/><Relationship Id="rId427" Type="http://schemas.openxmlformats.org/officeDocument/2006/relationships/hyperlink" Target="https://drive.google.com/file/d/1nejcuwt53Bkg6a4at3hD_PaCS_IvJNWN/view?usp=drive_link" TargetMode="External"/><Relationship Id="rId548" Type="http://schemas.openxmlformats.org/officeDocument/2006/relationships/hyperlink" Target="https://drive.google.com/drive/folders/100E8MZtGDyX1-tTCusxzgGo7nUZk7TI2" TargetMode="External"/><Relationship Id="rId669" Type="http://schemas.openxmlformats.org/officeDocument/2006/relationships/hyperlink" Target="https://drive.google.com/file/d/1zjZf4ppfOIF5dDZraeTw4C2MsYgOjv0g/view?usp=drive_link" TargetMode="External"/><Relationship Id="rId660" Type="http://schemas.openxmlformats.org/officeDocument/2006/relationships/hyperlink" Target="https://drive.google.com/file/d/1bo_VCaM0LIbKNSO3FwrjLvC-EkRlU3R_/view?usp=drive_link" TargetMode="External"/><Relationship Id="rId301" Type="http://schemas.openxmlformats.org/officeDocument/2006/relationships/hyperlink" Target="https://drive.google.com/file/d/1x6Wi260qyyokNx7KccVbN4gHAhKTAjNi/view?usp=drive_link" TargetMode="External"/><Relationship Id="rId422" Type="http://schemas.openxmlformats.org/officeDocument/2006/relationships/hyperlink" Target="https://drive.google.com/drive/folders/1rtLfmyIkbWBsRVHG4FrJZIe9dY-e6sHx" TargetMode="External"/><Relationship Id="rId543" Type="http://schemas.openxmlformats.org/officeDocument/2006/relationships/hyperlink" Target="https://drive.google.com/file/d/10pq5NZpwof6oD2IDvsSpYvAzlxJJgTX0/view?usp=drive_link" TargetMode="External"/><Relationship Id="rId664" Type="http://schemas.openxmlformats.org/officeDocument/2006/relationships/hyperlink" Target="https://drive.google.com/drive/folders/1lLsok0tsxc6sTBnTUI7TYHrK3QvtzMS1" TargetMode="External"/><Relationship Id="rId300" Type="http://schemas.openxmlformats.org/officeDocument/2006/relationships/hyperlink" Target="https://docs.google.com/document/d/1yzwW7cpBqNpJ_TD-e1Rqlvfw-F_L_ygZM4e5-8UNf14/edit?usp=drive_link" TargetMode="External"/><Relationship Id="rId421" Type="http://schemas.openxmlformats.org/officeDocument/2006/relationships/hyperlink" Target="https://drive.google.com/file/d/1NfBHHIUhopl-p2lSGR7LXqy_pk3CxuCw/view?usp=drive_link" TargetMode="External"/><Relationship Id="rId542" Type="http://schemas.openxmlformats.org/officeDocument/2006/relationships/hyperlink" Target="https://docs.google.com/document/d/1MgJc7qFzJ--0tEStDUHPGX8pnl1fWevGP0y_DNsNKJQ/edit?usp=sharing" TargetMode="External"/><Relationship Id="rId663" Type="http://schemas.openxmlformats.org/officeDocument/2006/relationships/hyperlink" Target="https://drive.google.com/file/d/1wpFW8fj2_jIVim4YdDfuXDwVFR5aB6m3/view?usp=drive_link" TargetMode="External"/><Relationship Id="rId420" Type="http://schemas.openxmlformats.org/officeDocument/2006/relationships/hyperlink" Target="https://docs.google.com/document/d/16IlV8aYp_0f5Seo8way3FkXfBMRm7EcJ5RWdnPSch1k/edit?tab=t.af4rrtflxaqs" TargetMode="External"/><Relationship Id="rId541" Type="http://schemas.openxmlformats.org/officeDocument/2006/relationships/hyperlink" Target="https://drive.google.com/drive/folders/1q8GLjBNLfMPqzXvDNHZivvtb6evRvZdZ?usp=drive_link" TargetMode="External"/><Relationship Id="rId662" Type="http://schemas.openxmlformats.org/officeDocument/2006/relationships/hyperlink" Target="https://docs.google.com/document/d/1fJ2M5usp0j8i7xu50D3WNhBSfha0Z1dhM92yvpsZ7R4/edit?tab=t.0" TargetMode="External"/><Relationship Id="rId540" Type="http://schemas.openxmlformats.org/officeDocument/2006/relationships/hyperlink" Target="https://drive.google.com/file/d/1hm4hIanjfhO7pYWZ4eGl7VgshHenEsfP/view?usp=sharing" TargetMode="External"/><Relationship Id="rId661" Type="http://schemas.openxmlformats.org/officeDocument/2006/relationships/hyperlink" Target="https://drive.google.com/drive/folders/1ebrjTtci2B-tgVCQqYx9HQPLEriIQNgg" TargetMode="External"/><Relationship Id="rId415" Type="http://schemas.openxmlformats.org/officeDocument/2006/relationships/hyperlink" Target="https://drive.google.com/file/d/1HeakMMHyz2eso4k0XBqVBUGMQRYHCaat/view?usp=drive_link" TargetMode="External"/><Relationship Id="rId536" Type="http://schemas.openxmlformats.org/officeDocument/2006/relationships/hyperlink" Target="https://drive.google.com/file/d/132OSRnWpnZqFksPPZ-qkbz6iRP_hsJzP/view?usp=sharing" TargetMode="External"/><Relationship Id="rId657" Type="http://schemas.openxmlformats.org/officeDocument/2006/relationships/hyperlink" Target="https://drive.google.com/drive/folders/1gSC3QNBWR21HHM6plX1H9e_gSrY6jQSS" TargetMode="External"/><Relationship Id="rId414" Type="http://schemas.openxmlformats.org/officeDocument/2006/relationships/hyperlink" Target="https://docs.google.com/document/d/1WbmLO8qsDZU_D4RSkqwQDzBAW3XdAE5T4sGV4l9CI_Y/edit?usp=drive_link" TargetMode="External"/><Relationship Id="rId535" Type="http://schemas.openxmlformats.org/officeDocument/2006/relationships/hyperlink" Target="https://drive.google.com/file/d/1PIVs5ZUy7cu8R3tXjOIJb67KH-0sFwJM/view?usp=drive_link" TargetMode="External"/><Relationship Id="rId656" Type="http://schemas.openxmlformats.org/officeDocument/2006/relationships/hyperlink" Target="https://drive.google.com/file/d/1fDE36mTY5b9WiW6lkh5pull2uRyb5fpM/view?usp=drive_link" TargetMode="External"/><Relationship Id="rId413" Type="http://schemas.openxmlformats.org/officeDocument/2006/relationships/hyperlink" Target="https://drive.google.com/file/d/1tJdNB8KBrP_a0_vYet5iV8zCb6fMb5eh/view?usp=drive_link" TargetMode="External"/><Relationship Id="rId534" Type="http://schemas.openxmlformats.org/officeDocument/2006/relationships/hyperlink" Target="https://docs.google.com/document/d/1sSLywKRdlUkzNd_4P2Py5hVCpS1i95SrPW93C41PvBI/edit?usp=sharing" TargetMode="External"/><Relationship Id="rId655" Type="http://schemas.openxmlformats.org/officeDocument/2006/relationships/hyperlink" Target="https://docs.google.com/document/u/0/d/1xMWbnR1ZlJXAJrwDqyrRDwo4UZakyNPH-re80u9Do4I/edit" TargetMode="External"/><Relationship Id="rId412" Type="http://schemas.openxmlformats.org/officeDocument/2006/relationships/hyperlink" Target="https://drive.google.com/drive/folders/1DDhmdyBw8nCc8HX5WstTg3Y1fbrtju7T" TargetMode="External"/><Relationship Id="rId533" Type="http://schemas.openxmlformats.org/officeDocument/2006/relationships/hyperlink" Target="https://drive.google.com/drive/folders/1ljwd-SP57eNGjCqv1VzHYvmsJ79o5HVA" TargetMode="External"/><Relationship Id="rId654" Type="http://schemas.openxmlformats.org/officeDocument/2006/relationships/hyperlink" Target="https://drive.google.com/drive/folders/14Bb8FcbAqLgH860Pi01jDlKtWF9_-zLf" TargetMode="External"/><Relationship Id="rId419" Type="http://schemas.openxmlformats.org/officeDocument/2006/relationships/hyperlink" Target="https://drive.google.com/drive/folders/1_8aLtcvfJv8edCMWGYEF3ud0xredmg7J" TargetMode="External"/><Relationship Id="rId418" Type="http://schemas.openxmlformats.org/officeDocument/2006/relationships/hyperlink" Target="https://drive.google.com/file/d/1dPuvn748fbLn7aQQ6lSUga3AUke75u5n/view?usp=drive_link" TargetMode="External"/><Relationship Id="rId539" Type="http://schemas.openxmlformats.org/officeDocument/2006/relationships/hyperlink" Target="https://drive.google.com/file/d/1x6Wi260qyyokNx7KccVbN4gHAhKTAjNi/view?usp=drive_link" TargetMode="External"/><Relationship Id="rId417" Type="http://schemas.openxmlformats.org/officeDocument/2006/relationships/hyperlink" Target="https://docs.google.com/document/d/1gcft-M2ouHXv9Zc9nR1M3gtRtsnsPuvBntiPcXVgXqo/edit?tab=t.af4rrtflxaqs" TargetMode="External"/><Relationship Id="rId538" Type="http://schemas.openxmlformats.org/officeDocument/2006/relationships/hyperlink" Target="https://docs.google.com/document/d/1Nhh4lj7LOs3U_fI15nkZzRQ7LutR619mwHjyZM2rhxY/edit?tab=t.0" TargetMode="External"/><Relationship Id="rId659" Type="http://schemas.openxmlformats.org/officeDocument/2006/relationships/hyperlink" Target="https://drive.google.com/drive/folders/1m2v1hamHMO2R7NHGcK6ryNCiWxJUQJiR" TargetMode="External"/><Relationship Id="rId416" Type="http://schemas.openxmlformats.org/officeDocument/2006/relationships/hyperlink" Target="https://drive.google.com/drive/folders/1kH01i7jKlP0GBKwwfXCLfoGOYwwVeNj9" TargetMode="External"/><Relationship Id="rId537" Type="http://schemas.openxmlformats.org/officeDocument/2006/relationships/hyperlink" Target="https://drive.google.com/drive/folders/1AK9deS7XmPyN2CAxOuW3g4808W8RQNEG" TargetMode="External"/><Relationship Id="rId658" Type="http://schemas.openxmlformats.org/officeDocument/2006/relationships/hyperlink" Target="https://drive.google.com/file/d/1-Dl7wreJPD3v8vbvaVjCUMij151euF9Y/view?usp=drive_link" TargetMode="External"/><Relationship Id="rId411" Type="http://schemas.openxmlformats.org/officeDocument/2006/relationships/hyperlink" Target="https://drive.google.com/file/d/1pQSy3shSKLdXU4P2JnxdEGZBPfm4aNti/view?usp=drive_link" TargetMode="External"/><Relationship Id="rId532" Type="http://schemas.openxmlformats.org/officeDocument/2006/relationships/hyperlink" Target="https://drive.google.com/file/d/132OSRnWpnZqFksPPZ-qkbz6iRP_hsJzP/view?usp=sharing" TargetMode="External"/><Relationship Id="rId653" Type="http://schemas.openxmlformats.org/officeDocument/2006/relationships/hyperlink" Target="https://drive.google.com/file/d/132n_VIJ8IKz3ob1votKFLm6zZMlnR6_X/view?usp=drive_link" TargetMode="External"/><Relationship Id="rId410" Type="http://schemas.openxmlformats.org/officeDocument/2006/relationships/hyperlink" Target="https://drive.google.com/file/d/1MWdYSmpHkR8CZEfhE3ku1z2kispCAMUP/view?usp=drive_link&amp;resourcekey=0-yxIF81s7jKdjG9UKbJhgdg" TargetMode="External"/><Relationship Id="rId531" Type="http://schemas.openxmlformats.org/officeDocument/2006/relationships/hyperlink" Target="https://drive.google.com/file/d/1haLOw4jaaooROn4GY-meUCl7RQlPzPqQ/view?usp=drive_link" TargetMode="External"/><Relationship Id="rId652" Type="http://schemas.openxmlformats.org/officeDocument/2006/relationships/hyperlink" Target="https://docs.google.com/document/d/1vTccb1k0UrCQIdu-AWMsEwz7NvkIcexHBMK74mn8Mog/edit?usp=sharing" TargetMode="External"/><Relationship Id="rId530" Type="http://schemas.openxmlformats.org/officeDocument/2006/relationships/hyperlink" Target="https://drive.google.com/file/d/132OSRnWpnZqFksPPZ-qkbz6iRP_hsJzP/view?usp=sharing" TargetMode="External"/><Relationship Id="rId651" Type="http://schemas.openxmlformats.org/officeDocument/2006/relationships/hyperlink" Target="https://drive.google.com/drive/folders/16gv7MO9d1990wiOm98RQwxsFAFOKGWXC" TargetMode="External"/><Relationship Id="rId650" Type="http://schemas.openxmlformats.org/officeDocument/2006/relationships/hyperlink" Target="https://drive.google.com/file/d/1SjypT_1fuBJj9RjtyNeCaAYoLGcng7Sx/view?usp=drive_link" TargetMode="External"/><Relationship Id="rId206" Type="http://schemas.openxmlformats.org/officeDocument/2006/relationships/hyperlink" Target="https://drive.google.com/file/d/1BRWgFbQWHF40qymqcA-Xm7iombokqhgJ/view?usp=drive_link" TargetMode="External"/><Relationship Id="rId327" Type="http://schemas.openxmlformats.org/officeDocument/2006/relationships/hyperlink" Target="https://drive.google.com/file/d/1XszHuW2MVWJVjaw1R4uE2ofYsmkL4W3M/view?usp=drive_link" TargetMode="External"/><Relationship Id="rId448" Type="http://schemas.openxmlformats.org/officeDocument/2006/relationships/hyperlink" Target="https://drive.google.com/file/d/1ce9Ey9jWA-9D6wxn-Coty4CfEMjUk2yI/view?usp=drive_link" TargetMode="External"/><Relationship Id="rId569" Type="http://schemas.openxmlformats.org/officeDocument/2006/relationships/hyperlink" Target="https://docs.google.com/document/d/1N9iBOd5YX25F6mtEIRKq18-41ZN2V7yH8YULrTAnA-8/edit?usp=sharing" TargetMode="External"/><Relationship Id="rId205" Type="http://schemas.openxmlformats.org/officeDocument/2006/relationships/hyperlink" Target="https://docs.google.com/document/d/1s1Jrpm2XyQprtim-3lmvKBR1XdlAKdCdtcy4LGG6Hbs/edit?tab=t.0" TargetMode="External"/><Relationship Id="rId326" Type="http://schemas.openxmlformats.org/officeDocument/2006/relationships/hyperlink" Target="https://drive.google.com/file/d/1MWdYSmpHkR8CZEfhE3ku1z2kispCAMUP/view?usp=drive_link&amp;resourcekey=0-yxIF81s7jKdjG9UKbJhgdg" TargetMode="External"/><Relationship Id="rId447" Type="http://schemas.openxmlformats.org/officeDocument/2006/relationships/hyperlink" Target="https://docs.google.com/document/d/1pjUh70oQPrnhonIz1G5pHt7bZwIqwsS4og6qA4A9yGU/edit?tab=t.af4rrtflxaqs" TargetMode="External"/><Relationship Id="rId568" Type="http://schemas.openxmlformats.org/officeDocument/2006/relationships/hyperlink" Target="https://drive.google.com/drive/folders/1EP7d0oCpUFbzVl8gLAaym6Nmu1mttHT1" TargetMode="External"/><Relationship Id="rId204" Type="http://schemas.openxmlformats.org/officeDocument/2006/relationships/hyperlink" Target="https://drive.google.com/file/d/18vciuFzx1DUDK7eHLpf6ssxYbG5XNtOT/view?usp=drive_link" TargetMode="External"/><Relationship Id="rId325" Type="http://schemas.openxmlformats.org/officeDocument/2006/relationships/hyperlink" Target="https://drive.google.com/file/d/12Kzhr_DUy7md1CVZNks6LT7JqH0W_2qP/view?usp=drive_link" TargetMode="External"/><Relationship Id="rId446" Type="http://schemas.openxmlformats.org/officeDocument/2006/relationships/hyperlink" Target="https://drive.google.com/drive/folders/1e6rLNriGHwqM7_w0Q2Cleq8ZVA10uyZn" TargetMode="External"/><Relationship Id="rId567" Type="http://schemas.openxmlformats.org/officeDocument/2006/relationships/hyperlink" Target="https://docs.google.com/document/d/1w79xIBRUiiVKChrGiwvC6JTQ0jNFs7tQyz3y0WURYBg/edit?usp=sharing" TargetMode="External"/><Relationship Id="rId203" Type="http://schemas.openxmlformats.org/officeDocument/2006/relationships/hyperlink" Target="https://drive.google.com/drive/folders/1kgwhgEzLkNxFEEGylUka6agc9y_QqINv" TargetMode="External"/><Relationship Id="rId324" Type="http://schemas.openxmlformats.org/officeDocument/2006/relationships/hyperlink" Target="https://docs.google.com/document/d/1LkPv3FfyJbOR8XrKt4GZ8mZhFODz_aCw5iK5zfFqOyU/edit?usp=drive_link" TargetMode="External"/><Relationship Id="rId445" Type="http://schemas.openxmlformats.org/officeDocument/2006/relationships/hyperlink" Target="https://drive.google.com/file/d/18qZkCYi38gAL59JXb3tkiVeZIqpWCQW9/view?usp=drive_link" TargetMode="External"/><Relationship Id="rId566" Type="http://schemas.openxmlformats.org/officeDocument/2006/relationships/hyperlink" Target="https://drive.google.com/drive/folders/1QwFhnFodgA3Dlr6hGCamj2ZNRxBvq3ul" TargetMode="External"/><Relationship Id="rId209" Type="http://schemas.openxmlformats.org/officeDocument/2006/relationships/hyperlink" Target="https://drive.google.com/file/d/1cDYWAyuoLHW3t50yO8QOmQRpW7ZF5beT/view?usp=drive_link" TargetMode="External"/><Relationship Id="rId208" Type="http://schemas.openxmlformats.org/officeDocument/2006/relationships/hyperlink" Target="https://docs.google.com/document/d/1feaTbWz5irFsZB0fuqIHsRpwozwKK3-0dTmivcpYhCg/edit?tab=t.0" TargetMode="External"/><Relationship Id="rId329" Type="http://schemas.openxmlformats.org/officeDocument/2006/relationships/hyperlink" Target="https://drive.google.com/file/d/1-GdxWgazvD4WDrj3nuBX_kWl_15amSww/view?usp=drive_link" TargetMode="External"/><Relationship Id="rId207" Type="http://schemas.openxmlformats.org/officeDocument/2006/relationships/hyperlink" Target="https://drive.google.com/file/d/1NEwC1egYhDY5qluJhbrEX0Af0sZSWwo9/view?usp=drive_link" TargetMode="External"/><Relationship Id="rId328" Type="http://schemas.openxmlformats.org/officeDocument/2006/relationships/hyperlink" Target="https://drive.google.com/drive/folders/15vqYJXb8vlgtPFZ1RXKhDj0dxzCkPxHR" TargetMode="External"/><Relationship Id="rId449" Type="http://schemas.openxmlformats.org/officeDocument/2006/relationships/hyperlink" Target="https://drive.google.com/drive/folders/17Yt3aDOoXjamUB52KxYScQej0ZX38q2l" TargetMode="External"/><Relationship Id="rId440" Type="http://schemas.openxmlformats.org/officeDocument/2006/relationships/hyperlink" Target="https://drive.google.com/drive/folders/1EM8NFn7PpQAX7zwG4E5A9f0gBF-S1Dqe" TargetMode="External"/><Relationship Id="rId561" Type="http://schemas.openxmlformats.org/officeDocument/2006/relationships/hyperlink" Target="https://drive.google.com/file/d/12yjwAtiu55YNbS5Z_lrHDGNxrMbr_LkN/view?usp=sharing" TargetMode="External"/><Relationship Id="rId682" Type="http://schemas.openxmlformats.org/officeDocument/2006/relationships/hyperlink" Target="https://drive.google.com/drive/folders/1O2yG0-hwZ8ag0fCuahx4PLwPxAVZStY6" TargetMode="External"/><Relationship Id="rId560" Type="http://schemas.openxmlformats.org/officeDocument/2006/relationships/hyperlink" Target="https://drive.google.com/file/d/1haLOw4jaaooROn4GY-meUCl7RQlPzPqQ/view?usp=drive_link" TargetMode="External"/><Relationship Id="rId681" Type="http://schemas.openxmlformats.org/officeDocument/2006/relationships/hyperlink" Target="https://drive.google.com/file/d/14nrqq5COrZJFRXL9khPo34ZfzKe4wFQb/view?usp=drive_link" TargetMode="External"/><Relationship Id="rId680" Type="http://schemas.openxmlformats.org/officeDocument/2006/relationships/hyperlink" Target="https://docs.google.com/document/d/1dGw-BrJn-xwXpuDoQ0HT0TRBeFZF8UTpECrF-9KSI1E/edit?tab=t.0" TargetMode="External"/><Relationship Id="rId202" Type="http://schemas.openxmlformats.org/officeDocument/2006/relationships/hyperlink" Target="https://drive.google.com/file/d/1bJRDl_HysSSYpGgAONR7LhAYsmwN1_fP/view?usp=drive_link" TargetMode="External"/><Relationship Id="rId323" Type="http://schemas.openxmlformats.org/officeDocument/2006/relationships/hyperlink" Target="https://drive.google.com/file/d/1t8zRVkkGrIM0SJ_oer_zsejvexmRwxS0/view?usp=drive_link" TargetMode="External"/><Relationship Id="rId444" Type="http://schemas.openxmlformats.org/officeDocument/2006/relationships/hyperlink" Target="https://docs.google.com/document/d/1uegQhSZ-CD_U8EkpDmdq-Jqb1jFnEvX4PtT96M_M9K8/edit?tab=t.af4rrtflxaqs" TargetMode="External"/><Relationship Id="rId565" Type="http://schemas.openxmlformats.org/officeDocument/2006/relationships/hyperlink" Target="https://docs.google.com/document/d/16Pmb7-Sv0s0X6GysNvLO4UlGN-sxO3IRgccIjQZjlHQ/edit?usp=sharing" TargetMode="External"/><Relationship Id="rId686" Type="http://schemas.openxmlformats.org/officeDocument/2006/relationships/drawing" Target="../drawings/drawing3.xml"/><Relationship Id="rId201" Type="http://schemas.openxmlformats.org/officeDocument/2006/relationships/hyperlink" Target="https://drive.google.com/file/d/1NEwC1egYhDY5qluJhbrEX0Af0sZSWwo9/view?usp=drive_link" TargetMode="External"/><Relationship Id="rId322" Type="http://schemas.openxmlformats.org/officeDocument/2006/relationships/hyperlink" Target="https://drive.google.com/drive/folders/1g3EBrEdBq6LtiTI1JNY4VG9IG3moplEl" TargetMode="External"/><Relationship Id="rId443" Type="http://schemas.openxmlformats.org/officeDocument/2006/relationships/hyperlink" Target="https://drive.google.com/drive/folders/19S61lIShx4CnQ6LlB_1-SVSmgDgpNM_9" TargetMode="External"/><Relationship Id="rId564" Type="http://schemas.openxmlformats.org/officeDocument/2006/relationships/hyperlink" Target="https://drive.google.com/drive/folders/1opexj1D4oJwkZwIHwC2JTmaMBnaEk5yz" TargetMode="External"/><Relationship Id="rId685" Type="http://schemas.openxmlformats.org/officeDocument/2006/relationships/hyperlink" Target="https://docs.google.com/document/d/1z-rLOHwp7ExSBM36KaUl0_ynpuV4vRyPyfqb6TL9jlg/edit?tab=t.ede60da7c69s" TargetMode="External"/><Relationship Id="rId200" Type="http://schemas.openxmlformats.org/officeDocument/2006/relationships/hyperlink" Target="https://drive.google.com/file/d/1yHDSmlsxOCaWqpxCAQpdTHTKS0gb3_1K/view?usp=drive_link" TargetMode="External"/><Relationship Id="rId321" Type="http://schemas.openxmlformats.org/officeDocument/2006/relationships/hyperlink" Target="https://drive.google.com/file/d/1QcEfhX8YQLi3M2q7GqDVlRdNGRNnULGq/view?usp=drive_link" TargetMode="External"/><Relationship Id="rId442" Type="http://schemas.openxmlformats.org/officeDocument/2006/relationships/hyperlink" Target="https://drive.google.com/file/d/16Gz41OLPlZy8meYxVqWZdH6DO0Zdw9ds/view?usp=drive_link" TargetMode="External"/><Relationship Id="rId563" Type="http://schemas.openxmlformats.org/officeDocument/2006/relationships/hyperlink" Target="https://drive.google.com/file/d/1GXE1F7DOfnhNark5Ne3YRBglYlsT6Ed9/view?usp=sharing" TargetMode="External"/><Relationship Id="rId684" Type="http://schemas.openxmlformats.org/officeDocument/2006/relationships/hyperlink" Target="https://drive.google.com/drive/folders/1YEiv_SGVQTRjFrtH1n4szk_PxD38ULSd" TargetMode="External"/><Relationship Id="rId320" Type="http://schemas.openxmlformats.org/officeDocument/2006/relationships/hyperlink" Target="https://drive.google.com/file/d/1MWdYSmpHkR8CZEfhE3ku1z2kispCAMUP/view?usp=drive_link&amp;resourcekey=0-yxIF81s7jKdjG9UKbJhgdg" TargetMode="External"/><Relationship Id="rId441" Type="http://schemas.openxmlformats.org/officeDocument/2006/relationships/hyperlink" Target="https://docs.google.com/document/d/1JZh_E-AXuPJBRlfaPbnfpyqHAc6L0PSrMifeZxo08uA/edit?tab=t.af4rrtflxaqs" TargetMode="External"/><Relationship Id="rId562" Type="http://schemas.openxmlformats.org/officeDocument/2006/relationships/hyperlink" Target="https://drive.google.com/file/d/1PIVs5ZUy7cu8R3tXjOIJb67KH-0sFwJM/view?usp=drive_link" TargetMode="External"/><Relationship Id="rId683" Type="http://schemas.openxmlformats.org/officeDocument/2006/relationships/hyperlink" Target="https://docs.google.com/document/u/0/d/1uQBoZvXIN9jrSqLci5Mst6cIbzFIpRRCtd3gaxaSlPQ/edit" TargetMode="External"/><Relationship Id="rId316" Type="http://schemas.openxmlformats.org/officeDocument/2006/relationships/hyperlink" Target="https://drive.google.com/drive/folders/1dL6mnuQNdX_ATqpJgMwmMcUguFeI4nlU" TargetMode="External"/><Relationship Id="rId437" Type="http://schemas.openxmlformats.org/officeDocument/2006/relationships/hyperlink" Target="https://drive.google.com/drive/folders/14odrcpbijkCfugItKS9Zuc1tiCMRVWuj" TargetMode="External"/><Relationship Id="rId558" Type="http://schemas.openxmlformats.org/officeDocument/2006/relationships/hyperlink" Target="https://drive.google.com/file/d/1N39PIUo8C6Z8SASqHzSQAaUA0UcTdx2D/view?usp=drive_link" TargetMode="External"/><Relationship Id="rId679" Type="http://schemas.openxmlformats.org/officeDocument/2006/relationships/hyperlink" Target="https://drive.google.com/drive/folders/1fZ7oRBxkP4BEl9sJvL_E-qebgsUr-iv5" TargetMode="External"/><Relationship Id="rId315" Type="http://schemas.openxmlformats.org/officeDocument/2006/relationships/hyperlink" Target="https://drive.google.com/file/d/154qqaEIvg01xJ9a6ZzWXrPbIJ6q_uTjd/view?usp=drive_link" TargetMode="External"/><Relationship Id="rId436" Type="http://schemas.openxmlformats.org/officeDocument/2006/relationships/hyperlink" Target="https://drive.google.com/file/d/1kOkhz4Z3nY1h7rarDAIDj-joKPsxmh-V/view?usp=drive_link" TargetMode="External"/><Relationship Id="rId557" Type="http://schemas.openxmlformats.org/officeDocument/2006/relationships/hyperlink" Target="https://drive.google.com/file/d/1680vm17uT73Hwp6yFzZgn1sVEJ0strwt/view?usp=sharing" TargetMode="External"/><Relationship Id="rId678" Type="http://schemas.openxmlformats.org/officeDocument/2006/relationships/hyperlink" Target="https://drive.google.com/file/d/1y7orCsUwhUPxLHpo0pzoL2AXfMucq1cK/view?usp=drive_link" TargetMode="External"/><Relationship Id="rId314" Type="http://schemas.openxmlformats.org/officeDocument/2006/relationships/hyperlink" Target="https://drive.google.com/file/d/10Kg98Km3G22gZcHr1_jeKp4xwxpkwoE_/view?usp=drive_link&amp;resourcekey=0-ebkTlffvIJL3S4JQ6UsHbg" TargetMode="External"/><Relationship Id="rId435" Type="http://schemas.openxmlformats.org/officeDocument/2006/relationships/hyperlink" Target="https://docs.google.com/document/d/1jjFCaPSIOnhQow5faBp8f9cveXiXwp_m90h47wX8ToU/edit?tab=t.af4rrtflxaqs" TargetMode="External"/><Relationship Id="rId556" Type="http://schemas.openxmlformats.org/officeDocument/2006/relationships/hyperlink" Target="https://drive.google.com/file/d/16yisjO9-LHkDhPGmENwEZ95xLMcql0hh/view?usp=drive_link" TargetMode="External"/><Relationship Id="rId677" Type="http://schemas.openxmlformats.org/officeDocument/2006/relationships/hyperlink" Target="https://docs.google.com/document/d/15LHaKOo4Auutg9UqO2Cl3FXmt8WDRXLF0N_ftHeScVI/edit?tab=t.af4rrtflxaqs" TargetMode="External"/><Relationship Id="rId313" Type="http://schemas.openxmlformats.org/officeDocument/2006/relationships/hyperlink" Target="https://drive.google.com/file/d/1St9rkqaJkuYbEriQoXuMQv8lxCn8BxgE/view?usp=drive_link" TargetMode="External"/><Relationship Id="rId434" Type="http://schemas.openxmlformats.org/officeDocument/2006/relationships/hyperlink" Target="https://drive.google.com/drive/folders/1oxTGDmXxtOssKnCc05fUZZowqxWum79n" TargetMode="External"/><Relationship Id="rId555" Type="http://schemas.openxmlformats.org/officeDocument/2006/relationships/hyperlink" Target="https://drive.google.com/file/d/1Xu-P0NGagrxZjHAvNrN5CXJyiswarPqp/view?usp=sharing" TargetMode="External"/><Relationship Id="rId676" Type="http://schemas.openxmlformats.org/officeDocument/2006/relationships/hyperlink" Target="https://drive.google.com/drive/folders/1b9Y_9kP9JWi6NO7hqpLNEBQy1I7-ONvv" TargetMode="External"/><Relationship Id="rId319" Type="http://schemas.openxmlformats.org/officeDocument/2006/relationships/hyperlink" Target="https://drive.google.com/file/d/1q2lwswnBrOnuYZsFVb5kbBfTZ6lI5N4g/view?usp=drive_link" TargetMode="External"/><Relationship Id="rId318" Type="http://schemas.openxmlformats.org/officeDocument/2006/relationships/hyperlink" Target="https://docs.google.com/document/d/12dlaRBjYMQN2uTJSyuB1FLCY31fcQnVRsVjHyc5pYKE/edit?usp=drive_link" TargetMode="External"/><Relationship Id="rId439" Type="http://schemas.openxmlformats.org/officeDocument/2006/relationships/hyperlink" Target="https://drive.google.com/file/d/1hsh6hJ40LrTPDwuDVZ_j_m1-rRO6q2SL/view?usp=drive_link" TargetMode="External"/><Relationship Id="rId317" Type="http://schemas.openxmlformats.org/officeDocument/2006/relationships/hyperlink" Target="https://drive.google.com/file/d/18P6cShXw0LBH94Q3r6M9zwOfwtqpJHSL/view?usp=drive_link" TargetMode="External"/><Relationship Id="rId438" Type="http://schemas.openxmlformats.org/officeDocument/2006/relationships/hyperlink" Target="https://docs.google.com/document/d/1BEP9xxH7RrAOlKZ_d98Oe7XCOoEyxbt1a3e458JSMbg/edit?tab=t.af4rrtflxaqs" TargetMode="External"/><Relationship Id="rId559" Type="http://schemas.openxmlformats.org/officeDocument/2006/relationships/hyperlink" Target="https://drive.google.com/file/d/1TLNoxF79R5mvEkNG8kpnHauxnoFfh8D4/view?usp=sharing" TargetMode="External"/><Relationship Id="rId550" Type="http://schemas.openxmlformats.org/officeDocument/2006/relationships/hyperlink" Target="https://drive.google.com/file/d/1St9rkqaJkuYbEriQoXuMQv8lxCn8BxgE/view?usp=drive_link" TargetMode="External"/><Relationship Id="rId671" Type="http://schemas.openxmlformats.org/officeDocument/2006/relationships/hyperlink" Target="https://docs.google.com/document/d/190PYAni3zlYgia4Jlxvx0pY_sCHp4s8tL7IQeeI2k1o/edit?tab=t.0" TargetMode="External"/><Relationship Id="rId670" Type="http://schemas.openxmlformats.org/officeDocument/2006/relationships/hyperlink" Target="https://drive.google.com/drive/folders/1WTjVf9dsgjhmEnWrVwQdidcUNyKW-lWg" TargetMode="External"/><Relationship Id="rId312" Type="http://schemas.openxmlformats.org/officeDocument/2006/relationships/hyperlink" Target="https://docs.google.com/document/d/1vwQsVYnM1nxXsVautsuN6kjFBnStWqCENnXGj8O5nLI/edit?usp=drive_link" TargetMode="External"/><Relationship Id="rId433" Type="http://schemas.openxmlformats.org/officeDocument/2006/relationships/hyperlink" Target="https://drive.google.com/file/d/155QnYD1VsQqLECRXclhv9nE_aasqjaEo/view?usp=drive_link" TargetMode="External"/><Relationship Id="rId554" Type="http://schemas.openxmlformats.org/officeDocument/2006/relationships/hyperlink" Target="https://drive.google.com/file/d/1pCG8pdoNGy0e_5PJog6sibw8kpCraCby/view?usp=drive_link" TargetMode="External"/><Relationship Id="rId675" Type="http://schemas.openxmlformats.org/officeDocument/2006/relationships/hyperlink" Target="https://drive.google.com/file/d/1oFRL-mjnsr5k2MMhSc1MTzOBBKtyyzgl/view?usp=drive_link" TargetMode="External"/><Relationship Id="rId311" Type="http://schemas.openxmlformats.org/officeDocument/2006/relationships/hyperlink" Target="https://drive.google.com/file/d/1h2yFdrnszOU0WYyrINNSVbqne-rlJkTn/view?usp=drive_link" TargetMode="External"/><Relationship Id="rId432" Type="http://schemas.openxmlformats.org/officeDocument/2006/relationships/hyperlink" Target="https://docs.google.com/document/d/1ajW4d-VSEqYy0Qh8-LvEHUSNXnAxU0ByZ9co2ACws5o/edit?tab=t.af4rrtflxaqs" TargetMode="External"/><Relationship Id="rId553" Type="http://schemas.openxmlformats.org/officeDocument/2006/relationships/hyperlink" Target="https://drive.google.com/file/d/1hQ1pBPbl9yIpZLkLUfDxEunQV6qNu8HX/view?usp=sharing" TargetMode="External"/><Relationship Id="rId674" Type="http://schemas.openxmlformats.org/officeDocument/2006/relationships/hyperlink" Target="https://docs.google.com/document/d/1x_NhzC3uwnsY_f9d1qvmKdQP_nP632-lI6g9JS_ySJc/edit?tab=t.0" TargetMode="External"/><Relationship Id="rId310" Type="http://schemas.openxmlformats.org/officeDocument/2006/relationships/hyperlink" Target="https://drive.google.com/drive/folders/10VWgdakwW0tQBivR5rSzl3kopAPyRjTM" TargetMode="External"/><Relationship Id="rId431" Type="http://schemas.openxmlformats.org/officeDocument/2006/relationships/hyperlink" Target="https://drive.google.com/drive/folders/1Jn_Cix1rPKATAhK1PaOuXmvdeI7Dj9T1" TargetMode="External"/><Relationship Id="rId552" Type="http://schemas.openxmlformats.org/officeDocument/2006/relationships/hyperlink" Target="https://drive.google.com/file/d/1ZLzZhNAyAY8kTTO3WaTscdFhmGoJiT4Z/view?usp=drive_link" TargetMode="External"/><Relationship Id="rId673" Type="http://schemas.openxmlformats.org/officeDocument/2006/relationships/hyperlink" Target="https://drive.google.com/drive/folders/13KBqfBvCIrwIxcQLXMv2I2vl31hR8L_6" TargetMode="External"/><Relationship Id="rId430" Type="http://schemas.openxmlformats.org/officeDocument/2006/relationships/hyperlink" Target="https://drive.google.com/file/d/1jcmn6BVDv1KGOdPRw9OzVq0rgLcjyKPh/view?usp=drive_link" TargetMode="External"/><Relationship Id="rId551" Type="http://schemas.openxmlformats.org/officeDocument/2006/relationships/hyperlink" Target="https://drive.google.com/file/d/15ldm-f1D_LatHLzctZ0r5tSJ119cjZzZ/view?usp=sharing" TargetMode="External"/><Relationship Id="rId672" Type="http://schemas.openxmlformats.org/officeDocument/2006/relationships/hyperlink" Target="https://drive.google.com/file/d/16Mx3B5BOrU-QnKcrBFvjWTuRWCmbthaI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dACHV__0owP2Cr0OR6QHQXF63MtnFo1g516QzDCOes/edit?resourcekey=0-YESVYqJ_Zn5tRdzJpdT-Rw&amp;gid=511652342" TargetMode="External"/><Relationship Id="rId2" Type="http://schemas.openxmlformats.org/officeDocument/2006/relationships/hyperlink" Target="https://docs.google.com/spreadsheets/d/1bdACHV__0owP2Cr0OR6QHQXF63MtnFo1g516QzDCOes/edit?resourcekey=0-YESVYqJ_Zn5tRdzJpdT-Rw&amp;gid=511652342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8.25"/>
    <col customWidth="1" min="3" max="3" width="104.63"/>
    <col customWidth="1" min="4" max="4" width="38.25"/>
    <col customWidth="1" min="5" max="5" width="25.75"/>
    <col customWidth="1" min="6" max="6" width="28.63"/>
  </cols>
  <sheetData>
    <row r="1">
      <c r="A1" s="1" t="s">
        <v>0</v>
      </c>
      <c r="B1" s="2" t="s">
        <v>1</v>
      </c>
      <c r="C1" s="3"/>
      <c r="D1" s="4" t="s">
        <v>2</v>
      </c>
      <c r="E1" s="4" t="s">
        <v>3</v>
      </c>
      <c r="F1" s="5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5</v>
      </c>
      <c r="B3" s="7" t="s">
        <v>6</v>
      </c>
      <c r="C3" s="7" t="s">
        <v>7</v>
      </c>
      <c r="D3" s="7" t="s">
        <v>8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9</v>
      </c>
      <c r="B4" s="10"/>
      <c r="C4" s="11" t="s">
        <v>10</v>
      </c>
      <c r="D4" s="12" t="s">
        <v>11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12</v>
      </c>
      <c r="B5" s="10">
        <v>45819.0</v>
      </c>
      <c r="C5" s="11" t="s">
        <v>13</v>
      </c>
      <c r="D5" s="12" t="s">
        <v>11</v>
      </c>
    </row>
    <row r="6">
      <c r="A6" s="13" t="s">
        <v>14</v>
      </c>
      <c r="B6" s="14">
        <v>45821.0</v>
      </c>
      <c r="C6" s="15" t="s">
        <v>15</v>
      </c>
      <c r="D6" s="12" t="s">
        <v>11</v>
      </c>
    </row>
    <row r="7">
      <c r="A7" s="16" t="s">
        <v>16</v>
      </c>
      <c r="B7" s="17">
        <v>45821.0</v>
      </c>
      <c r="C7" s="18" t="s">
        <v>17</v>
      </c>
      <c r="D7" s="19" t="s">
        <v>11</v>
      </c>
    </row>
    <row r="8">
      <c r="A8" s="20" t="s">
        <v>18</v>
      </c>
      <c r="B8" s="17">
        <v>45848.0</v>
      </c>
      <c r="C8" s="18" t="s">
        <v>19</v>
      </c>
      <c r="D8" s="21" t="s">
        <v>20</v>
      </c>
    </row>
    <row r="9">
      <c r="A9" s="20" t="s">
        <v>21</v>
      </c>
      <c r="B9" s="22">
        <v>45859.0</v>
      </c>
      <c r="C9" s="23" t="s">
        <v>22</v>
      </c>
      <c r="D9" s="12" t="s">
        <v>20</v>
      </c>
    </row>
    <row r="10">
      <c r="A10" s="13" t="s">
        <v>21</v>
      </c>
      <c r="B10" s="14">
        <v>45861.0</v>
      </c>
      <c r="C10" s="15" t="s">
        <v>23</v>
      </c>
      <c r="D10" s="12" t="s">
        <v>20</v>
      </c>
    </row>
    <row r="11">
      <c r="A11" s="13" t="s">
        <v>24</v>
      </c>
      <c r="B11" s="14">
        <v>45883.0</v>
      </c>
      <c r="C11" s="24" t="s">
        <v>25</v>
      </c>
      <c r="D11" s="12" t="s">
        <v>20</v>
      </c>
    </row>
    <row r="12">
      <c r="A12" s="13" t="s">
        <v>26</v>
      </c>
      <c r="B12" s="14">
        <v>45899.0</v>
      </c>
      <c r="C12" s="24" t="s">
        <v>27</v>
      </c>
      <c r="D12" s="12" t="s">
        <v>20</v>
      </c>
    </row>
    <row r="13">
      <c r="A13" s="13" t="s">
        <v>28</v>
      </c>
      <c r="B13" s="14">
        <v>45915.0</v>
      </c>
      <c r="C13" s="24" t="s">
        <v>29</v>
      </c>
      <c r="D13" s="25" t="s">
        <v>20</v>
      </c>
    </row>
    <row r="14">
      <c r="A14" s="13" t="s">
        <v>30</v>
      </c>
      <c r="B14" s="14">
        <v>45930.0</v>
      </c>
      <c r="C14" s="24" t="s">
        <v>31</v>
      </c>
      <c r="D14" s="25"/>
    </row>
  </sheetData>
  <hyperlinks>
    <hyperlink r:id="rId1" location="gid=1763328259" ref="D1"/>
    <hyperlink r:id="rId2" location="gid=1516417769" ref="E1"/>
    <hyperlink r:id="rId3" location="gid=413440144" ref="F1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75"/>
  <cols>
    <col customWidth="1" min="2" max="3" width="14.63"/>
    <col customWidth="1" min="5" max="5" width="17.25"/>
    <col customWidth="1" min="6" max="6" width="15.38"/>
    <col customWidth="1" min="7" max="7" width="16.75"/>
    <col customWidth="1" min="8" max="8" width="24.5"/>
    <col customWidth="1" min="9" max="9" width="17.0"/>
    <col customWidth="1" min="11" max="11" width="16.75"/>
    <col customWidth="1" min="12" max="13" width="19.63"/>
    <col customWidth="1" min="14" max="14" width="17.5"/>
    <col customWidth="1" min="17" max="17" width="14.75"/>
    <col customWidth="1" min="18" max="18" width="13.63"/>
    <col customWidth="1" min="19" max="19" width="14.88"/>
    <col customWidth="1" min="22" max="22" width="15.63"/>
    <col customWidth="1" min="23" max="23" width="21.13"/>
    <col customWidth="1" min="24" max="24" width="19.63"/>
    <col customWidth="1" min="25" max="25" width="23.75"/>
    <col customWidth="1" min="26" max="26" width="19.88"/>
    <col customWidth="1" min="27" max="27" width="39.75"/>
    <col customWidth="1" min="37" max="38" width="20.5"/>
    <col customWidth="1" min="41" max="41" width="26.38"/>
    <col customWidth="1" min="42" max="42" width="19.75"/>
    <col customWidth="1" min="43" max="43" width="24.13"/>
    <col customWidth="1" min="44" max="44" width="11.13"/>
    <col customWidth="1" min="45" max="45" width="16.38"/>
    <col customWidth="1" min="46" max="46" width="20.5"/>
    <col customWidth="1" min="47" max="47" width="17.5"/>
    <col customWidth="1" min="48" max="49" width="15.63"/>
    <col customWidth="1" min="50" max="50" width="20.75"/>
    <col customWidth="1" min="51" max="51" width="22.75"/>
    <col customWidth="1" min="52" max="52" width="26.88"/>
    <col customWidth="1" min="53" max="53" width="13.88"/>
  </cols>
  <sheetData>
    <row r="1">
      <c r="A1" s="26" t="s">
        <v>32</v>
      </c>
      <c r="B1" s="8"/>
      <c r="C1" s="27"/>
      <c r="D1" s="8"/>
      <c r="E1" s="8"/>
      <c r="F1" s="8"/>
      <c r="G1" s="27"/>
      <c r="H1" s="8"/>
      <c r="I1" s="8"/>
      <c r="J1" s="8"/>
      <c r="K1" s="28" t="s">
        <v>33</v>
      </c>
      <c r="L1" s="29"/>
      <c r="M1" s="30">
        <v>129.0</v>
      </c>
      <c r="N1" s="31" t="s">
        <v>34</v>
      </c>
      <c r="O1" s="32"/>
      <c r="P1" s="32"/>
      <c r="Q1" s="8"/>
      <c r="R1" s="8"/>
      <c r="S1" s="8"/>
      <c r="T1" s="33"/>
      <c r="U1" s="33"/>
      <c r="V1" s="33"/>
      <c r="W1" s="33"/>
      <c r="X1" s="33"/>
      <c r="Y1" s="33"/>
      <c r="Z1" s="8"/>
      <c r="AA1" s="34"/>
      <c r="AB1" s="33"/>
      <c r="AC1" s="33"/>
      <c r="AD1" s="33"/>
      <c r="AE1" s="33"/>
      <c r="AF1" s="33"/>
      <c r="AG1" s="33"/>
      <c r="AH1" s="33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35"/>
      <c r="AZ1" s="35"/>
      <c r="BA1" s="8"/>
      <c r="BB1" s="36"/>
      <c r="BC1" s="36"/>
      <c r="BD1" s="36"/>
      <c r="BE1" s="36"/>
      <c r="BF1" s="36"/>
      <c r="BG1" s="36"/>
    </row>
    <row r="2">
      <c r="A2" s="27"/>
      <c r="B2" s="37"/>
      <c r="C2" s="37" t="s">
        <v>35</v>
      </c>
      <c r="D2" s="38">
        <v>45794.0</v>
      </c>
      <c r="E2" s="39" t="s">
        <v>36</v>
      </c>
      <c r="F2" s="39"/>
      <c r="G2" s="27"/>
      <c r="H2" s="8"/>
      <c r="I2" s="8"/>
      <c r="J2" s="40" t="s">
        <v>37</v>
      </c>
      <c r="K2" s="41" t="s">
        <v>38</v>
      </c>
      <c r="L2" s="40" t="s">
        <v>37</v>
      </c>
      <c r="M2" s="41" t="s">
        <v>38</v>
      </c>
      <c r="N2" s="33"/>
      <c r="O2" s="42"/>
      <c r="P2" s="42"/>
      <c r="Q2" s="42"/>
      <c r="R2" s="42"/>
      <c r="S2" s="42"/>
      <c r="T2" s="33"/>
      <c r="U2" s="33"/>
      <c r="V2" s="33"/>
      <c r="W2" s="33"/>
      <c r="X2" s="33"/>
      <c r="Y2" s="33"/>
      <c r="Z2" s="8"/>
      <c r="AA2" s="34"/>
      <c r="AB2" s="33"/>
      <c r="AC2" s="33"/>
      <c r="AD2" s="33"/>
      <c r="AE2" s="33"/>
      <c r="AF2" s="33"/>
      <c r="AG2" s="33"/>
      <c r="AH2" s="33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35"/>
      <c r="AZ2" s="35"/>
      <c r="BA2" s="8"/>
      <c r="BB2" s="36"/>
      <c r="BC2" s="36"/>
      <c r="BD2" s="36"/>
      <c r="BE2" s="36"/>
      <c r="BF2" s="36"/>
      <c r="BG2" s="36"/>
    </row>
    <row r="3">
      <c r="A3" s="27"/>
      <c r="B3" s="8"/>
      <c r="C3" s="27"/>
      <c r="D3" s="43"/>
      <c r="E3" s="8"/>
      <c r="F3" s="8"/>
      <c r="G3" s="27"/>
      <c r="H3" s="8"/>
      <c r="I3" s="8"/>
      <c r="J3" s="44" t="s">
        <v>39</v>
      </c>
      <c r="K3" s="45">
        <v>55.0</v>
      </c>
      <c r="L3" s="46" t="s">
        <v>40</v>
      </c>
      <c r="M3" s="47">
        <f t="shared" ref="M3:M4" si="1">COUNTIF($C$9:$C$300,L3)</f>
        <v>14</v>
      </c>
      <c r="N3" s="33"/>
      <c r="O3" s="42"/>
      <c r="P3" s="42"/>
      <c r="Q3" s="42"/>
      <c r="R3" s="42"/>
      <c r="S3" s="42"/>
      <c r="T3" s="33"/>
      <c r="U3" s="33"/>
      <c r="V3" s="33"/>
      <c r="W3" s="33"/>
      <c r="X3" s="33"/>
      <c r="Y3" s="33"/>
      <c r="Z3" s="8"/>
      <c r="AA3" s="34"/>
      <c r="AB3" s="33"/>
      <c r="AC3" s="33"/>
      <c r="AD3" s="33"/>
      <c r="AE3" s="33"/>
      <c r="AF3" s="33"/>
      <c r="AG3" s="33"/>
      <c r="AH3" s="33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35"/>
      <c r="AZ3" s="35"/>
      <c r="BA3" s="8"/>
      <c r="BB3" s="36"/>
      <c r="BC3" s="36"/>
      <c r="BD3" s="36"/>
      <c r="BE3" s="36"/>
      <c r="BF3" s="36"/>
      <c r="BG3" s="36"/>
    </row>
    <row r="4">
      <c r="A4" s="27"/>
      <c r="B4" s="8"/>
      <c r="C4" s="27"/>
      <c r="D4" s="43"/>
      <c r="E4" s="8"/>
      <c r="F4" s="8"/>
      <c r="G4" s="27"/>
      <c r="H4" s="8"/>
      <c r="I4" s="8"/>
      <c r="J4" s="46" t="s">
        <v>41</v>
      </c>
      <c r="K4" s="47">
        <f t="shared" ref="K4:K5" si="2">COUNTIF($C$9:$C$300,J4)</f>
        <v>16</v>
      </c>
      <c r="L4" s="46" t="s">
        <v>42</v>
      </c>
      <c r="M4" s="47">
        <f t="shared" si="1"/>
        <v>44</v>
      </c>
      <c r="N4" s="33"/>
      <c r="O4" s="42"/>
      <c r="P4" s="42"/>
      <c r="Q4" s="42"/>
      <c r="R4" s="42"/>
      <c r="S4" s="42"/>
      <c r="T4" s="33"/>
      <c r="U4" s="33"/>
      <c r="V4" s="33"/>
      <c r="W4" s="33"/>
      <c r="X4" s="33"/>
      <c r="Y4" s="33"/>
      <c r="Z4" s="8"/>
      <c r="AA4" s="34"/>
      <c r="AB4" s="33"/>
      <c r="AC4" s="33"/>
      <c r="AD4" s="33"/>
      <c r="AE4" s="33"/>
      <c r="AF4" s="33"/>
      <c r="AG4" s="33"/>
      <c r="AH4" s="33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35"/>
      <c r="AZ4" s="35"/>
      <c r="BA4" s="8"/>
      <c r="BB4" s="36"/>
      <c r="BC4" s="36"/>
      <c r="BD4" s="36"/>
      <c r="BE4" s="36"/>
      <c r="BF4" s="36"/>
      <c r="BG4" s="36"/>
    </row>
    <row r="5">
      <c r="A5" s="27"/>
      <c r="B5" s="8"/>
      <c r="C5" s="27"/>
      <c r="D5" s="43"/>
      <c r="E5" s="8"/>
      <c r="F5" s="8"/>
      <c r="G5" s="27"/>
      <c r="H5" s="8"/>
      <c r="I5" s="8"/>
      <c r="J5" s="46" t="s">
        <v>43</v>
      </c>
      <c r="K5" s="47">
        <f t="shared" si="2"/>
        <v>0</v>
      </c>
      <c r="L5" s="44" t="s">
        <v>44</v>
      </c>
      <c r="M5" s="47"/>
      <c r="N5" s="33"/>
      <c r="O5" s="42"/>
      <c r="P5" s="42"/>
      <c r="Q5" s="42"/>
      <c r="R5" s="42"/>
      <c r="S5" s="42"/>
      <c r="T5" s="33"/>
      <c r="U5" s="33"/>
      <c r="V5" s="48"/>
      <c r="W5" s="48"/>
      <c r="X5" s="48"/>
      <c r="Y5" s="48"/>
      <c r="Z5" s="8"/>
      <c r="AA5" s="34"/>
      <c r="AB5" s="33"/>
      <c r="AC5" s="33"/>
      <c r="AD5" s="33"/>
      <c r="AE5" s="49"/>
      <c r="AF5" s="50"/>
      <c r="AG5" s="50"/>
      <c r="AH5" s="8"/>
      <c r="AI5" s="51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52"/>
      <c r="BA5" s="8"/>
      <c r="BB5" s="36"/>
      <c r="BC5" s="36"/>
      <c r="BD5" s="36"/>
      <c r="BE5" s="36"/>
      <c r="BF5" s="36"/>
      <c r="BG5" s="36"/>
    </row>
    <row r="6">
      <c r="A6" s="27"/>
      <c r="B6" s="8"/>
      <c r="C6" s="27"/>
      <c r="D6" s="43"/>
      <c r="E6" s="8"/>
      <c r="F6" s="8"/>
      <c r="G6" s="27"/>
      <c r="H6" s="8"/>
      <c r="I6" s="8"/>
      <c r="J6" s="53"/>
      <c r="K6" s="54"/>
      <c r="L6" s="53"/>
      <c r="M6" s="54"/>
      <c r="N6" s="33"/>
      <c r="O6" s="42"/>
      <c r="P6" s="42"/>
      <c r="Q6" s="42"/>
      <c r="R6" s="42"/>
      <c r="S6" s="42"/>
      <c r="T6" s="33"/>
      <c r="U6" s="33"/>
      <c r="V6" s="48"/>
      <c r="W6" s="48"/>
      <c r="X6" s="48"/>
      <c r="Y6" s="48"/>
      <c r="Z6" s="8"/>
      <c r="AA6" s="34"/>
      <c r="AB6" s="33"/>
      <c r="AC6" s="33"/>
      <c r="AD6" s="33"/>
      <c r="AE6" s="49"/>
      <c r="AF6" s="50"/>
      <c r="AG6" s="50"/>
      <c r="AH6" s="8"/>
      <c r="AI6" s="51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52"/>
      <c r="BA6" s="8"/>
      <c r="BB6" s="36"/>
      <c r="BC6" s="36"/>
      <c r="BD6" s="36"/>
      <c r="BE6" s="36"/>
      <c r="BF6" s="36"/>
      <c r="BG6" s="36"/>
    </row>
    <row r="7" ht="87.75" customHeight="1">
      <c r="A7" s="55" t="s">
        <v>45</v>
      </c>
      <c r="B7" s="56" t="s">
        <v>46</v>
      </c>
      <c r="C7" s="57" t="s">
        <v>47</v>
      </c>
      <c r="D7" s="57" t="s">
        <v>48</v>
      </c>
      <c r="E7" s="58" t="s">
        <v>49</v>
      </c>
      <c r="F7" s="58" t="s">
        <v>50</v>
      </c>
      <c r="G7" s="59" t="s">
        <v>51</v>
      </c>
      <c r="H7" s="55" t="s">
        <v>52</v>
      </c>
      <c r="I7" s="55" t="s">
        <v>53</v>
      </c>
      <c r="J7" s="55" t="s">
        <v>54</v>
      </c>
      <c r="K7" s="60" t="s">
        <v>55</v>
      </c>
      <c r="L7" s="55" t="s">
        <v>56</v>
      </c>
      <c r="M7" s="60" t="s">
        <v>57</v>
      </c>
      <c r="N7" s="61" t="s">
        <v>58</v>
      </c>
      <c r="O7" s="57" t="s">
        <v>59</v>
      </c>
      <c r="P7" s="57" t="s">
        <v>60</v>
      </c>
      <c r="Q7" s="61" t="s">
        <v>61</v>
      </c>
      <c r="R7" s="57" t="s">
        <v>62</v>
      </c>
      <c r="S7" s="57" t="s">
        <v>63</v>
      </c>
      <c r="T7" s="57" t="s">
        <v>64</v>
      </c>
      <c r="U7" s="57" t="s">
        <v>65</v>
      </c>
      <c r="V7" s="56" t="s">
        <v>66</v>
      </c>
      <c r="W7" s="56" t="s">
        <v>67</v>
      </c>
      <c r="X7" s="56" t="s">
        <v>68</v>
      </c>
      <c r="Y7" s="56" t="s">
        <v>69</v>
      </c>
      <c r="Z7" s="56" t="s">
        <v>70</v>
      </c>
      <c r="AA7" s="57" t="s">
        <v>71</v>
      </c>
      <c r="AB7" s="62" t="s">
        <v>72</v>
      </c>
      <c r="AC7" s="61" t="s">
        <v>73</v>
      </c>
      <c r="AD7" s="61" t="s">
        <v>74</v>
      </c>
      <c r="AE7" s="61" t="s">
        <v>75</v>
      </c>
      <c r="AF7" s="58" t="s">
        <v>76</v>
      </c>
      <c r="AG7" s="57" t="s">
        <v>77</v>
      </c>
      <c r="AH7" s="58" t="s">
        <v>78</v>
      </c>
      <c r="AI7" s="58" t="s">
        <v>79</v>
      </c>
      <c r="AJ7" s="58" t="s">
        <v>80</v>
      </c>
      <c r="AK7" s="58" t="s">
        <v>81</v>
      </c>
      <c r="AL7" s="63" t="s">
        <v>82</v>
      </c>
      <c r="AM7" s="63" t="s">
        <v>83</v>
      </c>
      <c r="AN7" s="63" t="s">
        <v>84</v>
      </c>
      <c r="AO7" s="57" t="s">
        <v>85</v>
      </c>
      <c r="AP7" s="64" t="s">
        <v>86</v>
      </c>
      <c r="AQ7" s="65" t="s">
        <v>87</v>
      </c>
      <c r="AR7" s="66" t="s">
        <v>88</v>
      </c>
      <c r="AS7" s="66" t="s">
        <v>89</v>
      </c>
      <c r="AT7" s="63" t="s">
        <v>90</v>
      </c>
      <c r="AU7" s="63" t="s">
        <v>91</v>
      </c>
      <c r="AV7" s="63" t="s">
        <v>92</v>
      </c>
      <c r="AW7" s="63" t="s">
        <v>93</v>
      </c>
      <c r="AX7" s="67" t="s">
        <v>94</v>
      </c>
      <c r="AY7" s="63" t="s">
        <v>95</v>
      </c>
      <c r="AZ7" s="68" t="s">
        <v>96</v>
      </c>
      <c r="BA7" s="68" t="s">
        <v>97</v>
      </c>
      <c r="BD7" s="69"/>
      <c r="BE7" s="69"/>
      <c r="BF7" s="69"/>
      <c r="BG7" s="69"/>
    </row>
    <row r="8" ht="87.75" customHeight="1">
      <c r="A8" s="12" t="s">
        <v>98</v>
      </c>
      <c r="B8" s="70" t="s">
        <v>99</v>
      </c>
      <c r="C8" s="71" t="s">
        <v>39</v>
      </c>
      <c r="D8" s="71" t="s">
        <v>100</v>
      </c>
      <c r="E8" s="71" t="s">
        <v>101</v>
      </c>
      <c r="F8" s="71"/>
      <c r="G8" s="72" t="s">
        <v>102</v>
      </c>
      <c r="H8" s="73" t="s">
        <v>103</v>
      </c>
      <c r="I8" s="71" t="s">
        <v>104</v>
      </c>
      <c r="J8" s="74" t="s">
        <v>105</v>
      </c>
      <c r="K8" s="75" t="s">
        <v>106</v>
      </c>
      <c r="L8" s="76" t="s">
        <v>107</v>
      </c>
      <c r="M8" s="77" t="s">
        <v>108</v>
      </c>
      <c r="N8" s="78" t="s">
        <v>109</v>
      </c>
      <c r="O8" s="79" t="s">
        <v>110</v>
      </c>
      <c r="P8" s="76" t="s">
        <v>111</v>
      </c>
      <c r="Q8" s="80"/>
      <c r="R8" s="81">
        <v>8.40353905801E11</v>
      </c>
      <c r="S8" s="82"/>
      <c r="T8" s="83" t="s">
        <v>112</v>
      </c>
      <c r="U8" s="84" t="s">
        <v>113</v>
      </c>
      <c r="V8" s="85">
        <v>3.5082327E7</v>
      </c>
      <c r="W8" s="81" t="s">
        <v>114</v>
      </c>
      <c r="X8" s="76" t="s">
        <v>115</v>
      </c>
      <c r="Y8" s="71" t="s">
        <v>116</v>
      </c>
      <c r="Z8" s="71" t="s">
        <v>117</v>
      </c>
      <c r="AA8" s="86" t="s">
        <v>118</v>
      </c>
      <c r="AB8" s="87" t="s">
        <v>119</v>
      </c>
      <c r="AC8" s="88" t="s">
        <v>120</v>
      </c>
      <c r="AD8" s="89" t="s">
        <v>120</v>
      </c>
      <c r="AE8" s="89" t="s">
        <v>120</v>
      </c>
      <c r="AF8" s="71" t="s">
        <v>121</v>
      </c>
      <c r="AG8" s="90" t="s">
        <v>119</v>
      </c>
      <c r="AH8" s="90" t="s">
        <v>119</v>
      </c>
      <c r="AI8" s="90" t="s">
        <v>119</v>
      </c>
      <c r="AJ8" s="90" t="s">
        <v>119</v>
      </c>
      <c r="AK8" s="90" t="s">
        <v>119</v>
      </c>
      <c r="AL8" s="90" t="s">
        <v>120</v>
      </c>
      <c r="AM8" s="90"/>
      <c r="AN8" s="90"/>
      <c r="AO8" s="91" t="s">
        <v>122</v>
      </c>
      <c r="AP8" s="79" t="s">
        <v>123</v>
      </c>
      <c r="AQ8" s="79"/>
      <c r="AR8" s="92" t="s">
        <v>124</v>
      </c>
      <c r="AS8" s="93"/>
      <c r="AT8" s="94"/>
      <c r="AU8" s="94"/>
      <c r="AV8" s="95"/>
      <c r="AW8" s="95"/>
      <c r="AX8" s="96"/>
      <c r="AY8" s="97"/>
      <c r="AZ8" s="97" t="s">
        <v>125</v>
      </c>
      <c r="BA8" s="94"/>
      <c r="BB8" s="94"/>
      <c r="BC8" s="94"/>
      <c r="BD8" s="98"/>
      <c r="BE8" s="98"/>
      <c r="BF8" s="98"/>
      <c r="BG8" s="98"/>
    </row>
    <row r="9">
      <c r="A9" s="99">
        <v>1.0</v>
      </c>
      <c r="B9" s="100" t="str">
        <f t="array" ref="B9">IFERROR( INDEX('POR Config List'!A:A,MATCH(G9,'POR Config List'!D:D,0)),"")</f>
        <v>PVT/MP</v>
      </c>
      <c r="C9" s="101" t="str">
        <f t="array" ref="C9">IFERROR(INDEX('label approval artwork'!E:E,MATCH(G9,'label approval artwork'!F:F,0),""),"")</f>
        <v>Pristine</v>
      </c>
      <c r="D9" s="102" t="str">
        <f> IF(ISBLANK(C9) ,"",IF(C9="CLNR","builk pack","retail pack"))</f>
        <v>retail pack</v>
      </c>
      <c r="E9" s="100" t="str">
        <f t="array" ref="E9">IF(ISBLANK(G9),"",INDEX('POR Config List'!K:K,MATCH(G9,'POR Config List'!D:D,0)))</f>
        <v>G950-15986-01</v>
      </c>
      <c r="F9" s="100" t="str">
        <f t="array" ref="F9">IF(ISBLANK(G9),"",INDEX('POR Config List'!J:J,MATCH(G9,'POR Config List'!D:D,0)))</f>
        <v/>
      </c>
      <c r="G9" s="103" t="s">
        <v>126</v>
      </c>
      <c r="H9" s="104" t="str">
        <f t="array" ref="H9">IF(ISBLANK(G9),"",INDEX('MP SKUs'!G:G,MATCH(G9,'MP SKUs'!A:A,0)))</f>
        <v>US-VZW</v>
      </c>
      <c r="I9" s="105" t="str">
        <f t="array" ref="I9">IF(ISBLANK(G9),"",INDEX('POR Config List'!O:O,MATCH(G9,'POR Config List'!D:D,0)))</f>
        <v>G710-07813-00</v>
      </c>
      <c r="J9" s="104" t="str">
        <f t="array" ref="J9">IF(ISBLANK(G9),"",INDEX('POR Config List'!H:H,MATCH(G9,'POR Config List'!D:D,0)))</f>
        <v>mmWave</v>
      </c>
      <c r="K9" s="105" t="str">
        <f t="array" ref="K9">IF(ISBLANK(G9),"",INDEX('POR Config List'!G:G,MATCH(G9,'POR Config List'!D:D,0)))</f>
        <v>CLR1</v>
      </c>
      <c r="L9" s="105" t="str">
        <f>IF(ISBLANK(K9),"", IF(K9="CLR1","BLK",IF(K9="CLR2","WHT",IF(K9="CLR3","GRY",IF(K9="CLR4","GRN")))))</f>
        <v>BLK</v>
      </c>
      <c r="M9" s="105" t="str">
        <f t="array" ref="M9">IF(ISBLANK(G9),"",INDEX('label approval artwork'!Q:Q,MATCH( G9,'label approval artwork'!F:F,0)))</f>
        <v>Obsidian</v>
      </c>
      <c r="N9" s="106" t="s">
        <v>109</v>
      </c>
      <c r="O9" s="102" t="str">
        <f t="array" ref="O9">IF(ISBLANK(G9),"",INDEX('POR Config List'!C:C,MATCH(G9,'POR Config List'!D:D,0)))</f>
        <v>G4QUR</v>
      </c>
      <c r="P9" s="105" t="str">
        <f>IF(ISBLANK(G9),"",IF(H9="US GStore","UGS",IF(H9="US-VZW","UVZ",IF(H9="US - AT&amp;T","UAT",IF(H9="US - Tmobile","UTM",IF(H9="JP","AJP",IF(H9="IN","NCA",IF(H9="CA/TW/SG/AU/MY/MX","NCA",IF(H9="EU(GB, DE, IT, ES, IE, FR, NL, BE, AT, CH, PT, PL, CEE (RO, CZ, HU, SI, LV, LT, EE, FI), NO,SE,DK, SK)","EMA")))))))))</f>
        <v>UVZ</v>
      </c>
      <c r="Q9" s="105" t="str">
        <f t="array" ref="Q9">IF(ISBLANK(G9),"",INDEX('label approval artwork'!J:J,MATCH( G9,'label approval artwork'!F:F,0)))</f>
        <v/>
      </c>
      <c r="R9" s="105">
        <f t="array" ref="R9">IFERROR( IF(P9&lt;&gt;"EMA",INDEX('label approval artwork'!H:H,MATCH(G9,'label approval artwork'!F:F,0),"")),"")</f>
        <v>840353926042</v>
      </c>
      <c r="S9" s="105"/>
      <c r="T9" s="105" t="str">
        <f t="array" ref="T9">IF(ISBLANK(G9),"",INDEX('POR Config List'!I:I,MATCH(G9,'POR Config List'!D:D,0)))</f>
        <v>128GB</v>
      </c>
      <c r="U9" s="107" t="str">
        <f t="array" ref="U9">INDEX('MP SKUs'!L:L,MATCH(G9,'MP SKUs'!A:A,0))</f>
        <v>VZW</v>
      </c>
      <c r="V9" s="108" t="str">
        <f>LEFT(W9,9)</f>
        <v>35 531042</v>
      </c>
      <c r="W9" s="109" t="s">
        <v>127</v>
      </c>
      <c r="X9" s="109" t="s">
        <v>128</v>
      </c>
      <c r="Y9" s="109" t="s">
        <v>129</v>
      </c>
      <c r="Z9" s="109" t="s">
        <v>130</v>
      </c>
      <c r="AA9" s="100" t="str">
        <f t="array" ref="AA9">INDEX('POR Config List'!F:F,MATCH(G9,'POR Config List'!D:D,0))</f>
        <v>Pixel 10 Pro, Obsidian, 128GB, VZW, US</v>
      </c>
      <c r="AB9" s="110" t="s">
        <v>119</v>
      </c>
      <c r="AC9" s="105" t="str">
        <f>IF(P9="EMA","Yes","NO")</f>
        <v>NO</v>
      </c>
      <c r="AD9" s="100" t="str">
        <f>IF(H9="IN","Yes","NO")</f>
        <v>NO</v>
      </c>
      <c r="AE9" s="100" t="str">
        <f>IF(J9="mmwave","NO","Yes")</f>
        <v>NO</v>
      </c>
      <c r="AF9" s="100" t="str">
        <f>IF(D9="retail pack","10ct","30ct")</f>
        <v>10ct</v>
      </c>
      <c r="AG9" s="100" t="str">
        <f>IF(D9="retail pack","Yes","NO")</f>
        <v>Yes</v>
      </c>
      <c r="AH9" s="100" t="str">
        <f>IF(D9="retail pack","Yes","NO")</f>
        <v>Yes</v>
      </c>
      <c r="AI9" s="102" t="str">
        <f>IF(D9="retail pack","Yes","NO")</f>
        <v>Yes</v>
      </c>
      <c r="AJ9" s="102" t="str">
        <f>IF(D9="retail pack","Yes","NO")</f>
        <v>Yes</v>
      </c>
      <c r="AK9" s="111" t="str">
        <f>IF(D9="retail pack","Yes","NO")</f>
        <v>Yes</v>
      </c>
      <c r="AL9" s="102" t="str">
        <f>IF(H9="IN","Yes","NO")</f>
        <v>NO</v>
      </c>
      <c r="AM9" s="102" t="str">
        <f>IF(C9="Demo","Yes","NO")</f>
        <v>NO</v>
      </c>
      <c r="AN9" s="102" t="str">
        <f>IF(P9="EMA","Yes","NO")</f>
        <v>NO</v>
      </c>
      <c r="AO9" s="112" t="s">
        <v>131</v>
      </c>
      <c r="AP9" s="113" t="s">
        <v>132</v>
      </c>
      <c r="AQ9" s="103"/>
      <c r="AR9" s="114" t="s">
        <v>124</v>
      </c>
      <c r="AS9" s="115" t="s">
        <v>133</v>
      </c>
      <c r="AT9" s="116" t="s">
        <v>134</v>
      </c>
      <c r="AU9" s="103" t="str">
        <f t="array" ref="AU9">INDEX('label approval artwork'!B:B,MATCH(G9,'label approval artwork'!F:F,0))</f>
        <v>G990-08505-11-A</v>
      </c>
      <c r="AV9" s="102" t="str">
        <f t="array" ref="AV9">IFERROR( INDEX('label approval artwork'!N$1:N$199,MATCH(G9,'label approval artwork'!F$1:F$199,0)),"")</f>
        <v/>
      </c>
      <c r="AW9" s="102"/>
      <c r="AX9" s="102" t="s">
        <v>135</v>
      </c>
      <c r="AY9" s="102" t="s">
        <v>136</v>
      </c>
      <c r="AZ9" s="103" t="s">
        <v>137</v>
      </c>
      <c r="BA9" s="102"/>
      <c r="BB9" s="102"/>
      <c r="BC9" s="102"/>
      <c r="BD9" s="117"/>
      <c r="BE9" s="117"/>
      <c r="BF9" s="117"/>
      <c r="BG9" s="117"/>
    </row>
    <row r="10">
      <c r="A10" s="118">
        <v>2.0</v>
      </c>
      <c r="B10" s="100" t="s">
        <v>99</v>
      </c>
      <c r="C10" s="101" t="s">
        <v>39</v>
      </c>
      <c r="D10" s="102" t="s">
        <v>138</v>
      </c>
      <c r="E10" s="100" t="s">
        <v>139</v>
      </c>
      <c r="F10" s="100"/>
      <c r="G10" s="119" t="s">
        <v>140</v>
      </c>
      <c r="H10" s="104" t="s">
        <v>141</v>
      </c>
      <c r="I10" s="105" t="s">
        <v>142</v>
      </c>
      <c r="J10" s="104" t="s">
        <v>105</v>
      </c>
      <c r="K10" s="105" t="s">
        <v>143</v>
      </c>
      <c r="L10" s="105" t="s">
        <v>144</v>
      </c>
      <c r="M10" s="105" t="s">
        <v>145</v>
      </c>
      <c r="N10" s="106" t="s">
        <v>109</v>
      </c>
      <c r="O10" s="102" t="s">
        <v>146</v>
      </c>
      <c r="P10" s="105" t="s">
        <v>111</v>
      </c>
      <c r="Q10" s="105"/>
      <c r="R10" s="105" t="s">
        <v>147</v>
      </c>
      <c r="S10" s="105"/>
      <c r="T10" s="105" t="s">
        <v>148</v>
      </c>
      <c r="U10" s="107" t="s">
        <v>113</v>
      </c>
      <c r="V10" s="108" t="s">
        <v>149</v>
      </c>
      <c r="W10" s="109" t="s">
        <v>150</v>
      </c>
      <c r="X10" s="109" t="s">
        <v>151</v>
      </c>
      <c r="Y10" s="109" t="s">
        <v>152</v>
      </c>
      <c r="Z10" s="109" t="s">
        <v>153</v>
      </c>
      <c r="AA10" s="100" t="s">
        <v>154</v>
      </c>
      <c r="AB10" s="110" t="s">
        <v>119</v>
      </c>
      <c r="AC10" s="105" t="s">
        <v>120</v>
      </c>
      <c r="AD10" s="100" t="s">
        <v>120</v>
      </c>
      <c r="AE10" s="100" t="s">
        <v>120</v>
      </c>
      <c r="AF10" s="100" t="s">
        <v>121</v>
      </c>
      <c r="AG10" s="100" t="s">
        <v>119</v>
      </c>
      <c r="AH10" s="100" t="s">
        <v>119</v>
      </c>
      <c r="AI10" s="102" t="s">
        <v>119</v>
      </c>
      <c r="AJ10" s="102" t="s">
        <v>119</v>
      </c>
      <c r="AK10" s="111" t="s">
        <v>119</v>
      </c>
      <c r="AL10" s="102" t="s">
        <v>120</v>
      </c>
      <c r="AM10" s="102" t="s">
        <v>120</v>
      </c>
      <c r="AN10" s="102" t="s">
        <v>120</v>
      </c>
      <c r="AO10" s="112" t="s">
        <v>131</v>
      </c>
      <c r="AP10" s="113" t="s">
        <v>132</v>
      </c>
      <c r="AQ10" s="103"/>
      <c r="AR10" s="114" t="s">
        <v>124</v>
      </c>
      <c r="AS10" s="115" t="s">
        <v>133</v>
      </c>
      <c r="AT10" s="116" t="s">
        <v>155</v>
      </c>
      <c r="AU10" s="103" t="str">
        <f t="array" ref="AU10">INDEX('label approval artwork'!B:B,MATCH(G10,'label approval artwork'!F:F,0))</f>
        <v>G990-08505-11-A</v>
      </c>
      <c r="AV10" s="102" t="s">
        <v>156</v>
      </c>
      <c r="AW10" s="102"/>
      <c r="AX10" s="102" t="s">
        <v>135</v>
      </c>
      <c r="AY10" s="102" t="s">
        <v>136</v>
      </c>
      <c r="AZ10" s="103" t="s">
        <v>137</v>
      </c>
    </row>
    <row r="11">
      <c r="A11" s="99">
        <v>3.0</v>
      </c>
      <c r="B11" s="100" t="s">
        <v>99</v>
      </c>
      <c r="C11" s="101" t="s">
        <v>39</v>
      </c>
      <c r="D11" s="102" t="s">
        <v>138</v>
      </c>
      <c r="E11" s="100" t="s">
        <v>157</v>
      </c>
      <c r="F11" s="100"/>
      <c r="G11" s="119" t="s">
        <v>158</v>
      </c>
      <c r="H11" s="104" t="s">
        <v>141</v>
      </c>
      <c r="I11" s="105" t="s">
        <v>159</v>
      </c>
      <c r="J11" s="104" t="s">
        <v>105</v>
      </c>
      <c r="K11" s="105" t="s">
        <v>106</v>
      </c>
      <c r="L11" s="105" t="s">
        <v>107</v>
      </c>
      <c r="M11" s="105" t="s">
        <v>108</v>
      </c>
      <c r="N11" s="106" t="s">
        <v>109</v>
      </c>
      <c r="O11" s="102" t="s">
        <v>146</v>
      </c>
      <c r="P11" s="105" t="s">
        <v>111</v>
      </c>
      <c r="Q11" s="105"/>
      <c r="R11" s="105">
        <v>8.40353925328E11</v>
      </c>
      <c r="S11" s="105"/>
      <c r="T11" s="105" t="s">
        <v>160</v>
      </c>
      <c r="U11" s="107" t="s">
        <v>113</v>
      </c>
      <c r="V11" s="108" t="s">
        <v>149</v>
      </c>
      <c r="W11" s="109" t="s">
        <v>161</v>
      </c>
      <c r="X11" s="109" t="s">
        <v>162</v>
      </c>
      <c r="Y11" s="109" t="s">
        <v>163</v>
      </c>
      <c r="Z11" s="109" t="s">
        <v>164</v>
      </c>
      <c r="AA11" s="100" t="s">
        <v>165</v>
      </c>
      <c r="AB11" s="110" t="s">
        <v>119</v>
      </c>
      <c r="AC11" s="105" t="s">
        <v>120</v>
      </c>
      <c r="AD11" s="100" t="s">
        <v>120</v>
      </c>
      <c r="AE11" s="100" t="s">
        <v>120</v>
      </c>
      <c r="AF11" s="100" t="s">
        <v>121</v>
      </c>
      <c r="AG11" s="100" t="s">
        <v>119</v>
      </c>
      <c r="AH11" s="100" t="s">
        <v>119</v>
      </c>
      <c r="AI11" s="102" t="s">
        <v>119</v>
      </c>
      <c r="AJ11" s="102" t="s">
        <v>119</v>
      </c>
      <c r="AK11" s="111" t="s">
        <v>119</v>
      </c>
      <c r="AL11" s="102" t="s">
        <v>120</v>
      </c>
      <c r="AM11" s="102" t="s">
        <v>120</v>
      </c>
      <c r="AN11" s="102" t="s">
        <v>120</v>
      </c>
      <c r="AO11" s="112" t="s">
        <v>131</v>
      </c>
      <c r="AP11" s="113" t="s">
        <v>132</v>
      </c>
      <c r="AQ11" s="103"/>
      <c r="AR11" s="114" t="s">
        <v>124</v>
      </c>
      <c r="AS11" s="115" t="s">
        <v>133</v>
      </c>
      <c r="AT11" s="116" t="s">
        <v>166</v>
      </c>
      <c r="AU11" s="103" t="str">
        <f t="array" ref="AU11">INDEX('label approval artwork'!B:B,MATCH(G11,'label approval artwork'!F:F,0))</f>
        <v>G990-08505-11-A</v>
      </c>
      <c r="AV11" s="102" t="s">
        <v>156</v>
      </c>
      <c r="AW11" s="102"/>
      <c r="AX11" s="102" t="s">
        <v>135</v>
      </c>
      <c r="AY11" s="102" t="s">
        <v>136</v>
      </c>
      <c r="AZ11" s="103" t="s">
        <v>137</v>
      </c>
    </row>
    <row r="12">
      <c r="A12" s="118">
        <v>4.0</v>
      </c>
      <c r="B12" s="100" t="s">
        <v>167</v>
      </c>
      <c r="C12" s="101" t="s">
        <v>39</v>
      </c>
      <c r="D12" s="102" t="s">
        <v>138</v>
      </c>
      <c r="E12" s="100" t="s">
        <v>168</v>
      </c>
      <c r="F12" s="100"/>
      <c r="G12" s="119" t="s">
        <v>169</v>
      </c>
      <c r="H12" s="104" t="s">
        <v>141</v>
      </c>
      <c r="I12" s="105" t="s">
        <v>159</v>
      </c>
      <c r="J12" s="104" t="s">
        <v>105</v>
      </c>
      <c r="K12" s="105" t="s">
        <v>143</v>
      </c>
      <c r="L12" s="105" t="s">
        <v>144</v>
      </c>
      <c r="M12" s="105" t="s">
        <v>145</v>
      </c>
      <c r="N12" s="106" t="s">
        <v>109</v>
      </c>
      <c r="O12" s="102" t="s">
        <v>146</v>
      </c>
      <c r="P12" s="105" t="s">
        <v>111</v>
      </c>
      <c r="Q12" s="105"/>
      <c r="R12" s="105">
        <v>8.40353925335E11</v>
      </c>
      <c r="S12" s="105"/>
      <c r="T12" s="105" t="s">
        <v>160</v>
      </c>
      <c r="U12" s="107" t="s">
        <v>113</v>
      </c>
      <c r="V12" s="108" t="s">
        <v>149</v>
      </c>
      <c r="W12" s="109" t="s">
        <v>170</v>
      </c>
      <c r="X12" s="109" t="s">
        <v>171</v>
      </c>
      <c r="Y12" s="109" t="s">
        <v>172</v>
      </c>
      <c r="Z12" s="109" t="s">
        <v>173</v>
      </c>
      <c r="AA12" s="100" t="s">
        <v>174</v>
      </c>
      <c r="AB12" s="110" t="s">
        <v>119</v>
      </c>
      <c r="AC12" s="105" t="s">
        <v>120</v>
      </c>
      <c r="AD12" s="100" t="s">
        <v>120</v>
      </c>
      <c r="AE12" s="100" t="s">
        <v>120</v>
      </c>
      <c r="AF12" s="100" t="s">
        <v>121</v>
      </c>
      <c r="AG12" s="100" t="s">
        <v>119</v>
      </c>
      <c r="AH12" s="100" t="s">
        <v>119</v>
      </c>
      <c r="AI12" s="102" t="s">
        <v>119</v>
      </c>
      <c r="AJ12" s="102" t="s">
        <v>119</v>
      </c>
      <c r="AK12" s="111" t="s">
        <v>119</v>
      </c>
      <c r="AL12" s="102" t="s">
        <v>120</v>
      </c>
      <c r="AM12" s="102" t="s">
        <v>120</v>
      </c>
      <c r="AN12" s="102" t="s">
        <v>120</v>
      </c>
      <c r="AO12" s="112" t="s">
        <v>131</v>
      </c>
      <c r="AP12" s="113" t="s">
        <v>132</v>
      </c>
      <c r="AQ12" s="103"/>
      <c r="AR12" s="114" t="s">
        <v>124</v>
      </c>
      <c r="AS12" s="115" t="s">
        <v>133</v>
      </c>
      <c r="AT12" s="116" t="s">
        <v>175</v>
      </c>
      <c r="AU12" s="103" t="str">
        <f t="array" ref="AU12">INDEX('label approval artwork'!B:B,MATCH(G12,'label approval artwork'!F:F,0))</f>
        <v>G990-08505-11-A</v>
      </c>
      <c r="AV12" s="102" t="s">
        <v>156</v>
      </c>
      <c r="AW12" s="102"/>
      <c r="AX12" s="102" t="s">
        <v>135</v>
      </c>
      <c r="AY12" s="102" t="s">
        <v>136</v>
      </c>
      <c r="AZ12" s="103" t="s">
        <v>137</v>
      </c>
    </row>
    <row r="13">
      <c r="A13" s="99">
        <v>5.0</v>
      </c>
      <c r="B13" s="100" t="s">
        <v>99</v>
      </c>
      <c r="C13" s="101" t="s">
        <v>39</v>
      </c>
      <c r="D13" s="102" t="s">
        <v>138</v>
      </c>
      <c r="E13" s="100" t="s">
        <v>176</v>
      </c>
      <c r="F13" s="100"/>
      <c r="G13" s="119" t="s">
        <v>177</v>
      </c>
      <c r="H13" s="104" t="s">
        <v>141</v>
      </c>
      <c r="I13" s="105" t="s">
        <v>178</v>
      </c>
      <c r="J13" s="104" t="s">
        <v>105</v>
      </c>
      <c r="K13" s="105" t="s">
        <v>106</v>
      </c>
      <c r="L13" s="105" t="s">
        <v>107</v>
      </c>
      <c r="M13" s="105" t="s">
        <v>108</v>
      </c>
      <c r="N13" s="106" t="s">
        <v>109</v>
      </c>
      <c r="O13" s="102" t="s">
        <v>146</v>
      </c>
      <c r="P13" s="105" t="s">
        <v>111</v>
      </c>
      <c r="Q13" s="105"/>
      <c r="R13" s="105">
        <v>8.403539257E11</v>
      </c>
      <c r="S13" s="105"/>
      <c r="T13" s="105" t="s">
        <v>179</v>
      </c>
      <c r="U13" s="107" t="s">
        <v>113</v>
      </c>
      <c r="V13" s="108" t="s">
        <v>149</v>
      </c>
      <c r="W13" s="109" t="s">
        <v>180</v>
      </c>
      <c r="X13" s="109" t="s">
        <v>181</v>
      </c>
      <c r="Y13" s="109" t="s">
        <v>182</v>
      </c>
      <c r="Z13" s="109" t="s">
        <v>183</v>
      </c>
      <c r="AA13" s="100" t="s">
        <v>184</v>
      </c>
      <c r="AB13" s="110" t="s">
        <v>119</v>
      </c>
      <c r="AC13" s="105" t="s">
        <v>120</v>
      </c>
      <c r="AD13" s="100" t="s">
        <v>120</v>
      </c>
      <c r="AE13" s="100" t="s">
        <v>120</v>
      </c>
      <c r="AF13" s="100" t="s">
        <v>121</v>
      </c>
      <c r="AG13" s="100" t="s">
        <v>119</v>
      </c>
      <c r="AH13" s="100" t="s">
        <v>119</v>
      </c>
      <c r="AI13" s="102" t="s">
        <v>119</v>
      </c>
      <c r="AJ13" s="102" t="s">
        <v>119</v>
      </c>
      <c r="AK13" s="111" t="s">
        <v>119</v>
      </c>
      <c r="AL13" s="102" t="s">
        <v>120</v>
      </c>
      <c r="AM13" s="102" t="s">
        <v>120</v>
      </c>
      <c r="AN13" s="102" t="s">
        <v>120</v>
      </c>
      <c r="AO13" s="112" t="s">
        <v>131</v>
      </c>
      <c r="AP13" s="113" t="s">
        <v>132</v>
      </c>
      <c r="AQ13" s="103"/>
      <c r="AR13" s="114" t="s">
        <v>124</v>
      </c>
      <c r="AS13" s="115" t="s">
        <v>133</v>
      </c>
      <c r="AT13" s="116" t="s">
        <v>185</v>
      </c>
      <c r="AU13" s="103" t="str">
        <f t="array" ref="AU13">INDEX('label approval artwork'!B:B,MATCH(G13,'label approval artwork'!F:F,0))</f>
        <v>G990-08505-11-A</v>
      </c>
      <c r="AV13" s="102" t="s">
        <v>156</v>
      </c>
      <c r="AW13" s="102"/>
      <c r="AX13" s="102" t="s">
        <v>135</v>
      </c>
      <c r="AY13" s="102" t="s">
        <v>136</v>
      </c>
      <c r="AZ13" s="103" t="s">
        <v>137</v>
      </c>
    </row>
    <row r="14">
      <c r="A14" s="118">
        <v>6.0</v>
      </c>
      <c r="B14" s="100" t="s">
        <v>167</v>
      </c>
      <c r="C14" s="101" t="s">
        <v>39</v>
      </c>
      <c r="D14" s="102" t="s">
        <v>138</v>
      </c>
      <c r="E14" s="100" t="s">
        <v>186</v>
      </c>
      <c r="F14" s="100"/>
      <c r="G14" s="119" t="s">
        <v>187</v>
      </c>
      <c r="H14" s="104" t="s">
        <v>141</v>
      </c>
      <c r="I14" s="105" t="s">
        <v>178</v>
      </c>
      <c r="J14" s="104" t="s">
        <v>105</v>
      </c>
      <c r="K14" s="105" t="s">
        <v>143</v>
      </c>
      <c r="L14" s="105" t="s">
        <v>144</v>
      </c>
      <c r="M14" s="105" t="s">
        <v>145</v>
      </c>
      <c r="N14" s="106" t="s">
        <v>109</v>
      </c>
      <c r="O14" s="102" t="s">
        <v>146</v>
      </c>
      <c r="P14" s="105" t="s">
        <v>111</v>
      </c>
      <c r="Q14" s="105"/>
      <c r="R14" s="105">
        <v>8.40353925724E11</v>
      </c>
      <c r="S14" s="105"/>
      <c r="T14" s="105" t="s">
        <v>179</v>
      </c>
      <c r="U14" s="107" t="s">
        <v>113</v>
      </c>
      <c r="V14" s="108" t="s">
        <v>149</v>
      </c>
      <c r="W14" s="109" t="s">
        <v>188</v>
      </c>
      <c r="X14" s="109" t="s">
        <v>189</v>
      </c>
      <c r="Y14" s="109" t="s">
        <v>190</v>
      </c>
      <c r="Z14" s="109" t="s">
        <v>191</v>
      </c>
      <c r="AA14" s="100" t="s">
        <v>192</v>
      </c>
      <c r="AB14" s="110" t="s">
        <v>119</v>
      </c>
      <c r="AC14" s="105" t="s">
        <v>120</v>
      </c>
      <c r="AD14" s="100" t="s">
        <v>120</v>
      </c>
      <c r="AE14" s="100" t="s">
        <v>120</v>
      </c>
      <c r="AF14" s="100" t="s">
        <v>121</v>
      </c>
      <c r="AG14" s="100" t="s">
        <v>119</v>
      </c>
      <c r="AH14" s="100" t="s">
        <v>119</v>
      </c>
      <c r="AI14" s="102" t="s">
        <v>119</v>
      </c>
      <c r="AJ14" s="102" t="s">
        <v>119</v>
      </c>
      <c r="AK14" s="111" t="s">
        <v>119</v>
      </c>
      <c r="AL14" s="102" t="s">
        <v>120</v>
      </c>
      <c r="AM14" s="102" t="s">
        <v>120</v>
      </c>
      <c r="AN14" s="102" t="s">
        <v>120</v>
      </c>
      <c r="AO14" s="112" t="s">
        <v>131</v>
      </c>
      <c r="AP14" s="113" t="s">
        <v>132</v>
      </c>
      <c r="AQ14" s="103"/>
      <c r="AR14" s="114" t="s">
        <v>124</v>
      </c>
      <c r="AS14" s="115" t="s">
        <v>133</v>
      </c>
      <c r="AT14" s="116" t="s">
        <v>193</v>
      </c>
      <c r="AU14" s="103" t="str">
        <f t="array" ref="AU14">INDEX('label approval artwork'!B:B,MATCH(G14,'label approval artwork'!F:F,0))</f>
        <v>G990-08505-11-A</v>
      </c>
      <c r="AV14" s="102" t="s">
        <v>156</v>
      </c>
      <c r="AW14" s="102"/>
      <c r="AX14" s="102" t="s">
        <v>135</v>
      </c>
      <c r="AY14" s="102" t="s">
        <v>136</v>
      </c>
      <c r="AZ14" s="103" t="s">
        <v>137</v>
      </c>
    </row>
    <row r="15">
      <c r="A15" s="99">
        <v>7.0</v>
      </c>
      <c r="B15" s="100" t="s">
        <v>99</v>
      </c>
      <c r="C15" s="101" t="s">
        <v>39</v>
      </c>
      <c r="D15" s="102" t="s">
        <v>138</v>
      </c>
      <c r="E15" s="100" t="s">
        <v>194</v>
      </c>
      <c r="F15" s="100"/>
      <c r="G15" s="120" t="s">
        <v>195</v>
      </c>
      <c r="H15" s="104" t="s">
        <v>141</v>
      </c>
      <c r="I15" s="105" t="s">
        <v>159</v>
      </c>
      <c r="J15" s="104" t="s">
        <v>105</v>
      </c>
      <c r="K15" s="105" t="s">
        <v>196</v>
      </c>
      <c r="L15" s="105" t="s">
        <v>197</v>
      </c>
      <c r="M15" s="105" t="s">
        <v>198</v>
      </c>
      <c r="N15" s="106" t="s">
        <v>109</v>
      </c>
      <c r="O15" s="102" t="s">
        <v>146</v>
      </c>
      <c r="P15" s="105" t="s">
        <v>111</v>
      </c>
      <c r="Q15" s="105"/>
      <c r="R15" s="105">
        <v>8.40353925342E11</v>
      </c>
      <c r="S15" s="105"/>
      <c r="T15" s="105" t="s">
        <v>160</v>
      </c>
      <c r="U15" s="107" t="s">
        <v>113</v>
      </c>
      <c r="V15" s="108" t="s">
        <v>149</v>
      </c>
      <c r="W15" s="109" t="s">
        <v>199</v>
      </c>
      <c r="X15" s="109" t="s">
        <v>200</v>
      </c>
      <c r="Y15" s="109" t="s">
        <v>201</v>
      </c>
      <c r="Z15" s="109" t="s">
        <v>202</v>
      </c>
      <c r="AA15" s="100" t="s">
        <v>203</v>
      </c>
      <c r="AB15" s="110" t="s">
        <v>119</v>
      </c>
      <c r="AC15" s="105" t="s">
        <v>120</v>
      </c>
      <c r="AD15" s="100" t="s">
        <v>120</v>
      </c>
      <c r="AE15" s="100" t="s">
        <v>120</v>
      </c>
      <c r="AF15" s="100" t="s">
        <v>121</v>
      </c>
      <c r="AG15" s="100" t="s">
        <v>119</v>
      </c>
      <c r="AH15" s="100" t="s">
        <v>119</v>
      </c>
      <c r="AI15" s="102" t="s">
        <v>119</v>
      </c>
      <c r="AJ15" s="102" t="s">
        <v>119</v>
      </c>
      <c r="AK15" s="111" t="s">
        <v>119</v>
      </c>
      <c r="AL15" s="102" t="s">
        <v>120</v>
      </c>
      <c r="AM15" s="102" t="s">
        <v>120</v>
      </c>
      <c r="AN15" s="102" t="s">
        <v>120</v>
      </c>
      <c r="AO15" s="112" t="s">
        <v>131</v>
      </c>
      <c r="AP15" s="113" t="s">
        <v>132</v>
      </c>
      <c r="AQ15" s="103"/>
      <c r="AR15" s="114" t="s">
        <v>124</v>
      </c>
      <c r="AS15" s="115" t="s">
        <v>133</v>
      </c>
      <c r="AT15" s="121" t="s">
        <v>204</v>
      </c>
      <c r="AU15" s="103" t="str">
        <f t="array" ref="AU15">INDEX('label approval artwork'!B:B,MATCH(G15,'label approval artwork'!F:F,0))</f>
        <v>G990-08505-11-A</v>
      </c>
      <c r="AV15" s="102" t="s">
        <v>156</v>
      </c>
      <c r="AW15" s="102"/>
      <c r="AX15" s="102" t="s">
        <v>135</v>
      </c>
      <c r="AY15" s="102" t="s">
        <v>136</v>
      </c>
      <c r="AZ15" s="103" t="s">
        <v>137</v>
      </c>
    </row>
    <row r="16">
      <c r="A16" s="118">
        <v>8.0</v>
      </c>
      <c r="B16" s="100" t="s">
        <v>99</v>
      </c>
      <c r="C16" s="101" t="s">
        <v>39</v>
      </c>
      <c r="D16" s="102" t="s">
        <v>138</v>
      </c>
      <c r="E16" s="100" t="s">
        <v>205</v>
      </c>
      <c r="F16" s="100"/>
      <c r="G16" s="119" t="s">
        <v>206</v>
      </c>
      <c r="H16" s="104" t="s">
        <v>207</v>
      </c>
      <c r="I16" s="105" t="s">
        <v>142</v>
      </c>
      <c r="J16" s="104" t="s">
        <v>105</v>
      </c>
      <c r="K16" s="105" t="s">
        <v>106</v>
      </c>
      <c r="L16" s="105" t="s">
        <v>107</v>
      </c>
      <c r="M16" s="105" t="s">
        <v>108</v>
      </c>
      <c r="N16" s="106" t="s">
        <v>109</v>
      </c>
      <c r="O16" s="102" t="s">
        <v>146</v>
      </c>
      <c r="P16" s="105" t="s">
        <v>208</v>
      </c>
      <c r="Q16" s="105" t="s">
        <v>209</v>
      </c>
      <c r="R16" s="105" t="s">
        <v>210</v>
      </c>
      <c r="S16" s="105"/>
      <c r="T16" s="105" t="s">
        <v>148</v>
      </c>
      <c r="U16" s="107" t="s">
        <v>211</v>
      </c>
      <c r="V16" s="108" t="s">
        <v>212</v>
      </c>
      <c r="W16" s="122" t="s">
        <v>213</v>
      </c>
      <c r="X16" s="122" t="s">
        <v>214</v>
      </c>
      <c r="Y16" s="109" t="s">
        <v>215</v>
      </c>
      <c r="Z16" s="109" t="s">
        <v>216</v>
      </c>
      <c r="AA16" s="100" t="s">
        <v>217</v>
      </c>
      <c r="AB16" s="110" t="s">
        <v>119</v>
      </c>
      <c r="AC16" s="105" t="s">
        <v>120</v>
      </c>
      <c r="AD16" s="100" t="s">
        <v>120</v>
      </c>
      <c r="AE16" s="100" t="s">
        <v>120</v>
      </c>
      <c r="AF16" s="100" t="s">
        <v>121</v>
      </c>
      <c r="AG16" s="100" t="s">
        <v>119</v>
      </c>
      <c r="AH16" s="100" t="s">
        <v>119</v>
      </c>
      <c r="AI16" s="102" t="s">
        <v>119</v>
      </c>
      <c r="AJ16" s="102" t="s">
        <v>119</v>
      </c>
      <c r="AK16" s="111" t="s">
        <v>119</v>
      </c>
      <c r="AL16" s="102" t="s">
        <v>120</v>
      </c>
      <c r="AM16" s="102" t="s">
        <v>120</v>
      </c>
      <c r="AN16" s="102" t="s">
        <v>120</v>
      </c>
      <c r="AO16" s="112" t="s">
        <v>131</v>
      </c>
      <c r="AP16" s="113" t="s">
        <v>132</v>
      </c>
      <c r="AQ16" s="103"/>
      <c r="AR16" s="114" t="s">
        <v>124</v>
      </c>
      <c r="AS16" s="115" t="s">
        <v>133</v>
      </c>
      <c r="AT16" s="116" t="s">
        <v>134</v>
      </c>
      <c r="AU16" s="103" t="str">
        <f t="array" ref="AU16">INDEX('label approval artwork'!B:B,MATCH(G16,'label approval artwork'!F:F,0))</f>
        <v>G990-08504-11-A</v>
      </c>
      <c r="AV16" s="102" t="s">
        <v>156</v>
      </c>
      <c r="AW16" s="102"/>
      <c r="AX16" s="102" t="s">
        <v>218</v>
      </c>
      <c r="AY16" s="102" t="s">
        <v>219</v>
      </c>
      <c r="AZ16" s="103" t="s">
        <v>137</v>
      </c>
    </row>
    <row r="17">
      <c r="A17" s="99">
        <v>9.0</v>
      </c>
      <c r="B17" s="100" t="s">
        <v>99</v>
      </c>
      <c r="C17" s="101" t="s">
        <v>39</v>
      </c>
      <c r="D17" s="102" t="s">
        <v>138</v>
      </c>
      <c r="E17" s="100" t="s">
        <v>139</v>
      </c>
      <c r="F17" s="100"/>
      <c r="G17" s="119" t="s">
        <v>220</v>
      </c>
      <c r="H17" s="104" t="s">
        <v>207</v>
      </c>
      <c r="I17" s="105" t="s">
        <v>142</v>
      </c>
      <c r="J17" s="104" t="s">
        <v>105</v>
      </c>
      <c r="K17" s="105" t="s">
        <v>143</v>
      </c>
      <c r="L17" s="105" t="s">
        <v>144</v>
      </c>
      <c r="M17" s="105" t="s">
        <v>145</v>
      </c>
      <c r="N17" s="106" t="s">
        <v>109</v>
      </c>
      <c r="O17" s="102" t="s">
        <v>146</v>
      </c>
      <c r="P17" s="105" t="s">
        <v>208</v>
      </c>
      <c r="Q17" s="105" t="s">
        <v>221</v>
      </c>
      <c r="R17" s="105">
        <v>8.40353925083E11</v>
      </c>
      <c r="S17" s="105"/>
      <c r="T17" s="105" t="s">
        <v>148</v>
      </c>
      <c r="U17" s="107" t="s">
        <v>211</v>
      </c>
      <c r="V17" s="108" t="s">
        <v>212</v>
      </c>
      <c r="W17" s="122" t="s">
        <v>213</v>
      </c>
      <c r="X17" s="122" t="s">
        <v>214</v>
      </c>
      <c r="Y17" s="109" t="s">
        <v>222</v>
      </c>
      <c r="Z17" s="109" t="s">
        <v>223</v>
      </c>
      <c r="AA17" s="100" t="s">
        <v>224</v>
      </c>
      <c r="AB17" s="110" t="s">
        <v>119</v>
      </c>
      <c r="AC17" s="105" t="s">
        <v>120</v>
      </c>
      <c r="AD17" s="100" t="s">
        <v>120</v>
      </c>
      <c r="AE17" s="100" t="s">
        <v>120</v>
      </c>
      <c r="AF17" s="100" t="s">
        <v>121</v>
      </c>
      <c r="AG17" s="100" t="s">
        <v>119</v>
      </c>
      <c r="AH17" s="100" t="s">
        <v>119</v>
      </c>
      <c r="AI17" s="102" t="s">
        <v>119</v>
      </c>
      <c r="AJ17" s="102" t="s">
        <v>119</v>
      </c>
      <c r="AK17" s="111" t="s">
        <v>119</v>
      </c>
      <c r="AL17" s="102" t="s">
        <v>120</v>
      </c>
      <c r="AM17" s="102" t="s">
        <v>120</v>
      </c>
      <c r="AN17" s="102" t="s">
        <v>120</v>
      </c>
      <c r="AO17" s="112" t="s">
        <v>131</v>
      </c>
      <c r="AP17" s="113" t="s">
        <v>132</v>
      </c>
      <c r="AQ17" s="103"/>
      <c r="AR17" s="114" t="s">
        <v>124</v>
      </c>
      <c r="AS17" s="115" t="s">
        <v>133</v>
      </c>
      <c r="AT17" s="116" t="s">
        <v>155</v>
      </c>
      <c r="AU17" s="103" t="str">
        <f t="array" ref="AU17">INDEX('label approval artwork'!B:B,MATCH(G17,'label approval artwork'!F:F,0))</f>
        <v>G990-08504-31-A</v>
      </c>
      <c r="AV17" s="102" t="s">
        <v>156</v>
      </c>
      <c r="AW17" s="102"/>
      <c r="AX17" s="102" t="s">
        <v>218</v>
      </c>
      <c r="AY17" s="102" t="s">
        <v>219</v>
      </c>
      <c r="AZ17" s="103" t="s">
        <v>137</v>
      </c>
    </row>
    <row r="18">
      <c r="A18" s="118">
        <v>10.0</v>
      </c>
      <c r="B18" s="100" t="s">
        <v>167</v>
      </c>
      <c r="C18" s="101" t="s">
        <v>39</v>
      </c>
      <c r="D18" s="102" t="s">
        <v>138</v>
      </c>
      <c r="E18" s="100" t="s">
        <v>168</v>
      </c>
      <c r="F18" s="100"/>
      <c r="G18" s="119" t="s">
        <v>225</v>
      </c>
      <c r="H18" s="104" t="s">
        <v>207</v>
      </c>
      <c r="I18" s="105" t="s">
        <v>159</v>
      </c>
      <c r="J18" s="104" t="s">
        <v>105</v>
      </c>
      <c r="K18" s="105" t="s">
        <v>143</v>
      </c>
      <c r="L18" s="105" t="s">
        <v>144</v>
      </c>
      <c r="M18" s="105" t="s">
        <v>145</v>
      </c>
      <c r="N18" s="106" t="s">
        <v>109</v>
      </c>
      <c r="O18" s="102" t="s">
        <v>146</v>
      </c>
      <c r="P18" s="105" t="s">
        <v>208</v>
      </c>
      <c r="Q18" s="105" t="s">
        <v>226</v>
      </c>
      <c r="R18" s="105">
        <v>8.40353925151E11</v>
      </c>
      <c r="S18" s="105"/>
      <c r="T18" s="105" t="s">
        <v>160</v>
      </c>
      <c r="U18" s="107" t="s">
        <v>211</v>
      </c>
      <c r="V18" s="108" t="s">
        <v>212</v>
      </c>
      <c r="W18" s="122" t="s">
        <v>213</v>
      </c>
      <c r="X18" s="122" t="s">
        <v>214</v>
      </c>
      <c r="Y18" s="109" t="s">
        <v>227</v>
      </c>
      <c r="Z18" s="109" t="s">
        <v>228</v>
      </c>
      <c r="AA18" s="100" t="s">
        <v>229</v>
      </c>
      <c r="AB18" s="110" t="s">
        <v>119</v>
      </c>
      <c r="AC18" s="105" t="s">
        <v>120</v>
      </c>
      <c r="AD18" s="100" t="s">
        <v>120</v>
      </c>
      <c r="AE18" s="100" t="s">
        <v>120</v>
      </c>
      <c r="AF18" s="100" t="s">
        <v>121</v>
      </c>
      <c r="AG18" s="100" t="s">
        <v>119</v>
      </c>
      <c r="AH18" s="100" t="s">
        <v>119</v>
      </c>
      <c r="AI18" s="102" t="s">
        <v>119</v>
      </c>
      <c r="AJ18" s="102" t="s">
        <v>119</v>
      </c>
      <c r="AK18" s="111" t="s">
        <v>119</v>
      </c>
      <c r="AL18" s="102" t="s">
        <v>120</v>
      </c>
      <c r="AM18" s="102" t="s">
        <v>120</v>
      </c>
      <c r="AN18" s="102" t="s">
        <v>120</v>
      </c>
      <c r="AO18" s="112" t="s">
        <v>131</v>
      </c>
      <c r="AP18" s="113" t="s">
        <v>132</v>
      </c>
      <c r="AQ18" s="103"/>
      <c r="AR18" s="114" t="s">
        <v>124</v>
      </c>
      <c r="AS18" s="115" t="s">
        <v>133</v>
      </c>
      <c r="AT18" s="116" t="s">
        <v>175</v>
      </c>
      <c r="AU18" s="103" t="str">
        <f t="array" ref="AU18">INDEX('label approval artwork'!B:B,MATCH(G18,'label approval artwork'!F:F,0))</f>
        <v>G990-08504-32-A</v>
      </c>
      <c r="AV18" s="102" t="s">
        <v>156</v>
      </c>
      <c r="AW18" s="102"/>
      <c r="AX18" s="102" t="s">
        <v>218</v>
      </c>
      <c r="AY18" s="102" t="s">
        <v>219</v>
      </c>
      <c r="AZ18" s="103" t="s">
        <v>137</v>
      </c>
    </row>
    <row r="19">
      <c r="A19" s="99">
        <v>11.0</v>
      </c>
      <c r="B19" s="100" t="s">
        <v>99</v>
      </c>
      <c r="C19" s="101" t="s">
        <v>39</v>
      </c>
      <c r="D19" s="102" t="s">
        <v>138</v>
      </c>
      <c r="E19" s="100" t="s">
        <v>205</v>
      </c>
      <c r="F19" s="100"/>
      <c r="G19" s="120" t="s">
        <v>230</v>
      </c>
      <c r="H19" s="104" t="s">
        <v>231</v>
      </c>
      <c r="I19" s="105" t="s">
        <v>142</v>
      </c>
      <c r="J19" s="104" t="s">
        <v>105</v>
      </c>
      <c r="K19" s="105" t="s">
        <v>106</v>
      </c>
      <c r="L19" s="105" t="s">
        <v>107</v>
      </c>
      <c r="M19" s="105" t="s">
        <v>108</v>
      </c>
      <c r="N19" s="106" t="s">
        <v>109</v>
      </c>
      <c r="O19" s="102" t="s">
        <v>146</v>
      </c>
      <c r="P19" s="105" t="s">
        <v>232</v>
      </c>
      <c r="Q19" s="105">
        <v>8.40353925212E11</v>
      </c>
      <c r="R19" s="105">
        <v>8.40353925212E11</v>
      </c>
      <c r="S19" s="105"/>
      <c r="T19" s="105" t="s">
        <v>148</v>
      </c>
      <c r="U19" s="107" t="s">
        <v>233</v>
      </c>
      <c r="V19" s="108" t="s">
        <v>234</v>
      </c>
      <c r="W19" s="122" t="s">
        <v>235</v>
      </c>
      <c r="X19" s="122" t="s">
        <v>236</v>
      </c>
      <c r="Y19" s="109" t="s">
        <v>237</v>
      </c>
      <c r="Z19" s="109" t="s">
        <v>238</v>
      </c>
      <c r="AA19" s="100" t="s">
        <v>239</v>
      </c>
      <c r="AB19" s="110" t="s">
        <v>119</v>
      </c>
      <c r="AC19" s="105" t="s">
        <v>120</v>
      </c>
      <c r="AD19" s="100" t="s">
        <v>120</v>
      </c>
      <c r="AE19" s="100" t="s">
        <v>120</v>
      </c>
      <c r="AF19" s="100" t="s">
        <v>121</v>
      </c>
      <c r="AG19" s="100" t="s">
        <v>119</v>
      </c>
      <c r="AH19" s="100" t="s">
        <v>119</v>
      </c>
      <c r="AI19" s="102" t="s">
        <v>119</v>
      </c>
      <c r="AJ19" s="102" t="s">
        <v>119</v>
      </c>
      <c r="AK19" s="111" t="s">
        <v>119</v>
      </c>
      <c r="AL19" s="102" t="s">
        <v>120</v>
      </c>
      <c r="AM19" s="102" t="s">
        <v>120</v>
      </c>
      <c r="AN19" s="102" t="s">
        <v>120</v>
      </c>
      <c r="AO19" s="112" t="s">
        <v>131</v>
      </c>
      <c r="AP19" s="113" t="s">
        <v>132</v>
      </c>
      <c r="AQ19" s="103"/>
      <c r="AR19" s="114" t="s">
        <v>124</v>
      </c>
      <c r="AS19" s="115" t="s">
        <v>133</v>
      </c>
      <c r="AT19" s="121" t="s">
        <v>134</v>
      </c>
      <c r="AU19" s="103" t="str">
        <f t="array" ref="AU19">INDEX('label approval artwork'!B:B,MATCH(G19,'label approval artwork'!F:F,0))</f>
        <v>G990-08506-11-A</v>
      </c>
      <c r="AV19" s="102" t="s">
        <v>156</v>
      </c>
      <c r="AW19" s="102"/>
      <c r="AX19" s="102" t="s">
        <v>240</v>
      </c>
      <c r="AY19" s="102" t="s">
        <v>241</v>
      </c>
      <c r="AZ19" s="103" t="s">
        <v>137</v>
      </c>
    </row>
    <row r="20">
      <c r="A20" s="118">
        <v>12.0</v>
      </c>
      <c r="B20" s="100" t="s">
        <v>99</v>
      </c>
      <c r="C20" s="101" t="s">
        <v>39</v>
      </c>
      <c r="D20" s="102" t="s">
        <v>138</v>
      </c>
      <c r="E20" s="100" t="s">
        <v>242</v>
      </c>
      <c r="F20" s="100"/>
      <c r="G20" s="119" t="s">
        <v>243</v>
      </c>
      <c r="H20" s="104" t="s">
        <v>231</v>
      </c>
      <c r="I20" s="105" t="s">
        <v>142</v>
      </c>
      <c r="J20" s="104" t="s">
        <v>105</v>
      </c>
      <c r="K20" s="105" t="s">
        <v>244</v>
      </c>
      <c r="L20" s="105" t="s">
        <v>245</v>
      </c>
      <c r="M20" s="105" t="s">
        <v>246</v>
      </c>
      <c r="N20" s="106" t="s">
        <v>109</v>
      </c>
      <c r="O20" s="102" t="s">
        <v>146</v>
      </c>
      <c r="P20" s="105" t="s">
        <v>232</v>
      </c>
      <c r="Q20" s="105">
        <v>8.40353925236E11</v>
      </c>
      <c r="R20" s="105">
        <v>8.40353925236E11</v>
      </c>
      <c r="S20" s="105"/>
      <c r="T20" s="105" t="s">
        <v>148</v>
      </c>
      <c r="U20" s="107" t="s">
        <v>233</v>
      </c>
      <c r="V20" s="108" t="s">
        <v>234</v>
      </c>
      <c r="W20" s="122" t="s">
        <v>235</v>
      </c>
      <c r="X20" s="122" t="s">
        <v>236</v>
      </c>
      <c r="Y20" s="109" t="s">
        <v>247</v>
      </c>
      <c r="Z20" s="109" t="s">
        <v>248</v>
      </c>
      <c r="AA20" s="100" t="s">
        <v>249</v>
      </c>
      <c r="AB20" s="110" t="s">
        <v>119</v>
      </c>
      <c r="AC20" s="105" t="s">
        <v>120</v>
      </c>
      <c r="AD20" s="100" t="s">
        <v>120</v>
      </c>
      <c r="AE20" s="100" t="s">
        <v>120</v>
      </c>
      <c r="AF20" s="100" t="s">
        <v>121</v>
      </c>
      <c r="AG20" s="100" t="s">
        <v>119</v>
      </c>
      <c r="AH20" s="100" t="s">
        <v>119</v>
      </c>
      <c r="AI20" s="102" t="s">
        <v>119</v>
      </c>
      <c r="AJ20" s="102" t="s">
        <v>119</v>
      </c>
      <c r="AK20" s="111" t="s">
        <v>119</v>
      </c>
      <c r="AL20" s="102" t="s">
        <v>120</v>
      </c>
      <c r="AM20" s="102" t="s">
        <v>120</v>
      </c>
      <c r="AN20" s="102" t="s">
        <v>120</v>
      </c>
      <c r="AO20" s="112" t="s">
        <v>131</v>
      </c>
      <c r="AP20" s="113" t="s">
        <v>132</v>
      </c>
      <c r="AQ20" s="103"/>
      <c r="AR20" s="114" t="s">
        <v>124</v>
      </c>
      <c r="AS20" s="115" t="s">
        <v>133</v>
      </c>
      <c r="AT20" s="116" t="s">
        <v>250</v>
      </c>
      <c r="AU20" s="103" t="str">
        <f t="array" ref="AU20">INDEX('label approval artwork'!B:B,MATCH(G20,'label approval artwork'!F:F,0))</f>
        <v>G990-08506-21-A</v>
      </c>
      <c r="AV20" s="102" t="s">
        <v>156</v>
      </c>
      <c r="AW20" s="102"/>
      <c r="AX20" s="102" t="s">
        <v>240</v>
      </c>
      <c r="AY20" s="102" t="s">
        <v>241</v>
      </c>
      <c r="AZ20" s="103" t="s">
        <v>137</v>
      </c>
    </row>
    <row r="21">
      <c r="A21" s="99">
        <v>13.0</v>
      </c>
      <c r="B21" s="100" t="s">
        <v>99</v>
      </c>
      <c r="C21" s="101" t="s">
        <v>39</v>
      </c>
      <c r="D21" s="102" t="s">
        <v>138</v>
      </c>
      <c r="E21" s="100" t="s">
        <v>139</v>
      </c>
      <c r="F21" s="100"/>
      <c r="G21" s="119" t="s">
        <v>251</v>
      </c>
      <c r="H21" s="104" t="s">
        <v>231</v>
      </c>
      <c r="I21" s="105" t="s">
        <v>142</v>
      </c>
      <c r="J21" s="104" t="s">
        <v>105</v>
      </c>
      <c r="K21" s="105" t="s">
        <v>143</v>
      </c>
      <c r="L21" s="105" t="s">
        <v>144</v>
      </c>
      <c r="M21" s="105" t="s">
        <v>145</v>
      </c>
      <c r="N21" s="106" t="s">
        <v>109</v>
      </c>
      <c r="O21" s="102" t="s">
        <v>146</v>
      </c>
      <c r="P21" s="105" t="s">
        <v>232</v>
      </c>
      <c r="Q21" s="105">
        <v>8.40353925229E11</v>
      </c>
      <c r="R21" s="105">
        <v>8.40353925229E11</v>
      </c>
      <c r="S21" s="105"/>
      <c r="T21" s="105" t="s">
        <v>148</v>
      </c>
      <c r="U21" s="107" t="s">
        <v>233</v>
      </c>
      <c r="V21" s="108" t="s">
        <v>234</v>
      </c>
      <c r="W21" s="122" t="s">
        <v>235</v>
      </c>
      <c r="X21" s="122" t="s">
        <v>236</v>
      </c>
      <c r="Y21" s="109" t="s">
        <v>252</v>
      </c>
      <c r="Z21" s="109" t="s">
        <v>253</v>
      </c>
      <c r="AA21" s="100" t="s">
        <v>254</v>
      </c>
      <c r="AB21" s="110" t="s">
        <v>119</v>
      </c>
      <c r="AC21" s="105" t="s">
        <v>120</v>
      </c>
      <c r="AD21" s="100" t="s">
        <v>120</v>
      </c>
      <c r="AE21" s="100" t="s">
        <v>120</v>
      </c>
      <c r="AF21" s="100" t="s">
        <v>121</v>
      </c>
      <c r="AG21" s="100" t="s">
        <v>119</v>
      </c>
      <c r="AH21" s="100" t="s">
        <v>119</v>
      </c>
      <c r="AI21" s="102" t="s">
        <v>119</v>
      </c>
      <c r="AJ21" s="102" t="s">
        <v>119</v>
      </c>
      <c r="AK21" s="111" t="s">
        <v>119</v>
      </c>
      <c r="AL21" s="102" t="s">
        <v>120</v>
      </c>
      <c r="AM21" s="102" t="s">
        <v>120</v>
      </c>
      <c r="AN21" s="102" t="s">
        <v>120</v>
      </c>
      <c r="AO21" s="112" t="s">
        <v>131</v>
      </c>
      <c r="AP21" s="113" t="s">
        <v>132</v>
      </c>
      <c r="AQ21" s="103"/>
      <c r="AR21" s="114" t="s">
        <v>124</v>
      </c>
      <c r="AS21" s="115" t="s">
        <v>133</v>
      </c>
      <c r="AT21" s="116" t="s">
        <v>155</v>
      </c>
      <c r="AU21" s="103" t="str">
        <f t="array" ref="AU21">INDEX('label approval artwork'!B:B,MATCH(G21,'label approval artwork'!F:F,0))</f>
        <v>G990-08506-31-A</v>
      </c>
      <c r="AV21" s="102" t="s">
        <v>156</v>
      </c>
      <c r="AW21" s="102"/>
      <c r="AX21" s="102" t="s">
        <v>240</v>
      </c>
      <c r="AY21" s="102" t="s">
        <v>241</v>
      </c>
      <c r="AZ21" s="103" t="s">
        <v>137</v>
      </c>
    </row>
    <row r="22">
      <c r="A22" s="118">
        <v>14.0</v>
      </c>
      <c r="B22" s="100" t="s">
        <v>167</v>
      </c>
      <c r="C22" s="101" t="s">
        <v>39</v>
      </c>
      <c r="D22" s="102" t="s">
        <v>138</v>
      </c>
      <c r="E22" s="100" t="s">
        <v>157</v>
      </c>
      <c r="F22" s="100"/>
      <c r="G22" s="119" t="s">
        <v>255</v>
      </c>
      <c r="H22" s="104" t="s">
        <v>231</v>
      </c>
      <c r="I22" s="105" t="s">
        <v>159</v>
      </c>
      <c r="J22" s="104" t="s">
        <v>105</v>
      </c>
      <c r="K22" s="105" t="s">
        <v>106</v>
      </c>
      <c r="L22" s="105" t="s">
        <v>107</v>
      </c>
      <c r="M22" s="105" t="s">
        <v>108</v>
      </c>
      <c r="N22" s="106" t="s">
        <v>109</v>
      </c>
      <c r="O22" s="102" t="s">
        <v>146</v>
      </c>
      <c r="P22" s="105" t="s">
        <v>232</v>
      </c>
      <c r="Q22" s="105">
        <v>8.40353925243E11</v>
      </c>
      <c r="R22" s="105">
        <v>8.40353925243E11</v>
      </c>
      <c r="S22" s="105"/>
      <c r="T22" s="105" t="s">
        <v>160</v>
      </c>
      <c r="U22" s="107" t="s">
        <v>233</v>
      </c>
      <c r="V22" s="108" t="s">
        <v>234</v>
      </c>
      <c r="W22" s="122" t="s">
        <v>235</v>
      </c>
      <c r="X22" s="122" t="s">
        <v>236</v>
      </c>
      <c r="Y22" s="109" t="s">
        <v>256</v>
      </c>
      <c r="Z22" s="109" t="s">
        <v>257</v>
      </c>
      <c r="AA22" s="100" t="s">
        <v>258</v>
      </c>
      <c r="AB22" s="110" t="s">
        <v>119</v>
      </c>
      <c r="AC22" s="105" t="s">
        <v>120</v>
      </c>
      <c r="AD22" s="100" t="s">
        <v>120</v>
      </c>
      <c r="AE22" s="100" t="s">
        <v>120</v>
      </c>
      <c r="AF22" s="100" t="s">
        <v>121</v>
      </c>
      <c r="AG22" s="100" t="s">
        <v>119</v>
      </c>
      <c r="AH22" s="100" t="s">
        <v>119</v>
      </c>
      <c r="AI22" s="102" t="s">
        <v>119</v>
      </c>
      <c r="AJ22" s="102" t="s">
        <v>119</v>
      </c>
      <c r="AK22" s="111" t="s">
        <v>119</v>
      </c>
      <c r="AL22" s="102" t="s">
        <v>120</v>
      </c>
      <c r="AM22" s="102" t="s">
        <v>120</v>
      </c>
      <c r="AN22" s="102" t="s">
        <v>120</v>
      </c>
      <c r="AO22" s="112" t="s">
        <v>131</v>
      </c>
      <c r="AP22" s="113" t="s">
        <v>132</v>
      </c>
      <c r="AQ22" s="103"/>
      <c r="AR22" s="114" t="s">
        <v>124</v>
      </c>
      <c r="AS22" s="115" t="s">
        <v>133</v>
      </c>
      <c r="AT22" s="116" t="s">
        <v>166</v>
      </c>
      <c r="AU22" s="103" t="str">
        <f t="array" ref="AU22">INDEX('label approval artwork'!B:B,MATCH(G22,'label approval artwork'!F:F,0))</f>
        <v>G990-08506-12-A</v>
      </c>
      <c r="AV22" s="102" t="s">
        <v>156</v>
      </c>
      <c r="AW22" s="102"/>
      <c r="AX22" s="102" t="s">
        <v>240</v>
      </c>
      <c r="AY22" s="102" t="s">
        <v>241</v>
      </c>
      <c r="AZ22" s="103" t="s">
        <v>137</v>
      </c>
    </row>
    <row r="23" hidden="1">
      <c r="A23" s="123">
        <v>15.0</v>
      </c>
      <c r="B23" s="124" t="s">
        <v>259</v>
      </c>
      <c r="C23" s="124" t="s">
        <v>39</v>
      </c>
      <c r="D23" s="125" t="s">
        <v>138</v>
      </c>
      <c r="E23" s="126" t="s">
        <v>168</v>
      </c>
      <c r="F23" s="126"/>
      <c r="G23" s="127" t="s">
        <v>260</v>
      </c>
      <c r="H23" s="128" t="s">
        <v>231</v>
      </c>
      <c r="I23" s="129" t="s">
        <v>159</v>
      </c>
      <c r="J23" s="128" t="s">
        <v>105</v>
      </c>
      <c r="K23" s="129" t="s">
        <v>143</v>
      </c>
      <c r="L23" s="129" t="s">
        <v>144</v>
      </c>
      <c r="M23" s="129" t="s">
        <v>145</v>
      </c>
      <c r="N23" s="130" t="s">
        <v>109</v>
      </c>
      <c r="O23" s="125" t="s">
        <v>146</v>
      </c>
      <c r="P23" s="129" t="s">
        <v>232</v>
      </c>
      <c r="Q23" s="129">
        <v>8.40353925267E11</v>
      </c>
      <c r="R23" s="129">
        <v>8.40353925267E11</v>
      </c>
      <c r="S23" s="129"/>
      <c r="T23" s="129" t="s">
        <v>160</v>
      </c>
      <c r="U23" s="131" t="s">
        <v>233</v>
      </c>
      <c r="V23" s="132" t="s">
        <v>234</v>
      </c>
      <c r="W23" s="133" t="s">
        <v>235</v>
      </c>
      <c r="X23" s="133" t="s">
        <v>236</v>
      </c>
      <c r="Y23" s="133" t="s">
        <v>261</v>
      </c>
      <c r="Z23" s="109" t="s">
        <v>262</v>
      </c>
      <c r="AA23" s="100" t="e">
        <v>#N/A</v>
      </c>
      <c r="AB23" s="134" t="s">
        <v>119</v>
      </c>
      <c r="AC23" s="129" t="s">
        <v>120</v>
      </c>
      <c r="AD23" s="126" t="s">
        <v>120</v>
      </c>
      <c r="AE23" s="126" t="s">
        <v>120</v>
      </c>
      <c r="AF23" s="126" t="s">
        <v>121</v>
      </c>
      <c r="AG23" s="126" t="s">
        <v>119</v>
      </c>
      <c r="AH23" s="126" t="s">
        <v>119</v>
      </c>
      <c r="AI23" s="125" t="s">
        <v>119</v>
      </c>
      <c r="AJ23" s="125" t="s">
        <v>119</v>
      </c>
      <c r="AK23" s="135" t="s">
        <v>119</v>
      </c>
      <c r="AL23" s="125" t="s">
        <v>120</v>
      </c>
      <c r="AM23" s="125" t="s">
        <v>120</v>
      </c>
      <c r="AN23" s="125" t="s">
        <v>120</v>
      </c>
      <c r="AO23" s="136"/>
      <c r="AP23" s="113" t="s">
        <v>132</v>
      </c>
      <c r="AQ23" s="103"/>
      <c r="AR23" s="137" t="s">
        <v>124</v>
      </c>
      <c r="AS23" s="138" t="s">
        <v>133</v>
      </c>
      <c r="AT23" s="116" t="s">
        <v>175</v>
      </c>
      <c r="AU23" s="103" t="str">
        <f t="array" ref="AU23">INDEX('label approval artwork'!B:B,MATCH(G23,'label approval artwork'!F:F,0))</f>
        <v>MP File_TBD</v>
      </c>
      <c r="AV23" s="125" t="s">
        <v>156</v>
      </c>
      <c r="AW23" s="125"/>
      <c r="AX23" s="125" t="s">
        <v>240</v>
      </c>
      <c r="AY23" s="125" t="s">
        <v>241</v>
      </c>
      <c r="AZ23" s="139" t="s">
        <v>137</v>
      </c>
      <c r="BA23" s="136"/>
      <c r="BB23" s="136"/>
      <c r="BC23" s="136"/>
      <c r="BD23" s="136"/>
      <c r="BE23" s="136"/>
      <c r="BF23" s="136"/>
      <c r="BG23" s="136"/>
    </row>
    <row r="24">
      <c r="A24" s="118">
        <v>16.0</v>
      </c>
      <c r="B24" s="100" t="s">
        <v>40</v>
      </c>
      <c r="C24" s="101" t="s">
        <v>40</v>
      </c>
      <c r="D24" s="102" t="s">
        <v>138</v>
      </c>
      <c r="E24" s="100" t="s">
        <v>205</v>
      </c>
      <c r="F24" s="100"/>
      <c r="G24" s="119" t="s">
        <v>263</v>
      </c>
      <c r="H24" s="104" t="s">
        <v>141</v>
      </c>
      <c r="I24" s="105" t="s">
        <v>142</v>
      </c>
      <c r="J24" s="104" t="s">
        <v>105</v>
      </c>
      <c r="K24" s="105" t="s">
        <v>106</v>
      </c>
      <c r="L24" s="105" t="s">
        <v>107</v>
      </c>
      <c r="M24" s="105" t="s">
        <v>108</v>
      </c>
      <c r="N24" s="106" t="s">
        <v>109</v>
      </c>
      <c r="O24" s="102" t="s">
        <v>146</v>
      </c>
      <c r="P24" s="105" t="s">
        <v>111</v>
      </c>
      <c r="Q24" s="105"/>
      <c r="R24" s="105">
        <v>8.40353936584E11</v>
      </c>
      <c r="S24" s="105"/>
      <c r="T24" s="105" t="s">
        <v>148</v>
      </c>
      <c r="U24" s="107" t="s">
        <v>113</v>
      </c>
      <c r="V24" s="108" t="s">
        <v>149</v>
      </c>
      <c r="W24" s="109" t="s">
        <v>264</v>
      </c>
      <c r="X24" s="109" t="s">
        <v>265</v>
      </c>
      <c r="Y24" s="109" t="s">
        <v>266</v>
      </c>
      <c r="Z24" s="109" t="s">
        <v>267</v>
      </c>
      <c r="AA24" s="100" t="s">
        <v>268</v>
      </c>
      <c r="AB24" s="110" t="s">
        <v>119</v>
      </c>
      <c r="AC24" s="105" t="s">
        <v>120</v>
      </c>
      <c r="AD24" s="100" t="s">
        <v>120</v>
      </c>
      <c r="AE24" s="100" t="s">
        <v>120</v>
      </c>
      <c r="AF24" s="100" t="s">
        <v>121</v>
      </c>
      <c r="AG24" s="100" t="s">
        <v>119</v>
      </c>
      <c r="AH24" s="100" t="s">
        <v>119</v>
      </c>
      <c r="AI24" s="102" t="s">
        <v>119</v>
      </c>
      <c r="AJ24" s="102" t="s">
        <v>119</v>
      </c>
      <c r="AK24" s="111" t="s">
        <v>119</v>
      </c>
      <c r="AL24" s="102" t="s">
        <v>120</v>
      </c>
      <c r="AM24" s="102" t="s">
        <v>120</v>
      </c>
      <c r="AN24" s="102" t="s">
        <v>120</v>
      </c>
      <c r="AO24" s="112" t="s">
        <v>131</v>
      </c>
      <c r="AP24" s="113" t="s">
        <v>132</v>
      </c>
      <c r="AQ24" s="103"/>
      <c r="AR24" s="114" t="s">
        <v>124</v>
      </c>
      <c r="AS24" s="115" t="s">
        <v>133</v>
      </c>
      <c r="AT24" s="116" t="s">
        <v>134</v>
      </c>
      <c r="AU24" s="103" t="str">
        <f t="array" ref="AU24">INDEX('label approval artwork'!B:B,MATCH(G24,'label approval artwork'!F:F,0))</f>
        <v>G990-08505-11-A</v>
      </c>
      <c r="AV24" s="102" t="s">
        <v>156</v>
      </c>
      <c r="AW24" s="102"/>
      <c r="AX24" s="102" t="s">
        <v>135</v>
      </c>
      <c r="AY24" s="102" t="s">
        <v>136</v>
      </c>
      <c r="AZ24" s="103" t="s">
        <v>137</v>
      </c>
    </row>
    <row r="25">
      <c r="A25" s="140">
        <v>17.0</v>
      </c>
      <c r="B25" s="141" t="s">
        <v>40</v>
      </c>
      <c r="C25" s="142" t="s">
        <v>40</v>
      </c>
      <c r="D25" s="143" t="s">
        <v>138</v>
      </c>
      <c r="E25" s="141" t="s">
        <v>242</v>
      </c>
      <c r="F25" s="141"/>
      <c r="G25" s="144" t="s">
        <v>269</v>
      </c>
      <c r="H25" s="104" t="s">
        <v>141</v>
      </c>
      <c r="I25" s="105" t="s">
        <v>142</v>
      </c>
      <c r="J25" s="104" t="s">
        <v>105</v>
      </c>
      <c r="K25" s="105" t="s">
        <v>244</v>
      </c>
      <c r="L25" s="105" t="s">
        <v>245</v>
      </c>
      <c r="M25" s="105" t="s">
        <v>246</v>
      </c>
      <c r="N25" s="106" t="s">
        <v>109</v>
      </c>
      <c r="O25" s="102" t="s">
        <v>146</v>
      </c>
      <c r="P25" s="105" t="s">
        <v>111</v>
      </c>
      <c r="Q25" s="105"/>
      <c r="R25" s="105">
        <v>8.40353936591E11</v>
      </c>
      <c r="S25" s="105"/>
      <c r="T25" s="105" t="s">
        <v>148</v>
      </c>
      <c r="U25" s="107" t="s">
        <v>113</v>
      </c>
      <c r="V25" s="108" t="s">
        <v>149</v>
      </c>
      <c r="W25" s="109" t="s">
        <v>270</v>
      </c>
      <c r="X25" s="109" t="s">
        <v>271</v>
      </c>
      <c r="Y25" s="109" t="s">
        <v>272</v>
      </c>
      <c r="Z25" s="109" t="s">
        <v>273</v>
      </c>
      <c r="AA25" s="100" t="s">
        <v>274</v>
      </c>
      <c r="AB25" s="110" t="s">
        <v>119</v>
      </c>
      <c r="AC25" s="105" t="s">
        <v>120</v>
      </c>
      <c r="AD25" s="100" t="s">
        <v>120</v>
      </c>
      <c r="AE25" s="100" t="s">
        <v>120</v>
      </c>
      <c r="AF25" s="100" t="s">
        <v>121</v>
      </c>
      <c r="AG25" s="100" t="s">
        <v>119</v>
      </c>
      <c r="AH25" s="100" t="s">
        <v>119</v>
      </c>
      <c r="AI25" s="102" t="s">
        <v>119</v>
      </c>
      <c r="AJ25" s="102" t="s">
        <v>119</v>
      </c>
      <c r="AK25" s="111" t="s">
        <v>119</v>
      </c>
      <c r="AL25" s="143" t="s">
        <v>120</v>
      </c>
      <c r="AM25" s="143" t="s">
        <v>120</v>
      </c>
      <c r="AN25" s="143" t="s">
        <v>120</v>
      </c>
      <c r="AO25" s="145" t="s">
        <v>131</v>
      </c>
      <c r="AP25" s="146" t="s">
        <v>132</v>
      </c>
      <c r="AQ25" s="147"/>
      <c r="AR25" s="148" t="s">
        <v>124</v>
      </c>
      <c r="AS25" s="149" t="s">
        <v>133</v>
      </c>
      <c r="AT25" s="116" t="s">
        <v>250</v>
      </c>
      <c r="AU25" s="103" t="str">
        <f t="array" ref="AU25">INDEX('label approval artwork'!B:B,MATCH(G25,'label approval artwork'!F:F,0))</f>
        <v>G990-08505-11-A</v>
      </c>
      <c r="AV25" s="102" t="s">
        <v>156</v>
      </c>
      <c r="AW25" s="102"/>
      <c r="AX25" s="102" t="s">
        <v>135</v>
      </c>
      <c r="AY25" s="102" t="s">
        <v>136</v>
      </c>
      <c r="AZ25" s="103" t="s">
        <v>137</v>
      </c>
    </row>
    <row r="26">
      <c r="A26" s="118">
        <v>18.0</v>
      </c>
      <c r="B26" s="100" t="s">
        <v>40</v>
      </c>
      <c r="C26" s="101" t="s">
        <v>40</v>
      </c>
      <c r="D26" s="102" t="s">
        <v>138</v>
      </c>
      <c r="E26" s="100" t="s">
        <v>139</v>
      </c>
      <c r="F26" s="100"/>
      <c r="G26" s="119" t="s">
        <v>275</v>
      </c>
      <c r="H26" s="104" t="s">
        <v>141</v>
      </c>
      <c r="I26" s="105" t="s">
        <v>142</v>
      </c>
      <c r="J26" s="104" t="s">
        <v>105</v>
      </c>
      <c r="K26" s="105" t="s">
        <v>143</v>
      </c>
      <c r="L26" s="105" t="s">
        <v>144</v>
      </c>
      <c r="M26" s="105" t="s">
        <v>145</v>
      </c>
      <c r="N26" s="106" t="s">
        <v>109</v>
      </c>
      <c r="O26" s="102" t="s">
        <v>146</v>
      </c>
      <c r="P26" s="105" t="s">
        <v>111</v>
      </c>
      <c r="Q26" s="105"/>
      <c r="R26" s="105">
        <v>8.40353936607E11</v>
      </c>
      <c r="S26" s="105"/>
      <c r="T26" s="105" t="s">
        <v>148</v>
      </c>
      <c r="U26" s="107" t="s">
        <v>113</v>
      </c>
      <c r="V26" s="108" t="s">
        <v>149</v>
      </c>
      <c r="W26" s="109" t="s">
        <v>276</v>
      </c>
      <c r="X26" s="109" t="s">
        <v>277</v>
      </c>
      <c r="Y26" s="109" t="s">
        <v>278</v>
      </c>
      <c r="Z26" s="109" t="s">
        <v>279</v>
      </c>
      <c r="AA26" s="100" t="s">
        <v>280</v>
      </c>
      <c r="AB26" s="110" t="s">
        <v>119</v>
      </c>
      <c r="AC26" s="105" t="s">
        <v>120</v>
      </c>
      <c r="AD26" s="100" t="s">
        <v>120</v>
      </c>
      <c r="AE26" s="100" t="s">
        <v>120</v>
      </c>
      <c r="AF26" s="100" t="s">
        <v>121</v>
      </c>
      <c r="AG26" s="100" t="s">
        <v>119</v>
      </c>
      <c r="AH26" s="100" t="s">
        <v>119</v>
      </c>
      <c r="AI26" s="102" t="s">
        <v>119</v>
      </c>
      <c r="AJ26" s="102" t="s">
        <v>119</v>
      </c>
      <c r="AK26" s="111" t="s">
        <v>119</v>
      </c>
      <c r="AL26" s="102" t="s">
        <v>120</v>
      </c>
      <c r="AM26" s="102" t="s">
        <v>120</v>
      </c>
      <c r="AN26" s="102" t="s">
        <v>120</v>
      </c>
      <c r="AO26" s="112" t="s">
        <v>131</v>
      </c>
      <c r="AP26" s="113" t="s">
        <v>132</v>
      </c>
      <c r="AQ26" s="103"/>
      <c r="AR26" s="114" t="s">
        <v>124</v>
      </c>
      <c r="AS26" s="115" t="s">
        <v>133</v>
      </c>
      <c r="AT26" s="116" t="s">
        <v>155</v>
      </c>
      <c r="AU26" s="103" t="str">
        <f t="array" ref="AU26">INDEX('label approval artwork'!B:B,MATCH(G26,'label approval artwork'!F:F,0))</f>
        <v>G990-08505-11-A</v>
      </c>
      <c r="AV26" s="102" t="s">
        <v>156</v>
      </c>
      <c r="AW26" s="102"/>
      <c r="AX26" s="102" t="s">
        <v>135</v>
      </c>
      <c r="AY26" s="102" t="s">
        <v>136</v>
      </c>
      <c r="AZ26" s="103" t="s">
        <v>137</v>
      </c>
    </row>
    <row r="27">
      <c r="A27" s="99">
        <v>19.0</v>
      </c>
      <c r="B27" s="100" t="s">
        <v>40</v>
      </c>
      <c r="C27" s="101" t="s">
        <v>40</v>
      </c>
      <c r="D27" s="102" t="s">
        <v>138</v>
      </c>
      <c r="E27" s="100" t="s">
        <v>157</v>
      </c>
      <c r="F27" s="100"/>
      <c r="G27" s="119" t="s">
        <v>281</v>
      </c>
      <c r="H27" s="104" t="s">
        <v>141</v>
      </c>
      <c r="I27" s="105" t="s">
        <v>159</v>
      </c>
      <c r="J27" s="104" t="s">
        <v>105</v>
      </c>
      <c r="K27" s="105" t="s">
        <v>106</v>
      </c>
      <c r="L27" s="105" t="s">
        <v>107</v>
      </c>
      <c r="M27" s="105" t="s">
        <v>108</v>
      </c>
      <c r="N27" s="106" t="s">
        <v>109</v>
      </c>
      <c r="O27" s="102" t="s">
        <v>146</v>
      </c>
      <c r="P27" s="105" t="s">
        <v>111</v>
      </c>
      <c r="Q27" s="105"/>
      <c r="R27" s="105" t="s">
        <v>282</v>
      </c>
      <c r="S27" s="105"/>
      <c r="T27" s="105" t="s">
        <v>160</v>
      </c>
      <c r="U27" s="107" t="s">
        <v>113</v>
      </c>
      <c r="V27" s="108" t="s">
        <v>149</v>
      </c>
      <c r="W27" s="109" t="s">
        <v>283</v>
      </c>
      <c r="X27" s="109" t="s">
        <v>284</v>
      </c>
      <c r="Y27" s="109" t="s">
        <v>285</v>
      </c>
      <c r="Z27" s="109" t="s">
        <v>286</v>
      </c>
      <c r="AA27" s="100" t="s">
        <v>287</v>
      </c>
      <c r="AB27" s="110" t="s">
        <v>119</v>
      </c>
      <c r="AC27" s="105" t="s">
        <v>120</v>
      </c>
      <c r="AD27" s="100" t="s">
        <v>120</v>
      </c>
      <c r="AE27" s="100" t="s">
        <v>120</v>
      </c>
      <c r="AF27" s="100" t="s">
        <v>121</v>
      </c>
      <c r="AG27" s="100" t="s">
        <v>119</v>
      </c>
      <c r="AH27" s="100" t="s">
        <v>119</v>
      </c>
      <c r="AI27" s="102" t="s">
        <v>119</v>
      </c>
      <c r="AJ27" s="102" t="s">
        <v>119</v>
      </c>
      <c r="AK27" s="111" t="s">
        <v>119</v>
      </c>
      <c r="AL27" s="102" t="s">
        <v>120</v>
      </c>
      <c r="AM27" s="102" t="s">
        <v>120</v>
      </c>
      <c r="AN27" s="102" t="s">
        <v>120</v>
      </c>
      <c r="AO27" s="112" t="s">
        <v>131</v>
      </c>
      <c r="AP27" s="113" t="s">
        <v>132</v>
      </c>
      <c r="AQ27" s="103"/>
      <c r="AR27" s="114" t="s">
        <v>124</v>
      </c>
      <c r="AS27" s="115" t="s">
        <v>133</v>
      </c>
      <c r="AT27" s="116" t="s">
        <v>166</v>
      </c>
      <c r="AU27" s="103" t="str">
        <f t="array" ref="AU27">INDEX('label approval artwork'!B:B,MATCH(G27,'label approval artwork'!F:F,0))</f>
        <v>G990-08505-11-A</v>
      </c>
      <c r="AV27" s="102" t="s">
        <v>156</v>
      </c>
      <c r="AW27" s="102"/>
      <c r="AX27" s="102" t="s">
        <v>135</v>
      </c>
      <c r="AY27" s="102" t="s">
        <v>136</v>
      </c>
      <c r="AZ27" s="103" t="s">
        <v>137</v>
      </c>
    </row>
    <row r="28">
      <c r="A28" s="150">
        <v>20.0</v>
      </c>
      <c r="B28" s="141" t="s">
        <v>40</v>
      </c>
      <c r="C28" s="142" t="s">
        <v>40</v>
      </c>
      <c r="D28" s="143" t="s">
        <v>138</v>
      </c>
      <c r="E28" s="141" t="s">
        <v>288</v>
      </c>
      <c r="F28" s="141"/>
      <c r="G28" s="144" t="s">
        <v>289</v>
      </c>
      <c r="H28" s="104" t="s">
        <v>141</v>
      </c>
      <c r="I28" s="105" t="s">
        <v>159</v>
      </c>
      <c r="J28" s="104" t="s">
        <v>105</v>
      </c>
      <c r="K28" s="105" t="s">
        <v>244</v>
      </c>
      <c r="L28" s="105" t="s">
        <v>245</v>
      </c>
      <c r="M28" s="105" t="s">
        <v>246</v>
      </c>
      <c r="N28" s="106" t="s">
        <v>109</v>
      </c>
      <c r="O28" s="102" t="s">
        <v>146</v>
      </c>
      <c r="P28" s="105" t="s">
        <v>111</v>
      </c>
      <c r="Q28" s="105"/>
      <c r="R28" s="105">
        <v>8.40353936621E11</v>
      </c>
      <c r="S28" s="105"/>
      <c r="T28" s="105" t="s">
        <v>160</v>
      </c>
      <c r="U28" s="107" t="s">
        <v>113</v>
      </c>
      <c r="V28" s="108" t="s">
        <v>149</v>
      </c>
      <c r="W28" s="109" t="s">
        <v>290</v>
      </c>
      <c r="X28" s="109" t="s">
        <v>291</v>
      </c>
      <c r="Y28" s="109" t="s">
        <v>292</v>
      </c>
      <c r="Z28" s="109" t="s">
        <v>293</v>
      </c>
      <c r="AA28" s="100" t="s">
        <v>294</v>
      </c>
      <c r="AB28" s="110" t="s">
        <v>119</v>
      </c>
      <c r="AC28" s="105" t="s">
        <v>120</v>
      </c>
      <c r="AD28" s="100" t="s">
        <v>120</v>
      </c>
      <c r="AE28" s="100" t="s">
        <v>120</v>
      </c>
      <c r="AF28" s="100" t="s">
        <v>121</v>
      </c>
      <c r="AG28" s="100" t="s">
        <v>119</v>
      </c>
      <c r="AH28" s="100" t="s">
        <v>119</v>
      </c>
      <c r="AI28" s="102" t="s">
        <v>119</v>
      </c>
      <c r="AJ28" s="102" t="s">
        <v>119</v>
      </c>
      <c r="AK28" s="111" t="s">
        <v>119</v>
      </c>
      <c r="AL28" s="143" t="s">
        <v>120</v>
      </c>
      <c r="AM28" s="143" t="s">
        <v>120</v>
      </c>
      <c r="AN28" s="143" t="s">
        <v>120</v>
      </c>
      <c r="AO28" s="145" t="s">
        <v>131</v>
      </c>
      <c r="AP28" s="151"/>
      <c r="AQ28" s="147"/>
      <c r="AR28" s="148" t="s">
        <v>124</v>
      </c>
      <c r="AS28" s="149" t="s">
        <v>133</v>
      </c>
      <c r="AT28" s="116" t="s">
        <v>295</v>
      </c>
      <c r="AU28" s="103" t="str">
        <f t="array" ref="AU28">INDEX('label approval artwork'!B:B,MATCH(G28,'label approval artwork'!F:F,0))</f>
        <v>G990-08505-11-A</v>
      </c>
      <c r="AV28" s="102" t="s">
        <v>156</v>
      </c>
      <c r="AW28" s="102"/>
      <c r="AX28" s="102" t="s">
        <v>135</v>
      </c>
      <c r="AY28" s="102" t="s">
        <v>136</v>
      </c>
      <c r="AZ28" s="103" t="s">
        <v>137</v>
      </c>
      <c r="BA28" s="151"/>
      <c r="BB28" s="151"/>
      <c r="BC28" s="151"/>
      <c r="BD28" s="151"/>
      <c r="BE28" s="151"/>
      <c r="BF28" s="151"/>
      <c r="BG28" s="151"/>
    </row>
    <row r="29">
      <c r="A29" s="99">
        <v>21.0</v>
      </c>
      <c r="B29" s="100" t="s">
        <v>40</v>
      </c>
      <c r="C29" s="101" t="s">
        <v>40</v>
      </c>
      <c r="D29" s="102" t="s">
        <v>138</v>
      </c>
      <c r="E29" s="100" t="s">
        <v>168</v>
      </c>
      <c r="F29" s="100"/>
      <c r="G29" s="119" t="s">
        <v>296</v>
      </c>
      <c r="H29" s="104" t="s">
        <v>141</v>
      </c>
      <c r="I29" s="105" t="s">
        <v>159</v>
      </c>
      <c r="J29" s="104" t="s">
        <v>105</v>
      </c>
      <c r="K29" s="105" t="s">
        <v>143</v>
      </c>
      <c r="L29" s="105" t="s">
        <v>144</v>
      </c>
      <c r="M29" s="105" t="s">
        <v>145</v>
      </c>
      <c r="N29" s="106" t="s">
        <v>109</v>
      </c>
      <c r="O29" s="102" t="s">
        <v>146</v>
      </c>
      <c r="P29" s="105" t="s">
        <v>111</v>
      </c>
      <c r="Q29" s="105"/>
      <c r="R29" s="105">
        <v>8.40353936638E11</v>
      </c>
      <c r="S29" s="105"/>
      <c r="T29" s="105" t="s">
        <v>160</v>
      </c>
      <c r="U29" s="107" t="s">
        <v>113</v>
      </c>
      <c r="V29" s="108" t="s">
        <v>149</v>
      </c>
      <c r="W29" s="109" t="s">
        <v>297</v>
      </c>
      <c r="X29" s="109" t="s">
        <v>298</v>
      </c>
      <c r="Y29" s="109" t="s">
        <v>299</v>
      </c>
      <c r="Z29" s="109" t="s">
        <v>300</v>
      </c>
      <c r="AA29" s="100" t="s">
        <v>301</v>
      </c>
      <c r="AB29" s="110" t="s">
        <v>119</v>
      </c>
      <c r="AC29" s="105" t="s">
        <v>120</v>
      </c>
      <c r="AD29" s="100" t="s">
        <v>120</v>
      </c>
      <c r="AE29" s="100" t="s">
        <v>120</v>
      </c>
      <c r="AF29" s="100" t="s">
        <v>121</v>
      </c>
      <c r="AG29" s="100" t="s">
        <v>119</v>
      </c>
      <c r="AH29" s="100" t="s">
        <v>119</v>
      </c>
      <c r="AI29" s="102" t="s">
        <v>119</v>
      </c>
      <c r="AJ29" s="102" t="s">
        <v>119</v>
      </c>
      <c r="AK29" s="111" t="s">
        <v>119</v>
      </c>
      <c r="AL29" s="102" t="s">
        <v>120</v>
      </c>
      <c r="AM29" s="102" t="s">
        <v>120</v>
      </c>
      <c r="AN29" s="102" t="s">
        <v>120</v>
      </c>
      <c r="AO29" s="112" t="s">
        <v>131</v>
      </c>
      <c r="AP29" s="113" t="s">
        <v>132</v>
      </c>
      <c r="AQ29" s="103"/>
      <c r="AR29" s="114" t="s">
        <v>124</v>
      </c>
      <c r="AS29" s="115" t="s">
        <v>133</v>
      </c>
      <c r="AT29" s="116" t="s">
        <v>175</v>
      </c>
      <c r="AU29" s="103" t="str">
        <f t="array" ref="AU29">INDEX('label approval artwork'!B:B,MATCH(G29,'label approval artwork'!F:F,0))</f>
        <v>G990-08505-11-A</v>
      </c>
      <c r="AV29" s="102" t="s">
        <v>156</v>
      </c>
      <c r="AW29" s="102"/>
      <c r="AX29" s="102" t="s">
        <v>135</v>
      </c>
      <c r="AY29" s="102" t="s">
        <v>136</v>
      </c>
      <c r="AZ29" s="103" t="s">
        <v>137</v>
      </c>
    </row>
    <row r="30">
      <c r="A30" s="118">
        <v>22.0</v>
      </c>
      <c r="B30" s="100" t="s">
        <v>40</v>
      </c>
      <c r="C30" s="101" t="s">
        <v>40</v>
      </c>
      <c r="D30" s="102" t="s">
        <v>138</v>
      </c>
      <c r="E30" s="100" t="s">
        <v>194</v>
      </c>
      <c r="F30" s="100"/>
      <c r="G30" s="119" t="s">
        <v>302</v>
      </c>
      <c r="H30" s="104" t="s">
        <v>141</v>
      </c>
      <c r="I30" s="105" t="s">
        <v>159</v>
      </c>
      <c r="J30" s="104" t="s">
        <v>105</v>
      </c>
      <c r="K30" s="105" t="s">
        <v>196</v>
      </c>
      <c r="L30" s="105" t="s">
        <v>197</v>
      </c>
      <c r="M30" s="105" t="s">
        <v>198</v>
      </c>
      <c r="N30" s="106" t="s">
        <v>109</v>
      </c>
      <c r="O30" s="102" t="s">
        <v>146</v>
      </c>
      <c r="P30" s="105" t="s">
        <v>111</v>
      </c>
      <c r="Q30" s="105"/>
      <c r="R30" s="105">
        <v>8.40353936645E11</v>
      </c>
      <c r="S30" s="105"/>
      <c r="T30" s="105" t="s">
        <v>160</v>
      </c>
      <c r="U30" s="107" t="s">
        <v>113</v>
      </c>
      <c r="V30" s="108" t="s">
        <v>149</v>
      </c>
      <c r="W30" s="109" t="s">
        <v>303</v>
      </c>
      <c r="X30" s="109" t="s">
        <v>304</v>
      </c>
      <c r="Y30" s="109" t="s">
        <v>305</v>
      </c>
      <c r="Z30" s="109" t="s">
        <v>306</v>
      </c>
      <c r="AA30" s="100" t="s">
        <v>307</v>
      </c>
      <c r="AB30" s="110" t="s">
        <v>119</v>
      </c>
      <c r="AC30" s="105" t="s">
        <v>120</v>
      </c>
      <c r="AD30" s="100" t="s">
        <v>120</v>
      </c>
      <c r="AE30" s="100" t="s">
        <v>120</v>
      </c>
      <c r="AF30" s="100" t="s">
        <v>121</v>
      </c>
      <c r="AG30" s="100" t="s">
        <v>119</v>
      </c>
      <c r="AH30" s="100" t="s">
        <v>119</v>
      </c>
      <c r="AI30" s="102" t="s">
        <v>119</v>
      </c>
      <c r="AJ30" s="102" t="s">
        <v>119</v>
      </c>
      <c r="AK30" s="111" t="s">
        <v>119</v>
      </c>
      <c r="AL30" s="102" t="s">
        <v>120</v>
      </c>
      <c r="AM30" s="102" t="s">
        <v>120</v>
      </c>
      <c r="AN30" s="102" t="s">
        <v>120</v>
      </c>
      <c r="AO30" s="112" t="s">
        <v>131</v>
      </c>
      <c r="AP30" s="113" t="s">
        <v>132</v>
      </c>
      <c r="AQ30" s="103"/>
      <c r="AR30" s="114" t="s">
        <v>124</v>
      </c>
      <c r="AS30" s="115" t="s">
        <v>133</v>
      </c>
      <c r="AT30" s="116" t="s">
        <v>204</v>
      </c>
      <c r="AU30" s="103" t="str">
        <f t="array" ref="AU30">INDEX('label approval artwork'!B:B,MATCH(G30,'label approval artwork'!F:F,0))</f>
        <v>G990-08505-11-A</v>
      </c>
      <c r="AV30" s="102" t="s">
        <v>156</v>
      </c>
      <c r="AW30" s="102"/>
      <c r="AX30" s="102" t="s">
        <v>135</v>
      </c>
      <c r="AY30" s="102" t="s">
        <v>136</v>
      </c>
      <c r="AZ30" s="103" t="s">
        <v>137</v>
      </c>
    </row>
    <row r="31">
      <c r="A31" s="99">
        <v>23.0</v>
      </c>
      <c r="B31" s="100" t="s">
        <v>40</v>
      </c>
      <c r="C31" s="101" t="s">
        <v>40</v>
      </c>
      <c r="D31" s="102" t="s">
        <v>138</v>
      </c>
      <c r="E31" s="100" t="s">
        <v>176</v>
      </c>
      <c r="F31" s="100"/>
      <c r="G31" s="119" t="s">
        <v>308</v>
      </c>
      <c r="H31" s="104" t="s">
        <v>141</v>
      </c>
      <c r="I31" s="105" t="s">
        <v>178</v>
      </c>
      <c r="J31" s="104" t="s">
        <v>105</v>
      </c>
      <c r="K31" s="105" t="s">
        <v>106</v>
      </c>
      <c r="L31" s="105" t="s">
        <v>107</v>
      </c>
      <c r="M31" s="105" t="s">
        <v>108</v>
      </c>
      <c r="N31" s="106" t="s">
        <v>109</v>
      </c>
      <c r="O31" s="102" t="s">
        <v>146</v>
      </c>
      <c r="P31" s="105" t="s">
        <v>111</v>
      </c>
      <c r="Q31" s="105"/>
      <c r="R31" s="105">
        <v>8.40353936652E11</v>
      </c>
      <c r="S31" s="105"/>
      <c r="T31" s="105" t="s">
        <v>179</v>
      </c>
      <c r="U31" s="107" t="s">
        <v>113</v>
      </c>
      <c r="V31" s="108" t="s">
        <v>149</v>
      </c>
      <c r="W31" s="109" t="s">
        <v>309</v>
      </c>
      <c r="X31" s="109" t="s">
        <v>310</v>
      </c>
      <c r="Y31" s="109" t="s">
        <v>311</v>
      </c>
      <c r="Z31" s="109" t="s">
        <v>312</v>
      </c>
      <c r="AA31" s="100" t="s">
        <v>313</v>
      </c>
      <c r="AB31" s="110" t="s">
        <v>119</v>
      </c>
      <c r="AC31" s="105" t="s">
        <v>120</v>
      </c>
      <c r="AD31" s="100" t="s">
        <v>120</v>
      </c>
      <c r="AE31" s="100" t="s">
        <v>120</v>
      </c>
      <c r="AF31" s="100" t="s">
        <v>121</v>
      </c>
      <c r="AG31" s="100" t="s">
        <v>119</v>
      </c>
      <c r="AH31" s="100" t="s">
        <v>119</v>
      </c>
      <c r="AI31" s="102" t="s">
        <v>119</v>
      </c>
      <c r="AJ31" s="102" t="s">
        <v>119</v>
      </c>
      <c r="AK31" s="111" t="s">
        <v>119</v>
      </c>
      <c r="AL31" s="102" t="s">
        <v>120</v>
      </c>
      <c r="AM31" s="102" t="s">
        <v>120</v>
      </c>
      <c r="AN31" s="102" t="s">
        <v>120</v>
      </c>
      <c r="AO31" s="112" t="s">
        <v>131</v>
      </c>
      <c r="AP31" s="113" t="s">
        <v>132</v>
      </c>
      <c r="AQ31" s="103"/>
      <c r="AR31" s="114" t="s">
        <v>124</v>
      </c>
      <c r="AS31" s="115" t="s">
        <v>133</v>
      </c>
      <c r="AT31" s="116" t="s">
        <v>185</v>
      </c>
      <c r="AU31" s="103" t="str">
        <f t="array" ref="AU31">INDEX('label approval artwork'!B:B,MATCH(G31,'label approval artwork'!F:F,0))</f>
        <v>G990-08505-11-A</v>
      </c>
      <c r="AV31" s="102" t="s">
        <v>156</v>
      </c>
      <c r="AW31" s="102"/>
      <c r="AX31" s="102" t="s">
        <v>135</v>
      </c>
      <c r="AY31" s="102" t="s">
        <v>136</v>
      </c>
      <c r="AZ31" s="103" t="s">
        <v>137</v>
      </c>
    </row>
    <row r="32">
      <c r="A32" s="150">
        <v>24.0</v>
      </c>
      <c r="B32" s="141" t="s">
        <v>40</v>
      </c>
      <c r="C32" s="142" t="s">
        <v>40</v>
      </c>
      <c r="D32" s="143" t="s">
        <v>138</v>
      </c>
      <c r="E32" s="141" t="s">
        <v>314</v>
      </c>
      <c r="F32" s="141"/>
      <c r="G32" s="144" t="s">
        <v>315</v>
      </c>
      <c r="H32" s="104" t="s">
        <v>141</v>
      </c>
      <c r="I32" s="105" t="s">
        <v>178</v>
      </c>
      <c r="J32" s="104" t="s">
        <v>105</v>
      </c>
      <c r="K32" s="105" t="s">
        <v>244</v>
      </c>
      <c r="L32" s="105" t="s">
        <v>245</v>
      </c>
      <c r="M32" s="105" t="s">
        <v>246</v>
      </c>
      <c r="N32" s="106" t="s">
        <v>109</v>
      </c>
      <c r="O32" s="102" t="s">
        <v>146</v>
      </c>
      <c r="P32" s="105" t="s">
        <v>111</v>
      </c>
      <c r="Q32" s="105"/>
      <c r="R32" s="105">
        <v>8.40353936669E11</v>
      </c>
      <c r="S32" s="105"/>
      <c r="T32" s="105" t="s">
        <v>179</v>
      </c>
      <c r="U32" s="107" t="s">
        <v>113</v>
      </c>
      <c r="V32" s="108" t="s">
        <v>149</v>
      </c>
      <c r="W32" s="109" t="s">
        <v>316</v>
      </c>
      <c r="X32" s="109" t="s">
        <v>317</v>
      </c>
      <c r="Y32" s="109" t="s">
        <v>318</v>
      </c>
      <c r="Z32" s="109" t="s">
        <v>319</v>
      </c>
      <c r="AA32" s="100" t="s">
        <v>320</v>
      </c>
      <c r="AB32" s="110" t="s">
        <v>119</v>
      </c>
      <c r="AC32" s="105" t="s">
        <v>120</v>
      </c>
      <c r="AD32" s="100" t="s">
        <v>120</v>
      </c>
      <c r="AE32" s="100" t="s">
        <v>120</v>
      </c>
      <c r="AF32" s="100" t="s">
        <v>121</v>
      </c>
      <c r="AG32" s="100" t="s">
        <v>119</v>
      </c>
      <c r="AH32" s="100" t="s">
        <v>119</v>
      </c>
      <c r="AI32" s="102" t="s">
        <v>119</v>
      </c>
      <c r="AJ32" s="102" t="s">
        <v>119</v>
      </c>
      <c r="AK32" s="111" t="s">
        <v>119</v>
      </c>
      <c r="AL32" s="143" t="s">
        <v>120</v>
      </c>
      <c r="AM32" s="143" t="s">
        <v>120</v>
      </c>
      <c r="AN32" s="143" t="s">
        <v>120</v>
      </c>
      <c r="AO32" s="145" t="s">
        <v>131</v>
      </c>
      <c r="AP32" s="151"/>
      <c r="AQ32" s="147"/>
      <c r="AR32" s="148" t="s">
        <v>124</v>
      </c>
      <c r="AS32" s="149" t="s">
        <v>133</v>
      </c>
      <c r="AT32" s="116" t="s">
        <v>321</v>
      </c>
      <c r="AU32" s="103" t="str">
        <f t="array" ref="AU32">INDEX('label approval artwork'!B:B,MATCH(G32,'label approval artwork'!F:F,0))</f>
        <v>G990-08505-11-A</v>
      </c>
      <c r="AV32" s="102" t="s">
        <v>156</v>
      </c>
      <c r="AW32" s="102"/>
      <c r="AX32" s="102" t="s">
        <v>135</v>
      </c>
      <c r="AY32" s="102" t="s">
        <v>136</v>
      </c>
      <c r="AZ32" s="103" t="s">
        <v>137</v>
      </c>
      <c r="BA32" s="151"/>
      <c r="BB32" s="151"/>
      <c r="BC32" s="151"/>
      <c r="BD32" s="151"/>
      <c r="BE32" s="151"/>
      <c r="BF32" s="151"/>
      <c r="BG32" s="151"/>
    </row>
    <row r="33">
      <c r="A33" s="99">
        <v>25.0</v>
      </c>
      <c r="B33" s="100" t="s">
        <v>40</v>
      </c>
      <c r="C33" s="101" t="s">
        <v>40</v>
      </c>
      <c r="D33" s="102" t="s">
        <v>138</v>
      </c>
      <c r="E33" s="100" t="s">
        <v>186</v>
      </c>
      <c r="F33" s="100"/>
      <c r="G33" s="119" t="s">
        <v>322</v>
      </c>
      <c r="H33" s="104" t="s">
        <v>141</v>
      </c>
      <c r="I33" s="105" t="s">
        <v>178</v>
      </c>
      <c r="J33" s="104" t="s">
        <v>105</v>
      </c>
      <c r="K33" s="105" t="s">
        <v>143</v>
      </c>
      <c r="L33" s="105" t="s">
        <v>144</v>
      </c>
      <c r="M33" s="105" t="s">
        <v>145</v>
      </c>
      <c r="N33" s="106" t="s">
        <v>109</v>
      </c>
      <c r="O33" s="102" t="s">
        <v>146</v>
      </c>
      <c r="P33" s="105" t="s">
        <v>111</v>
      </c>
      <c r="Q33" s="105"/>
      <c r="R33" s="105">
        <v>8.40353936676E11</v>
      </c>
      <c r="S33" s="105"/>
      <c r="T33" s="105" t="s">
        <v>179</v>
      </c>
      <c r="U33" s="107" t="s">
        <v>113</v>
      </c>
      <c r="V33" s="108" t="s">
        <v>149</v>
      </c>
      <c r="W33" s="109" t="s">
        <v>323</v>
      </c>
      <c r="X33" s="109" t="s">
        <v>324</v>
      </c>
      <c r="Y33" s="109" t="s">
        <v>325</v>
      </c>
      <c r="Z33" s="109" t="s">
        <v>326</v>
      </c>
      <c r="AA33" s="100" t="s">
        <v>327</v>
      </c>
      <c r="AB33" s="110" t="s">
        <v>119</v>
      </c>
      <c r="AC33" s="105" t="s">
        <v>120</v>
      </c>
      <c r="AD33" s="100" t="s">
        <v>120</v>
      </c>
      <c r="AE33" s="100" t="s">
        <v>120</v>
      </c>
      <c r="AF33" s="100" t="s">
        <v>121</v>
      </c>
      <c r="AG33" s="100" t="s">
        <v>119</v>
      </c>
      <c r="AH33" s="100" t="s">
        <v>119</v>
      </c>
      <c r="AI33" s="102" t="s">
        <v>119</v>
      </c>
      <c r="AJ33" s="102" t="s">
        <v>119</v>
      </c>
      <c r="AK33" s="111" t="s">
        <v>119</v>
      </c>
      <c r="AL33" s="102" t="s">
        <v>120</v>
      </c>
      <c r="AM33" s="102" t="s">
        <v>120</v>
      </c>
      <c r="AN33" s="102" t="s">
        <v>120</v>
      </c>
      <c r="AO33" s="112" t="s">
        <v>131</v>
      </c>
      <c r="AP33" s="113" t="s">
        <v>132</v>
      </c>
      <c r="AQ33" s="103"/>
      <c r="AR33" s="114" t="s">
        <v>124</v>
      </c>
      <c r="AS33" s="115" t="s">
        <v>133</v>
      </c>
      <c r="AT33" s="116" t="s">
        <v>193</v>
      </c>
      <c r="AU33" s="103" t="str">
        <f t="array" ref="AU33">INDEX('label approval artwork'!B:B,MATCH(G33,'label approval artwork'!F:F,0))</f>
        <v>G990-08505-11-A</v>
      </c>
      <c r="AV33" s="102" t="s">
        <v>156</v>
      </c>
      <c r="AW33" s="102"/>
      <c r="AX33" s="102" t="s">
        <v>135</v>
      </c>
      <c r="AY33" s="102" t="s">
        <v>136</v>
      </c>
      <c r="AZ33" s="103" t="s">
        <v>137</v>
      </c>
    </row>
    <row r="34">
      <c r="A34" s="150">
        <v>26.0</v>
      </c>
      <c r="B34" s="141" t="s">
        <v>40</v>
      </c>
      <c r="C34" s="142" t="s">
        <v>40</v>
      </c>
      <c r="D34" s="143" t="s">
        <v>138</v>
      </c>
      <c r="E34" s="141" t="s">
        <v>328</v>
      </c>
      <c r="F34" s="141"/>
      <c r="G34" s="144" t="s">
        <v>329</v>
      </c>
      <c r="H34" s="104" t="s">
        <v>141</v>
      </c>
      <c r="I34" s="105" t="s">
        <v>178</v>
      </c>
      <c r="J34" s="104" t="s">
        <v>105</v>
      </c>
      <c r="K34" s="105" t="s">
        <v>196</v>
      </c>
      <c r="L34" s="105" t="s">
        <v>197</v>
      </c>
      <c r="M34" s="105" t="s">
        <v>198</v>
      </c>
      <c r="N34" s="106" t="s">
        <v>109</v>
      </c>
      <c r="O34" s="102" t="s">
        <v>146</v>
      </c>
      <c r="P34" s="105" t="s">
        <v>111</v>
      </c>
      <c r="Q34" s="105"/>
      <c r="R34" s="105">
        <v>8.40353936683E11</v>
      </c>
      <c r="S34" s="105"/>
      <c r="T34" s="105" t="s">
        <v>179</v>
      </c>
      <c r="U34" s="107" t="s">
        <v>113</v>
      </c>
      <c r="V34" s="108" t="s">
        <v>149</v>
      </c>
      <c r="W34" s="109" t="s">
        <v>330</v>
      </c>
      <c r="X34" s="109" t="s">
        <v>331</v>
      </c>
      <c r="Y34" s="109" t="s">
        <v>332</v>
      </c>
      <c r="Z34" s="109" t="s">
        <v>333</v>
      </c>
      <c r="AA34" s="100" t="s">
        <v>334</v>
      </c>
      <c r="AB34" s="110" t="s">
        <v>119</v>
      </c>
      <c r="AC34" s="105" t="s">
        <v>120</v>
      </c>
      <c r="AD34" s="100" t="s">
        <v>120</v>
      </c>
      <c r="AE34" s="100" t="s">
        <v>120</v>
      </c>
      <c r="AF34" s="100" t="s">
        <v>121</v>
      </c>
      <c r="AG34" s="100" t="s">
        <v>119</v>
      </c>
      <c r="AH34" s="100" t="s">
        <v>119</v>
      </c>
      <c r="AI34" s="102" t="s">
        <v>119</v>
      </c>
      <c r="AJ34" s="102" t="s">
        <v>119</v>
      </c>
      <c r="AK34" s="111" t="s">
        <v>119</v>
      </c>
      <c r="AL34" s="143" t="s">
        <v>120</v>
      </c>
      <c r="AM34" s="143" t="s">
        <v>120</v>
      </c>
      <c r="AN34" s="143" t="s">
        <v>120</v>
      </c>
      <c r="AO34" s="145" t="s">
        <v>131</v>
      </c>
      <c r="AP34" s="151"/>
      <c r="AQ34" s="147"/>
      <c r="AR34" s="148" t="s">
        <v>124</v>
      </c>
      <c r="AS34" s="149" t="s">
        <v>133</v>
      </c>
      <c r="AT34" s="116" t="s">
        <v>335</v>
      </c>
      <c r="AU34" s="103" t="str">
        <f t="array" ref="AU34">INDEX('label approval artwork'!B:B,MATCH(G34,'label approval artwork'!F:F,0))</f>
        <v>G990-08505-11-A</v>
      </c>
      <c r="AV34" s="102" t="s">
        <v>156</v>
      </c>
      <c r="AW34" s="102"/>
      <c r="AX34" s="102" t="s">
        <v>135</v>
      </c>
      <c r="AY34" s="102" t="s">
        <v>136</v>
      </c>
      <c r="AZ34" s="103" t="s">
        <v>137</v>
      </c>
      <c r="BA34" s="151"/>
      <c r="BB34" s="151"/>
      <c r="BC34" s="151"/>
      <c r="BD34" s="151"/>
      <c r="BE34" s="151"/>
      <c r="BF34" s="151"/>
      <c r="BG34" s="151"/>
    </row>
    <row r="35">
      <c r="A35" s="140">
        <v>27.0</v>
      </c>
      <c r="B35" s="141" t="s">
        <v>40</v>
      </c>
      <c r="C35" s="142" t="s">
        <v>40</v>
      </c>
      <c r="D35" s="143" t="s">
        <v>138</v>
      </c>
      <c r="E35" s="141" t="s">
        <v>336</v>
      </c>
      <c r="F35" s="141"/>
      <c r="G35" s="144" t="s">
        <v>337</v>
      </c>
      <c r="H35" s="104" t="s">
        <v>141</v>
      </c>
      <c r="I35" s="105" t="s">
        <v>338</v>
      </c>
      <c r="J35" s="104" t="s">
        <v>105</v>
      </c>
      <c r="K35" s="105" t="s">
        <v>106</v>
      </c>
      <c r="L35" s="105" t="s">
        <v>107</v>
      </c>
      <c r="M35" s="105" t="s">
        <v>108</v>
      </c>
      <c r="N35" s="106" t="s">
        <v>109</v>
      </c>
      <c r="O35" s="102" t="s">
        <v>146</v>
      </c>
      <c r="P35" s="105" t="s">
        <v>111</v>
      </c>
      <c r="Q35" s="105"/>
      <c r="R35" s="105">
        <v>8.4035393669E11</v>
      </c>
      <c r="S35" s="105"/>
      <c r="T35" s="105" t="s">
        <v>339</v>
      </c>
      <c r="U35" s="107" t="s">
        <v>113</v>
      </c>
      <c r="V35" s="108" t="s">
        <v>149</v>
      </c>
      <c r="W35" s="109" t="s">
        <v>340</v>
      </c>
      <c r="X35" s="109" t="s">
        <v>341</v>
      </c>
      <c r="Y35" s="109" t="s">
        <v>342</v>
      </c>
      <c r="Z35" s="109" t="s">
        <v>343</v>
      </c>
      <c r="AA35" s="100" t="s">
        <v>344</v>
      </c>
      <c r="AB35" s="110" t="s">
        <v>119</v>
      </c>
      <c r="AC35" s="105" t="s">
        <v>120</v>
      </c>
      <c r="AD35" s="100" t="s">
        <v>120</v>
      </c>
      <c r="AE35" s="100" t="s">
        <v>120</v>
      </c>
      <c r="AF35" s="100" t="s">
        <v>121</v>
      </c>
      <c r="AG35" s="100" t="s">
        <v>119</v>
      </c>
      <c r="AH35" s="100" t="s">
        <v>119</v>
      </c>
      <c r="AI35" s="102" t="s">
        <v>119</v>
      </c>
      <c r="AJ35" s="102" t="s">
        <v>119</v>
      </c>
      <c r="AK35" s="111" t="s">
        <v>119</v>
      </c>
      <c r="AL35" s="143" t="s">
        <v>120</v>
      </c>
      <c r="AM35" s="143" t="s">
        <v>120</v>
      </c>
      <c r="AN35" s="143" t="s">
        <v>120</v>
      </c>
      <c r="AO35" s="145" t="s">
        <v>131</v>
      </c>
      <c r="AP35" s="151"/>
      <c r="AQ35" s="147"/>
      <c r="AR35" s="148" t="s">
        <v>124</v>
      </c>
      <c r="AS35" s="149" t="s">
        <v>133</v>
      </c>
      <c r="AT35" s="116" t="s">
        <v>345</v>
      </c>
      <c r="AU35" s="103" t="str">
        <f t="array" ref="AU35">INDEX('label approval artwork'!B:B,MATCH(G35,'label approval artwork'!F:F,0))</f>
        <v>G990-08505-11-A</v>
      </c>
      <c r="AV35" s="102" t="s">
        <v>156</v>
      </c>
      <c r="AW35" s="102"/>
      <c r="AX35" s="102" t="s">
        <v>135</v>
      </c>
      <c r="AY35" s="102" t="s">
        <v>136</v>
      </c>
      <c r="AZ35" s="103" t="s">
        <v>137</v>
      </c>
      <c r="BA35" s="151"/>
      <c r="BB35" s="151"/>
      <c r="BC35" s="151"/>
      <c r="BD35" s="151"/>
      <c r="BE35" s="151"/>
      <c r="BF35" s="151"/>
      <c r="BG35" s="151"/>
    </row>
    <row r="36">
      <c r="A36" s="150">
        <v>28.0</v>
      </c>
      <c r="B36" s="141" t="s">
        <v>40</v>
      </c>
      <c r="C36" s="142" t="s">
        <v>40</v>
      </c>
      <c r="D36" s="143" t="s">
        <v>138</v>
      </c>
      <c r="E36" s="141" t="s">
        <v>346</v>
      </c>
      <c r="F36" s="141"/>
      <c r="G36" s="144" t="s">
        <v>347</v>
      </c>
      <c r="H36" s="104" t="s">
        <v>141</v>
      </c>
      <c r="I36" s="105" t="s">
        <v>338</v>
      </c>
      <c r="J36" s="104" t="s">
        <v>105</v>
      </c>
      <c r="K36" s="105" t="s">
        <v>143</v>
      </c>
      <c r="L36" s="105" t="s">
        <v>144</v>
      </c>
      <c r="M36" s="105" t="s">
        <v>145</v>
      </c>
      <c r="N36" s="106" t="s">
        <v>109</v>
      </c>
      <c r="O36" s="102" t="s">
        <v>146</v>
      </c>
      <c r="P36" s="105" t="s">
        <v>111</v>
      </c>
      <c r="Q36" s="105"/>
      <c r="R36" s="105">
        <v>8.40353936706E11</v>
      </c>
      <c r="S36" s="105"/>
      <c r="T36" s="105" t="s">
        <v>339</v>
      </c>
      <c r="U36" s="107" t="s">
        <v>113</v>
      </c>
      <c r="V36" s="108" t="s">
        <v>149</v>
      </c>
      <c r="W36" s="109" t="s">
        <v>348</v>
      </c>
      <c r="X36" s="109" t="s">
        <v>349</v>
      </c>
      <c r="Y36" s="109" t="s">
        <v>350</v>
      </c>
      <c r="Z36" s="109" t="s">
        <v>351</v>
      </c>
      <c r="AA36" s="100" t="s">
        <v>352</v>
      </c>
      <c r="AB36" s="110" t="s">
        <v>119</v>
      </c>
      <c r="AC36" s="105" t="s">
        <v>120</v>
      </c>
      <c r="AD36" s="100" t="s">
        <v>120</v>
      </c>
      <c r="AE36" s="100" t="s">
        <v>120</v>
      </c>
      <c r="AF36" s="100" t="s">
        <v>121</v>
      </c>
      <c r="AG36" s="100" t="s">
        <v>119</v>
      </c>
      <c r="AH36" s="100" t="s">
        <v>119</v>
      </c>
      <c r="AI36" s="102" t="s">
        <v>119</v>
      </c>
      <c r="AJ36" s="102" t="s">
        <v>119</v>
      </c>
      <c r="AK36" s="111" t="s">
        <v>119</v>
      </c>
      <c r="AL36" s="143" t="s">
        <v>120</v>
      </c>
      <c r="AM36" s="143" t="s">
        <v>120</v>
      </c>
      <c r="AN36" s="143" t="s">
        <v>120</v>
      </c>
      <c r="AO36" s="145" t="s">
        <v>131</v>
      </c>
      <c r="AP36" s="151"/>
      <c r="AQ36" s="147"/>
      <c r="AR36" s="148" t="s">
        <v>124</v>
      </c>
      <c r="AS36" s="149" t="s">
        <v>133</v>
      </c>
      <c r="AT36" s="116" t="s">
        <v>353</v>
      </c>
      <c r="AU36" s="103" t="str">
        <f t="array" ref="AU36">INDEX('label approval artwork'!B:B,MATCH(G36,'label approval artwork'!F:F,0))</f>
        <v>G990-08505-11-A</v>
      </c>
      <c r="AV36" s="102" t="s">
        <v>156</v>
      </c>
      <c r="AW36" s="102"/>
      <c r="AX36" s="102" t="s">
        <v>135</v>
      </c>
      <c r="AY36" s="102" t="s">
        <v>136</v>
      </c>
      <c r="AZ36" s="103" t="s">
        <v>137</v>
      </c>
      <c r="BA36" s="151"/>
      <c r="BB36" s="151"/>
      <c r="BC36" s="151"/>
      <c r="BD36" s="151"/>
      <c r="BE36" s="151"/>
      <c r="BF36" s="151"/>
      <c r="BG36" s="151"/>
    </row>
    <row r="37">
      <c r="A37" s="99">
        <v>29.0</v>
      </c>
      <c r="B37" s="100" t="s">
        <v>42</v>
      </c>
      <c r="C37" s="101" t="s">
        <v>42</v>
      </c>
      <c r="D37" s="102" t="s">
        <v>354</v>
      </c>
      <c r="E37" s="100" t="s">
        <v>205</v>
      </c>
      <c r="F37" s="100"/>
      <c r="G37" s="119" t="s">
        <v>355</v>
      </c>
      <c r="H37" s="104" t="s">
        <v>141</v>
      </c>
      <c r="I37" s="105" t="s">
        <v>142</v>
      </c>
      <c r="J37" s="104" t="s">
        <v>105</v>
      </c>
      <c r="K37" s="105" t="s">
        <v>106</v>
      </c>
      <c r="L37" s="105" t="s">
        <v>107</v>
      </c>
      <c r="M37" s="105" t="s">
        <v>108</v>
      </c>
      <c r="N37" s="106" t="s">
        <v>109</v>
      </c>
      <c r="O37" s="102" t="s">
        <v>146</v>
      </c>
      <c r="P37" s="105" t="s">
        <v>111</v>
      </c>
      <c r="Q37" s="105"/>
      <c r="R37" s="105">
        <v>8.40353936713E11</v>
      </c>
      <c r="S37" s="105"/>
      <c r="T37" s="105" t="s">
        <v>148</v>
      </c>
      <c r="U37" s="107" t="s">
        <v>113</v>
      </c>
      <c r="V37" s="108" t="s">
        <v>149</v>
      </c>
      <c r="W37" s="109" t="s">
        <v>356</v>
      </c>
      <c r="X37" s="109" t="s">
        <v>357</v>
      </c>
      <c r="Y37" s="109" t="s">
        <v>358</v>
      </c>
      <c r="Z37" s="109" t="s">
        <v>359</v>
      </c>
      <c r="AA37" s="100" t="s">
        <v>360</v>
      </c>
      <c r="AB37" s="110" t="s">
        <v>119</v>
      </c>
      <c r="AC37" s="105" t="s">
        <v>120</v>
      </c>
      <c r="AD37" s="100" t="s">
        <v>120</v>
      </c>
      <c r="AE37" s="100" t="s">
        <v>120</v>
      </c>
      <c r="AF37" s="100" t="s">
        <v>361</v>
      </c>
      <c r="AG37" s="100" t="s">
        <v>120</v>
      </c>
      <c r="AH37" s="100" t="s">
        <v>120</v>
      </c>
      <c r="AI37" s="102" t="s">
        <v>120</v>
      </c>
      <c r="AJ37" s="102" t="s">
        <v>120</v>
      </c>
      <c r="AK37" s="111" t="s">
        <v>120</v>
      </c>
      <c r="AL37" s="102" t="s">
        <v>120</v>
      </c>
      <c r="AM37" s="102" t="s">
        <v>120</v>
      </c>
      <c r="AN37" s="102" t="s">
        <v>120</v>
      </c>
      <c r="AO37" s="152" t="s">
        <v>362</v>
      </c>
      <c r="AP37" s="113" t="s">
        <v>132</v>
      </c>
      <c r="AQ37" s="103"/>
      <c r="AR37" s="114" t="s">
        <v>124</v>
      </c>
      <c r="AS37" s="115" t="s">
        <v>133</v>
      </c>
      <c r="AT37" s="102" t="str">
        <f t="array" ref="AT37">INDEX('label approval artwork'!A:A,MATCH(G37,'label approval artwork'!F:F,0))</f>
        <v>#VALUE!</v>
      </c>
      <c r="AU37" s="103" t="str">
        <f t="array" ref="AU37">INDEX('label approval artwork'!B:B,MATCH(G37,'label approval artwork'!F:F,0))</f>
        <v>#VALUE!</v>
      </c>
      <c r="AV37" s="102" t="s">
        <v>156</v>
      </c>
      <c r="AW37" s="102"/>
      <c r="AX37" s="102" t="s">
        <v>135</v>
      </c>
      <c r="AY37" s="102" t="s">
        <v>136</v>
      </c>
      <c r="AZ37" s="103"/>
    </row>
    <row r="38">
      <c r="A38" s="118">
        <v>30.0</v>
      </c>
      <c r="B38" s="100" t="s">
        <v>42</v>
      </c>
      <c r="C38" s="101" t="s">
        <v>42</v>
      </c>
      <c r="D38" s="102" t="s">
        <v>354</v>
      </c>
      <c r="E38" s="100" t="s">
        <v>139</v>
      </c>
      <c r="F38" s="100"/>
      <c r="G38" s="119" t="s">
        <v>363</v>
      </c>
      <c r="H38" s="104" t="s">
        <v>141</v>
      </c>
      <c r="I38" s="105" t="s">
        <v>142</v>
      </c>
      <c r="J38" s="104" t="s">
        <v>105</v>
      </c>
      <c r="K38" s="105" t="s">
        <v>143</v>
      </c>
      <c r="L38" s="105" t="s">
        <v>144</v>
      </c>
      <c r="M38" s="105" t="s">
        <v>145</v>
      </c>
      <c r="N38" s="106" t="s">
        <v>109</v>
      </c>
      <c r="O38" s="102" t="s">
        <v>146</v>
      </c>
      <c r="P38" s="105" t="s">
        <v>111</v>
      </c>
      <c r="Q38" s="105"/>
      <c r="R38" s="105">
        <v>8.40353936836E11</v>
      </c>
      <c r="S38" s="105"/>
      <c r="T38" s="105" t="s">
        <v>148</v>
      </c>
      <c r="U38" s="107" t="s">
        <v>113</v>
      </c>
      <c r="V38" s="108" t="s">
        <v>149</v>
      </c>
      <c r="W38" s="109" t="s">
        <v>364</v>
      </c>
      <c r="X38" s="109" t="s">
        <v>365</v>
      </c>
      <c r="Y38" s="109" t="s">
        <v>366</v>
      </c>
      <c r="Z38" s="109" t="s">
        <v>367</v>
      </c>
      <c r="AA38" s="100" t="s">
        <v>368</v>
      </c>
      <c r="AB38" s="110" t="s">
        <v>119</v>
      </c>
      <c r="AC38" s="105" t="s">
        <v>120</v>
      </c>
      <c r="AD38" s="100" t="s">
        <v>120</v>
      </c>
      <c r="AE38" s="100" t="s">
        <v>120</v>
      </c>
      <c r="AF38" s="100" t="s">
        <v>361</v>
      </c>
      <c r="AG38" s="100" t="s">
        <v>120</v>
      </c>
      <c r="AH38" s="100" t="s">
        <v>120</v>
      </c>
      <c r="AI38" s="102" t="s">
        <v>120</v>
      </c>
      <c r="AJ38" s="102" t="s">
        <v>120</v>
      </c>
      <c r="AK38" s="111" t="s">
        <v>120</v>
      </c>
      <c r="AL38" s="102" t="s">
        <v>120</v>
      </c>
      <c r="AM38" s="102" t="s">
        <v>120</v>
      </c>
      <c r="AN38" s="102" t="s">
        <v>120</v>
      </c>
      <c r="AO38" s="152" t="s">
        <v>362</v>
      </c>
      <c r="AP38" s="113" t="s">
        <v>132</v>
      </c>
      <c r="AQ38" s="103"/>
      <c r="AR38" s="114" t="s">
        <v>124</v>
      </c>
      <c r="AS38" s="115" t="s">
        <v>133</v>
      </c>
      <c r="AT38" s="102" t="str">
        <f t="array" ref="AT38">INDEX('label approval artwork'!A:A,MATCH(G38,'label approval artwork'!F:F,0))</f>
        <v>#VALUE!</v>
      </c>
      <c r="AU38" s="103" t="str">
        <f t="array" ref="AU38">INDEX('label approval artwork'!B:B,MATCH(G38,'label approval artwork'!F:F,0))</f>
        <v>#VALUE!</v>
      </c>
      <c r="AV38" s="102" t="s">
        <v>156</v>
      </c>
      <c r="AW38" s="102"/>
      <c r="AX38" s="102" t="s">
        <v>135</v>
      </c>
      <c r="AY38" s="102" t="s">
        <v>136</v>
      </c>
      <c r="AZ38" s="103"/>
    </row>
    <row r="39">
      <c r="A39" s="99">
        <v>31.0</v>
      </c>
      <c r="B39" s="100" t="s">
        <v>42</v>
      </c>
      <c r="C39" s="101" t="s">
        <v>42</v>
      </c>
      <c r="D39" s="102" t="s">
        <v>354</v>
      </c>
      <c r="E39" s="100" t="s">
        <v>157</v>
      </c>
      <c r="F39" s="100"/>
      <c r="G39" s="119" t="s">
        <v>369</v>
      </c>
      <c r="H39" s="104" t="s">
        <v>141</v>
      </c>
      <c r="I39" s="105" t="s">
        <v>159</v>
      </c>
      <c r="J39" s="104" t="s">
        <v>105</v>
      </c>
      <c r="K39" s="105" t="s">
        <v>106</v>
      </c>
      <c r="L39" s="105" t="s">
        <v>107</v>
      </c>
      <c r="M39" s="105" t="s">
        <v>108</v>
      </c>
      <c r="N39" s="106" t="s">
        <v>109</v>
      </c>
      <c r="O39" s="102" t="s">
        <v>146</v>
      </c>
      <c r="P39" s="105" t="s">
        <v>111</v>
      </c>
      <c r="Q39" s="105"/>
      <c r="R39" s="105">
        <v>8.40353936898E11</v>
      </c>
      <c r="S39" s="105"/>
      <c r="T39" s="105" t="s">
        <v>160</v>
      </c>
      <c r="U39" s="107" t="s">
        <v>113</v>
      </c>
      <c r="V39" s="108" t="s">
        <v>149</v>
      </c>
      <c r="W39" s="109" t="s">
        <v>370</v>
      </c>
      <c r="X39" s="109" t="s">
        <v>371</v>
      </c>
      <c r="Y39" s="109" t="s">
        <v>372</v>
      </c>
      <c r="Z39" s="109" t="s">
        <v>373</v>
      </c>
      <c r="AA39" s="100" t="s">
        <v>374</v>
      </c>
      <c r="AB39" s="110" t="s">
        <v>119</v>
      </c>
      <c r="AC39" s="105" t="s">
        <v>120</v>
      </c>
      <c r="AD39" s="100" t="s">
        <v>120</v>
      </c>
      <c r="AE39" s="100" t="s">
        <v>120</v>
      </c>
      <c r="AF39" s="100" t="s">
        <v>361</v>
      </c>
      <c r="AG39" s="100" t="s">
        <v>120</v>
      </c>
      <c r="AH39" s="100" t="s">
        <v>120</v>
      </c>
      <c r="AI39" s="102" t="s">
        <v>120</v>
      </c>
      <c r="AJ39" s="102" t="s">
        <v>120</v>
      </c>
      <c r="AK39" s="111" t="s">
        <v>120</v>
      </c>
      <c r="AL39" s="102" t="s">
        <v>120</v>
      </c>
      <c r="AM39" s="102" t="s">
        <v>120</v>
      </c>
      <c r="AN39" s="102" t="s">
        <v>120</v>
      </c>
      <c r="AO39" s="152" t="s">
        <v>362</v>
      </c>
      <c r="AP39" s="113" t="s">
        <v>132</v>
      </c>
      <c r="AQ39" s="103"/>
      <c r="AR39" s="114" t="s">
        <v>124</v>
      </c>
      <c r="AS39" s="115" t="s">
        <v>133</v>
      </c>
      <c r="AT39" s="102" t="str">
        <f t="array" ref="AT39">INDEX('label approval artwork'!A:A,MATCH(G39,'label approval artwork'!F:F,0))</f>
        <v>#VALUE!</v>
      </c>
      <c r="AU39" s="103" t="str">
        <f t="array" ref="AU39">INDEX('label approval artwork'!B:B,MATCH(G39,'label approval artwork'!F:F,0))</f>
        <v>#VALUE!</v>
      </c>
      <c r="AV39" s="102" t="s">
        <v>156</v>
      </c>
      <c r="AW39" s="102"/>
      <c r="AX39" s="102" t="s">
        <v>135</v>
      </c>
      <c r="AY39" s="102" t="s">
        <v>136</v>
      </c>
      <c r="AZ39" s="103"/>
    </row>
    <row r="40">
      <c r="A40" s="118">
        <v>32.0</v>
      </c>
      <c r="B40" s="100" t="s">
        <v>42</v>
      </c>
      <c r="C40" s="101" t="s">
        <v>42</v>
      </c>
      <c r="D40" s="102" t="s">
        <v>354</v>
      </c>
      <c r="E40" s="100" t="s">
        <v>168</v>
      </c>
      <c r="F40" s="100"/>
      <c r="G40" s="119" t="s">
        <v>375</v>
      </c>
      <c r="H40" s="104" t="s">
        <v>141</v>
      </c>
      <c r="I40" s="105" t="s">
        <v>159</v>
      </c>
      <c r="J40" s="104" t="s">
        <v>105</v>
      </c>
      <c r="K40" s="105" t="s">
        <v>143</v>
      </c>
      <c r="L40" s="105" t="s">
        <v>144</v>
      </c>
      <c r="M40" s="105" t="s">
        <v>145</v>
      </c>
      <c r="N40" s="106" t="s">
        <v>109</v>
      </c>
      <c r="O40" s="102" t="s">
        <v>146</v>
      </c>
      <c r="P40" s="105" t="s">
        <v>111</v>
      </c>
      <c r="Q40" s="105"/>
      <c r="R40" s="105">
        <v>8.40353936911E11</v>
      </c>
      <c r="S40" s="105"/>
      <c r="T40" s="105" t="s">
        <v>160</v>
      </c>
      <c r="U40" s="107" t="s">
        <v>113</v>
      </c>
      <c r="V40" s="108" t="s">
        <v>149</v>
      </c>
      <c r="W40" s="109" t="s">
        <v>376</v>
      </c>
      <c r="X40" s="109" t="s">
        <v>377</v>
      </c>
      <c r="Y40" s="109" t="s">
        <v>378</v>
      </c>
      <c r="Z40" s="109" t="s">
        <v>379</v>
      </c>
      <c r="AA40" s="100" t="s">
        <v>380</v>
      </c>
      <c r="AB40" s="110" t="s">
        <v>119</v>
      </c>
      <c r="AC40" s="105" t="s">
        <v>120</v>
      </c>
      <c r="AD40" s="100" t="s">
        <v>120</v>
      </c>
      <c r="AE40" s="100" t="s">
        <v>120</v>
      </c>
      <c r="AF40" s="100" t="s">
        <v>361</v>
      </c>
      <c r="AG40" s="100" t="s">
        <v>120</v>
      </c>
      <c r="AH40" s="100" t="s">
        <v>120</v>
      </c>
      <c r="AI40" s="102" t="s">
        <v>120</v>
      </c>
      <c r="AJ40" s="102" t="s">
        <v>120</v>
      </c>
      <c r="AK40" s="111" t="s">
        <v>120</v>
      </c>
      <c r="AL40" s="102" t="s">
        <v>120</v>
      </c>
      <c r="AM40" s="102" t="s">
        <v>120</v>
      </c>
      <c r="AN40" s="102" t="s">
        <v>120</v>
      </c>
      <c r="AO40" s="152" t="s">
        <v>362</v>
      </c>
      <c r="AP40" s="113" t="s">
        <v>132</v>
      </c>
      <c r="AQ40" s="103"/>
      <c r="AR40" s="114" t="s">
        <v>124</v>
      </c>
      <c r="AS40" s="115" t="s">
        <v>133</v>
      </c>
      <c r="AT40" s="102" t="str">
        <f t="array" ref="AT40">INDEX('label approval artwork'!A:A,MATCH(G40,'label approval artwork'!F:F,0))</f>
        <v>#VALUE!</v>
      </c>
      <c r="AU40" s="103" t="str">
        <f t="array" ref="AU40">INDEX('label approval artwork'!B:B,MATCH(G40,'label approval artwork'!F:F,0))</f>
        <v>#VALUE!</v>
      </c>
      <c r="AV40" s="102" t="s">
        <v>156</v>
      </c>
      <c r="AW40" s="102"/>
      <c r="AX40" s="102" t="s">
        <v>135</v>
      </c>
      <c r="AY40" s="102" t="s">
        <v>136</v>
      </c>
      <c r="AZ40" s="103"/>
    </row>
    <row r="41">
      <c r="A41" s="99">
        <v>33.0</v>
      </c>
      <c r="B41" s="100" t="s">
        <v>42</v>
      </c>
      <c r="C41" s="101" t="s">
        <v>42</v>
      </c>
      <c r="D41" s="102" t="s">
        <v>354</v>
      </c>
      <c r="E41" s="100" t="s">
        <v>194</v>
      </c>
      <c r="F41" s="100"/>
      <c r="G41" s="119" t="s">
        <v>381</v>
      </c>
      <c r="H41" s="104" t="s">
        <v>141</v>
      </c>
      <c r="I41" s="105" t="s">
        <v>159</v>
      </c>
      <c r="J41" s="104" t="s">
        <v>105</v>
      </c>
      <c r="K41" s="105" t="s">
        <v>196</v>
      </c>
      <c r="L41" s="105" t="s">
        <v>197</v>
      </c>
      <c r="M41" s="105" t="s">
        <v>198</v>
      </c>
      <c r="N41" s="106" t="s">
        <v>109</v>
      </c>
      <c r="O41" s="102" t="s">
        <v>146</v>
      </c>
      <c r="P41" s="105" t="s">
        <v>111</v>
      </c>
      <c r="Q41" s="105"/>
      <c r="R41" s="105">
        <v>8.40353936928E11</v>
      </c>
      <c r="S41" s="105"/>
      <c r="T41" s="105" t="s">
        <v>160</v>
      </c>
      <c r="U41" s="107" t="s">
        <v>113</v>
      </c>
      <c r="V41" s="108" t="s">
        <v>149</v>
      </c>
      <c r="W41" s="109" t="s">
        <v>382</v>
      </c>
      <c r="X41" s="109" t="s">
        <v>383</v>
      </c>
      <c r="Y41" s="109" t="s">
        <v>384</v>
      </c>
      <c r="Z41" s="109" t="s">
        <v>385</v>
      </c>
      <c r="AA41" s="100" t="s">
        <v>386</v>
      </c>
      <c r="AB41" s="110" t="s">
        <v>119</v>
      </c>
      <c r="AC41" s="105" t="s">
        <v>120</v>
      </c>
      <c r="AD41" s="100" t="s">
        <v>120</v>
      </c>
      <c r="AE41" s="100" t="s">
        <v>120</v>
      </c>
      <c r="AF41" s="100" t="s">
        <v>361</v>
      </c>
      <c r="AG41" s="100" t="s">
        <v>120</v>
      </c>
      <c r="AH41" s="100" t="s">
        <v>120</v>
      </c>
      <c r="AI41" s="102" t="s">
        <v>120</v>
      </c>
      <c r="AJ41" s="102" t="s">
        <v>120</v>
      </c>
      <c r="AK41" s="111" t="s">
        <v>120</v>
      </c>
      <c r="AL41" s="102" t="s">
        <v>120</v>
      </c>
      <c r="AM41" s="102" t="s">
        <v>120</v>
      </c>
      <c r="AN41" s="102" t="s">
        <v>120</v>
      </c>
      <c r="AO41" s="152" t="s">
        <v>362</v>
      </c>
      <c r="AP41" s="113" t="s">
        <v>132</v>
      </c>
      <c r="AQ41" s="103"/>
      <c r="AR41" s="114" t="s">
        <v>124</v>
      </c>
      <c r="AS41" s="115" t="s">
        <v>133</v>
      </c>
      <c r="AT41" s="102" t="str">
        <f t="array" ref="AT41">INDEX('label approval artwork'!A:A,MATCH(G41,'label approval artwork'!F:F,0))</f>
        <v>#VALUE!</v>
      </c>
      <c r="AU41" s="103" t="str">
        <f t="array" ref="AU41">INDEX('label approval artwork'!B:B,MATCH(G41,'label approval artwork'!F:F,0))</f>
        <v>#VALUE!</v>
      </c>
      <c r="AV41" s="102" t="s">
        <v>156</v>
      </c>
      <c r="AW41" s="102"/>
      <c r="AX41" s="102" t="s">
        <v>135</v>
      </c>
      <c r="AY41" s="102" t="s">
        <v>136</v>
      </c>
      <c r="AZ41" s="103"/>
    </row>
    <row r="42">
      <c r="A42" s="118">
        <v>34.0</v>
      </c>
      <c r="B42" s="100" t="s">
        <v>42</v>
      </c>
      <c r="C42" s="101" t="s">
        <v>42</v>
      </c>
      <c r="D42" s="102" t="s">
        <v>354</v>
      </c>
      <c r="E42" s="100" t="s">
        <v>176</v>
      </c>
      <c r="F42" s="100"/>
      <c r="G42" s="119" t="s">
        <v>387</v>
      </c>
      <c r="H42" s="104" t="s">
        <v>141</v>
      </c>
      <c r="I42" s="105" t="s">
        <v>178</v>
      </c>
      <c r="J42" s="104" t="s">
        <v>105</v>
      </c>
      <c r="K42" s="105" t="s">
        <v>106</v>
      </c>
      <c r="L42" s="105" t="s">
        <v>107</v>
      </c>
      <c r="M42" s="105" t="s">
        <v>108</v>
      </c>
      <c r="N42" s="106" t="s">
        <v>109</v>
      </c>
      <c r="O42" s="102" t="s">
        <v>146</v>
      </c>
      <c r="P42" s="105" t="s">
        <v>111</v>
      </c>
      <c r="Q42" s="105"/>
      <c r="R42" s="105">
        <v>8.40353936935E11</v>
      </c>
      <c r="S42" s="105"/>
      <c r="T42" s="105" t="s">
        <v>179</v>
      </c>
      <c r="U42" s="107" t="s">
        <v>113</v>
      </c>
      <c r="V42" s="108" t="s">
        <v>149</v>
      </c>
      <c r="W42" s="109" t="s">
        <v>388</v>
      </c>
      <c r="X42" s="109" t="s">
        <v>389</v>
      </c>
      <c r="Y42" s="109" t="s">
        <v>390</v>
      </c>
      <c r="Z42" s="109" t="s">
        <v>391</v>
      </c>
      <c r="AA42" s="100" t="s">
        <v>392</v>
      </c>
      <c r="AB42" s="110" t="s">
        <v>119</v>
      </c>
      <c r="AC42" s="105" t="s">
        <v>120</v>
      </c>
      <c r="AD42" s="100" t="s">
        <v>120</v>
      </c>
      <c r="AE42" s="100" t="s">
        <v>120</v>
      </c>
      <c r="AF42" s="100" t="s">
        <v>361</v>
      </c>
      <c r="AG42" s="100" t="s">
        <v>120</v>
      </c>
      <c r="AH42" s="100" t="s">
        <v>120</v>
      </c>
      <c r="AI42" s="102" t="s">
        <v>120</v>
      </c>
      <c r="AJ42" s="102" t="s">
        <v>120</v>
      </c>
      <c r="AK42" s="111" t="s">
        <v>120</v>
      </c>
      <c r="AL42" s="102" t="s">
        <v>120</v>
      </c>
      <c r="AM42" s="102" t="s">
        <v>120</v>
      </c>
      <c r="AN42" s="102" t="s">
        <v>120</v>
      </c>
      <c r="AO42" s="152" t="s">
        <v>362</v>
      </c>
      <c r="AP42" s="113" t="s">
        <v>132</v>
      </c>
      <c r="AQ42" s="103"/>
      <c r="AR42" s="114" t="s">
        <v>124</v>
      </c>
      <c r="AS42" s="115" t="s">
        <v>133</v>
      </c>
      <c r="AT42" s="102" t="str">
        <f t="array" ref="AT42">INDEX('label approval artwork'!A:A,MATCH(G42,'label approval artwork'!F:F,0))</f>
        <v>#VALUE!</v>
      </c>
      <c r="AU42" s="103" t="str">
        <f t="array" ref="AU42">INDEX('label approval artwork'!B:B,MATCH(G42,'label approval artwork'!F:F,0))</f>
        <v>#VALUE!</v>
      </c>
      <c r="AV42" s="102" t="s">
        <v>156</v>
      </c>
      <c r="AW42" s="102"/>
      <c r="AX42" s="102" t="s">
        <v>135</v>
      </c>
      <c r="AY42" s="102" t="s">
        <v>136</v>
      </c>
      <c r="AZ42" s="103"/>
    </row>
    <row r="43">
      <c r="A43" s="99">
        <v>35.0</v>
      </c>
      <c r="B43" s="100" t="s">
        <v>42</v>
      </c>
      <c r="C43" s="101" t="s">
        <v>42</v>
      </c>
      <c r="D43" s="102" t="s">
        <v>354</v>
      </c>
      <c r="E43" s="100" t="s">
        <v>186</v>
      </c>
      <c r="F43" s="100"/>
      <c r="G43" s="119" t="s">
        <v>393</v>
      </c>
      <c r="H43" s="104" t="s">
        <v>141</v>
      </c>
      <c r="I43" s="105" t="s">
        <v>178</v>
      </c>
      <c r="J43" s="104" t="s">
        <v>105</v>
      </c>
      <c r="K43" s="105" t="s">
        <v>143</v>
      </c>
      <c r="L43" s="105" t="s">
        <v>144</v>
      </c>
      <c r="M43" s="105" t="s">
        <v>145</v>
      </c>
      <c r="N43" s="106" t="s">
        <v>109</v>
      </c>
      <c r="O43" s="102" t="s">
        <v>146</v>
      </c>
      <c r="P43" s="105" t="s">
        <v>111</v>
      </c>
      <c r="Q43" s="105"/>
      <c r="R43" s="105">
        <v>8.40353936959E11</v>
      </c>
      <c r="S43" s="105"/>
      <c r="T43" s="105" t="s">
        <v>179</v>
      </c>
      <c r="U43" s="107" t="s">
        <v>113</v>
      </c>
      <c r="V43" s="108" t="s">
        <v>149</v>
      </c>
      <c r="W43" s="109" t="s">
        <v>394</v>
      </c>
      <c r="X43" s="109" t="s">
        <v>395</v>
      </c>
      <c r="Y43" s="109" t="s">
        <v>396</v>
      </c>
      <c r="Z43" s="109" t="s">
        <v>397</v>
      </c>
      <c r="AA43" s="100" t="s">
        <v>398</v>
      </c>
      <c r="AB43" s="110" t="s">
        <v>119</v>
      </c>
      <c r="AC43" s="105" t="s">
        <v>120</v>
      </c>
      <c r="AD43" s="100" t="s">
        <v>120</v>
      </c>
      <c r="AE43" s="100" t="s">
        <v>120</v>
      </c>
      <c r="AF43" s="100" t="s">
        <v>361</v>
      </c>
      <c r="AG43" s="100" t="s">
        <v>120</v>
      </c>
      <c r="AH43" s="100" t="s">
        <v>120</v>
      </c>
      <c r="AI43" s="102" t="s">
        <v>120</v>
      </c>
      <c r="AJ43" s="102" t="s">
        <v>120</v>
      </c>
      <c r="AK43" s="111" t="s">
        <v>120</v>
      </c>
      <c r="AL43" s="102" t="s">
        <v>120</v>
      </c>
      <c r="AM43" s="102" t="s">
        <v>120</v>
      </c>
      <c r="AN43" s="102" t="s">
        <v>120</v>
      </c>
      <c r="AO43" s="152" t="s">
        <v>362</v>
      </c>
      <c r="AP43" s="113" t="s">
        <v>132</v>
      </c>
      <c r="AQ43" s="103"/>
      <c r="AR43" s="114" t="s">
        <v>124</v>
      </c>
      <c r="AS43" s="115" t="s">
        <v>133</v>
      </c>
      <c r="AT43" s="102" t="str">
        <f t="array" ref="AT43">INDEX('label approval artwork'!A:A,MATCH(G43,'label approval artwork'!F:F,0))</f>
        <v>#VALUE!</v>
      </c>
      <c r="AU43" s="103" t="str">
        <f t="array" ref="AU43">INDEX('label approval artwork'!B:B,MATCH(G43,'label approval artwork'!F:F,0))</f>
        <v>#VALUE!</v>
      </c>
      <c r="AV43" s="102" t="s">
        <v>156</v>
      </c>
      <c r="AW43" s="102"/>
      <c r="AX43" s="102" t="s">
        <v>135</v>
      </c>
      <c r="AY43" s="102" t="s">
        <v>136</v>
      </c>
      <c r="AZ43" s="103"/>
    </row>
    <row r="44">
      <c r="A44" s="118">
        <v>36.0</v>
      </c>
      <c r="B44" s="100" t="s">
        <v>42</v>
      </c>
      <c r="C44" s="101" t="s">
        <v>42</v>
      </c>
      <c r="D44" s="102" t="s">
        <v>354</v>
      </c>
      <c r="E44" s="100" t="s">
        <v>205</v>
      </c>
      <c r="F44" s="100"/>
      <c r="G44" s="119" t="s">
        <v>399</v>
      </c>
      <c r="H44" s="104" t="s">
        <v>231</v>
      </c>
      <c r="I44" s="105" t="s">
        <v>142</v>
      </c>
      <c r="J44" s="104" t="s">
        <v>105</v>
      </c>
      <c r="K44" s="105" t="s">
        <v>106</v>
      </c>
      <c r="L44" s="105" t="s">
        <v>107</v>
      </c>
      <c r="M44" s="105" t="s">
        <v>108</v>
      </c>
      <c r="N44" s="106" t="s">
        <v>109</v>
      </c>
      <c r="O44" s="102" t="s">
        <v>146</v>
      </c>
      <c r="P44" s="105" t="s">
        <v>232</v>
      </c>
      <c r="Q44" s="105">
        <v>8.4035393672E11</v>
      </c>
      <c r="R44" s="105">
        <v>8.4035393672E11</v>
      </c>
      <c r="S44" s="105"/>
      <c r="T44" s="105" t="s">
        <v>148</v>
      </c>
      <c r="U44" s="107" t="s">
        <v>233</v>
      </c>
      <c r="V44" s="108" t="s">
        <v>234</v>
      </c>
      <c r="W44" s="122" t="s">
        <v>235</v>
      </c>
      <c r="X44" s="122" t="s">
        <v>236</v>
      </c>
      <c r="Y44" s="109" t="s">
        <v>400</v>
      </c>
      <c r="Z44" s="109" t="s">
        <v>401</v>
      </c>
      <c r="AA44" s="100" t="s">
        <v>402</v>
      </c>
      <c r="AB44" s="110" t="s">
        <v>119</v>
      </c>
      <c r="AC44" s="105" t="s">
        <v>120</v>
      </c>
      <c r="AD44" s="100" t="s">
        <v>120</v>
      </c>
      <c r="AE44" s="100" t="s">
        <v>120</v>
      </c>
      <c r="AF44" s="100" t="s">
        <v>361</v>
      </c>
      <c r="AG44" s="100" t="s">
        <v>120</v>
      </c>
      <c r="AH44" s="100" t="s">
        <v>120</v>
      </c>
      <c r="AI44" s="102" t="s">
        <v>120</v>
      </c>
      <c r="AJ44" s="102" t="s">
        <v>120</v>
      </c>
      <c r="AK44" s="111" t="s">
        <v>120</v>
      </c>
      <c r="AL44" s="102" t="s">
        <v>120</v>
      </c>
      <c r="AM44" s="102" t="s">
        <v>120</v>
      </c>
      <c r="AN44" s="102" t="s">
        <v>120</v>
      </c>
      <c r="AO44" s="152" t="s">
        <v>403</v>
      </c>
      <c r="AP44" s="113" t="s">
        <v>132</v>
      </c>
      <c r="AQ44" s="103"/>
      <c r="AR44" s="114" t="s">
        <v>124</v>
      </c>
      <c r="AS44" s="115" t="s">
        <v>133</v>
      </c>
      <c r="AT44" s="102" t="str">
        <f t="array" ref="AT44">INDEX('label approval artwork'!A:A,MATCH(G44,'label approval artwork'!F:F,0))</f>
        <v>#VALUE!</v>
      </c>
      <c r="AU44" s="103" t="str">
        <f t="array" ref="AU44">INDEX('label approval artwork'!B:B,MATCH(G44,'label approval artwork'!F:F,0))</f>
        <v>#VALUE!</v>
      </c>
      <c r="AV44" s="102" t="s">
        <v>156</v>
      </c>
      <c r="AW44" s="102"/>
      <c r="AX44" s="102" t="s">
        <v>240</v>
      </c>
      <c r="AY44" s="102" t="s">
        <v>241</v>
      </c>
      <c r="AZ44" s="103"/>
    </row>
    <row r="45">
      <c r="A45" s="99">
        <v>37.0</v>
      </c>
      <c r="B45" s="100" t="s">
        <v>42</v>
      </c>
      <c r="C45" s="101" t="s">
        <v>42</v>
      </c>
      <c r="D45" s="102" t="s">
        <v>354</v>
      </c>
      <c r="E45" s="100" t="s">
        <v>242</v>
      </c>
      <c r="F45" s="100"/>
      <c r="G45" s="119" t="s">
        <v>404</v>
      </c>
      <c r="H45" s="104" t="s">
        <v>231</v>
      </c>
      <c r="I45" s="105" t="s">
        <v>142</v>
      </c>
      <c r="J45" s="104" t="s">
        <v>105</v>
      </c>
      <c r="K45" s="105" t="s">
        <v>244</v>
      </c>
      <c r="L45" s="105" t="s">
        <v>245</v>
      </c>
      <c r="M45" s="105" t="s">
        <v>246</v>
      </c>
      <c r="N45" s="106" t="s">
        <v>109</v>
      </c>
      <c r="O45" s="102" t="s">
        <v>146</v>
      </c>
      <c r="P45" s="105" t="s">
        <v>232</v>
      </c>
      <c r="Q45" s="105">
        <v>8.40353936782E11</v>
      </c>
      <c r="R45" s="105">
        <v>8.40353936782E11</v>
      </c>
      <c r="S45" s="105"/>
      <c r="T45" s="105" t="s">
        <v>148</v>
      </c>
      <c r="U45" s="107" t="s">
        <v>233</v>
      </c>
      <c r="V45" s="108" t="s">
        <v>234</v>
      </c>
      <c r="W45" s="122" t="s">
        <v>235</v>
      </c>
      <c r="X45" s="122" t="s">
        <v>236</v>
      </c>
      <c r="Y45" s="109" t="s">
        <v>405</v>
      </c>
      <c r="Z45" s="109" t="s">
        <v>406</v>
      </c>
      <c r="AA45" s="100" t="s">
        <v>407</v>
      </c>
      <c r="AB45" s="110" t="s">
        <v>119</v>
      </c>
      <c r="AC45" s="105" t="s">
        <v>120</v>
      </c>
      <c r="AD45" s="100" t="s">
        <v>120</v>
      </c>
      <c r="AE45" s="100" t="s">
        <v>120</v>
      </c>
      <c r="AF45" s="100" t="s">
        <v>361</v>
      </c>
      <c r="AG45" s="100" t="s">
        <v>120</v>
      </c>
      <c r="AH45" s="100" t="s">
        <v>120</v>
      </c>
      <c r="AI45" s="102" t="s">
        <v>120</v>
      </c>
      <c r="AJ45" s="102" t="s">
        <v>120</v>
      </c>
      <c r="AK45" s="111" t="s">
        <v>120</v>
      </c>
      <c r="AL45" s="102" t="s">
        <v>120</v>
      </c>
      <c r="AM45" s="102" t="s">
        <v>120</v>
      </c>
      <c r="AN45" s="102" t="s">
        <v>120</v>
      </c>
      <c r="AO45" s="152" t="s">
        <v>403</v>
      </c>
      <c r="AP45" s="113" t="s">
        <v>132</v>
      </c>
      <c r="AQ45" s="103"/>
      <c r="AR45" s="114" t="s">
        <v>124</v>
      </c>
      <c r="AS45" s="115" t="s">
        <v>133</v>
      </c>
      <c r="AT45" s="102" t="str">
        <f t="array" ref="AT45">INDEX('label approval artwork'!A:A,MATCH(G45,'label approval artwork'!F:F,0))</f>
        <v>#VALUE!</v>
      </c>
      <c r="AU45" s="103" t="str">
        <f t="array" ref="AU45">INDEX('label approval artwork'!B:B,MATCH(G45,'label approval artwork'!F:F,0))</f>
        <v>#VALUE!</v>
      </c>
      <c r="AV45" s="102" t="s">
        <v>156</v>
      </c>
      <c r="AW45" s="102"/>
      <c r="AX45" s="102" t="s">
        <v>240</v>
      </c>
      <c r="AY45" s="102" t="s">
        <v>241</v>
      </c>
      <c r="AZ45" s="103"/>
    </row>
    <row r="46">
      <c r="A46" s="118">
        <v>38.0</v>
      </c>
      <c r="B46" s="100" t="s">
        <v>42</v>
      </c>
      <c r="C46" s="101" t="s">
        <v>42</v>
      </c>
      <c r="D46" s="102" t="s">
        <v>354</v>
      </c>
      <c r="E46" s="100" t="s">
        <v>139</v>
      </c>
      <c r="F46" s="100"/>
      <c r="G46" s="119" t="s">
        <v>408</v>
      </c>
      <c r="H46" s="104" t="s">
        <v>231</v>
      </c>
      <c r="I46" s="105" t="s">
        <v>142</v>
      </c>
      <c r="J46" s="104" t="s">
        <v>105</v>
      </c>
      <c r="K46" s="105" t="s">
        <v>143</v>
      </c>
      <c r="L46" s="105" t="s">
        <v>144</v>
      </c>
      <c r="M46" s="105" t="s">
        <v>145</v>
      </c>
      <c r="N46" s="106" t="s">
        <v>109</v>
      </c>
      <c r="O46" s="102" t="s">
        <v>146</v>
      </c>
      <c r="P46" s="105" t="s">
        <v>232</v>
      </c>
      <c r="Q46" s="105">
        <v>8.40353936843E11</v>
      </c>
      <c r="R46" s="105">
        <v>8.40353936843E11</v>
      </c>
      <c r="S46" s="105"/>
      <c r="T46" s="105" t="s">
        <v>148</v>
      </c>
      <c r="U46" s="107" t="s">
        <v>233</v>
      </c>
      <c r="V46" s="108" t="s">
        <v>234</v>
      </c>
      <c r="W46" s="122" t="s">
        <v>235</v>
      </c>
      <c r="X46" s="122" t="s">
        <v>236</v>
      </c>
      <c r="Y46" s="109" t="s">
        <v>409</v>
      </c>
      <c r="Z46" s="109" t="s">
        <v>410</v>
      </c>
      <c r="AA46" s="100" t="s">
        <v>411</v>
      </c>
      <c r="AB46" s="110" t="s">
        <v>119</v>
      </c>
      <c r="AC46" s="105" t="s">
        <v>120</v>
      </c>
      <c r="AD46" s="100" t="s">
        <v>120</v>
      </c>
      <c r="AE46" s="100" t="s">
        <v>120</v>
      </c>
      <c r="AF46" s="100" t="s">
        <v>361</v>
      </c>
      <c r="AG46" s="100" t="s">
        <v>120</v>
      </c>
      <c r="AH46" s="100" t="s">
        <v>120</v>
      </c>
      <c r="AI46" s="102" t="s">
        <v>120</v>
      </c>
      <c r="AJ46" s="102" t="s">
        <v>120</v>
      </c>
      <c r="AK46" s="111" t="s">
        <v>120</v>
      </c>
      <c r="AL46" s="102" t="s">
        <v>120</v>
      </c>
      <c r="AM46" s="102" t="s">
        <v>120</v>
      </c>
      <c r="AN46" s="102" t="s">
        <v>120</v>
      </c>
      <c r="AO46" s="152" t="s">
        <v>403</v>
      </c>
      <c r="AP46" s="113" t="s">
        <v>132</v>
      </c>
      <c r="AQ46" s="103"/>
      <c r="AR46" s="114" t="s">
        <v>124</v>
      </c>
      <c r="AS46" s="115" t="s">
        <v>133</v>
      </c>
      <c r="AT46" s="102" t="str">
        <f t="array" ref="AT46">INDEX('label approval artwork'!A:A,MATCH(G46,'label approval artwork'!F:F,0))</f>
        <v>#VALUE!</v>
      </c>
      <c r="AU46" s="103" t="str">
        <f t="array" ref="AU46">INDEX('label approval artwork'!B:B,MATCH(G46,'label approval artwork'!F:F,0))</f>
        <v>#VALUE!</v>
      </c>
      <c r="AV46" s="102" t="s">
        <v>156</v>
      </c>
      <c r="AW46" s="102"/>
      <c r="AX46" s="102" t="s">
        <v>240</v>
      </c>
      <c r="AY46" s="102" t="s">
        <v>241</v>
      </c>
      <c r="AZ46" s="103"/>
    </row>
    <row r="47">
      <c r="A47" s="99">
        <v>39.0</v>
      </c>
      <c r="B47" s="100" t="s">
        <v>42</v>
      </c>
      <c r="C47" s="101" t="s">
        <v>42</v>
      </c>
      <c r="D47" s="102" t="s">
        <v>354</v>
      </c>
      <c r="E47" s="100" t="s">
        <v>157</v>
      </c>
      <c r="F47" s="100"/>
      <c r="G47" s="119" t="s">
        <v>412</v>
      </c>
      <c r="H47" s="104" t="s">
        <v>231</v>
      </c>
      <c r="I47" s="105" t="s">
        <v>159</v>
      </c>
      <c r="J47" s="104" t="s">
        <v>105</v>
      </c>
      <c r="K47" s="105" t="s">
        <v>106</v>
      </c>
      <c r="L47" s="105" t="s">
        <v>107</v>
      </c>
      <c r="M47" s="105" t="s">
        <v>108</v>
      </c>
      <c r="N47" s="106" t="s">
        <v>109</v>
      </c>
      <c r="O47" s="102" t="s">
        <v>146</v>
      </c>
      <c r="P47" s="105" t="s">
        <v>232</v>
      </c>
      <c r="Q47" s="105">
        <v>8.40353936997E11</v>
      </c>
      <c r="R47" s="105">
        <v>8.40353936997E11</v>
      </c>
      <c r="S47" s="105"/>
      <c r="T47" s="105" t="s">
        <v>160</v>
      </c>
      <c r="U47" s="107" t="s">
        <v>233</v>
      </c>
      <c r="V47" s="108" t="s">
        <v>234</v>
      </c>
      <c r="W47" s="122" t="s">
        <v>235</v>
      </c>
      <c r="X47" s="122" t="s">
        <v>236</v>
      </c>
      <c r="Y47" s="109" t="s">
        <v>413</v>
      </c>
      <c r="Z47" s="109" t="s">
        <v>414</v>
      </c>
      <c r="AA47" s="100" t="s">
        <v>415</v>
      </c>
      <c r="AB47" s="110" t="s">
        <v>119</v>
      </c>
      <c r="AC47" s="105" t="s">
        <v>120</v>
      </c>
      <c r="AD47" s="100" t="s">
        <v>120</v>
      </c>
      <c r="AE47" s="100" t="s">
        <v>120</v>
      </c>
      <c r="AF47" s="100" t="s">
        <v>361</v>
      </c>
      <c r="AG47" s="100" t="s">
        <v>120</v>
      </c>
      <c r="AH47" s="100" t="s">
        <v>120</v>
      </c>
      <c r="AI47" s="102" t="s">
        <v>120</v>
      </c>
      <c r="AJ47" s="102" t="s">
        <v>120</v>
      </c>
      <c r="AK47" s="111" t="s">
        <v>120</v>
      </c>
      <c r="AL47" s="102" t="s">
        <v>120</v>
      </c>
      <c r="AM47" s="102" t="s">
        <v>120</v>
      </c>
      <c r="AN47" s="102" t="s">
        <v>120</v>
      </c>
      <c r="AO47" s="152" t="s">
        <v>403</v>
      </c>
      <c r="AP47" s="113" t="s">
        <v>132</v>
      </c>
      <c r="AQ47" s="103"/>
      <c r="AR47" s="114" t="s">
        <v>124</v>
      </c>
      <c r="AS47" s="115" t="s">
        <v>133</v>
      </c>
      <c r="AT47" s="102" t="str">
        <f t="array" ref="AT47">INDEX('label approval artwork'!A:A,MATCH(G47,'label approval artwork'!F:F,0))</f>
        <v>#VALUE!</v>
      </c>
      <c r="AU47" s="103" t="str">
        <f t="array" ref="AU47">INDEX('label approval artwork'!B:B,MATCH(G47,'label approval artwork'!F:F,0))</f>
        <v>#VALUE!</v>
      </c>
      <c r="AV47" s="102" t="s">
        <v>156</v>
      </c>
      <c r="AW47" s="102"/>
      <c r="AX47" s="102" t="s">
        <v>240</v>
      </c>
      <c r="AY47" s="102" t="s">
        <v>241</v>
      </c>
      <c r="AZ47" s="103"/>
    </row>
    <row r="48">
      <c r="A48" s="150">
        <v>40.0</v>
      </c>
      <c r="B48" s="141" t="s">
        <v>42</v>
      </c>
      <c r="C48" s="142" t="s">
        <v>42</v>
      </c>
      <c r="D48" s="143" t="s">
        <v>354</v>
      </c>
      <c r="E48" s="141" t="s">
        <v>168</v>
      </c>
      <c r="F48" s="141"/>
      <c r="G48" s="144" t="s">
        <v>416</v>
      </c>
      <c r="H48" s="153" t="s">
        <v>231</v>
      </c>
      <c r="I48" s="154" t="s">
        <v>159</v>
      </c>
      <c r="J48" s="153" t="s">
        <v>105</v>
      </c>
      <c r="K48" s="154" t="s">
        <v>143</v>
      </c>
      <c r="L48" s="154" t="s">
        <v>144</v>
      </c>
      <c r="M48" s="154" t="s">
        <v>145</v>
      </c>
      <c r="N48" s="155" t="s">
        <v>109</v>
      </c>
      <c r="O48" s="143" t="s">
        <v>146</v>
      </c>
      <c r="P48" s="154" t="s">
        <v>232</v>
      </c>
      <c r="Q48" s="154">
        <v>8.40353937017E11</v>
      </c>
      <c r="R48" s="154">
        <v>8.40353937017E11</v>
      </c>
      <c r="S48" s="154"/>
      <c r="T48" s="154" t="s">
        <v>160</v>
      </c>
      <c r="U48" s="156" t="s">
        <v>233</v>
      </c>
      <c r="V48" s="157" t="s">
        <v>234</v>
      </c>
      <c r="W48" s="158" t="s">
        <v>235</v>
      </c>
      <c r="X48" s="158" t="s">
        <v>236</v>
      </c>
      <c r="Y48" s="109" t="s">
        <v>417</v>
      </c>
      <c r="Z48" s="109" t="s">
        <v>418</v>
      </c>
      <c r="AA48" s="141" t="s">
        <v>419</v>
      </c>
      <c r="AB48" s="159" t="s">
        <v>119</v>
      </c>
      <c r="AC48" s="154" t="s">
        <v>120</v>
      </c>
      <c r="AD48" s="141" t="s">
        <v>120</v>
      </c>
      <c r="AE48" s="141" t="s">
        <v>120</v>
      </c>
      <c r="AF48" s="141" t="s">
        <v>361</v>
      </c>
      <c r="AG48" s="141" t="s">
        <v>120</v>
      </c>
      <c r="AH48" s="141" t="s">
        <v>120</v>
      </c>
      <c r="AI48" s="143" t="s">
        <v>120</v>
      </c>
      <c r="AJ48" s="143" t="s">
        <v>120</v>
      </c>
      <c r="AK48" s="160" t="s">
        <v>120</v>
      </c>
      <c r="AL48" s="143" t="s">
        <v>120</v>
      </c>
      <c r="AM48" s="143" t="s">
        <v>120</v>
      </c>
      <c r="AN48" s="143" t="s">
        <v>120</v>
      </c>
      <c r="AO48" s="161" t="s">
        <v>403</v>
      </c>
      <c r="AP48" s="151"/>
      <c r="AQ48" s="147"/>
      <c r="AR48" s="148" t="s">
        <v>124</v>
      </c>
      <c r="AS48" s="149" t="s">
        <v>133</v>
      </c>
      <c r="AT48" s="143" t="str">
        <f t="array" ref="AT48">INDEX('label approval artwork'!A:A,MATCH(G48,'label approval artwork'!F:F,0))</f>
        <v>#VALUE!</v>
      </c>
      <c r="AU48" s="147" t="str">
        <f t="array" ref="AU48">INDEX('label approval artwork'!B:B,MATCH(G48,'label approval artwork'!F:F,0))</f>
        <v>#VALUE!</v>
      </c>
      <c r="AV48" s="143" t="s">
        <v>156</v>
      </c>
      <c r="AW48" s="143"/>
      <c r="AX48" s="143" t="s">
        <v>240</v>
      </c>
      <c r="AY48" s="143" t="s">
        <v>241</v>
      </c>
      <c r="AZ48" s="147"/>
      <c r="BA48" s="151"/>
      <c r="BB48" s="151"/>
      <c r="BC48" s="151"/>
      <c r="BD48" s="151"/>
      <c r="BE48" s="151"/>
      <c r="BF48" s="151"/>
      <c r="BG48" s="151"/>
    </row>
    <row r="49">
      <c r="A49" s="99">
        <v>41.0</v>
      </c>
      <c r="B49" s="100" t="s">
        <v>40</v>
      </c>
      <c r="C49" s="101" t="s">
        <v>40</v>
      </c>
      <c r="D49" s="102" t="s">
        <v>138</v>
      </c>
      <c r="E49" s="100" t="s">
        <v>139</v>
      </c>
      <c r="F49" s="100"/>
      <c r="G49" s="119" t="s">
        <v>420</v>
      </c>
      <c r="H49" s="104" t="s">
        <v>231</v>
      </c>
      <c r="I49" s="105" t="s">
        <v>142</v>
      </c>
      <c r="J49" s="104" t="s">
        <v>105</v>
      </c>
      <c r="K49" s="105" t="s">
        <v>143</v>
      </c>
      <c r="L49" s="105" t="s">
        <v>144</v>
      </c>
      <c r="M49" s="105" t="s">
        <v>145</v>
      </c>
      <c r="N49" s="106" t="s">
        <v>109</v>
      </c>
      <c r="O49" s="102" t="s">
        <v>146</v>
      </c>
      <c r="P49" s="105" t="s">
        <v>232</v>
      </c>
      <c r="Q49" s="105">
        <v>8.40353948297E11</v>
      </c>
      <c r="R49" s="105">
        <v>8.40353948297E11</v>
      </c>
      <c r="S49" s="105"/>
      <c r="T49" s="105" t="s">
        <v>148</v>
      </c>
      <c r="U49" s="107" t="s">
        <v>233</v>
      </c>
      <c r="V49" s="108" t="s">
        <v>234</v>
      </c>
      <c r="W49" s="122" t="s">
        <v>235</v>
      </c>
      <c r="X49" s="122" t="s">
        <v>236</v>
      </c>
      <c r="Y49" s="109" t="s">
        <v>421</v>
      </c>
      <c r="Z49" s="109" t="s">
        <v>422</v>
      </c>
      <c r="AA49" s="100" t="s">
        <v>423</v>
      </c>
      <c r="AB49" s="110" t="s">
        <v>119</v>
      </c>
      <c r="AC49" s="105" t="s">
        <v>120</v>
      </c>
      <c r="AD49" s="100" t="s">
        <v>120</v>
      </c>
      <c r="AE49" s="100" t="s">
        <v>120</v>
      </c>
      <c r="AF49" s="100" t="s">
        <v>121</v>
      </c>
      <c r="AG49" s="100" t="s">
        <v>119</v>
      </c>
      <c r="AH49" s="100" t="s">
        <v>119</v>
      </c>
      <c r="AI49" s="102" t="s">
        <v>119</v>
      </c>
      <c r="AJ49" s="102" t="s">
        <v>119</v>
      </c>
      <c r="AK49" s="111" t="s">
        <v>119</v>
      </c>
      <c r="AL49" s="102" t="s">
        <v>120</v>
      </c>
      <c r="AM49" s="102" t="s">
        <v>120</v>
      </c>
      <c r="AN49" s="102" t="s">
        <v>120</v>
      </c>
      <c r="AO49" s="112" t="s">
        <v>131</v>
      </c>
      <c r="AP49" s="113" t="s">
        <v>132</v>
      </c>
      <c r="AQ49" s="103"/>
      <c r="AR49" s="114" t="s">
        <v>124</v>
      </c>
      <c r="AS49" s="115" t="s">
        <v>133</v>
      </c>
      <c r="AT49" s="116" t="s">
        <v>155</v>
      </c>
      <c r="AU49" s="103" t="str">
        <f t="array" ref="AU49">INDEX('label approval artwork'!B:B,MATCH(G49,'label approval artwork'!F:F,0))</f>
        <v>G990-09735-00-A</v>
      </c>
      <c r="AV49" s="102" t="s">
        <v>156</v>
      </c>
      <c r="AW49" s="102"/>
      <c r="AX49" s="102" t="s">
        <v>240</v>
      </c>
      <c r="AY49" s="102" t="s">
        <v>241</v>
      </c>
      <c r="AZ49" s="103" t="s">
        <v>137</v>
      </c>
    </row>
    <row r="50">
      <c r="A50" s="118">
        <v>42.0</v>
      </c>
      <c r="B50" s="100" t="s">
        <v>99</v>
      </c>
      <c r="C50" s="101" t="s">
        <v>39</v>
      </c>
      <c r="D50" s="102" t="s">
        <v>138</v>
      </c>
      <c r="E50" s="100" t="s">
        <v>205</v>
      </c>
      <c r="F50" s="100"/>
      <c r="G50" s="119" t="s">
        <v>424</v>
      </c>
      <c r="H50" s="104" t="s">
        <v>425</v>
      </c>
      <c r="I50" s="105" t="s">
        <v>142</v>
      </c>
      <c r="J50" s="104" t="s">
        <v>105</v>
      </c>
      <c r="K50" s="105" t="s">
        <v>106</v>
      </c>
      <c r="L50" s="105" t="s">
        <v>107</v>
      </c>
      <c r="M50" s="105" t="s">
        <v>108</v>
      </c>
      <c r="N50" s="106" t="s">
        <v>426</v>
      </c>
      <c r="O50" s="102" t="s">
        <v>146</v>
      </c>
      <c r="P50" s="105" t="s">
        <v>427</v>
      </c>
      <c r="Q50" s="105"/>
      <c r="R50" s="105">
        <v>8.40353925823E11</v>
      </c>
      <c r="S50" s="105"/>
      <c r="T50" s="105" t="s">
        <v>148</v>
      </c>
      <c r="U50" s="107" t="s">
        <v>428</v>
      </c>
      <c r="V50" s="108" t="s">
        <v>429</v>
      </c>
      <c r="W50" s="109" t="s">
        <v>430</v>
      </c>
      <c r="X50" s="109" t="s">
        <v>431</v>
      </c>
      <c r="Y50" s="109" t="s">
        <v>432</v>
      </c>
      <c r="Z50" s="109" t="s">
        <v>433</v>
      </c>
      <c r="AA50" s="100" t="s">
        <v>434</v>
      </c>
      <c r="AB50" s="110" t="s">
        <v>119</v>
      </c>
      <c r="AC50" s="105" t="s">
        <v>120</v>
      </c>
      <c r="AD50" s="100" t="s">
        <v>120</v>
      </c>
      <c r="AE50" s="100" t="s">
        <v>120</v>
      </c>
      <c r="AF50" s="100" t="s">
        <v>121</v>
      </c>
      <c r="AG50" s="100" t="s">
        <v>119</v>
      </c>
      <c r="AH50" s="100" t="s">
        <v>119</v>
      </c>
      <c r="AI50" s="102" t="s">
        <v>119</v>
      </c>
      <c r="AJ50" s="102" t="s">
        <v>119</v>
      </c>
      <c r="AK50" s="111" t="s">
        <v>119</v>
      </c>
      <c r="AL50" s="102" t="s">
        <v>120</v>
      </c>
      <c r="AM50" s="102" t="s">
        <v>120</v>
      </c>
      <c r="AN50" s="102" t="s">
        <v>120</v>
      </c>
      <c r="AO50" s="112" t="s">
        <v>131</v>
      </c>
      <c r="AP50" s="113" t="s">
        <v>132</v>
      </c>
      <c r="AQ50" s="103"/>
      <c r="AR50" s="114" t="s">
        <v>124</v>
      </c>
      <c r="AS50" s="115" t="s">
        <v>133</v>
      </c>
      <c r="AT50" s="116" t="s">
        <v>134</v>
      </c>
      <c r="AU50" s="103" t="str">
        <f t="array" ref="AU50">INDEX('label approval artwork'!B:B,MATCH(G50,'label approval artwork'!F:F,0))</f>
        <v>G990-08493-00-A</v>
      </c>
      <c r="AV50" s="102" t="s">
        <v>435</v>
      </c>
      <c r="AW50" s="102"/>
      <c r="AX50" s="102" t="s">
        <v>436</v>
      </c>
      <c r="AY50" s="102" t="s">
        <v>437</v>
      </c>
      <c r="AZ50" s="103"/>
    </row>
    <row r="51">
      <c r="A51" s="99">
        <v>43.0</v>
      </c>
      <c r="B51" s="100" t="s">
        <v>99</v>
      </c>
      <c r="C51" s="101" t="s">
        <v>39</v>
      </c>
      <c r="D51" s="102" t="s">
        <v>138</v>
      </c>
      <c r="E51" s="100" t="s">
        <v>242</v>
      </c>
      <c r="F51" s="100"/>
      <c r="G51" s="119" t="s">
        <v>438</v>
      </c>
      <c r="H51" s="104" t="s">
        <v>425</v>
      </c>
      <c r="I51" s="105" t="s">
        <v>142</v>
      </c>
      <c r="J51" s="104" t="s">
        <v>105</v>
      </c>
      <c r="K51" s="105" t="s">
        <v>244</v>
      </c>
      <c r="L51" s="105" t="s">
        <v>245</v>
      </c>
      <c r="M51" s="105" t="s">
        <v>246</v>
      </c>
      <c r="N51" s="106" t="s">
        <v>426</v>
      </c>
      <c r="O51" s="102" t="s">
        <v>146</v>
      </c>
      <c r="P51" s="105" t="s">
        <v>427</v>
      </c>
      <c r="Q51" s="105"/>
      <c r="R51" s="105">
        <v>8.4035392583E11</v>
      </c>
      <c r="S51" s="105"/>
      <c r="T51" s="105" t="s">
        <v>148</v>
      </c>
      <c r="U51" s="107" t="s">
        <v>428</v>
      </c>
      <c r="V51" s="108" t="s">
        <v>429</v>
      </c>
      <c r="W51" s="109" t="s">
        <v>439</v>
      </c>
      <c r="X51" s="109" t="s">
        <v>440</v>
      </c>
      <c r="Y51" s="109" t="s">
        <v>441</v>
      </c>
      <c r="Z51" s="109" t="s">
        <v>442</v>
      </c>
      <c r="AA51" s="100" t="s">
        <v>443</v>
      </c>
      <c r="AB51" s="110" t="s">
        <v>119</v>
      </c>
      <c r="AC51" s="105" t="s">
        <v>120</v>
      </c>
      <c r="AD51" s="100" t="s">
        <v>120</v>
      </c>
      <c r="AE51" s="100" t="s">
        <v>120</v>
      </c>
      <c r="AF51" s="100" t="s">
        <v>121</v>
      </c>
      <c r="AG51" s="100" t="s">
        <v>119</v>
      </c>
      <c r="AH51" s="100" t="s">
        <v>119</v>
      </c>
      <c r="AI51" s="102" t="s">
        <v>119</v>
      </c>
      <c r="AJ51" s="102" t="s">
        <v>119</v>
      </c>
      <c r="AK51" s="111" t="s">
        <v>119</v>
      </c>
      <c r="AL51" s="102" t="s">
        <v>120</v>
      </c>
      <c r="AM51" s="102" t="s">
        <v>120</v>
      </c>
      <c r="AN51" s="102" t="s">
        <v>120</v>
      </c>
      <c r="AO51" s="112" t="s">
        <v>131</v>
      </c>
      <c r="AP51" s="113" t="s">
        <v>132</v>
      </c>
      <c r="AQ51" s="103"/>
      <c r="AR51" s="114" t="s">
        <v>124</v>
      </c>
      <c r="AS51" s="115" t="s">
        <v>133</v>
      </c>
      <c r="AT51" s="116" t="s">
        <v>250</v>
      </c>
      <c r="AU51" s="103" t="str">
        <f t="array" ref="AU51">INDEX('label approval artwork'!B:B,MATCH(G51,'label approval artwork'!F:F,0))</f>
        <v>G990-08493-00-A</v>
      </c>
      <c r="AV51" s="102" t="s">
        <v>435</v>
      </c>
      <c r="AW51" s="102"/>
      <c r="AX51" s="102" t="s">
        <v>436</v>
      </c>
      <c r="AY51" s="102" t="s">
        <v>437</v>
      </c>
      <c r="AZ51" s="103"/>
    </row>
    <row r="52">
      <c r="A52" s="118">
        <v>44.0</v>
      </c>
      <c r="B52" s="100" t="s">
        <v>167</v>
      </c>
      <c r="C52" s="101" t="s">
        <v>39</v>
      </c>
      <c r="D52" s="102" t="s">
        <v>138</v>
      </c>
      <c r="E52" s="100" t="s">
        <v>139</v>
      </c>
      <c r="F52" s="100"/>
      <c r="G52" s="119" t="s">
        <v>444</v>
      </c>
      <c r="H52" s="104" t="s">
        <v>425</v>
      </c>
      <c r="I52" s="105" t="s">
        <v>142</v>
      </c>
      <c r="J52" s="104" t="s">
        <v>105</v>
      </c>
      <c r="K52" s="105" t="s">
        <v>143</v>
      </c>
      <c r="L52" s="105" t="s">
        <v>144</v>
      </c>
      <c r="M52" s="105" t="s">
        <v>145</v>
      </c>
      <c r="N52" s="106" t="s">
        <v>426</v>
      </c>
      <c r="O52" s="102" t="s">
        <v>146</v>
      </c>
      <c r="P52" s="105" t="s">
        <v>427</v>
      </c>
      <c r="Q52" s="105"/>
      <c r="R52" s="105">
        <v>8.40353925847E11</v>
      </c>
      <c r="S52" s="105"/>
      <c r="T52" s="105" t="s">
        <v>148</v>
      </c>
      <c r="U52" s="107" t="s">
        <v>428</v>
      </c>
      <c r="V52" s="108" t="s">
        <v>429</v>
      </c>
      <c r="W52" s="109" t="s">
        <v>445</v>
      </c>
      <c r="X52" s="109" t="s">
        <v>446</v>
      </c>
      <c r="Y52" s="109" t="s">
        <v>447</v>
      </c>
      <c r="Z52" s="109" t="s">
        <v>448</v>
      </c>
      <c r="AA52" s="100" t="s">
        <v>449</v>
      </c>
      <c r="AB52" s="110" t="s">
        <v>119</v>
      </c>
      <c r="AC52" s="105" t="s">
        <v>120</v>
      </c>
      <c r="AD52" s="100" t="s">
        <v>120</v>
      </c>
      <c r="AE52" s="100" t="s">
        <v>120</v>
      </c>
      <c r="AF52" s="100" t="s">
        <v>121</v>
      </c>
      <c r="AG52" s="100" t="s">
        <v>119</v>
      </c>
      <c r="AH52" s="100" t="s">
        <v>119</v>
      </c>
      <c r="AI52" s="102" t="s">
        <v>119</v>
      </c>
      <c r="AJ52" s="102" t="s">
        <v>119</v>
      </c>
      <c r="AK52" s="111" t="s">
        <v>119</v>
      </c>
      <c r="AL52" s="102" t="s">
        <v>120</v>
      </c>
      <c r="AM52" s="102" t="s">
        <v>120</v>
      </c>
      <c r="AN52" s="102" t="s">
        <v>120</v>
      </c>
      <c r="AO52" s="112" t="s">
        <v>131</v>
      </c>
      <c r="AP52" s="113" t="s">
        <v>132</v>
      </c>
      <c r="AQ52" s="103"/>
      <c r="AR52" s="114" t="s">
        <v>124</v>
      </c>
      <c r="AS52" s="115" t="s">
        <v>133</v>
      </c>
      <c r="AT52" s="116" t="s">
        <v>155</v>
      </c>
      <c r="AU52" s="103" t="str">
        <f t="array" ref="AU52">INDEX('label approval artwork'!B:B,MATCH(G52,'label approval artwork'!F:F,0))</f>
        <v>G990-08493-00-A</v>
      </c>
      <c r="AV52" s="102" t="s">
        <v>435</v>
      </c>
      <c r="AW52" s="102"/>
      <c r="AX52" s="102" t="s">
        <v>436</v>
      </c>
      <c r="AY52" s="102" t="s">
        <v>437</v>
      </c>
      <c r="AZ52" s="103"/>
    </row>
    <row r="53">
      <c r="A53" s="99">
        <v>45.0</v>
      </c>
      <c r="B53" s="100" t="s">
        <v>167</v>
      </c>
      <c r="C53" s="101" t="s">
        <v>39</v>
      </c>
      <c r="D53" s="102" t="s">
        <v>138</v>
      </c>
      <c r="E53" s="100" t="s">
        <v>157</v>
      </c>
      <c r="F53" s="100"/>
      <c r="G53" s="120" t="s">
        <v>450</v>
      </c>
      <c r="H53" s="104" t="s">
        <v>425</v>
      </c>
      <c r="I53" s="105" t="s">
        <v>159</v>
      </c>
      <c r="J53" s="104" t="s">
        <v>105</v>
      </c>
      <c r="K53" s="105" t="s">
        <v>106</v>
      </c>
      <c r="L53" s="105" t="s">
        <v>107</v>
      </c>
      <c r="M53" s="105" t="s">
        <v>108</v>
      </c>
      <c r="N53" s="106" t="s">
        <v>426</v>
      </c>
      <c r="O53" s="102" t="s">
        <v>146</v>
      </c>
      <c r="P53" s="105" t="s">
        <v>427</v>
      </c>
      <c r="Q53" s="105"/>
      <c r="R53" s="105">
        <v>8.40353925854E11</v>
      </c>
      <c r="S53" s="105"/>
      <c r="T53" s="105" t="s">
        <v>160</v>
      </c>
      <c r="U53" s="107" t="s">
        <v>428</v>
      </c>
      <c r="V53" s="108" t="s">
        <v>429</v>
      </c>
      <c r="W53" s="109" t="s">
        <v>451</v>
      </c>
      <c r="X53" s="109" t="s">
        <v>452</v>
      </c>
      <c r="Y53" s="109" t="s">
        <v>453</v>
      </c>
      <c r="Z53" s="109" t="s">
        <v>454</v>
      </c>
      <c r="AA53" s="100" t="s">
        <v>455</v>
      </c>
      <c r="AB53" s="110" t="s">
        <v>119</v>
      </c>
      <c r="AC53" s="105" t="s">
        <v>120</v>
      </c>
      <c r="AD53" s="100" t="s">
        <v>120</v>
      </c>
      <c r="AE53" s="100" t="s">
        <v>120</v>
      </c>
      <c r="AF53" s="100" t="s">
        <v>121</v>
      </c>
      <c r="AG53" s="100" t="s">
        <v>119</v>
      </c>
      <c r="AH53" s="100" t="s">
        <v>119</v>
      </c>
      <c r="AI53" s="102" t="s">
        <v>119</v>
      </c>
      <c r="AJ53" s="102" t="s">
        <v>119</v>
      </c>
      <c r="AK53" s="111" t="s">
        <v>119</v>
      </c>
      <c r="AL53" s="102" t="s">
        <v>120</v>
      </c>
      <c r="AM53" s="102" t="s">
        <v>120</v>
      </c>
      <c r="AN53" s="102" t="s">
        <v>120</v>
      </c>
      <c r="AO53" s="112" t="s">
        <v>131</v>
      </c>
      <c r="AP53" s="113" t="s">
        <v>132</v>
      </c>
      <c r="AQ53" s="103"/>
      <c r="AR53" s="114" t="s">
        <v>124</v>
      </c>
      <c r="AS53" s="115" t="s">
        <v>133</v>
      </c>
      <c r="AT53" s="121" t="s">
        <v>166</v>
      </c>
      <c r="AU53" s="103" t="str">
        <f t="array" ref="AU53">INDEX('label approval artwork'!B:B,MATCH(G53,'label approval artwork'!F:F,0))</f>
        <v>G990-08493-00-A</v>
      </c>
      <c r="AV53" s="102" t="s">
        <v>435</v>
      </c>
      <c r="AW53" s="102"/>
      <c r="AX53" s="102" t="s">
        <v>436</v>
      </c>
      <c r="AY53" s="102" t="s">
        <v>437</v>
      </c>
      <c r="AZ53" s="103"/>
    </row>
    <row r="54">
      <c r="A54" s="118">
        <v>46.0</v>
      </c>
      <c r="B54" s="100" t="s">
        <v>167</v>
      </c>
      <c r="C54" s="101" t="s">
        <v>39</v>
      </c>
      <c r="D54" s="102" t="s">
        <v>138</v>
      </c>
      <c r="E54" s="100" t="s">
        <v>288</v>
      </c>
      <c r="F54" s="100"/>
      <c r="G54" s="119" t="s">
        <v>456</v>
      </c>
      <c r="H54" s="104" t="s">
        <v>425</v>
      </c>
      <c r="I54" s="105" t="s">
        <v>159</v>
      </c>
      <c r="J54" s="104" t="s">
        <v>105</v>
      </c>
      <c r="K54" s="105" t="s">
        <v>244</v>
      </c>
      <c r="L54" s="105" t="s">
        <v>245</v>
      </c>
      <c r="M54" s="105" t="s">
        <v>246</v>
      </c>
      <c r="N54" s="106" t="s">
        <v>426</v>
      </c>
      <c r="O54" s="102" t="s">
        <v>146</v>
      </c>
      <c r="P54" s="105" t="s">
        <v>427</v>
      </c>
      <c r="Q54" s="105"/>
      <c r="R54" s="105">
        <v>8.40353925878E11</v>
      </c>
      <c r="S54" s="105"/>
      <c r="T54" s="105" t="s">
        <v>160</v>
      </c>
      <c r="U54" s="107" t="s">
        <v>428</v>
      </c>
      <c r="V54" s="108" t="s">
        <v>429</v>
      </c>
      <c r="W54" s="109" t="s">
        <v>457</v>
      </c>
      <c r="X54" s="109" t="s">
        <v>458</v>
      </c>
      <c r="Y54" s="109" t="s">
        <v>459</v>
      </c>
      <c r="Z54" s="109" t="s">
        <v>460</v>
      </c>
      <c r="AA54" s="100" t="s">
        <v>461</v>
      </c>
      <c r="AB54" s="110" t="s">
        <v>119</v>
      </c>
      <c r="AC54" s="105" t="s">
        <v>120</v>
      </c>
      <c r="AD54" s="100" t="s">
        <v>120</v>
      </c>
      <c r="AE54" s="100" t="s">
        <v>120</v>
      </c>
      <c r="AF54" s="100" t="s">
        <v>121</v>
      </c>
      <c r="AG54" s="100" t="s">
        <v>119</v>
      </c>
      <c r="AH54" s="100" t="s">
        <v>119</v>
      </c>
      <c r="AI54" s="102" t="s">
        <v>119</v>
      </c>
      <c r="AJ54" s="102" t="s">
        <v>119</v>
      </c>
      <c r="AK54" s="111" t="s">
        <v>119</v>
      </c>
      <c r="AL54" s="102" t="s">
        <v>120</v>
      </c>
      <c r="AM54" s="102" t="s">
        <v>120</v>
      </c>
      <c r="AN54" s="102" t="s">
        <v>120</v>
      </c>
      <c r="AO54" s="112" t="s">
        <v>131</v>
      </c>
      <c r="AP54" s="113" t="s">
        <v>132</v>
      </c>
      <c r="AQ54" s="103"/>
      <c r="AR54" s="114" t="s">
        <v>124</v>
      </c>
      <c r="AS54" s="115" t="s">
        <v>133</v>
      </c>
      <c r="AT54" s="116" t="s">
        <v>295</v>
      </c>
      <c r="AU54" s="103" t="str">
        <f t="array" ref="AU54">INDEX('label approval artwork'!B:B,MATCH(G54,'label approval artwork'!F:F,0))</f>
        <v>G990-08493-00-A</v>
      </c>
      <c r="AV54" s="102" t="s">
        <v>435</v>
      </c>
      <c r="AW54" s="102"/>
      <c r="AX54" s="102" t="s">
        <v>436</v>
      </c>
      <c r="AY54" s="102" t="s">
        <v>437</v>
      </c>
    </row>
    <row r="55">
      <c r="A55" s="99">
        <v>47.0</v>
      </c>
      <c r="B55" s="100" t="s">
        <v>99</v>
      </c>
      <c r="C55" s="101" t="s">
        <v>39</v>
      </c>
      <c r="D55" s="102" t="s">
        <v>138</v>
      </c>
      <c r="E55" s="100" t="s">
        <v>168</v>
      </c>
      <c r="F55" s="100"/>
      <c r="G55" s="119" t="s">
        <v>462</v>
      </c>
      <c r="H55" s="104" t="s">
        <v>425</v>
      </c>
      <c r="I55" s="105" t="s">
        <v>159</v>
      </c>
      <c r="J55" s="104" t="s">
        <v>105</v>
      </c>
      <c r="K55" s="105" t="s">
        <v>143</v>
      </c>
      <c r="L55" s="105" t="s">
        <v>144</v>
      </c>
      <c r="M55" s="105" t="s">
        <v>145</v>
      </c>
      <c r="N55" s="106" t="s">
        <v>426</v>
      </c>
      <c r="O55" s="102" t="s">
        <v>146</v>
      </c>
      <c r="P55" s="105" t="s">
        <v>427</v>
      </c>
      <c r="Q55" s="105"/>
      <c r="R55" s="105">
        <v>8.40353925861E11</v>
      </c>
      <c r="S55" s="105"/>
      <c r="T55" s="105" t="s">
        <v>160</v>
      </c>
      <c r="U55" s="107" t="s">
        <v>428</v>
      </c>
      <c r="V55" s="108" t="s">
        <v>429</v>
      </c>
      <c r="W55" s="109" t="s">
        <v>463</v>
      </c>
      <c r="X55" s="109" t="s">
        <v>464</v>
      </c>
      <c r="Y55" s="109" t="s">
        <v>465</v>
      </c>
      <c r="Z55" s="109" t="s">
        <v>466</v>
      </c>
      <c r="AA55" s="100" t="s">
        <v>467</v>
      </c>
      <c r="AB55" s="110" t="s">
        <v>119</v>
      </c>
      <c r="AC55" s="105" t="s">
        <v>120</v>
      </c>
      <c r="AD55" s="100" t="s">
        <v>120</v>
      </c>
      <c r="AE55" s="100" t="s">
        <v>120</v>
      </c>
      <c r="AF55" s="100" t="s">
        <v>121</v>
      </c>
      <c r="AG55" s="100" t="s">
        <v>119</v>
      </c>
      <c r="AH55" s="100" t="s">
        <v>119</v>
      </c>
      <c r="AI55" s="102" t="s">
        <v>119</v>
      </c>
      <c r="AJ55" s="102" t="s">
        <v>119</v>
      </c>
      <c r="AK55" s="111" t="s">
        <v>119</v>
      </c>
      <c r="AL55" s="102" t="s">
        <v>120</v>
      </c>
      <c r="AM55" s="102" t="s">
        <v>120</v>
      </c>
      <c r="AN55" s="102" t="s">
        <v>120</v>
      </c>
      <c r="AO55" s="112" t="s">
        <v>131</v>
      </c>
      <c r="AP55" s="113" t="s">
        <v>132</v>
      </c>
      <c r="AQ55" s="103"/>
      <c r="AR55" s="114" t="s">
        <v>124</v>
      </c>
      <c r="AS55" s="115" t="s">
        <v>133</v>
      </c>
      <c r="AT55" s="116" t="s">
        <v>175</v>
      </c>
      <c r="AU55" s="103" t="str">
        <f t="array" ref="AU55">INDEX('label approval artwork'!B:B,MATCH(G55,'label approval artwork'!F:F,0))</f>
        <v>G990-08493-00-A</v>
      </c>
      <c r="AV55" s="102" t="s">
        <v>435</v>
      </c>
      <c r="AW55" s="102"/>
      <c r="AX55" s="102" t="s">
        <v>436</v>
      </c>
      <c r="AY55" s="102" t="s">
        <v>437</v>
      </c>
    </row>
    <row r="56">
      <c r="A56" s="118">
        <v>48.0</v>
      </c>
      <c r="B56" s="100" t="s">
        <v>99</v>
      </c>
      <c r="C56" s="101" t="s">
        <v>39</v>
      </c>
      <c r="D56" s="102" t="s">
        <v>138</v>
      </c>
      <c r="E56" s="100" t="s">
        <v>194</v>
      </c>
      <c r="F56" s="100"/>
      <c r="G56" s="119" t="s">
        <v>468</v>
      </c>
      <c r="H56" s="104" t="s">
        <v>425</v>
      </c>
      <c r="I56" s="105" t="s">
        <v>159</v>
      </c>
      <c r="J56" s="104" t="s">
        <v>105</v>
      </c>
      <c r="K56" s="105" t="s">
        <v>196</v>
      </c>
      <c r="L56" s="105" t="s">
        <v>197</v>
      </c>
      <c r="M56" s="105" t="s">
        <v>198</v>
      </c>
      <c r="N56" s="106" t="s">
        <v>426</v>
      </c>
      <c r="O56" s="102" t="s">
        <v>146</v>
      </c>
      <c r="P56" s="105" t="s">
        <v>427</v>
      </c>
      <c r="Q56" s="105"/>
      <c r="R56" s="105">
        <v>8.40353925885E11</v>
      </c>
      <c r="S56" s="105"/>
      <c r="T56" s="105" t="s">
        <v>160</v>
      </c>
      <c r="U56" s="107" t="s">
        <v>428</v>
      </c>
      <c r="V56" s="108" t="s">
        <v>429</v>
      </c>
      <c r="W56" s="109" t="s">
        <v>469</v>
      </c>
      <c r="X56" s="109" t="s">
        <v>470</v>
      </c>
      <c r="Y56" s="109" t="s">
        <v>471</v>
      </c>
      <c r="Z56" s="109" t="s">
        <v>472</v>
      </c>
      <c r="AA56" s="100" t="s">
        <v>473</v>
      </c>
      <c r="AB56" s="110" t="s">
        <v>119</v>
      </c>
      <c r="AC56" s="105" t="s">
        <v>120</v>
      </c>
      <c r="AD56" s="100" t="s">
        <v>120</v>
      </c>
      <c r="AE56" s="100" t="s">
        <v>120</v>
      </c>
      <c r="AF56" s="100" t="s">
        <v>121</v>
      </c>
      <c r="AG56" s="100" t="s">
        <v>119</v>
      </c>
      <c r="AH56" s="100" t="s">
        <v>119</v>
      </c>
      <c r="AI56" s="102" t="s">
        <v>119</v>
      </c>
      <c r="AJ56" s="102" t="s">
        <v>119</v>
      </c>
      <c r="AK56" s="111" t="s">
        <v>119</v>
      </c>
      <c r="AL56" s="102" t="s">
        <v>120</v>
      </c>
      <c r="AM56" s="102" t="s">
        <v>120</v>
      </c>
      <c r="AN56" s="102" t="s">
        <v>120</v>
      </c>
      <c r="AO56" s="112" t="s">
        <v>131</v>
      </c>
      <c r="AP56" s="113" t="s">
        <v>132</v>
      </c>
      <c r="AQ56" s="103"/>
      <c r="AR56" s="114" t="s">
        <v>124</v>
      </c>
      <c r="AS56" s="115" t="s">
        <v>133</v>
      </c>
      <c r="AT56" s="116" t="s">
        <v>204</v>
      </c>
      <c r="AU56" s="103" t="str">
        <f t="array" ref="AU56">INDEX('label approval artwork'!B:B,MATCH(G56,'label approval artwork'!F:F,0))</f>
        <v>G990-08493-00-A</v>
      </c>
      <c r="AV56" s="102" t="s">
        <v>435</v>
      </c>
      <c r="AW56" s="102"/>
      <c r="AX56" s="102" t="s">
        <v>436</v>
      </c>
      <c r="AY56" s="102" t="s">
        <v>437</v>
      </c>
    </row>
    <row r="57">
      <c r="A57" s="99">
        <v>49.0</v>
      </c>
      <c r="B57" s="100" t="s">
        <v>99</v>
      </c>
      <c r="C57" s="101" t="s">
        <v>39</v>
      </c>
      <c r="D57" s="102" t="s">
        <v>138</v>
      </c>
      <c r="E57" s="100" t="s">
        <v>176</v>
      </c>
      <c r="F57" s="100"/>
      <c r="G57" s="119" t="s">
        <v>474</v>
      </c>
      <c r="H57" s="104" t="s">
        <v>425</v>
      </c>
      <c r="I57" s="105" t="s">
        <v>178</v>
      </c>
      <c r="J57" s="104" t="s">
        <v>105</v>
      </c>
      <c r="K57" s="105" t="s">
        <v>106</v>
      </c>
      <c r="L57" s="105" t="s">
        <v>107</v>
      </c>
      <c r="M57" s="105" t="s">
        <v>108</v>
      </c>
      <c r="N57" s="106" t="s">
        <v>426</v>
      </c>
      <c r="O57" s="102" t="s">
        <v>146</v>
      </c>
      <c r="P57" s="105" t="s">
        <v>427</v>
      </c>
      <c r="Q57" s="105"/>
      <c r="R57" s="105">
        <v>8.40353925892E11</v>
      </c>
      <c r="S57" s="105"/>
      <c r="T57" s="105" t="s">
        <v>179</v>
      </c>
      <c r="U57" s="107" t="s">
        <v>428</v>
      </c>
      <c r="V57" s="108" t="s">
        <v>429</v>
      </c>
      <c r="W57" s="109" t="s">
        <v>475</v>
      </c>
      <c r="X57" s="109" t="s">
        <v>476</v>
      </c>
      <c r="Y57" s="109" t="s">
        <v>477</v>
      </c>
      <c r="Z57" s="109" t="s">
        <v>478</v>
      </c>
      <c r="AA57" s="100" t="s">
        <v>479</v>
      </c>
      <c r="AB57" s="110" t="s">
        <v>119</v>
      </c>
      <c r="AC57" s="105" t="s">
        <v>120</v>
      </c>
      <c r="AD57" s="100" t="s">
        <v>120</v>
      </c>
      <c r="AE57" s="100" t="s">
        <v>120</v>
      </c>
      <c r="AF57" s="100" t="s">
        <v>121</v>
      </c>
      <c r="AG57" s="100" t="s">
        <v>119</v>
      </c>
      <c r="AH57" s="100" t="s">
        <v>119</v>
      </c>
      <c r="AI57" s="102" t="s">
        <v>119</v>
      </c>
      <c r="AJ57" s="102" t="s">
        <v>119</v>
      </c>
      <c r="AK57" s="111" t="s">
        <v>119</v>
      </c>
      <c r="AL57" s="102" t="s">
        <v>120</v>
      </c>
      <c r="AM57" s="102" t="s">
        <v>120</v>
      </c>
      <c r="AN57" s="102" t="s">
        <v>120</v>
      </c>
      <c r="AO57" s="112" t="s">
        <v>131</v>
      </c>
      <c r="AP57" s="113" t="s">
        <v>132</v>
      </c>
      <c r="AQ57" s="103"/>
      <c r="AR57" s="114" t="s">
        <v>124</v>
      </c>
      <c r="AS57" s="115" t="s">
        <v>133</v>
      </c>
      <c r="AT57" s="116" t="s">
        <v>185</v>
      </c>
      <c r="AU57" s="103" t="str">
        <f t="array" ref="AU57">INDEX('label approval artwork'!B:B,MATCH(G57,'label approval artwork'!F:F,0))</f>
        <v>G990-08493-00-A</v>
      </c>
      <c r="AV57" s="102" t="s">
        <v>435</v>
      </c>
      <c r="AW57" s="102"/>
      <c r="AX57" s="102" t="s">
        <v>436</v>
      </c>
      <c r="AY57" s="102" t="s">
        <v>437</v>
      </c>
    </row>
    <row r="58">
      <c r="A58" s="118">
        <v>50.0</v>
      </c>
      <c r="B58" s="100" t="s">
        <v>99</v>
      </c>
      <c r="C58" s="101" t="s">
        <v>39</v>
      </c>
      <c r="D58" s="102" t="s">
        <v>138</v>
      </c>
      <c r="E58" s="100" t="s">
        <v>314</v>
      </c>
      <c r="F58" s="100"/>
      <c r="G58" s="119" t="s">
        <v>480</v>
      </c>
      <c r="H58" s="104" t="s">
        <v>425</v>
      </c>
      <c r="I58" s="105" t="s">
        <v>178</v>
      </c>
      <c r="J58" s="104" t="s">
        <v>105</v>
      </c>
      <c r="K58" s="105" t="s">
        <v>244</v>
      </c>
      <c r="L58" s="105" t="s">
        <v>245</v>
      </c>
      <c r="M58" s="105" t="s">
        <v>246</v>
      </c>
      <c r="N58" s="106" t="s">
        <v>426</v>
      </c>
      <c r="O58" s="102" t="s">
        <v>146</v>
      </c>
      <c r="P58" s="105" t="s">
        <v>427</v>
      </c>
      <c r="Q58" s="105"/>
      <c r="R58" s="105">
        <v>8.40353925922E11</v>
      </c>
      <c r="S58" s="105"/>
      <c r="T58" s="105" t="s">
        <v>179</v>
      </c>
      <c r="U58" s="107" t="s">
        <v>428</v>
      </c>
      <c r="V58" s="108" t="s">
        <v>429</v>
      </c>
      <c r="W58" s="109" t="s">
        <v>481</v>
      </c>
      <c r="X58" s="109" t="s">
        <v>482</v>
      </c>
      <c r="Y58" s="109" t="s">
        <v>483</v>
      </c>
      <c r="Z58" s="109" t="s">
        <v>484</v>
      </c>
      <c r="AA58" s="100" t="s">
        <v>485</v>
      </c>
      <c r="AB58" s="110" t="s">
        <v>119</v>
      </c>
      <c r="AC58" s="105" t="s">
        <v>120</v>
      </c>
      <c r="AD58" s="100" t="s">
        <v>120</v>
      </c>
      <c r="AE58" s="100" t="s">
        <v>120</v>
      </c>
      <c r="AF58" s="100" t="s">
        <v>121</v>
      </c>
      <c r="AG58" s="100" t="s">
        <v>119</v>
      </c>
      <c r="AH58" s="100" t="s">
        <v>119</v>
      </c>
      <c r="AI58" s="102" t="s">
        <v>119</v>
      </c>
      <c r="AJ58" s="102" t="s">
        <v>119</v>
      </c>
      <c r="AK58" s="111" t="s">
        <v>119</v>
      </c>
      <c r="AL58" s="102" t="s">
        <v>120</v>
      </c>
      <c r="AM58" s="102" t="s">
        <v>120</v>
      </c>
      <c r="AN58" s="102" t="s">
        <v>120</v>
      </c>
      <c r="AO58" s="112" t="s">
        <v>131</v>
      </c>
      <c r="AP58" s="113" t="s">
        <v>132</v>
      </c>
      <c r="AQ58" s="103"/>
      <c r="AR58" s="114" t="s">
        <v>124</v>
      </c>
      <c r="AS58" s="115" t="s">
        <v>133</v>
      </c>
      <c r="AT58" s="116" t="s">
        <v>321</v>
      </c>
      <c r="AU58" s="103" t="str">
        <f t="array" ref="AU58">INDEX('label approval artwork'!B:B,MATCH(G58,'label approval artwork'!F:F,0))</f>
        <v>G990-08493-00-A</v>
      </c>
      <c r="AV58" s="102" t="s">
        <v>435</v>
      </c>
      <c r="AW58" s="102"/>
      <c r="AX58" s="102" t="s">
        <v>436</v>
      </c>
      <c r="AY58" s="102" t="s">
        <v>437</v>
      </c>
    </row>
    <row r="59">
      <c r="A59" s="99">
        <v>51.0</v>
      </c>
      <c r="B59" s="100" t="s">
        <v>167</v>
      </c>
      <c r="C59" s="101" t="s">
        <v>39</v>
      </c>
      <c r="D59" s="102" t="s">
        <v>138</v>
      </c>
      <c r="E59" s="100" t="s">
        <v>186</v>
      </c>
      <c r="F59" s="100"/>
      <c r="G59" s="119" t="s">
        <v>486</v>
      </c>
      <c r="H59" s="104" t="s">
        <v>425</v>
      </c>
      <c r="I59" s="105" t="s">
        <v>178</v>
      </c>
      <c r="J59" s="104" t="s">
        <v>105</v>
      </c>
      <c r="K59" s="105" t="s">
        <v>143</v>
      </c>
      <c r="L59" s="105" t="s">
        <v>144</v>
      </c>
      <c r="M59" s="105" t="s">
        <v>145</v>
      </c>
      <c r="N59" s="106" t="s">
        <v>426</v>
      </c>
      <c r="O59" s="102" t="s">
        <v>146</v>
      </c>
      <c r="P59" s="105" t="s">
        <v>427</v>
      </c>
      <c r="Q59" s="105"/>
      <c r="R59" s="105">
        <v>8.40353925908E11</v>
      </c>
      <c r="S59" s="105"/>
      <c r="T59" s="105" t="s">
        <v>179</v>
      </c>
      <c r="U59" s="107" t="s">
        <v>428</v>
      </c>
      <c r="V59" s="108" t="s">
        <v>429</v>
      </c>
      <c r="W59" s="109" t="s">
        <v>487</v>
      </c>
      <c r="X59" s="109" t="s">
        <v>488</v>
      </c>
      <c r="Y59" s="109" t="s">
        <v>489</v>
      </c>
      <c r="Z59" s="109" t="s">
        <v>490</v>
      </c>
      <c r="AA59" s="100" t="s">
        <v>491</v>
      </c>
      <c r="AB59" s="110" t="s">
        <v>119</v>
      </c>
      <c r="AC59" s="105" t="s">
        <v>120</v>
      </c>
      <c r="AD59" s="100" t="s">
        <v>120</v>
      </c>
      <c r="AE59" s="100" t="s">
        <v>120</v>
      </c>
      <c r="AF59" s="100" t="s">
        <v>121</v>
      </c>
      <c r="AG59" s="100" t="s">
        <v>119</v>
      </c>
      <c r="AH59" s="100" t="s">
        <v>119</v>
      </c>
      <c r="AI59" s="102" t="s">
        <v>119</v>
      </c>
      <c r="AJ59" s="102" t="s">
        <v>119</v>
      </c>
      <c r="AK59" s="111" t="s">
        <v>119</v>
      </c>
      <c r="AL59" s="102" t="s">
        <v>120</v>
      </c>
      <c r="AM59" s="102" t="s">
        <v>120</v>
      </c>
      <c r="AN59" s="102" t="s">
        <v>120</v>
      </c>
      <c r="AO59" s="112" t="s">
        <v>131</v>
      </c>
      <c r="AP59" s="113" t="s">
        <v>132</v>
      </c>
      <c r="AQ59" s="103"/>
      <c r="AR59" s="114" t="s">
        <v>124</v>
      </c>
      <c r="AS59" s="115" t="s">
        <v>133</v>
      </c>
      <c r="AT59" s="116" t="s">
        <v>193</v>
      </c>
      <c r="AU59" s="103" t="str">
        <f t="array" ref="AU59">INDEX('label approval artwork'!B:B,MATCH(G59,'label approval artwork'!F:F,0))</f>
        <v>G990-08493-00-A</v>
      </c>
      <c r="AV59" s="102" t="s">
        <v>435</v>
      </c>
      <c r="AW59" s="102"/>
      <c r="AX59" s="102" t="s">
        <v>436</v>
      </c>
      <c r="AY59" s="102" t="s">
        <v>437</v>
      </c>
    </row>
    <row r="60">
      <c r="A60" s="118">
        <v>52.0</v>
      </c>
      <c r="B60" s="100" t="s">
        <v>167</v>
      </c>
      <c r="C60" s="101" t="s">
        <v>39</v>
      </c>
      <c r="D60" s="102" t="s">
        <v>138</v>
      </c>
      <c r="E60" s="100" t="s">
        <v>336</v>
      </c>
      <c r="F60" s="100"/>
      <c r="G60" s="119" t="s">
        <v>492</v>
      </c>
      <c r="H60" s="104" t="s">
        <v>425</v>
      </c>
      <c r="I60" s="105" t="s">
        <v>338</v>
      </c>
      <c r="J60" s="104" t="s">
        <v>105</v>
      </c>
      <c r="K60" s="105" t="s">
        <v>106</v>
      </c>
      <c r="L60" s="105" t="s">
        <v>107</v>
      </c>
      <c r="M60" s="105" t="s">
        <v>108</v>
      </c>
      <c r="N60" s="106" t="s">
        <v>426</v>
      </c>
      <c r="O60" s="102" t="s">
        <v>146</v>
      </c>
      <c r="P60" s="105" t="s">
        <v>427</v>
      </c>
      <c r="Q60" s="105"/>
      <c r="R60" s="105">
        <v>8.40353925939E11</v>
      </c>
      <c r="S60" s="105"/>
      <c r="T60" s="105" t="s">
        <v>339</v>
      </c>
      <c r="U60" s="107" t="s">
        <v>428</v>
      </c>
      <c r="V60" s="108" t="s">
        <v>429</v>
      </c>
      <c r="W60" s="109" t="s">
        <v>493</v>
      </c>
      <c r="X60" s="109" t="s">
        <v>494</v>
      </c>
      <c r="Y60" s="109" t="s">
        <v>495</v>
      </c>
      <c r="Z60" s="109" t="s">
        <v>496</v>
      </c>
      <c r="AA60" s="100" t="s">
        <v>497</v>
      </c>
      <c r="AB60" s="110" t="s">
        <v>119</v>
      </c>
      <c r="AC60" s="105" t="s">
        <v>120</v>
      </c>
      <c r="AD60" s="100" t="s">
        <v>120</v>
      </c>
      <c r="AE60" s="100" t="s">
        <v>120</v>
      </c>
      <c r="AF60" s="100" t="s">
        <v>121</v>
      </c>
      <c r="AG60" s="100" t="s">
        <v>119</v>
      </c>
      <c r="AH60" s="100" t="s">
        <v>119</v>
      </c>
      <c r="AI60" s="102" t="s">
        <v>119</v>
      </c>
      <c r="AJ60" s="102" t="s">
        <v>119</v>
      </c>
      <c r="AK60" s="111" t="s">
        <v>119</v>
      </c>
      <c r="AL60" s="102" t="s">
        <v>120</v>
      </c>
      <c r="AM60" s="102" t="s">
        <v>120</v>
      </c>
      <c r="AN60" s="102" t="s">
        <v>120</v>
      </c>
      <c r="AO60" s="112" t="s">
        <v>131</v>
      </c>
      <c r="AP60" s="113" t="s">
        <v>132</v>
      </c>
      <c r="AQ60" s="103"/>
      <c r="AR60" s="114" t="s">
        <v>124</v>
      </c>
      <c r="AS60" s="115" t="s">
        <v>133</v>
      </c>
      <c r="AT60" s="116" t="s">
        <v>345</v>
      </c>
      <c r="AU60" s="103" t="str">
        <f t="array" ref="AU60">INDEX('label approval artwork'!B:B,MATCH(G60,'label approval artwork'!F:F,0))</f>
        <v>G990-08493-00-A</v>
      </c>
      <c r="AV60" s="102" t="s">
        <v>435</v>
      </c>
      <c r="AW60" s="102"/>
      <c r="AX60" s="102" t="s">
        <v>436</v>
      </c>
      <c r="AY60" s="102" t="s">
        <v>437</v>
      </c>
    </row>
    <row r="61">
      <c r="A61" s="99">
        <v>53.0</v>
      </c>
      <c r="B61" s="100" t="s">
        <v>99</v>
      </c>
      <c r="C61" s="101" t="s">
        <v>39</v>
      </c>
      <c r="D61" s="102" t="s">
        <v>138</v>
      </c>
      <c r="E61" s="100" t="s">
        <v>498</v>
      </c>
      <c r="F61" s="100"/>
      <c r="G61" s="119" t="s">
        <v>499</v>
      </c>
      <c r="H61" s="104" t="s">
        <v>500</v>
      </c>
      <c r="I61" s="105" t="s">
        <v>501</v>
      </c>
      <c r="J61" s="104" t="s">
        <v>502</v>
      </c>
      <c r="K61" s="105" t="s">
        <v>106</v>
      </c>
      <c r="L61" s="105" t="s">
        <v>107</v>
      </c>
      <c r="M61" s="105" t="s">
        <v>108</v>
      </c>
      <c r="N61" s="106" t="s">
        <v>426</v>
      </c>
      <c r="O61" s="102" t="s">
        <v>503</v>
      </c>
      <c r="P61" s="105" t="s">
        <v>504</v>
      </c>
      <c r="Q61" s="105"/>
      <c r="R61" s="105">
        <v>8.4035392541E11</v>
      </c>
      <c r="S61" s="105"/>
      <c r="T61" s="105" t="s">
        <v>160</v>
      </c>
      <c r="U61" s="107" t="s">
        <v>500</v>
      </c>
      <c r="V61" s="108" t="s">
        <v>505</v>
      </c>
      <c r="W61" s="122" t="s">
        <v>506</v>
      </c>
      <c r="X61" s="122" t="s">
        <v>507</v>
      </c>
      <c r="Y61" s="109" t="s">
        <v>508</v>
      </c>
      <c r="Z61" s="109" t="s">
        <v>509</v>
      </c>
      <c r="AA61" s="100" t="s">
        <v>510</v>
      </c>
      <c r="AB61" s="110" t="s">
        <v>119</v>
      </c>
      <c r="AC61" s="105" t="s">
        <v>120</v>
      </c>
      <c r="AD61" s="100" t="s">
        <v>120</v>
      </c>
      <c r="AE61" s="100" t="s">
        <v>119</v>
      </c>
      <c r="AF61" s="100" t="s">
        <v>121</v>
      </c>
      <c r="AG61" s="100" t="s">
        <v>119</v>
      </c>
      <c r="AH61" s="100" t="s">
        <v>119</v>
      </c>
      <c r="AI61" s="102" t="s">
        <v>119</v>
      </c>
      <c r="AJ61" s="102" t="s">
        <v>119</v>
      </c>
      <c r="AK61" s="111" t="s">
        <v>119</v>
      </c>
      <c r="AL61" s="102" t="s">
        <v>120</v>
      </c>
      <c r="AM61" s="102" t="s">
        <v>120</v>
      </c>
      <c r="AN61" s="102" t="s">
        <v>120</v>
      </c>
      <c r="AO61" s="162" t="s">
        <v>511</v>
      </c>
      <c r="AP61" s="113" t="s">
        <v>132</v>
      </c>
      <c r="AQ61" s="103"/>
      <c r="AR61" s="114" t="s">
        <v>124</v>
      </c>
      <c r="AS61" s="115" t="s">
        <v>133</v>
      </c>
      <c r="AT61" s="102" t="str">
        <f t="array" ref="AT61">INDEX('label approval artwork'!A:A,MATCH(G61,'label approval artwork'!F:F,0))</f>
        <v>G990-08529-12-B</v>
      </c>
      <c r="AU61" s="116" t="s">
        <v>512</v>
      </c>
      <c r="AV61" s="102" t="s">
        <v>435</v>
      </c>
      <c r="AW61" s="102"/>
      <c r="AX61" s="102" t="s">
        <v>436</v>
      </c>
      <c r="AY61" s="102" t="s">
        <v>437</v>
      </c>
    </row>
    <row r="62">
      <c r="A62" s="118">
        <v>54.0</v>
      </c>
      <c r="B62" s="100" t="s">
        <v>99</v>
      </c>
      <c r="C62" s="101" t="s">
        <v>39</v>
      </c>
      <c r="D62" s="102" t="s">
        <v>138</v>
      </c>
      <c r="E62" s="100" t="s">
        <v>513</v>
      </c>
      <c r="F62" s="100"/>
      <c r="G62" s="119" t="s">
        <v>514</v>
      </c>
      <c r="H62" s="104" t="s">
        <v>500</v>
      </c>
      <c r="I62" s="105" t="s">
        <v>501</v>
      </c>
      <c r="J62" s="104" t="s">
        <v>502</v>
      </c>
      <c r="K62" s="105" t="s">
        <v>244</v>
      </c>
      <c r="L62" s="105" t="s">
        <v>245</v>
      </c>
      <c r="M62" s="105" t="s">
        <v>246</v>
      </c>
      <c r="N62" s="106" t="s">
        <v>426</v>
      </c>
      <c r="O62" s="102" t="s">
        <v>503</v>
      </c>
      <c r="P62" s="105" t="s">
        <v>504</v>
      </c>
      <c r="Q62" s="105"/>
      <c r="R62" s="105">
        <v>8.40353925489E11</v>
      </c>
      <c r="S62" s="105"/>
      <c r="T62" s="105" t="s">
        <v>160</v>
      </c>
      <c r="U62" s="107" t="s">
        <v>500</v>
      </c>
      <c r="V62" s="108" t="s">
        <v>505</v>
      </c>
      <c r="W62" s="122" t="s">
        <v>506</v>
      </c>
      <c r="X62" s="122" t="s">
        <v>507</v>
      </c>
      <c r="Y62" s="109" t="s">
        <v>515</v>
      </c>
      <c r="Z62" s="109" t="s">
        <v>516</v>
      </c>
      <c r="AA62" s="100" t="s">
        <v>517</v>
      </c>
      <c r="AB62" s="110" t="s">
        <v>119</v>
      </c>
      <c r="AC62" s="105" t="s">
        <v>120</v>
      </c>
      <c r="AD62" s="100" t="s">
        <v>120</v>
      </c>
      <c r="AE62" s="100" t="s">
        <v>119</v>
      </c>
      <c r="AF62" s="100" t="s">
        <v>121</v>
      </c>
      <c r="AG62" s="100" t="s">
        <v>119</v>
      </c>
      <c r="AH62" s="100" t="s">
        <v>119</v>
      </c>
      <c r="AI62" s="102" t="s">
        <v>119</v>
      </c>
      <c r="AJ62" s="102" t="s">
        <v>119</v>
      </c>
      <c r="AK62" s="111" t="s">
        <v>119</v>
      </c>
      <c r="AL62" s="102" t="s">
        <v>120</v>
      </c>
      <c r="AM62" s="102" t="s">
        <v>120</v>
      </c>
      <c r="AN62" s="102" t="s">
        <v>120</v>
      </c>
      <c r="AO62" s="162" t="s">
        <v>511</v>
      </c>
      <c r="AP62" s="113" t="s">
        <v>132</v>
      </c>
      <c r="AQ62" s="103"/>
      <c r="AR62" s="114" t="s">
        <v>124</v>
      </c>
      <c r="AS62" s="115" t="s">
        <v>133</v>
      </c>
      <c r="AT62" s="102" t="str">
        <f t="array" ref="AT62">INDEX('label approval artwork'!A:A,MATCH(G62,'label approval artwork'!F:F,0))</f>
        <v>G990-08529-22-B</v>
      </c>
      <c r="AU62" s="116" t="s">
        <v>512</v>
      </c>
      <c r="AV62" s="102" t="s">
        <v>435</v>
      </c>
      <c r="AW62" s="102"/>
      <c r="AX62" s="102" t="s">
        <v>436</v>
      </c>
      <c r="AY62" s="102" t="s">
        <v>437</v>
      </c>
    </row>
    <row r="63">
      <c r="A63" s="99">
        <v>55.0</v>
      </c>
      <c r="B63" s="100" t="s">
        <v>99</v>
      </c>
      <c r="C63" s="101" t="s">
        <v>39</v>
      </c>
      <c r="D63" s="102" t="s">
        <v>138</v>
      </c>
      <c r="E63" s="100" t="s">
        <v>518</v>
      </c>
      <c r="F63" s="100"/>
      <c r="G63" s="119" t="s">
        <v>519</v>
      </c>
      <c r="H63" s="104" t="s">
        <v>500</v>
      </c>
      <c r="I63" s="105" t="s">
        <v>501</v>
      </c>
      <c r="J63" s="104" t="s">
        <v>502</v>
      </c>
      <c r="K63" s="105" t="s">
        <v>143</v>
      </c>
      <c r="L63" s="105" t="s">
        <v>144</v>
      </c>
      <c r="M63" s="105" t="s">
        <v>145</v>
      </c>
      <c r="N63" s="106" t="s">
        <v>426</v>
      </c>
      <c r="O63" s="102" t="s">
        <v>503</v>
      </c>
      <c r="P63" s="105" t="s">
        <v>504</v>
      </c>
      <c r="Q63" s="105"/>
      <c r="R63" s="105">
        <v>8.40353925519E11</v>
      </c>
      <c r="S63" s="105"/>
      <c r="T63" s="105" t="s">
        <v>160</v>
      </c>
      <c r="U63" s="107" t="s">
        <v>500</v>
      </c>
      <c r="V63" s="108" t="s">
        <v>505</v>
      </c>
      <c r="W63" s="122" t="s">
        <v>506</v>
      </c>
      <c r="X63" s="122" t="s">
        <v>507</v>
      </c>
      <c r="Y63" s="109" t="s">
        <v>520</v>
      </c>
      <c r="Z63" s="109" t="s">
        <v>521</v>
      </c>
      <c r="AA63" s="100" t="s">
        <v>522</v>
      </c>
      <c r="AB63" s="110" t="s">
        <v>119</v>
      </c>
      <c r="AC63" s="105" t="s">
        <v>120</v>
      </c>
      <c r="AD63" s="100" t="s">
        <v>120</v>
      </c>
      <c r="AE63" s="100" t="s">
        <v>119</v>
      </c>
      <c r="AF63" s="100" t="s">
        <v>121</v>
      </c>
      <c r="AG63" s="100" t="s">
        <v>119</v>
      </c>
      <c r="AH63" s="100" t="s">
        <v>119</v>
      </c>
      <c r="AI63" s="102" t="s">
        <v>119</v>
      </c>
      <c r="AJ63" s="102" t="s">
        <v>119</v>
      </c>
      <c r="AK63" s="111" t="s">
        <v>119</v>
      </c>
      <c r="AL63" s="102" t="s">
        <v>120</v>
      </c>
      <c r="AM63" s="102" t="s">
        <v>120</v>
      </c>
      <c r="AN63" s="102" t="s">
        <v>120</v>
      </c>
      <c r="AO63" s="162" t="s">
        <v>511</v>
      </c>
      <c r="AP63" s="113" t="s">
        <v>132</v>
      </c>
      <c r="AQ63" s="103"/>
      <c r="AR63" s="114" t="s">
        <v>124</v>
      </c>
      <c r="AS63" s="115" t="s">
        <v>133</v>
      </c>
      <c r="AT63" s="102" t="str">
        <f t="array" ref="AT63">INDEX('label approval artwork'!A:A,MATCH(G63,'label approval artwork'!F:F,0))</f>
        <v>G990-08529-32-B</v>
      </c>
      <c r="AU63" s="116" t="s">
        <v>512</v>
      </c>
      <c r="AV63" s="102" t="s">
        <v>435</v>
      </c>
      <c r="AW63" s="102"/>
      <c r="AX63" s="102" t="s">
        <v>436</v>
      </c>
      <c r="AY63" s="102" t="s">
        <v>437</v>
      </c>
    </row>
    <row r="64">
      <c r="A64" s="118">
        <v>56.0</v>
      </c>
      <c r="B64" s="100" t="s">
        <v>99</v>
      </c>
      <c r="C64" s="101" t="s">
        <v>39</v>
      </c>
      <c r="D64" s="102" t="s">
        <v>138</v>
      </c>
      <c r="E64" s="100" t="s">
        <v>523</v>
      </c>
      <c r="F64" s="100"/>
      <c r="G64" s="119" t="s">
        <v>524</v>
      </c>
      <c r="H64" s="104" t="s">
        <v>500</v>
      </c>
      <c r="I64" s="105" t="s">
        <v>501</v>
      </c>
      <c r="J64" s="104" t="s">
        <v>502</v>
      </c>
      <c r="K64" s="105" t="s">
        <v>196</v>
      </c>
      <c r="L64" s="105" t="s">
        <v>197</v>
      </c>
      <c r="M64" s="105" t="s">
        <v>198</v>
      </c>
      <c r="N64" s="106" t="s">
        <v>426</v>
      </c>
      <c r="O64" s="102" t="s">
        <v>503</v>
      </c>
      <c r="P64" s="105" t="s">
        <v>504</v>
      </c>
      <c r="Q64" s="105"/>
      <c r="R64" s="105">
        <v>8.40353925465E11</v>
      </c>
      <c r="S64" s="105"/>
      <c r="T64" s="105" t="s">
        <v>160</v>
      </c>
      <c r="U64" s="107" t="s">
        <v>500</v>
      </c>
      <c r="V64" s="108" t="s">
        <v>505</v>
      </c>
      <c r="W64" s="122" t="s">
        <v>506</v>
      </c>
      <c r="X64" s="122" t="s">
        <v>507</v>
      </c>
      <c r="Y64" s="109" t="s">
        <v>525</v>
      </c>
      <c r="Z64" s="109" t="s">
        <v>526</v>
      </c>
      <c r="AA64" s="100" t="s">
        <v>527</v>
      </c>
      <c r="AB64" s="110" t="s">
        <v>119</v>
      </c>
      <c r="AC64" s="105" t="s">
        <v>120</v>
      </c>
      <c r="AD64" s="100" t="s">
        <v>120</v>
      </c>
      <c r="AE64" s="100" t="s">
        <v>119</v>
      </c>
      <c r="AF64" s="100" t="s">
        <v>121</v>
      </c>
      <c r="AG64" s="100" t="s">
        <v>119</v>
      </c>
      <c r="AH64" s="100" t="s">
        <v>119</v>
      </c>
      <c r="AI64" s="102" t="s">
        <v>119</v>
      </c>
      <c r="AJ64" s="102" t="s">
        <v>119</v>
      </c>
      <c r="AK64" s="111" t="s">
        <v>119</v>
      </c>
      <c r="AL64" s="102" t="s">
        <v>120</v>
      </c>
      <c r="AM64" s="102" t="s">
        <v>120</v>
      </c>
      <c r="AN64" s="102" t="s">
        <v>120</v>
      </c>
      <c r="AO64" s="162" t="s">
        <v>511</v>
      </c>
      <c r="AP64" s="113" t="s">
        <v>132</v>
      </c>
      <c r="AQ64" s="103"/>
      <c r="AR64" s="114" t="s">
        <v>124</v>
      </c>
      <c r="AS64" s="115" t="s">
        <v>133</v>
      </c>
      <c r="AT64" s="102" t="str">
        <f t="array" ref="AT64">INDEX('label approval artwork'!A:A,MATCH(G64,'label approval artwork'!F:F,0))</f>
        <v>G990-08529-42-B</v>
      </c>
      <c r="AU64" s="116" t="s">
        <v>512</v>
      </c>
      <c r="AV64" s="102" t="s">
        <v>435</v>
      </c>
      <c r="AW64" s="102"/>
      <c r="AX64" s="102" t="s">
        <v>436</v>
      </c>
      <c r="AY64" s="102" t="s">
        <v>437</v>
      </c>
    </row>
    <row r="65">
      <c r="A65" s="99">
        <v>57.0</v>
      </c>
      <c r="B65" s="100" t="s">
        <v>167</v>
      </c>
      <c r="C65" s="101" t="s">
        <v>39</v>
      </c>
      <c r="D65" s="102" t="s">
        <v>138</v>
      </c>
      <c r="E65" s="100" t="s">
        <v>528</v>
      </c>
      <c r="F65" s="100"/>
      <c r="G65" s="119" t="s">
        <v>529</v>
      </c>
      <c r="H65" s="104" t="s">
        <v>500</v>
      </c>
      <c r="I65" s="105" t="s">
        <v>530</v>
      </c>
      <c r="J65" s="104" t="s">
        <v>502</v>
      </c>
      <c r="K65" s="105" t="s">
        <v>106</v>
      </c>
      <c r="L65" s="105" t="s">
        <v>107</v>
      </c>
      <c r="M65" s="105" t="s">
        <v>108</v>
      </c>
      <c r="N65" s="106" t="s">
        <v>426</v>
      </c>
      <c r="O65" s="102" t="s">
        <v>503</v>
      </c>
      <c r="P65" s="105" t="s">
        <v>504</v>
      </c>
      <c r="Q65" s="105"/>
      <c r="R65" s="105">
        <v>8.40353925557E11</v>
      </c>
      <c r="S65" s="105"/>
      <c r="T65" s="105" t="s">
        <v>179</v>
      </c>
      <c r="U65" s="107" t="s">
        <v>500</v>
      </c>
      <c r="V65" s="108" t="s">
        <v>505</v>
      </c>
      <c r="W65" s="122" t="s">
        <v>506</v>
      </c>
      <c r="X65" s="122" t="s">
        <v>507</v>
      </c>
      <c r="Y65" s="109" t="s">
        <v>531</v>
      </c>
      <c r="Z65" s="109" t="s">
        <v>532</v>
      </c>
      <c r="AA65" s="100" t="s">
        <v>533</v>
      </c>
      <c r="AB65" s="110" t="s">
        <v>119</v>
      </c>
      <c r="AC65" s="105" t="s">
        <v>120</v>
      </c>
      <c r="AD65" s="100" t="s">
        <v>120</v>
      </c>
      <c r="AE65" s="100" t="s">
        <v>119</v>
      </c>
      <c r="AF65" s="100" t="s">
        <v>121</v>
      </c>
      <c r="AG65" s="100" t="s">
        <v>119</v>
      </c>
      <c r="AH65" s="100" t="s">
        <v>119</v>
      </c>
      <c r="AI65" s="102" t="s">
        <v>119</v>
      </c>
      <c r="AJ65" s="102" t="s">
        <v>119</v>
      </c>
      <c r="AK65" s="111" t="s">
        <v>119</v>
      </c>
      <c r="AL65" s="102" t="s">
        <v>120</v>
      </c>
      <c r="AM65" s="102" t="s">
        <v>120</v>
      </c>
      <c r="AN65" s="102" t="s">
        <v>120</v>
      </c>
      <c r="AO65" s="162" t="s">
        <v>511</v>
      </c>
      <c r="AP65" s="113" t="s">
        <v>132</v>
      </c>
      <c r="AQ65" s="103"/>
      <c r="AR65" s="114" t="s">
        <v>124</v>
      </c>
      <c r="AS65" s="115" t="s">
        <v>133</v>
      </c>
      <c r="AT65" s="102" t="str">
        <f t="array" ref="AT65">INDEX('label approval artwork'!A:A,MATCH(G65,'label approval artwork'!F:F,0))</f>
        <v>G990-08529-13-B</v>
      </c>
      <c r="AU65" s="116" t="s">
        <v>512</v>
      </c>
      <c r="AV65" s="102" t="s">
        <v>435</v>
      </c>
      <c r="AW65" s="102"/>
      <c r="AX65" s="102" t="s">
        <v>436</v>
      </c>
      <c r="AY65" s="102" t="s">
        <v>437</v>
      </c>
    </row>
    <row r="66">
      <c r="A66" s="118">
        <v>58.0</v>
      </c>
      <c r="B66" s="100" t="s">
        <v>99</v>
      </c>
      <c r="C66" s="101" t="s">
        <v>39</v>
      </c>
      <c r="D66" s="102" t="s">
        <v>138</v>
      </c>
      <c r="E66" s="100" t="s">
        <v>534</v>
      </c>
      <c r="F66" s="100"/>
      <c r="G66" s="119" t="s">
        <v>535</v>
      </c>
      <c r="H66" s="104" t="s">
        <v>536</v>
      </c>
      <c r="I66" s="105" t="s">
        <v>537</v>
      </c>
      <c r="J66" s="104" t="s">
        <v>502</v>
      </c>
      <c r="K66" s="105" t="s">
        <v>106</v>
      </c>
      <c r="L66" s="105" t="s">
        <v>107</v>
      </c>
      <c r="M66" s="105" t="s">
        <v>108</v>
      </c>
      <c r="N66" s="106" t="s">
        <v>426</v>
      </c>
      <c r="O66" s="102" t="s">
        <v>538</v>
      </c>
      <c r="P66" s="105" t="s">
        <v>539</v>
      </c>
      <c r="Q66" s="105"/>
      <c r="R66" s="105">
        <v>8.40353925953E11</v>
      </c>
      <c r="S66" s="105"/>
      <c r="T66" s="105" t="s">
        <v>148</v>
      </c>
      <c r="U66" s="107" t="s">
        <v>540</v>
      </c>
      <c r="V66" s="108" t="s">
        <v>541</v>
      </c>
      <c r="W66" s="122" t="s">
        <v>542</v>
      </c>
      <c r="X66" s="122" t="s">
        <v>543</v>
      </c>
      <c r="Y66" s="109" t="s">
        <v>544</v>
      </c>
      <c r="Z66" s="109" t="s">
        <v>545</v>
      </c>
      <c r="AA66" s="100" t="s">
        <v>546</v>
      </c>
      <c r="AB66" s="110" t="s">
        <v>119</v>
      </c>
      <c r="AC66" s="105" t="s">
        <v>120</v>
      </c>
      <c r="AD66" s="100" t="s">
        <v>120</v>
      </c>
      <c r="AE66" s="100" t="s">
        <v>119</v>
      </c>
      <c r="AF66" s="100" t="s">
        <v>121</v>
      </c>
      <c r="AG66" s="100" t="s">
        <v>119</v>
      </c>
      <c r="AH66" s="100" t="s">
        <v>119</v>
      </c>
      <c r="AI66" s="102" t="s">
        <v>119</v>
      </c>
      <c r="AJ66" s="102" t="s">
        <v>119</v>
      </c>
      <c r="AK66" s="111" t="s">
        <v>119</v>
      </c>
      <c r="AL66" s="102" t="s">
        <v>120</v>
      </c>
      <c r="AM66" s="102" t="s">
        <v>120</v>
      </c>
      <c r="AN66" s="102" t="s">
        <v>120</v>
      </c>
      <c r="AO66" s="162" t="s">
        <v>511</v>
      </c>
      <c r="AP66" s="113" t="s">
        <v>132</v>
      </c>
      <c r="AQ66" s="103"/>
      <c r="AR66" s="114" t="s">
        <v>124</v>
      </c>
      <c r="AS66" s="115" t="s">
        <v>133</v>
      </c>
      <c r="AT66" s="116" t="s">
        <v>547</v>
      </c>
      <c r="AU66" s="103" t="str">
        <f t="array" ref="AU66">INDEX('label approval artwork'!B:B,MATCH(G66,'label approval artwork'!F:F,0))</f>
        <v>G990-08494-00-A</v>
      </c>
      <c r="AV66" s="102" t="s">
        <v>435</v>
      </c>
      <c r="AW66" s="102"/>
      <c r="AX66" s="102" t="s">
        <v>436</v>
      </c>
      <c r="AY66" s="102" t="s">
        <v>437</v>
      </c>
    </row>
    <row r="67">
      <c r="A67" s="99">
        <v>59.0</v>
      </c>
      <c r="B67" s="100" t="s">
        <v>167</v>
      </c>
      <c r="C67" s="101" t="s">
        <v>39</v>
      </c>
      <c r="D67" s="102" t="s">
        <v>138</v>
      </c>
      <c r="E67" s="100" t="s">
        <v>548</v>
      </c>
      <c r="F67" s="100"/>
      <c r="G67" s="119" t="s">
        <v>549</v>
      </c>
      <c r="H67" s="104" t="s">
        <v>536</v>
      </c>
      <c r="I67" s="105" t="s">
        <v>537</v>
      </c>
      <c r="J67" s="104" t="s">
        <v>502</v>
      </c>
      <c r="K67" s="105" t="s">
        <v>244</v>
      </c>
      <c r="L67" s="105" t="s">
        <v>245</v>
      </c>
      <c r="M67" s="105" t="s">
        <v>246</v>
      </c>
      <c r="N67" s="106" t="s">
        <v>426</v>
      </c>
      <c r="O67" s="102" t="s">
        <v>538</v>
      </c>
      <c r="P67" s="105" t="s">
        <v>539</v>
      </c>
      <c r="Q67" s="105"/>
      <c r="R67" s="105">
        <v>8.40353926028E11</v>
      </c>
      <c r="S67" s="105"/>
      <c r="T67" s="105" t="s">
        <v>148</v>
      </c>
      <c r="U67" s="107" t="s">
        <v>540</v>
      </c>
      <c r="V67" s="108" t="s">
        <v>541</v>
      </c>
      <c r="W67" s="122" t="s">
        <v>542</v>
      </c>
      <c r="X67" s="122" t="s">
        <v>543</v>
      </c>
      <c r="Y67" s="109" t="s">
        <v>550</v>
      </c>
      <c r="Z67" s="109" t="s">
        <v>551</v>
      </c>
      <c r="AA67" s="100" t="s">
        <v>552</v>
      </c>
      <c r="AB67" s="110" t="s">
        <v>119</v>
      </c>
      <c r="AC67" s="105" t="s">
        <v>120</v>
      </c>
      <c r="AD67" s="100" t="s">
        <v>120</v>
      </c>
      <c r="AE67" s="100" t="s">
        <v>119</v>
      </c>
      <c r="AF67" s="100" t="s">
        <v>121</v>
      </c>
      <c r="AG67" s="100" t="s">
        <v>119</v>
      </c>
      <c r="AH67" s="100" t="s">
        <v>119</v>
      </c>
      <c r="AI67" s="102" t="s">
        <v>119</v>
      </c>
      <c r="AJ67" s="102" t="s">
        <v>119</v>
      </c>
      <c r="AK67" s="111" t="s">
        <v>119</v>
      </c>
      <c r="AL67" s="102" t="s">
        <v>120</v>
      </c>
      <c r="AM67" s="102" t="s">
        <v>120</v>
      </c>
      <c r="AN67" s="102" t="s">
        <v>120</v>
      </c>
      <c r="AO67" s="162" t="s">
        <v>511</v>
      </c>
      <c r="AP67" s="113" t="s">
        <v>132</v>
      </c>
      <c r="AQ67" s="103"/>
      <c r="AR67" s="114" t="s">
        <v>124</v>
      </c>
      <c r="AS67" s="115" t="s">
        <v>133</v>
      </c>
      <c r="AT67" s="116" t="s">
        <v>553</v>
      </c>
      <c r="AU67" s="103" t="str">
        <f t="array" ref="AU67">INDEX('label approval artwork'!B:B,MATCH(G67,'label approval artwork'!F:F,0))</f>
        <v>G990-08494-00-A</v>
      </c>
      <c r="AV67" s="102" t="s">
        <v>435</v>
      </c>
      <c r="AW67" s="102"/>
      <c r="AX67" s="102" t="s">
        <v>436</v>
      </c>
      <c r="AY67" s="102" t="s">
        <v>437</v>
      </c>
    </row>
    <row r="68">
      <c r="A68" s="118">
        <v>60.0</v>
      </c>
      <c r="B68" s="100" t="s">
        <v>167</v>
      </c>
      <c r="C68" s="101" t="s">
        <v>39</v>
      </c>
      <c r="D68" s="102" t="s">
        <v>138</v>
      </c>
      <c r="E68" s="100" t="s">
        <v>554</v>
      </c>
      <c r="F68" s="100"/>
      <c r="G68" s="119" t="s">
        <v>555</v>
      </c>
      <c r="H68" s="104" t="s">
        <v>536</v>
      </c>
      <c r="I68" s="105" t="s">
        <v>537</v>
      </c>
      <c r="J68" s="104" t="s">
        <v>502</v>
      </c>
      <c r="K68" s="105" t="s">
        <v>143</v>
      </c>
      <c r="L68" s="105" t="s">
        <v>144</v>
      </c>
      <c r="M68" s="105" t="s">
        <v>145</v>
      </c>
      <c r="N68" s="106" t="s">
        <v>426</v>
      </c>
      <c r="O68" s="102" t="s">
        <v>538</v>
      </c>
      <c r="P68" s="105" t="s">
        <v>539</v>
      </c>
      <c r="Q68" s="105"/>
      <c r="R68" s="105">
        <v>8.40353925991E11</v>
      </c>
      <c r="S68" s="105"/>
      <c r="T68" s="105" t="s">
        <v>148</v>
      </c>
      <c r="U68" s="107" t="s">
        <v>540</v>
      </c>
      <c r="V68" s="108" t="s">
        <v>541</v>
      </c>
      <c r="W68" s="122" t="s">
        <v>542</v>
      </c>
      <c r="X68" s="122" t="s">
        <v>543</v>
      </c>
      <c r="Y68" s="109" t="s">
        <v>556</v>
      </c>
      <c r="Z68" s="109" t="s">
        <v>557</v>
      </c>
      <c r="AA68" s="100" t="s">
        <v>558</v>
      </c>
      <c r="AB68" s="110" t="s">
        <v>119</v>
      </c>
      <c r="AC68" s="105" t="s">
        <v>120</v>
      </c>
      <c r="AD68" s="100" t="s">
        <v>120</v>
      </c>
      <c r="AE68" s="100" t="s">
        <v>119</v>
      </c>
      <c r="AF68" s="100" t="s">
        <v>121</v>
      </c>
      <c r="AG68" s="100" t="s">
        <v>119</v>
      </c>
      <c r="AH68" s="100" t="s">
        <v>119</v>
      </c>
      <c r="AI68" s="102" t="s">
        <v>119</v>
      </c>
      <c r="AJ68" s="102" t="s">
        <v>119</v>
      </c>
      <c r="AK68" s="111" t="s">
        <v>119</v>
      </c>
      <c r="AL68" s="102" t="s">
        <v>120</v>
      </c>
      <c r="AM68" s="102" t="s">
        <v>120</v>
      </c>
      <c r="AN68" s="102" t="s">
        <v>120</v>
      </c>
      <c r="AO68" s="162" t="s">
        <v>511</v>
      </c>
      <c r="AP68" s="113" t="s">
        <v>132</v>
      </c>
      <c r="AQ68" s="103"/>
      <c r="AR68" s="114" t="s">
        <v>124</v>
      </c>
      <c r="AS68" s="115" t="s">
        <v>133</v>
      </c>
      <c r="AT68" s="116" t="s">
        <v>559</v>
      </c>
      <c r="AU68" s="103" t="str">
        <f t="array" ref="AU68">INDEX('label approval artwork'!B:B,MATCH(G68,'label approval artwork'!F:F,0))</f>
        <v>G990-08494-00-A</v>
      </c>
      <c r="AV68" s="102" t="s">
        <v>435</v>
      </c>
      <c r="AW68" s="102"/>
      <c r="AX68" s="102" t="s">
        <v>436</v>
      </c>
      <c r="AY68" s="102" t="s">
        <v>437</v>
      </c>
    </row>
    <row r="69">
      <c r="A69" s="99">
        <v>61.0</v>
      </c>
      <c r="B69" s="100" t="s">
        <v>99</v>
      </c>
      <c r="C69" s="101" t="s">
        <v>39</v>
      </c>
      <c r="D69" s="102" t="s">
        <v>138</v>
      </c>
      <c r="E69" s="100" t="s">
        <v>498</v>
      </c>
      <c r="F69" s="100"/>
      <c r="G69" s="119" t="s">
        <v>560</v>
      </c>
      <c r="H69" s="104" t="s">
        <v>536</v>
      </c>
      <c r="I69" s="105" t="s">
        <v>501</v>
      </c>
      <c r="J69" s="104" t="s">
        <v>502</v>
      </c>
      <c r="K69" s="105" t="s">
        <v>106</v>
      </c>
      <c r="L69" s="105" t="s">
        <v>107</v>
      </c>
      <c r="M69" s="105" t="s">
        <v>108</v>
      </c>
      <c r="N69" s="106" t="s">
        <v>426</v>
      </c>
      <c r="O69" s="102" t="s">
        <v>538</v>
      </c>
      <c r="P69" s="105" t="s">
        <v>539</v>
      </c>
      <c r="Q69" s="105"/>
      <c r="R69" s="105">
        <v>8.40353925397E11</v>
      </c>
      <c r="S69" s="105"/>
      <c r="T69" s="105" t="s">
        <v>160</v>
      </c>
      <c r="U69" s="107" t="s">
        <v>540</v>
      </c>
      <c r="V69" s="108" t="s">
        <v>541</v>
      </c>
      <c r="W69" s="122" t="s">
        <v>542</v>
      </c>
      <c r="X69" s="122" t="s">
        <v>543</v>
      </c>
      <c r="Y69" s="109" t="s">
        <v>561</v>
      </c>
      <c r="Z69" s="109" t="s">
        <v>562</v>
      </c>
      <c r="AA69" s="100" t="s">
        <v>563</v>
      </c>
      <c r="AB69" s="110" t="s">
        <v>119</v>
      </c>
      <c r="AC69" s="105" t="s">
        <v>120</v>
      </c>
      <c r="AD69" s="100" t="s">
        <v>120</v>
      </c>
      <c r="AE69" s="100" t="s">
        <v>119</v>
      </c>
      <c r="AF69" s="100" t="s">
        <v>121</v>
      </c>
      <c r="AG69" s="100" t="s">
        <v>119</v>
      </c>
      <c r="AH69" s="100" t="s">
        <v>119</v>
      </c>
      <c r="AI69" s="102" t="s">
        <v>119</v>
      </c>
      <c r="AJ69" s="102" t="s">
        <v>119</v>
      </c>
      <c r="AK69" s="111" t="s">
        <v>119</v>
      </c>
      <c r="AL69" s="102" t="s">
        <v>120</v>
      </c>
      <c r="AM69" s="102" t="s">
        <v>120</v>
      </c>
      <c r="AN69" s="102" t="s">
        <v>120</v>
      </c>
      <c r="AO69" s="162" t="s">
        <v>511</v>
      </c>
      <c r="AP69" s="113" t="s">
        <v>132</v>
      </c>
      <c r="AQ69" s="103"/>
      <c r="AR69" s="114" t="s">
        <v>124</v>
      </c>
      <c r="AS69" s="115" t="s">
        <v>133</v>
      </c>
      <c r="AT69" s="116" t="s">
        <v>564</v>
      </c>
      <c r="AU69" s="103" t="str">
        <f t="array" ref="AU69">INDEX('label approval artwork'!B:B,MATCH(G69,'label approval artwork'!F:F,0))</f>
        <v>G990-08494-00-A</v>
      </c>
      <c r="AV69" s="102" t="s">
        <v>435</v>
      </c>
      <c r="AW69" s="102"/>
      <c r="AX69" s="102" t="s">
        <v>436</v>
      </c>
      <c r="AY69" s="102" t="s">
        <v>437</v>
      </c>
    </row>
    <row r="70">
      <c r="A70" s="118">
        <v>62.0</v>
      </c>
      <c r="B70" s="100" t="s">
        <v>99</v>
      </c>
      <c r="C70" s="101" t="s">
        <v>39</v>
      </c>
      <c r="D70" s="102" t="s">
        <v>138</v>
      </c>
      <c r="E70" s="100" t="s">
        <v>513</v>
      </c>
      <c r="F70" s="100"/>
      <c r="G70" s="119" t="s">
        <v>565</v>
      </c>
      <c r="H70" s="104" t="s">
        <v>536</v>
      </c>
      <c r="I70" s="105" t="s">
        <v>501</v>
      </c>
      <c r="J70" s="104" t="s">
        <v>502</v>
      </c>
      <c r="K70" s="105" t="s">
        <v>244</v>
      </c>
      <c r="L70" s="105" t="s">
        <v>245</v>
      </c>
      <c r="M70" s="105" t="s">
        <v>246</v>
      </c>
      <c r="N70" s="106" t="s">
        <v>426</v>
      </c>
      <c r="O70" s="102" t="s">
        <v>538</v>
      </c>
      <c r="P70" s="105" t="s">
        <v>539</v>
      </c>
      <c r="Q70" s="105"/>
      <c r="R70" s="105">
        <v>8.40353925427E11</v>
      </c>
      <c r="S70" s="105"/>
      <c r="T70" s="105" t="s">
        <v>160</v>
      </c>
      <c r="U70" s="107" t="s">
        <v>540</v>
      </c>
      <c r="V70" s="108" t="s">
        <v>541</v>
      </c>
      <c r="W70" s="122" t="s">
        <v>542</v>
      </c>
      <c r="X70" s="122" t="s">
        <v>543</v>
      </c>
      <c r="Y70" s="109" t="s">
        <v>566</v>
      </c>
      <c r="Z70" s="109" t="s">
        <v>567</v>
      </c>
      <c r="AA70" s="100" t="s">
        <v>568</v>
      </c>
      <c r="AB70" s="110" t="s">
        <v>119</v>
      </c>
      <c r="AC70" s="105" t="s">
        <v>120</v>
      </c>
      <c r="AD70" s="100" t="s">
        <v>120</v>
      </c>
      <c r="AE70" s="100" t="s">
        <v>119</v>
      </c>
      <c r="AF70" s="100" t="s">
        <v>121</v>
      </c>
      <c r="AG70" s="100" t="s">
        <v>119</v>
      </c>
      <c r="AH70" s="100" t="s">
        <v>119</v>
      </c>
      <c r="AI70" s="102" t="s">
        <v>119</v>
      </c>
      <c r="AJ70" s="102" t="s">
        <v>119</v>
      </c>
      <c r="AK70" s="111" t="s">
        <v>119</v>
      </c>
      <c r="AL70" s="102" t="s">
        <v>120</v>
      </c>
      <c r="AM70" s="102" t="s">
        <v>120</v>
      </c>
      <c r="AN70" s="102" t="s">
        <v>120</v>
      </c>
      <c r="AO70" s="162" t="s">
        <v>511</v>
      </c>
      <c r="AP70" s="113" t="s">
        <v>132</v>
      </c>
      <c r="AQ70" s="103"/>
      <c r="AR70" s="114" t="s">
        <v>124</v>
      </c>
      <c r="AS70" s="115" t="s">
        <v>133</v>
      </c>
      <c r="AT70" s="116" t="s">
        <v>569</v>
      </c>
      <c r="AU70" s="103" t="str">
        <f t="array" ref="AU70">INDEX('label approval artwork'!B:B,MATCH(G70,'label approval artwork'!F:F,0))</f>
        <v>G990-08494-00-A</v>
      </c>
      <c r="AV70" s="102" t="s">
        <v>435</v>
      </c>
      <c r="AW70" s="102"/>
      <c r="AX70" s="102" t="s">
        <v>436</v>
      </c>
      <c r="AY70" s="102" t="s">
        <v>437</v>
      </c>
    </row>
    <row r="71">
      <c r="A71" s="99">
        <v>63.0</v>
      </c>
      <c r="B71" s="100" t="s">
        <v>99</v>
      </c>
      <c r="C71" s="101" t="s">
        <v>39</v>
      </c>
      <c r="D71" s="102" t="s">
        <v>138</v>
      </c>
      <c r="E71" s="100" t="s">
        <v>518</v>
      </c>
      <c r="F71" s="100"/>
      <c r="G71" s="119" t="s">
        <v>570</v>
      </c>
      <c r="H71" s="104" t="s">
        <v>536</v>
      </c>
      <c r="I71" s="105" t="s">
        <v>501</v>
      </c>
      <c r="J71" s="104" t="s">
        <v>502</v>
      </c>
      <c r="K71" s="105" t="s">
        <v>143</v>
      </c>
      <c r="L71" s="105" t="s">
        <v>144</v>
      </c>
      <c r="M71" s="105" t="s">
        <v>145</v>
      </c>
      <c r="N71" s="106" t="s">
        <v>426</v>
      </c>
      <c r="O71" s="102" t="s">
        <v>538</v>
      </c>
      <c r="P71" s="105" t="s">
        <v>539</v>
      </c>
      <c r="Q71" s="105"/>
      <c r="R71" s="105">
        <v>8.40353925458E11</v>
      </c>
      <c r="S71" s="105"/>
      <c r="T71" s="105" t="s">
        <v>160</v>
      </c>
      <c r="U71" s="107" t="s">
        <v>540</v>
      </c>
      <c r="V71" s="108" t="s">
        <v>541</v>
      </c>
      <c r="W71" s="122" t="s">
        <v>542</v>
      </c>
      <c r="X71" s="122" t="s">
        <v>543</v>
      </c>
      <c r="Y71" s="109" t="s">
        <v>571</v>
      </c>
      <c r="Z71" s="109" t="s">
        <v>572</v>
      </c>
      <c r="AA71" s="100" t="s">
        <v>573</v>
      </c>
      <c r="AB71" s="110" t="s">
        <v>119</v>
      </c>
      <c r="AC71" s="105" t="s">
        <v>120</v>
      </c>
      <c r="AD71" s="100" t="s">
        <v>120</v>
      </c>
      <c r="AE71" s="100" t="s">
        <v>119</v>
      </c>
      <c r="AF71" s="100" t="s">
        <v>121</v>
      </c>
      <c r="AG71" s="100" t="s">
        <v>119</v>
      </c>
      <c r="AH71" s="100" t="s">
        <v>119</v>
      </c>
      <c r="AI71" s="102" t="s">
        <v>119</v>
      </c>
      <c r="AJ71" s="102" t="s">
        <v>119</v>
      </c>
      <c r="AK71" s="111" t="s">
        <v>119</v>
      </c>
      <c r="AL71" s="102" t="s">
        <v>120</v>
      </c>
      <c r="AM71" s="102" t="s">
        <v>120</v>
      </c>
      <c r="AN71" s="102" t="s">
        <v>120</v>
      </c>
      <c r="AO71" s="162" t="s">
        <v>511</v>
      </c>
      <c r="AP71" s="113" t="s">
        <v>132</v>
      </c>
      <c r="AQ71" s="103"/>
      <c r="AR71" s="114" t="s">
        <v>124</v>
      </c>
      <c r="AS71" s="115" t="s">
        <v>133</v>
      </c>
      <c r="AT71" s="116" t="s">
        <v>574</v>
      </c>
      <c r="AU71" s="103" t="str">
        <f t="array" ref="AU71">INDEX('label approval artwork'!B:B,MATCH(G71,'label approval artwork'!F:F,0))</f>
        <v>G990-08494-00-A</v>
      </c>
      <c r="AV71" s="102" t="s">
        <v>435</v>
      </c>
      <c r="AW71" s="102"/>
      <c r="AX71" s="102" t="s">
        <v>436</v>
      </c>
      <c r="AY71" s="102" t="s">
        <v>437</v>
      </c>
    </row>
    <row r="72">
      <c r="A72" s="118">
        <v>64.0</v>
      </c>
      <c r="B72" s="100" t="s">
        <v>99</v>
      </c>
      <c r="C72" s="101" t="s">
        <v>39</v>
      </c>
      <c r="D72" s="102" t="s">
        <v>138</v>
      </c>
      <c r="E72" s="100" t="s">
        <v>523</v>
      </c>
      <c r="F72" s="100"/>
      <c r="G72" s="119" t="s">
        <v>575</v>
      </c>
      <c r="H72" s="104" t="s">
        <v>536</v>
      </c>
      <c r="I72" s="105" t="s">
        <v>501</v>
      </c>
      <c r="J72" s="104" t="s">
        <v>502</v>
      </c>
      <c r="K72" s="105" t="s">
        <v>196</v>
      </c>
      <c r="L72" s="105" t="s">
        <v>197</v>
      </c>
      <c r="M72" s="105" t="s">
        <v>198</v>
      </c>
      <c r="N72" s="106" t="s">
        <v>426</v>
      </c>
      <c r="O72" s="102" t="s">
        <v>538</v>
      </c>
      <c r="P72" s="105" t="s">
        <v>539</v>
      </c>
      <c r="Q72" s="105"/>
      <c r="R72" s="105">
        <v>8.40353925496E11</v>
      </c>
      <c r="S72" s="105"/>
      <c r="T72" s="105" t="s">
        <v>160</v>
      </c>
      <c r="U72" s="107" t="s">
        <v>540</v>
      </c>
      <c r="V72" s="108" t="s">
        <v>541</v>
      </c>
      <c r="W72" s="122" t="s">
        <v>542</v>
      </c>
      <c r="X72" s="122" t="s">
        <v>543</v>
      </c>
      <c r="Y72" s="109" t="s">
        <v>576</v>
      </c>
      <c r="Z72" s="109" t="s">
        <v>577</v>
      </c>
      <c r="AA72" s="100" t="s">
        <v>578</v>
      </c>
      <c r="AB72" s="110" t="s">
        <v>119</v>
      </c>
      <c r="AC72" s="105" t="s">
        <v>120</v>
      </c>
      <c r="AD72" s="100" t="s">
        <v>120</v>
      </c>
      <c r="AE72" s="100" t="s">
        <v>119</v>
      </c>
      <c r="AF72" s="100" t="s">
        <v>121</v>
      </c>
      <c r="AG72" s="100" t="s">
        <v>119</v>
      </c>
      <c r="AH72" s="100" t="s">
        <v>119</v>
      </c>
      <c r="AI72" s="102" t="s">
        <v>119</v>
      </c>
      <c r="AJ72" s="102" t="s">
        <v>119</v>
      </c>
      <c r="AK72" s="111" t="s">
        <v>119</v>
      </c>
      <c r="AL72" s="102" t="s">
        <v>120</v>
      </c>
      <c r="AM72" s="102" t="s">
        <v>120</v>
      </c>
      <c r="AN72" s="102" t="s">
        <v>120</v>
      </c>
      <c r="AO72" s="162" t="s">
        <v>511</v>
      </c>
      <c r="AP72" s="113" t="s">
        <v>132</v>
      </c>
      <c r="AQ72" s="103"/>
      <c r="AR72" s="114" t="s">
        <v>124</v>
      </c>
      <c r="AS72" s="115" t="s">
        <v>133</v>
      </c>
      <c r="AT72" s="116" t="s">
        <v>579</v>
      </c>
      <c r="AU72" s="103" t="str">
        <f t="array" ref="AU72">INDEX('label approval artwork'!B:B,MATCH(G72,'label approval artwork'!F:F,0))</f>
        <v>G990-08494-00-A</v>
      </c>
      <c r="AV72" s="102" t="s">
        <v>435</v>
      </c>
      <c r="AW72" s="102"/>
      <c r="AX72" s="102" t="s">
        <v>436</v>
      </c>
      <c r="AY72" s="102" t="s">
        <v>437</v>
      </c>
    </row>
    <row r="73">
      <c r="A73" s="99">
        <v>65.0</v>
      </c>
      <c r="B73" s="100" t="s">
        <v>167</v>
      </c>
      <c r="C73" s="101" t="s">
        <v>39</v>
      </c>
      <c r="D73" s="102" t="s">
        <v>138</v>
      </c>
      <c r="E73" s="100" t="s">
        <v>528</v>
      </c>
      <c r="F73" s="100"/>
      <c r="G73" s="119" t="s">
        <v>580</v>
      </c>
      <c r="H73" s="104" t="s">
        <v>536</v>
      </c>
      <c r="I73" s="105" t="s">
        <v>530</v>
      </c>
      <c r="J73" s="104" t="s">
        <v>502</v>
      </c>
      <c r="K73" s="105" t="s">
        <v>106</v>
      </c>
      <c r="L73" s="105" t="s">
        <v>107</v>
      </c>
      <c r="M73" s="105" t="s">
        <v>108</v>
      </c>
      <c r="N73" s="106" t="s">
        <v>426</v>
      </c>
      <c r="O73" s="102" t="s">
        <v>538</v>
      </c>
      <c r="P73" s="105" t="s">
        <v>539</v>
      </c>
      <c r="Q73" s="105"/>
      <c r="R73" s="105">
        <v>8.40353925564E11</v>
      </c>
      <c r="S73" s="105"/>
      <c r="T73" s="105" t="s">
        <v>179</v>
      </c>
      <c r="U73" s="107" t="s">
        <v>540</v>
      </c>
      <c r="V73" s="108" t="s">
        <v>541</v>
      </c>
      <c r="W73" s="122" t="s">
        <v>542</v>
      </c>
      <c r="X73" s="122" t="s">
        <v>543</v>
      </c>
      <c r="Y73" s="109" t="s">
        <v>581</v>
      </c>
      <c r="Z73" s="109" t="s">
        <v>582</v>
      </c>
      <c r="AA73" s="100" t="s">
        <v>583</v>
      </c>
      <c r="AB73" s="110" t="s">
        <v>119</v>
      </c>
      <c r="AC73" s="105" t="s">
        <v>120</v>
      </c>
      <c r="AD73" s="100" t="s">
        <v>120</v>
      </c>
      <c r="AE73" s="100" t="s">
        <v>119</v>
      </c>
      <c r="AF73" s="100" t="s">
        <v>121</v>
      </c>
      <c r="AG73" s="100" t="s">
        <v>119</v>
      </c>
      <c r="AH73" s="100" t="s">
        <v>119</v>
      </c>
      <c r="AI73" s="102" t="s">
        <v>119</v>
      </c>
      <c r="AJ73" s="102" t="s">
        <v>119</v>
      </c>
      <c r="AK73" s="111" t="s">
        <v>119</v>
      </c>
      <c r="AL73" s="102" t="s">
        <v>120</v>
      </c>
      <c r="AM73" s="102" t="s">
        <v>120</v>
      </c>
      <c r="AN73" s="102" t="s">
        <v>120</v>
      </c>
      <c r="AO73" s="162" t="s">
        <v>511</v>
      </c>
      <c r="AP73" s="113" t="s">
        <v>132</v>
      </c>
      <c r="AQ73" s="103"/>
      <c r="AR73" s="114" t="s">
        <v>124</v>
      </c>
      <c r="AS73" s="115" t="s">
        <v>133</v>
      </c>
      <c r="AT73" s="116" t="s">
        <v>584</v>
      </c>
      <c r="AU73" s="103" t="str">
        <f t="array" ref="AU73">INDEX('label approval artwork'!B:B,MATCH(G73,'label approval artwork'!F:F,0))</f>
        <v>G990-08494-00-A</v>
      </c>
      <c r="AV73" s="102" t="s">
        <v>435</v>
      </c>
      <c r="AW73" s="102"/>
      <c r="AX73" s="102" t="s">
        <v>436</v>
      </c>
      <c r="AY73" s="102" t="s">
        <v>437</v>
      </c>
    </row>
    <row r="74">
      <c r="A74" s="118">
        <v>66.0</v>
      </c>
      <c r="B74" s="100" t="s">
        <v>167</v>
      </c>
      <c r="C74" s="101" t="s">
        <v>39</v>
      </c>
      <c r="D74" s="102" t="s">
        <v>138</v>
      </c>
      <c r="E74" s="100" t="s">
        <v>585</v>
      </c>
      <c r="F74" s="100"/>
      <c r="G74" s="119" t="s">
        <v>586</v>
      </c>
      <c r="H74" s="104" t="s">
        <v>536</v>
      </c>
      <c r="I74" s="105" t="s">
        <v>530</v>
      </c>
      <c r="J74" s="104" t="s">
        <v>502</v>
      </c>
      <c r="K74" s="105" t="s">
        <v>143</v>
      </c>
      <c r="L74" s="105" t="s">
        <v>144</v>
      </c>
      <c r="M74" s="105" t="s">
        <v>145</v>
      </c>
      <c r="N74" s="106" t="s">
        <v>426</v>
      </c>
      <c r="O74" s="102" t="s">
        <v>538</v>
      </c>
      <c r="P74" s="105" t="s">
        <v>539</v>
      </c>
      <c r="Q74" s="105"/>
      <c r="R74" s="105">
        <v>8.40353925663E11</v>
      </c>
      <c r="S74" s="105"/>
      <c r="T74" s="105" t="s">
        <v>179</v>
      </c>
      <c r="U74" s="107" t="s">
        <v>540</v>
      </c>
      <c r="V74" s="108" t="s">
        <v>541</v>
      </c>
      <c r="W74" s="122" t="s">
        <v>542</v>
      </c>
      <c r="X74" s="122" t="s">
        <v>543</v>
      </c>
      <c r="Y74" s="109" t="s">
        <v>587</v>
      </c>
      <c r="Z74" s="109" t="s">
        <v>588</v>
      </c>
      <c r="AA74" s="100" t="s">
        <v>589</v>
      </c>
      <c r="AB74" s="110" t="s">
        <v>119</v>
      </c>
      <c r="AC74" s="105" t="s">
        <v>120</v>
      </c>
      <c r="AD74" s="100" t="s">
        <v>120</v>
      </c>
      <c r="AE74" s="100" t="s">
        <v>119</v>
      </c>
      <c r="AF74" s="100" t="s">
        <v>121</v>
      </c>
      <c r="AG74" s="100" t="s">
        <v>119</v>
      </c>
      <c r="AH74" s="100" t="s">
        <v>119</v>
      </c>
      <c r="AI74" s="102" t="s">
        <v>119</v>
      </c>
      <c r="AJ74" s="102" t="s">
        <v>119</v>
      </c>
      <c r="AK74" s="111" t="s">
        <v>119</v>
      </c>
      <c r="AL74" s="102" t="s">
        <v>120</v>
      </c>
      <c r="AM74" s="102" t="s">
        <v>120</v>
      </c>
      <c r="AN74" s="102" t="s">
        <v>120</v>
      </c>
      <c r="AO74" s="162" t="s">
        <v>511</v>
      </c>
      <c r="AP74" s="113" t="s">
        <v>132</v>
      </c>
      <c r="AQ74" s="103"/>
      <c r="AR74" s="114" t="s">
        <v>124</v>
      </c>
      <c r="AS74" s="115" t="s">
        <v>133</v>
      </c>
      <c r="AT74" s="116" t="s">
        <v>590</v>
      </c>
      <c r="AU74" s="103" t="str">
        <f t="array" ref="AU74">INDEX('label approval artwork'!B:B,MATCH(G74,'label approval artwork'!F:F,0))</f>
        <v>G990-08494-00-A</v>
      </c>
      <c r="AV74" s="102" t="s">
        <v>435</v>
      </c>
      <c r="AW74" s="102"/>
      <c r="AX74" s="102" t="s">
        <v>436</v>
      </c>
      <c r="AY74" s="102" t="s">
        <v>437</v>
      </c>
    </row>
    <row r="75">
      <c r="A75" s="99">
        <v>67.0</v>
      </c>
      <c r="B75" s="100" t="s">
        <v>167</v>
      </c>
      <c r="C75" s="101" t="s">
        <v>39</v>
      </c>
      <c r="D75" s="102" t="s">
        <v>138</v>
      </c>
      <c r="E75" s="100" t="s">
        <v>591</v>
      </c>
      <c r="F75" s="100"/>
      <c r="G75" s="119" t="s">
        <v>592</v>
      </c>
      <c r="H75" s="104" t="s">
        <v>536</v>
      </c>
      <c r="I75" s="105" t="s">
        <v>593</v>
      </c>
      <c r="J75" s="104" t="s">
        <v>502</v>
      </c>
      <c r="K75" s="105" t="s">
        <v>106</v>
      </c>
      <c r="L75" s="105" t="s">
        <v>107</v>
      </c>
      <c r="M75" s="105" t="s">
        <v>108</v>
      </c>
      <c r="N75" s="106" t="s">
        <v>426</v>
      </c>
      <c r="O75" s="102" t="s">
        <v>538</v>
      </c>
      <c r="P75" s="105" t="s">
        <v>539</v>
      </c>
      <c r="Q75" s="105"/>
      <c r="R75" s="105">
        <v>8.40353925779E11</v>
      </c>
      <c r="S75" s="105"/>
      <c r="T75" s="105" t="s">
        <v>339</v>
      </c>
      <c r="U75" s="107" t="s">
        <v>540</v>
      </c>
      <c r="V75" s="108" t="s">
        <v>541</v>
      </c>
      <c r="W75" s="122" t="s">
        <v>542</v>
      </c>
      <c r="X75" s="122" t="s">
        <v>543</v>
      </c>
      <c r="Y75" s="109" t="s">
        <v>594</v>
      </c>
      <c r="Z75" s="109" t="s">
        <v>595</v>
      </c>
      <c r="AA75" s="100" t="s">
        <v>596</v>
      </c>
      <c r="AB75" s="110" t="s">
        <v>119</v>
      </c>
      <c r="AC75" s="105" t="s">
        <v>120</v>
      </c>
      <c r="AD75" s="100" t="s">
        <v>120</v>
      </c>
      <c r="AE75" s="100" t="s">
        <v>119</v>
      </c>
      <c r="AF75" s="100" t="s">
        <v>121</v>
      </c>
      <c r="AG75" s="100" t="s">
        <v>119</v>
      </c>
      <c r="AH75" s="100" t="s">
        <v>119</v>
      </c>
      <c r="AI75" s="102" t="s">
        <v>119</v>
      </c>
      <c r="AJ75" s="102" t="s">
        <v>119</v>
      </c>
      <c r="AK75" s="111" t="s">
        <v>119</v>
      </c>
      <c r="AL75" s="102" t="s">
        <v>120</v>
      </c>
      <c r="AM75" s="102" t="s">
        <v>120</v>
      </c>
      <c r="AN75" s="102" t="s">
        <v>120</v>
      </c>
      <c r="AO75" s="162" t="s">
        <v>511</v>
      </c>
      <c r="AP75" s="113" t="s">
        <v>132</v>
      </c>
      <c r="AQ75" s="103"/>
      <c r="AR75" s="114" t="s">
        <v>124</v>
      </c>
      <c r="AS75" s="115" t="s">
        <v>133</v>
      </c>
      <c r="AT75" s="116" t="s">
        <v>597</v>
      </c>
      <c r="AU75" s="103" t="str">
        <f t="array" ref="AU75">INDEX('label approval artwork'!B:B,MATCH(G75,'label approval artwork'!F:F,0))</f>
        <v>G990-08494-00-A</v>
      </c>
      <c r="AV75" s="102" t="s">
        <v>435</v>
      </c>
      <c r="AW75" s="102"/>
      <c r="AX75" s="102" t="s">
        <v>436</v>
      </c>
      <c r="AY75" s="102" t="s">
        <v>437</v>
      </c>
    </row>
    <row r="76">
      <c r="A76" s="118">
        <v>68.0</v>
      </c>
      <c r="B76" s="100" t="s">
        <v>99</v>
      </c>
      <c r="C76" s="101" t="s">
        <v>39</v>
      </c>
      <c r="D76" s="102" t="s">
        <v>138</v>
      </c>
      <c r="E76" s="100" t="s">
        <v>534</v>
      </c>
      <c r="F76" s="100" t="s">
        <v>598</v>
      </c>
      <c r="G76" s="119" t="s">
        <v>599</v>
      </c>
      <c r="H76" s="104" t="s">
        <v>600</v>
      </c>
      <c r="I76" s="105" t="s">
        <v>537</v>
      </c>
      <c r="J76" s="104" t="s">
        <v>502</v>
      </c>
      <c r="K76" s="105" t="s">
        <v>106</v>
      </c>
      <c r="L76" s="105" t="s">
        <v>107</v>
      </c>
      <c r="M76" s="105" t="s">
        <v>108</v>
      </c>
      <c r="N76" s="106" t="s">
        <v>426</v>
      </c>
      <c r="O76" s="102" t="s">
        <v>538</v>
      </c>
      <c r="P76" s="105" t="s">
        <v>601</v>
      </c>
      <c r="Q76" s="105"/>
      <c r="R76" s="105"/>
      <c r="S76" s="105" t="s">
        <v>602</v>
      </c>
      <c r="T76" s="105" t="s">
        <v>148</v>
      </c>
      <c r="U76" s="107" t="s">
        <v>540</v>
      </c>
      <c r="V76" s="108" t="s">
        <v>541</v>
      </c>
      <c r="W76" s="122" t="s">
        <v>542</v>
      </c>
      <c r="X76" s="122" t="s">
        <v>543</v>
      </c>
      <c r="Y76" s="109" t="s">
        <v>603</v>
      </c>
      <c r="Z76" s="109" t="s">
        <v>604</v>
      </c>
      <c r="AA76" s="100" t="s">
        <v>605</v>
      </c>
      <c r="AB76" s="110" t="s">
        <v>119</v>
      </c>
      <c r="AC76" s="105" t="s">
        <v>119</v>
      </c>
      <c r="AD76" s="100" t="s">
        <v>120</v>
      </c>
      <c r="AE76" s="100" t="s">
        <v>119</v>
      </c>
      <c r="AF76" s="100" t="s">
        <v>121</v>
      </c>
      <c r="AG76" s="100" t="s">
        <v>119</v>
      </c>
      <c r="AH76" s="100" t="s">
        <v>119</v>
      </c>
      <c r="AI76" s="102" t="s">
        <v>119</v>
      </c>
      <c r="AJ76" s="102" t="s">
        <v>119</v>
      </c>
      <c r="AK76" s="111" t="s">
        <v>119</v>
      </c>
      <c r="AL76" s="102" t="s">
        <v>120</v>
      </c>
      <c r="AM76" s="102" t="s">
        <v>120</v>
      </c>
      <c r="AN76" s="102" t="s">
        <v>119</v>
      </c>
      <c r="AO76" s="162" t="s">
        <v>511</v>
      </c>
      <c r="AP76" s="113" t="s">
        <v>132</v>
      </c>
      <c r="AQ76" s="103"/>
      <c r="AR76" s="114" t="s">
        <v>124</v>
      </c>
      <c r="AS76" s="115" t="s">
        <v>133</v>
      </c>
      <c r="AT76" s="102" t="str">
        <f t="array" ref="AT76">INDEX('label approval artwork'!A:A,MATCH(G76,'label approval artwork'!F:F,0))</f>
        <v>G990-08531-11-B</v>
      </c>
      <c r="AU76" s="163" t="str">
        <f t="array" ref="AU76">INDEX('label approval artwork'!B:B,MATCH(G76,'label approval artwork'!F:F,0))</f>
        <v>G990-08497-00-B</v>
      </c>
      <c r="AV76" s="102" t="s">
        <v>435</v>
      </c>
      <c r="AW76" s="102"/>
      <c r="AX76" s="102" t="s">
        <v>606</v>
      </c>
      <c r="AY76" s="102" t="s">
        <v>437</v>
      </c>
    </row>
    <row r="77">
      <c r="A77" s="99">
        <v>69.0</v>
      </c>
      <c r="B77" s="100" t="s">
        <v>167</v>
      </c>
      <c r="C77" s="101" t="s">
        <v>39</v>
      </c>
      <c r="D77" s="102" t="s">
        <v>138</v>
      </c>
      <c r="E77" s="100" t="s">
        <v>548</v>
      </c>
      <c r="F77" s="100" t="s">
        <v>607</v>
      </c>
      <c r="G77" s="119" t="s">
        <v>608</v>
      </c>
      <c r="H77" s="104" t="s">
        <v>600</v>
      </c>
      <c r="I77" s="105" t="s">
        <v>537</v>
      </c>
      <c r="J77" s="104" t="s">
        <v>502</v>
      </c>
      <c r="K77" s="105" t="s">
        <v>244</v>
      </c>
      <c r="L77" s="105" t="s">
        <v>245</v>
      </c>
      <c r="M77" s="105" t="s">
        <v>246</v>
      </c>
      <c r="N77" s="106" t="s">
        <v>426</v>
      </c>
      <c r="O77" s="102" t="s">
        <v>538</v>
      </c>
      <c r="P77" s="105" t="s">
        <v>601</v>
      </c>
      <c r="Q77" s="105"/>
      <c r="R77" s="105"/>
      <c r="S77" s="105" t="s">
        <v>609</v>
      </c>
      <c r="T77" s="105" t="s">
        <v>148</v>
      </c>
      <c r="U77" s="107" t="s">
        <v>540</v>
      </c>
      <c r="V77" s="108" t="s">
        <v>541</v>
      </c>
      <c r="W77" s="122" t="s">
        <v>542</v>
      </c>
      <c r="X77" s="122" t="s">
        <v>543</v>
      </c>
      <c r="Y77" s="109" t="s">
        <v>610</v>
      </c>
      <c r="Z77" s="109" t="s">
        <v>611</v>
      </c>
      <c r="AA77" s="100" t="s">
        <v>612</v>
      </c>
      <c r="AB77" s="110" t="s">
        <v>119</v>
      </c>
      <c r="AC77" s="105" t="s">
        <v>119</v>
      </c>
      <c r="AD77" s="100" t="s">
        <v>120</v>
      </c>
      <c r="AE77" s="100" t="s">
        <v>119</v>
      </c>
      <c r="AF77" s="100" t="s">
        <v>121</v>
      </c>
      <c r="AG77" s="100" t="s">
        <v>119</v>
      </c>
      <c r="AH77" s="100" t="s">
        <v>119</v>
      </c>
      <c r="AI77" s="102" t="s">
        <v>119</v>
      </c>
      <c r="AJ77" s="102" t="s">
        <v>119</v>
      </c>
      <c r="AK77" s="111" t="s">
        <v>119</v>
      </c>
      <c r="AL77" s="102" t="s">
        <v>120</v>
      </c>
      <c r="AM77" s="102" t="s">
        <v>120</v>
      </c>
      <c r="AN77" s="102" t="s">
        <v>119</v>
      </c>
      <c r="AO77" s="162" t="s">
        <v>511</v>
      </c>
      <c r="AP77" s="113" t="s">
        <v>132</v>
      </c>
      <c r="AQ77" s="103"/>
      <c r="AR77" s="114" t="s">
        <v>124</v>
      </c>
      <c r="AS77" s="115" t="s">
        <v>133</v>
      </c>
      <c r="AT77" s="102" t="str">
        <f t="array" ref="AT77">INDEX('label approval artwork'!A:A,MATCH(G77,'label approval artwork'!F:F,0))</f>
        <v>G990-08531-21-B</v>
      </c>
      <c r="AU77" s="163" t="str">
        <f t="array" ref="AU77">INDEX('label approval artwork'!B:B,MATCH(G77,'label approval artwork'!F:F,0))</f>
        <v>G990-08497-00-B</v>
      </c>
      <c r="AV77" s="102" t="s">
        <v>435</v>
      </c>
      <c r="AW77" s="102"/>
      <c r="AX77" s="102" t="s">
        <v>606</v>
      </c>
      <c r="AY77" s="102" t="s">
        <v>437</v>
      </c>
    </row>
    <row r="78">
      <c r="A78" s="118">
        <v>70.0</v>
      </c>
      <c r="B78" s="100" t="s">
        <v>167</v>
      </c>
      <c r="C78" s="101" t="s">
        <v>39</v>
      </c>
      <c r="D78" s="102" t="s">
        <v>138</v>
      </c>
      <c r="E78" s="100" t="s">
        <v>554</v>
      </c>
      <c r="F78" s="100" t="s">
        <v>613</v>
      </c>
      <c r="G78" s="119" t="s">
        <v>614</v>
      </c>
      <c r="H78" s="104" t="s">
        <v>600</v>
      </c>
      <c r="I78" s="105" t="s">
        <v>537</v>
      </c>
      <c r="J78" s="104" t="s">
        <v>502</v>
      </c>
      <c r="K78" s="105" t="s">
        <v>143</v>
      </c>
      <c r="L78" s="105" t="s">
        <v>144</v>
      </c>
      <c r="M78" s="105" t="s">
        <v>145</v>
      </c>
      <c r="N78" s="106" t="s">
        <v>426</v>
      </c>
      <c r="O78" s="102" t="s">
        <v>538</v>
      </c>
      <c r="P78" s="105" t="s">
        <v>601</v>
      </c>
      <c r="Q78" s="105"/>
      <c r="R78" s="105"/>
      <c r="S78" s="105" t="s">
        <v>615</v>
      </c>
      <c r="T78" s="105" t="s">
        <v>148</v>
      </c>
      <c r="U78" s="107" t="s">
        <v>540</v>
      </c>
      <c r="V78" s="108" t="s">
        <v>541</v>
      </c>
      <c r="W78" s="122" t="s">
        <v>542</v>
      </c>
      <c r="X78" s="122" t="s">
        <v>543</v>
      </c>
      <c r="Y78" s="109" t="s">
        <v>616</v>
      </c>
      <c r="Z78" s="109" t="s">
        <v>617</v>
      </c>
      <c r="AA78" s="100" t="s">
        <v>618</v>
      </c>
      <c r="AB78" s="110" t="s">
        <v>119</v>
      </c>
      <c r="AC78" s="105" t="s">
        <v>119</v>
      </c>
      <c r="AD78" s="100" t="s">
        <v>120</v>
      </c>
      <c r="AE78" s="100" t="s">
        <v>119</v>
      </c>
      <c r="AF78" s="100" t="s">
        <v>121</v>
      </c>
      <c r="AG78" s="100" t="s">
        <v>119</v>
      </c>
      <c r="AH78" s="100" t="s">
        <v>119</v>
      </c>
      <c r="AI78" s="102" t="s">
        <v>119</v>
      </c>
      <c r="AJ78" s="102" t="s">
        <v>119</v>
      </c>
      <c r="AK78" s="111" t="s">
        <v>119</v>
      </c>
      <c r="AL78" s="102" t="s">
        <v>120</v>
      </c>
      <c r="AM78" s="102" t="s">
        <v>120</v>
      </c>
      <c r="AN78" s="102" t="s">
        <v>119</v>
      </c>
      <c r="AO78" s="162" t="s">
        <v>511</v>
      </c>
      <c r="AP78" s="113" t="s">
        <v>132</v>
      </c>
      <c r="AQ78" s="103"/>
      <c r="AR78" s="114" t="s">
        <v>124</v>
      </c>
      <c r="AS78" s="115" t="s">
        <v>133</v>
      </c>
      <c r="AT78" s="102" t="str">
        <f t="array" ref="AT78">INDEX('label approval artwork'!A:A,MATCH(G78,'label approval artwork'!F:F,0))</f>
        <v>G990-08531-31-B</v>
      </c>
      <c r="AU78" s="163" t="str">
        <f t="array" ref="AU78">INDEX('label approval artwork'!B:B,MATCH(G78,'label approval artwork'!F:F,0))</f>
        <v>G990-08497-00-B</v>
      </c>
      <c r="AV78" s="102" t="s">
        <v>435</v>
      </c>
      <c r="AW78" s="102"/>
      <c r="AX78" s="102" t="s">
        <v>606</v>
      </c>
      <c r="AY78" s="102" t="s">
        <v>437</v>
      </c>
    </row>
    <row r="79">
      <c r="A79" s="99">
        <v>71.0</v>
      </c>
      <c r="B79" s="100" t="s">
        <v>167</v>
      </c>
      <c r="C79" s="101" t="s">
        <v>39</v>
      </c>
      <c r="D79" s="102" t="s">
        <v>138</v>
      </c>
      <c r="E79" s="100" t="s">
        <v>498</v>
      </c>
      <c r="F79" s="100" t="s">
        <v>619</v>
      </c>
      <c r="G79" s="119" t="s">
        <v>620</v>
      </c>
      <c r="H79" s="104" t="s">
        <v>600</v>
      </c>
      <c r="I79" s="105" t="s">
        <v>501</v>
      </c>
      <c r="J79" s="104" t="s">
        <v>502</v>
      </c>
      <c r="K79" s="105" t="s">
        <v>106</v>
      </c>
      <c r="L79" s="105" t="s">
        <v>107</v>
      </c>
      <c r="M79" s="105" t="s">
        <v>108</v>
      </c>
      <c r="N79" s="106" t="s">
        <v>426</v>
      </c>
      <c r="O79" s="102" t="s">
        <v>538</v>
      </c>
      <c r="P79" s="105" t="s">
        <v>601</v>
      </c>
      <c r="Q79" s="105"/>
      <c r="R79" s="105"/>
      <c r="S79" s="105" t="s">
        <v>621</v>
      </c>
      <c r="T79" s="105" t="s">
        <v>160</v>
      </c>
      <c r="U79" s="107" t="s">
        <v>540</v>
      </c>
      <c r="V79" s="108" t="s">
        <v>541</v>
      </c>
      <c r="W79" s="122" t="s">
        <v>542</v>
      </c>
      <c r="X79" s="122" t="s">
        <v>543</v>
      </c>
      <c r="Y79" s="109" t="s">
        <v>622</v>
      </c>
      <c r="Z79" s="109" t="s">
        <v>623</v>
      </c>
      <c r="AA79" s="100" t="s">
        <v>624</v>
      </c>
      <c r="AB79" s="110" t="s">
        <v>119</v>
      </c>
      <c r="AC79" s="105" t="s">
        <v>119</v>
      </c>
      <c r="AD79" s="100" t="s">
        <v>120</v>
      </c>
      <c r="AE79" s="100" t="s">
        <v>119</v>
      </c>
      <c r="AF79" s="100" t="s">
        <v>121</v>
      </c>
      <c r="AG79" s="100" t="s">
        <v>119</v>
      </c>
      <c r="AH79" s="100" t="s">
        <v>119</v>
      </c>
      <c r="AI79" s="102" t="s">
        <v>119</v>
      </c>
      <c r="AJ79" s="102" t="s">
        <v>119</v>
      </c>
      <c r="AK79" s="111" t="s">
        <v>119</v>
      </c>
      <c r="AL79" s="102" t="s">
        <v>120</v>
      </c>
      <c r="AM79" s="102" t="s">
        <v>120</v>
      </c>
      <c r="AN79" s="102" t="s">
        <v>119</v>
      </c>
      <c r="AO79" s="162" t="s">
        <v>511</v>
      </c>
      <c r="AP79" s="113" t="s">
        <v>132</v>
      </c>
      <c r="AQ79" s="103"/>
      <c r="AR79" s="114" t="s">
        <v>124</v>
      </c>
      <c r="AS79" s="115" t="s">
        <v>133</v>
      </c>
      <c r="AT79" s="102" t="str">
        <f t="array" ref="AT79">INDEX('label approval artwork'!A:A,MATCH(G79,'label approval artwork'!F:F,0))</f>
        <v>G990-08531-12-B</v>
      </c>
      <c r="AU79" s="163" t="str">
        <f t="array" ref="AU79">INDEX('label approval artwork'!B:B,MATCH(G79,'label approval artwork'!F:F,0))</f>
        <v>G990-08497-00-B</v>
      </c>
      <c r="AV79" s="102" t="s">
        <v>435</v>
      </c>
      <c r="AW79" s="102"/>
      <c r="AX79" s="102" t="s">
        <v>606</v>
      </c>
      <c r="AY79" s="102" t="s">
        <v>437</v>
      </c>
    </row>
    <row r="80">
      <c r="A80" s="118">
        <v>72.0</v>
      </c>
      <c r="B80" s="100" t="s">
        <v>99</v>
      </c>
      <c r="C80" s="101" t="s">
        <v>39</v>
      </c>
      <c r="D80" s="102" t="s">
        <v>138</v>
      </c>
      <c r="E80" s="100" t="s">
        <v>513</v>
      </c>
      <c r="F80" s="100" t="s">
        <v>625</v>
      </c>
      <c r="G80" s="119" t="s">
        <v>626</v>
      </c>
      <c r="H80" s="104" t="s">
        <v>600</v>
      </c>
      <c r="I80" s="105" t="s">
        <v>501</v>
      </c>
      <c r="J80" s="104" t="s">
        <v>502</v>
      </c>
      <c r="K80" s="105" t="s">
        <v>244</v>
      </c>
      <c r="L80" s="105" t="s">
        <v>245</v>
      </c>
      <c r="M80" s="105" t="s">
        <v>246</v>
      </c>
      <c r="N80" s="106" t="s">
        <v>426</v>
      </c>
      <c r="O80" s="102" t="s">
        <v>538</v>
      </c>
      <c r="P80" s="105" t="s">
        <v>601</v>
      </c>
      <c r="Q80" s="105"/>
      <c r="R80" s="105"/>
      <c r="S80" s="105" t="s">
        <v>627</v>
      </c>
      <c r="T80" s="105" t="s">
        <v>160</v>
      </c>
      <c r="U80" s="107" t="s">
        <v>540</v>
      </c>
      <c r="V80" s="108" t="s">
        <v>541</v>
      </c>
      <c r="W80" s="122" t="s">
        <v>542</v>
      </c>
      <c r="X80" s="122" t="s">
        <v>543</v>
      </c>
      <c r="Y80" s="109" t="s">
        <v>628</v>
      </c>
      <c r="Z80" s="109" t="s">
        <v>629</v>
      </c>
      <c r="AA80" s="100" t="s">
        <v>630</v>
      </c>
      <c r="AB80" s="110" t="s">
        <v>119</v>
      </c>
      <c r="AC80" s="105" t="s">
        <v>119</v>
      </c>
      <c r="AD80" s="100" t="s">
        <v>120</v>
      </c>
      <c r="AE80" s="100" t="s">
        <v>119</v>
      </c>
      <c r="AF80" s="100" t="s">
        <v>121</v>
      </c>
      <c r="AG80" s="100" t="s">
        <v>119</v>
      </c>
      <c r="AH80" s="100" t="s">
        <v>119</v>
      </c>
      <c r="AI80" s="102" t="s">
        <v>119</v>
      </c>
      <c r="AJ80" s="102" t="s">
        <v>119</v>
      </c>
      <c r="AK80" s="111" t="s">
        <v>119</v>
      </c>
      <c r="AL80" s="102" t="s">
        <v>120</v>
      </c>
      <c r="AM80" s="102" t="s">
        <v>120</v>
      </c>
      <c r="AN80" s="102" t="s">
        <v>119</v>
      </c>
      <c r="AO80" s="162" t="s">
        <v>511</v>
      </c>
      <c r="AP80" s="113" t="s">
        <v>132</v>
      </c>
      <c r="AQ80" s="103"/>
      <c r="AR80" s="114" t="s">
        <v>124</v>
      </c>
      <c r="AS80" s="115" t="s">
        <v>133</v>
      </c>
      <c r="AT80" s="102" t="str">
        <f t="array" ref="AT80">INDEX('label approval artwork'!A:A,MATCH(G80,'label approval artwork'!F:F,0))</f>
        <v>G990-08531-22-B</v>
      </c>
      <c r="AU80" s="163" t="str">
        <f t="array" ref="AU80">INDEX('label approval artwork'!B:B,MATCH(G80,'label approval artwork'!F:F,0))</f>
        <v>G990-08497-00-B</v>
      </c>
      <c r="AV80" s="102" t="s">
        <v>435</v>
      </c>
      <c r="AW80" s="102"/>
      <c r="AX80" s="102" t="s">
        <v>606</v>
      </c>
      <c r="AY80" s="102" t="s">
        <v>437</v>
      </c>
    </row>
    <row r="81">
      <c r="A81" s="99">
        <v>73.0</v>
      </c>
      <c r="B81" s="100" t="s">
        <v>167</v>
      </c>
      <c r="C81" s="101" t="s">
        <v>39</v>
      </c>
      <c r="D81" s="102" t="s">
        <v>138</v>
      </c>
      <c r="E81" s="100" t="s">
        <v>518</v>
      </c>
      <c r="F81" s="100" t="s">
        <v>631</v>
      </c>
      <c r="G81" s="119" t="s">
        <v>632</v>
      </c>
      <c r="H81" s="104" t="s">
        <v>600</v>
      </c>
      <c r="I81" s="105" t="s">
        <v>501</v>
      </c>
      <c r="J81" s="104" t="s">
        <v>502</v>
      </c>
      <c r="K81" s="105" t="s">
        <v>143</v>
      </c>
      <c r="L81" s="105" t="s">
        <v>144</v>
      </c>
      <c r="M81" s="105" t="s">
        <v>145</v>
      </c>
      <c r="N81" s="106" t="s">
        <v>426</v>
      </c>
      <c r="O81" s="102" t="s">
        <v>538</v>
      </c>
      <c r="P81" s="105" t="s">
        <v>601</v>
      </c>
      <c r="Q81" s="105"/>
      <c r="R81" s="105"/>
      <c r="S81" s="105" t="s">
        <v>633</v>
      </c>
      <c r="T81" s="105" t="s">
        <v>160</v>
      </c>
      <c r="U81" s="107" t="s">
        <v>540</v>
      </c>
      <c r="V81" s="108" t="s">
        <v>541</v>
      </c>
      <c r="W81" s="122" t="s">
        <v>542</v>
      </c>
      <c r="X81" s="122" t="s">
        <v>543</v>
      </c>
      <c r="Y81" s="109" t="s">
        <v>634</v>
      </c>
      <c r="Z81" s="109" t="s">
        <v>635</v>
      </c>
      <c r="AA81" s="100" t="s">
        <v>636</v>
      </c>
      <c r="AB81" s="110" t="s">
        <v>119</v>
      </c>
      <c r="AC81" s="105" t="s">
        <v>119</v>
      </c>
      <c r="AD81" s="100" t="s">
        <v>120</v>
      </c>
      <c r="AE81" s="100" t="s">
        <v>119</v>
      </c>
      <c r="AF81" s="100" t="s">
        <v>121</v>
      </c>
      <c r="AG81" s="100" t="s">
        <v>119</v>
      </c>
      <c r="AH81" s="100" t="s">
        <v>119</v>
      </c>
      <c r="AI81" s="102" t="s">
        <v>119</v>
      </c>
      <c r="AJ81" s="102" t="s">
        <v>119</v>
      </c>
      <c r="AK81" s="111" t="s">
        <v>119</v>
      </c>
      <c r="AL81" s="102" t="s">
        <v>120</v>
      </c>
      <c r="AM81" s="102" t="s">
        <v>120</v>
      </c>
      <c r="AN81" s="102" t="s">
        <v>119</v>
      </c>
      <c r="AO81" s="162" t="s">
        <v>511</v>
      </c>
      <c r="AP81" s="113" t="s">
        <v>132</v>
      </c>
      <c r="AQ81" s="103"/>
      <c r="AR81" s="114" t="s">
        <v>124</v>
      </c>
      <c r="AS81" s="115" t="s">
        <v>133</v>
      </c>
      <c r="AT81" s="102" t="str">
        <f t="array" ref="AT81">INDEX('label approval artwork'!A:A,MATCH(G81,'label approval artwork'!F:F,0))</f>
        <v>G990-08531-32-B</v>
      </c>
      <c r="AU81" s="163" t="str">
        <f t="array" ref="AU81">INDEX('label approval artwork'!B:B,MATCH(G81,'label approval artwork'!F:F,0))</f>
        <v>G990-08497-00-B</v>
      </c>
      <c r="AV81" s="102" t="s">
        <v>435</v>
      </c>
      <c r="AW81" s="102"/>
      <c r="AX81" s="102" t="s">
        <v>606</v>
      </c>
      <c r="AY81" s="102" t="s">
        <v>437</v>
      </c>
    </row>
    <row r="82">
      <c r="A82" s="118">
        <v>74.0</v>
      </c>
      <c r="B82" s="100" t="s">
        <v>167</v>
      </c>
      <c r="C82" s="101" t="s">
        <v>39</v>
      </c>
      <c r="D82" s="102" t="s">
        <v>138</v>
      </c>
      <c r="E82" s="100" t="s">
        <v>523</v>
      </c>
      <c r="F82" s="100" t="s">
        <v>637</v>
      </c>
      <c r="G82" s="119" t="s">
        <v>638</v>
      </c>
      <c r="H82" s="104" t="s">
        <v>600</v>
      </c>
      <c r="I82" s="105" t="s">
        <v>501</v>
      </c>
      <c r="J82" s="104" t="s">
        <v>502</v>
      </c>
      <c r="K82" s="105" t="s">
        <v>196</v>
      </c>
      <c r="L82" s="105" t="s">
        <v>197</v>
      </c>
      <c r="M82" s="105" t="s">
        <v>198</v>
      </c>
      <c r="N82" s="106" t="s">
        <v>426</v>
      </c>
      <c r="O82" s="102" t="s">
        <v>538</v>
      </c>
      <c r="P82" s="105" t="s">
        <v>601</v>
      </c>
      <c r="Q82" s="105"/>
      <c r="R82" s="105"/>
      <c r="S82" s="105" t="s">
        <v>639</v>
      </c>
      <c r="T82" s="105" t="s">
        <v>160</v>
      </c>
      <c r="U82" s="107" t="s">
        <v>540</v>
      </c>
      <c r="V82" s="108" t="s">
        <v>541</v>
      </c>
      <c r="W82" s="122" t="s">
        <v>542</v>
      </c>
      <c r="X82" s="122" t="s">
        <v>543</v>
      </c>
      <c r="Y82" s="109" t="s">
        <v>640</v>
      </c>
      <c r="Z82" s="109" t="s">
        <v>641</v>
      </c>
      <c r="AA82" s="100" t="s">
        <v>642</v>
      </c>
      <c r="AB82" s="110" t="s">
        <v>119</v>
      </c>
      <c r="AC82" s="105" t="s">
        <v>119</v>
      </c>
      <c r="AD82" s="100" t="s">
        <v>120</v>
      </c>
      <c r="AE82" s="100" t="s">
        <v>119</v>
      </c>
      <c r="AF82" s="100" t="s">
        <v>121</v>
      </c>
      <c r="AG82" s="100" t="s">
        <v>119</v>
      </c>
      <c r="AH82" s="100" t="s">
        <v>119</v>
      </c>
      <c r="AI82" s="102" t="s">
        <v>119</v>
      </c>
      <c r="AJ82" s="102" t="s">
        <v>119</v>
      </c>
      <c r="AK82" s="111" t="s">
        <v>119</v>
      </c>
      <c r="AL82" s="102" t="s">
        <v>120</v>
      </c>
      <c r="AM82" s="102" t="s">
        <v>120</v>
      </c>
      <c r="AN82" s="102" t="s">
        <v>119</v>
      </c>
      <c r="AO82" s="162" t="s">
        <v>511</v>
      </c>
      <c r="AP82" s="113" t="s">
        <v>132</v>
      </c>
      <c r="AQ82" s="103"/>
      <c r="AR82" s="114" t="s">
        <v>124</v>
      </c>
      <c r="AS82" s="115" t="s">
        <v>133</v>
      </c>
      <c r="AT82" s="102" t="str">
        <f t="array" ref="AT82">INDEX('label approval artwork'!A:A,MATCH(G82,'label approval artwork'!F:F,0))</f>
        <v>G990-08531-42-B</v>
      </c>
      <c r="AU82" s="163" t="str">
        <f t="array" ref="AU82">INDEX('label approval artwork'!B:B,MATCH(G82,'label approval artwork'!F:F,0))</f>
        <v>G990-08497-00-B</v>
      </c>
      <c r="AV82" s="102" t="s">
        <v>435</v>
      </c>
      <c r="AW82" s="102"/>
      <c r="AX82" s="102" t="s">
        <v>606</v>
      </c>
      <c r="AY82" s="102" t="s">
        <v>437</v>
      </c>
    </row>
    <row r="83">
      <c r="A83" s="99">
        <v>75.0</v>
      </c>
      <c r="B83" s="100" t="s">
        <v>167</v>
      </c>
      <c r="C83" s="101" t="s">
        <v>39</v>
      </c>
      <c r="D83" s="102" t="s">
        <v>138</v>
      </c>
      <c r="E83" s="100" t="s">
        <v>528</v>
      </c>
      <c r="F83" s="100" t="s">
        <v>643</v>
      </c>
      <c r="G83" s="119" t="s">
        <v>644</v>
      </c>
      <c r="H83" s="104" t="s">
        <v>600</v>
      </c>
      <c r="I83" s="105" t="s">
        <v>530</v>
      </c>
      <c r="J83" s="104" t="s">
        <v>502</v>
      </c>
      <c r="K83" s="105" t="s">
        <v>106</v>
      </c>
      <c r="L83" s="105" t="s">
        <v>107</v>
      </c>
      <c r="M83" s="105" t="s">
        <v>108</v>
      </c>
      <c r="N83" s="106" t="s">
        <v>426</v>
      </c>
      <c r="O83" s="102" t="s">
        <v>538</v>
      </c>
      <c r="P83" s="105" t="s">
        <v>601</v>
      </c>
      <c r="Q83" s="105"/>
      <c r="R83" s="105"/>
      <c r="S83" s="105" t="s">
        <v>645</v>
      </c>
      <c r="T83" s="105" t="s">
        <v>179</v>
      </c>
      <c r="U83" s="107" t="s">
        <v>540</v>
      </c>
      <c r="V83" s="108" t="s">
        <v>541</v>
      </c>
      <c r="W83" s="122" t="s">
        <v>542</v>
      </c>
      <c r="X83" s="122" t="s">
        <v>543</v>
      </c>
      <c r="Y83" s="109" t="s">
        <v>646</v>
      </c>
      <c r="Z83" s="109" t="s">
        <v>647</v>
      </c>
      <c r="AA83" s="100" t="s">
        <v>648</v>
      </c>
      <c r="AB83" s="110" t="s">
        <v>119</v>
      </c>
      <c r="AC83" s="105" t="s">
        <v>119</v>
      </c>
      <c r="AD83" s="100" t="s">
        <v>120</v>
      </c>
      <c r="AE83" s="100" t="s">
        <v>119</v>
      </c>
      <c r="AF83" s="100" t="s">
        <v>121</v>
      </c>
      <c r="AG83" s="100" t="s">
        <v>119</v>
      </c>
      <c r="AH83" s="100" t="s">
        <v>119</v>
      </c>
      <c r="AI83" s="102" t="s">
        <v>119</v>
      </c>
      <c r="AJ83" s="102" t="s">
        <v>119</v>
      </c>
      <c r="AK83" s="111" t="s">
        <v>119</v>
      </c>
      <c r="AL83" s="102" t="s">
        <v>120</v>
      </c>
      <c r="AM83" s="102" t="s">
        <v>120</v>
      </c>
      <c r="AN83" s="102" t="s">
        <v>119</v>
      </c>
      <c r="AO83" s="162" t="s">
        <v>511</v>
      </c>
      <c r="AP83" s="113" t="s">
        <v>132</v>
      </c>
      <c r="AQ83" s="103"/>
      <c r="AR83" s="114" t="s">
        <v>124</v>
      </c>
      <c r="AS83" s="115" t="s">
        <v>133</v>
      </c>
      <c r="AT83" s="102" t="str">
        <f t="array" ref="AT83">INDEX('label approval artwork'!A:A,MATCH(G83,'label approval artwork'!F:F,0))</f>
        <v>G990-08531-13-B</v>
      </c>
      <c r="AU83" s="163" t="str">
        <f t="array" ref="AU83">INDEX('label approval artwork'!B:B,MATCH(G83,'label approval artwork'!F:F,0))</f>
        <v>G990-08497-00-B</v>
      </c>
      <c r="AV83" s="102" t="s">
        <v>435</v>
      </c>
      <c r="AW83" s="102"/>
      <c r="AX83" s="102" t="s">
        <v>606</v>
      </c>
      <c r="AY83" s="102" t="s">
        <v>437</v>
      </c>
    </row>
    <row r="84">
      <c r="A84" s="118">
        <v>76.0</v>
      </c>
      <c r="B84" s="100" t="s">
        <v>167</v>
      </c>
      <c r="C84" s="101" t="s">
        <v>39</v>
      </c>
      <c r="D84" s="102" t="s">
        <v>138</v>
      </c>
      <c r="E84" s="100" t="s">
        <v>649</v>
      </c>
      <c r="F84" s="100" t="s">
        <v>650</v>
      </c>
      <c r="G84" s="119" t="s">
        <v>651</v>
      </c>
      <c r="H84" s="104" t="s">
        <v>600</v>
      </c>
      <c r="I84" s="105" t="s">
        <v>530</v>
      </c>
      <c r="J84" s="104" t="s">
        <v>502</v>
      </c>
      <c r="K84" s="105" t="s">
        <v>244</v>
      </c>
      <c r="L84" s="105" t="s">
        <v>245</v>
      </c>
      <c r="M84" s="105" t="s">
        <v>246</v>
      </c>
      <c r="N84" s="106" t="s">
        <v>426</v>
      </c>
      <c r="O84" s="102" t="s">
        <v>538</v>
      </c>
      <c r="P84" s="105" t="s">
        <v>601</v>
      </c>
      <c r="Q84" s="105"/>
      <c r="R84" s="105"/>
      <c r="S84" s="105" t="s">
        <v>652</v>
      </c>
      <c r="T84" s="105" t="s">
        <v>179</v>
      </c>
      <c r="U84" s="107" t="s">
        <v>540</v>
      </c>
      <c r="V84" s="108" t="s">
        <v>541</v>
      </c>
      <c r="W84" s="122" t="s">
        <v>542</v>
      </c>
      <c r="X84" s="122" t="s">
        <v>543</v>
      </c>
      <c r="Y84" s="109" t="s">
        <v>653</v>
      </c>
      <c r="Z84" s="109" t="s">
        <v>654</v>
      </c>
      <c r="AA84" s="100" t="s">
        <v>655</v>
      </c>
      <c r="AB84" s="110" t="s">
        <v>119</v>
      </c>
      <c r="AC84" s="105" t="s">
        <v>119</v>
      </c>
      <c r="AD84" s="100" t="s">
        <v>120</v>
      </c>
      <c r="AE84" s="100" t="s">
        <v>119</v>
      </c>
      <c r="AF84" s="100" t="s">
        <v>121</v>
      </c>
      <c r="AG84" s="100" t="s">
        <v>119</v>
      </c>
      <c r="AH84" s="100" t="s">
        <v>119</v>
      </c>
      <c r="AI84" s="102" t="s">
        <v>119</v>
      </c>
      <c r="AJ84" s="102" t="s">
        <v>119</v>
      </c>
      <c r="AK84" s="111" t="s">
        <v>119</v>
      </c>
      <c r="AL84" s="102" t="s">
        <v>120</v>
      </c>
      <c r="AM84" s="102" t="s">
        <v>120</v>
      </c>
      <c r="AN84" s="102" t="s">
        <v>119</v>
      </c>
      <c r="AO84" s="162" t="s">
        <v>511</v>
      </c>
      <c r="AP84" s="113" t="s">
        <v>132</v>
      </c>
      <c r="AQ84" s="103"/>
      <c r="AR84" s="114" t="s">
        <v>124</v>
      </c>
      <c r="AS84" s="115" t="s">
        <v>133</v>
      </c>
      <c r="AT84" s="102" t="str">
        <f t="array" ref="AT84">INDEX('label approval artwork'!A:A,MATCH(G84,'label approval artwork'!F:F,0))</f>
        <v>G990-08531-23-B</v>
      </c>
      <c r="AU84" s="163" t="str">
        <f t="array" ref="AU84">INDEX('label approval artwork'!B:B,MATCH(G84,'label approval artwork'!F:F,0))</f>
        <v>G990-08497-00-B</v>
      </c>
      <c r="AV84" s="102" t="s">
        <v>435</v>
      </c>
      <c r="AW84" s="102"/>
      <c r="AX84" s="102" t="s">
        <v>606</v>
      </c>
      <c r="AY84" s="102" t="s">
        <v>437</v>
      </c>
    </row>
    <row r="85">
      <c r="A85" s="99">
        <v>77.0</v>
      </c>
      <c r="B85" s="100" t="s">
        <v>99</v>
      </c>
      <c r="C85" s="101" t="s">
        <v>39</v>
      </c>
      <c r="D85" s="102" t="s">
        <v>138</v>
      </c>
      <c r="E85" s="100" t="s">
        <v>585</v>
      </c>
      <c r="F85" s="100" t="s">
        <v>656</v>
      </c>
      <c r="G85" s="119" t="s">
        <v>657</v>
      </c>
      <c r="H85" s="104" t="s">
        <v>600</v>
      </c>
      <c r="I85" s="105" t="s">
        <v>530</v>
      </c>
      <c r="J85" s="104" t="s">
        <v>502</v>
      </c>
      <c r="K85" s="105" t="s">
        <v>143</v>
      </c>
      <c r="L85" s="105" t="s">
        <v>144</v>
      </c>
      <c r="M85" s="105" t="s">
        <v>145</v>
      </c>
      <c r="N85" s="106" t="s">
        <v>426</v>
      </c>
      <c r="O85" s="102" t="s">
        <v>538</v>
      </c>
      <c r="P85" s="105" t="s">
        <v>601</v>
      </c>
      <c r="Q85" s="105"/>
      <c r="R85" s="105"/>
      <c r="S85" s="105" t="s">
        <v>658</v>
      </c>
      <c r="T85" s="105" t="s">
        <v>179</v>
      </c>
      <c r="U85" s="107" t="s">
        <v>540</v>
      </c>
      <c r="V85" s="108" t="s">
        <v>541</v>
      </c>
      <c r="W85" s="122" t="s">
        <v>542</v>
      </c>
      <c r="X85" s="122" t="s">
        <v>543</v>
      </c>
      <c r="Y85" s="109" t="s">
        <v>659</v>
      </c>
      <c r="Z85" s="109" t="s">
        <v>660</v>
      </c>
      <c r="AA85" s="100" t="s">
        <v>661</v>
      </c>
      <c r="AB85" s="110" t="s">
        <v>119</v>
      </c>
      <c r="AC85" s="105" t="s">
        <v>119</v>
      </c>
      <c r="AD85" s="100" t="s">
        <v>120</v>
      </c>
      <c r="AE85" s="100" t="s">
        <v>119</v>
      </c>
      <c r="AF85" s="100" t="s">
        <v>121</v>
      </c>
      <c r="AG85" s="100" t="s">
        <v>119</v>
      </c>
      <c r="AH85" s="100" t="s">
        <v>119</v>
      </c>
      <c r="AI85" s="102" t="s">
        <v>119</v>
      </c>
      <c r="AJ85" s="102" t="s">
        <v>119</v>
      </c>
      <c r="AK85" s="111" t="s">
        <v>119</v>
      </c>
      <c r="AL85" s="102" t="s">
        <v>120</v>
      </c>
      <c r="AM85" s="102" t="s">
        <v>120</v>
      </c>
      <c r="AN85" s="102" t="s">
        <v>119</v>
      </c>
      <c r="AO85" s="162" t="s">
        <v>511</v>
      </c>
      <c r="AP85" s="113" t="s">
        <v>132</v>
      </c>
      <c r="AQ85" s="103"/>
      <c r="AR85" s="114" t="s">
        <v>124</v>
      </c>
      <c r="AS85" s="115" t="s">
        <v>133</v>
      </c>
      <c r="AT85" s="102" t="str">
        <f t="array" ref="AT85">INDEX('label approval artwork'!A:A,MATCH(G85,'label approval artwork'!F:F,0))</f>
        <v>G990-08531-33-B</v>
      </c>
      <c r="AU85" s="163" t="str">
        <f t="array" ref="AU85">INDEX('label approval artwork'!B:B,MATCH(G85,'label approval artwork'!F:F,0))</f>
        <v>G990-08497-00-B</v>
      </c>
      <c r="AV85" s="102" t="s">
        <v>435</v>
      </c>
      <c r="AW85" s="102"/>
      <c r="AX85" s="102" t="s">
        <v>606</v>
      </c>
      <c r="AY85" s="102" t="s">
        <v>437</v>
      </c>
    </row>
    <row r="86">
      <c r="A86" s="118">
        <v>78.0</v>
      </c>
      <c r="B86" s="100" t="s">
        <v>167</v>
      </c>
      <c r="C86" s="101" t="s">
        <v>39</v>
      </c>
      <c r="D86" s="102" t="s">
        <v>138</v>
      </c>
      <c r="E86" s="100" t="s">
        <v>591</v>
      </c>
      <c r="F86" s="100" t="s">
        <v>662</v>
      </c>
      <c r="G86" s="119" t="s">
        <v>663</v>
      </c>
      <c r="H86" s="104" t="s">
        <v>600</v>
      </c>
      <c r="I86" s="105" t="s">
        <v>593</v>
      </c>
      <c r="J86" s="104" t="s">
        <v>502</v>
      </c>
      <c r="K86" s="105" t="s">
        <v>106</v>
      </c>
      <c r="L86" s="105" t="s">
        <v>107</v>
      </c>
      <c r="M86" s="105" t="s">
        <v>108</v>
      </c>
      <c r="N86" s="106" t="s">
        <v>426</v>
      </c>
      <c r="O86" s="102" t="s">
        <v>538</v>
      </c>
      <c r="P86" s="105" t="s">
        <v>601</v>
      </c>
      <c r="Q86" s="105"/>
      <c r="R86" s="105"/>
      <c r="S86" s="105" t="s">
        <v>664</v>
      </c>
      <c r="T86" s="105" t="s">
        <v>339</v>
      </c>
      <c r="U86" s="107" t="s">
        <v>540</v>
      </c>
      <c r="V86" s="108" t="s">
        <v>541</v>
      </c>
      <c r="W86" s="122" t="s">
        <v>542</v>
      </c>
      <c r="X86" s="122" t="s">
        <v>543</v>
      </c>
      <c r="Y86" s="109" t="s">
        <v>665</v>
      </c>
      <c r="Z86" s="109" t="s">
        <v>666</v>
      </c>
      <c r="AA86" s="100" t="s">
        <v>667</v>
      </c>
      <c r="AB86" s="110" t="s">
        <v>119</v>
      </c>
      <c r="AC86" s="105" t="s">
        <v>119</v>
      </c>
      <c r="AD86" s="100" t="s">
        <v>120</v>
      </c>
      <c r="AE86" s="100" t="s">
        <v>119</v>
      </c>
      <c r="AF86" s="100" t="s">
        <v>121</v>
      </c>
      <c r="AG86" s="100" t="s">
        <v>119</v>
      </c>
      <c r="AH86" s="100" t="s">
        <v>119</v>
      </c>
      <c r="AI86" s="102" t="s">
        <v>119</v>
      </c>
      <c r="AJ86" s="102" t="s">
        <v>119</v>
      </c>
      <c r="AK86" s="111" t="s">
        <v>119</v>
      </c>
      <c r="AL86" s="102" t="s">
        <v>120</v>
      </c>
      <c r="AM86" s="102" t="s">
        <v>120</v>
      </c>
      <c r="AN86" s="102" t="s">
        <v>119</v>
      </c>
      <c r="AO86" s="162" t="s">
        <v>511</v>
      </c>
      <c r="AP86" s="113" t="s">
        <v>132</v>
      </c>
      <c r="AQ86" s="103"/>
      <c r="AR86" s="114" t="s">
        <v>124</v>
      </c>
      <c r="AS86" s="115" t="s">
        <v>133</v>
      </c>
      <c r="AT86" s="102" t="str">
        <f t="array" ref="AT86">INDEX('label approval artwork'!A:A,MATCH(G86,'label approval artwork'!F:F,0))</f>
        <v>G990-08531-14-B</v>
      </c>
      <c r="AU86" s="163" t="str">
        <f t="array" ref="AU86">INDEX('label approval artwork'!B:B,MATCH(G86,'label approval artwork'!F:F,0))</f>
        <v>G990-08497-00-B</v>
      </c>
      <c r="AV86" s="102" t="s">
        <v>435</v>
      </c>
      <c r="AW86" s="102"/>
      <c r="AX86" s="102" t="s">
        <v>606</v>
      </c>
      <c r="AY86" s="102" t="s">
        <v>437</v>
      </c>
    </row>
    <row r="87">
      <c r="A87" s="99">
        <v>79.0</v>
      </c>
      <c r="B87" s="100" t="s">
        <v>167</v>
      </c>
      <c r="C87" s="101" t="s">
        <v>39</v>
      </c>
      <c r="D87" s="102" t="s">
        <v>138</v>
      </c>
      <c r="E87" s="100" t="s">
        <v>498</v>
      </c>
      <c r="F87" s="100" t="s">
        <v>668</v>
      </c>
      <c r="G87" s="119" t="s">
        <v>669</v>
      </c>
      <c r="H87" s="104" t="s">
        <v>670</v>
      </c>
      <c r="I87" s="105" t="s">
        <v>501</v>
      </c>
      <c r="J87" s="104" t="s">
        <v>502</v>
      </c>
      <c r="K87" s="105" t="s">
        <v>106</v>
      </c>
      <c r="L87" s="105" t="s">
        <v>107</v>
      </c>
      <c r="M87" s="105" t="s">
        <v>108</v>
      </c>
      <c r="N87" s="106" t="s">
        <v>426</v>
      </c>
      <c r="O87" s="102" t="s">
        <v>538</v>
      </c>
      <c r="P87" s="105" t="s">
        <v>539</v>
      </c>
      <c r="Q87" s="105"/>
      <c r="R87" s="105">
        <v>8.40353925403E11</v>
      </c>
      <c r="S87" s="105"/>
      <c r="T87" s="105" t="s">
        <v>160</v>
      </c>
      <c r="U87" s="107" t="s">
        <v>540</v>
      </c>
      <c r="V87" s="108" t="s">
        <v>541</v>
      </c>
      <c r="W87" s="122" t="s">
        <v>542</v>
      </c>
      <c r="X87" s="122" t="s">
        <v>543</v>
      </c>
      <c r="Y87" s="109" t="s">
        <v>671</v>
      </c>
      <c r="Z87" s="109" t="s">
        <v>672</v>
      </c>
      <c r="AA87" s="100" t="s">
        <v>673</v>
      </c>
      <c r="AB87" s="110" t="s">
        <v>119</v>
      </c>
      <c r="AC87" s="105" t="s">
        <v>120</v>
      </c>
      <c r="AD87" s="100" t="s">
        <v>119</v>
      </c>
      <c r="AE87" s="100" t="s">
        <v>119</v>
      </c>
      <c r="AF87" s="100" t="s">
        <v>121</v>
      </c>
      <c r="AG87" s="100" t="s">
        <v>119</v>
      </c>
      <c r="AH87" s="100" t="s">
        <v>119</v>
      </c>
      <c r="AI87" s="102" t="s">
        <v>119</v>
      </c>
      <c r="AJ87" s="102" t="s">
        <v>119</v>
      </c>
      <c r="AK87" s="111" t="s">
        <v>119</v>
      </c>
      <c r="AL87" s="102" t="s">
        <v>119</v>
      </c>
      <c r="AM87" s="102" t="s">
        <v>120</v>
      </c>
      <c r="AN87" s="102" t="s">
        <v>120</v>
      </c>
      <c r="AO87" s="162" t="s">
        <v>511</v>
      </c>
      <c r="AP87" s="113" t="s">
        <v>132</v>
      </c>
      <c r="AQ87" s="103"/>
      <c r="AR87" s="114" t="s">
        <v>124</v>
      </c>
      <c r="AS87" s="115" t="s">
        <v>133</v>
      </c>
      <c r="AT87" s="102" t="str">
        <f t="array" ref="AT87">INDEX('label approval artwork'!A:A,MATCH(G87,'label approval artwork'!F:F,0))</f>
        <v>G990-08530-12-B</v>
      </c>
      <c r="AU87" s="116" t="s">
        <v>512</v>
      </c>
      <c r="AV87" s="102" t="s">
        <v>674</v>
      </c>
      <c r="AW87" s="103" t="s">
        <v>675</v>
      </c>
      <c r="AX87" s="102" t="s">
        <v>676</v>
      </c>
      <c r="AY87" s="102" t="s">
        <v>437</v>
      </c>
    </row>
    <row r="88">
      <c r="A88" s="118">
        <v>80.0</v>
      </c>
      <c r="B88" s="100" t="s">
        <v>167</v>
      </c>
      <c r="C88" s="101" t="s">
        <v>39</v>
      </c>
      <c r="D88" s="102" t="s">
        <v>138</v>
      </c>
      <c r="E88" s="100" t="s">
        <v>513</v>
      </c>
      <c r="F88" s="100" t="s">
        <v>677</v>
      </c>
      <c r="G88" s="119" t="s">
        <v>678</v>
      </c>
      <c r="H88" s="104" t="s">
        <v>670</v>
      </c>
      <c r="I88" s="105" t="s">
        <v>501</v>
      </c>
      <c r="J88" s="104" t="s">
        <v>502</v>
      </c>
      <c r="K88" s="105" t="s">
        <v>244</v>
      </c>
      <c r="L88" s="105" t="s">
        <v>245</v>
      </c>
      <c r="M88" s="105" t="s">
        <v>246</v>
      </c>
      <c r="N88" s="106" t="s">
        <v>426</v>
      </c>
      <c r="O88" s="102" t="s">
        <v>538</v>
      </c>
      <c r="P88" s="105" t="s">
        <v>539</v>
      </c>
      <c r="Q88" s="105"/>
      <c r="R88" s="105">
        <v>8.40353925502E11</v>
      </c>
      <c r="S88" s="105"/>
      <c r="T88" s="105" t="s">
        <v>160</v>
      </c>
      <c r="U88" s="107" t="s">
        <v>540</v>
      </c>
      <c r="V88" s="108" t="s">
        <v>541</v>
      </c>
      <c r="W88" s="122" t="s">
        <v>542</v>
      </c>
      <c r="X88" s="122" t="s">
        <v>543</v>
      </c>
      <c r="Y88" s="109" t="s">
        <v>679</v>
      </c>
      <c r="Z88" s="109" t="s">
        <v>680</v>
      </c>
      <c r="AA88" s="100" t="s">
        <v>681</v>
      </c>
      <c r="AB88" s="110" t="s">
        <v>119</v>
      </c>
      <c r="AC88" s="105" t="s">
        <v>120</v>
      </c>
      <c r="AD88" s="100" t="s">
        <v>119</v>
      </c>
      <c r="AE88" s="100" t="s">
        <v>119</v>
      </c>
      <c r="AF88" s="100" t="s">
        <v>121</v>
      </c>
      <c r="AG88" s="100" t="s">
        <v>119</v>
      </c>
      <c r="AH88" s="100" t="s">
        <v>119</v>
      </c>
      <c r="AI88" s="102" t="s">
        <v>119</v>
      </c>
      <c r="AJ88" s="102" t="s">
        <v>119</v>
      </c>
      <c r="AK88" s="111" t="s">
        <v>119</v>
      </c>
      <c r="AL88" s="102" t="s">
        <v>119</v>
      </c>
      <c r="AM88" s="102" t="s">
        <v>120</v>
      </c>
      <c r="AN88" s="102" t="s">
        <v>120</v>
      </c>
      <c r="AO88" s="162" t="s">
        <v>511</v>
      </c>
      <c r="AP88" s="113" t="s">
        <v>132</v>
      </c>
      <c r="AQ88" s="103"/>
      <c r="AR88" s="114" t="s">
        <v>124</v>
      </c>
      <c r="AS88" s="115" t="s">
        <v>133</v>
      </c>
      <c r="AT88" s="102" t="str">
        <f t="array" ref="AT88">INDEX('label approval artwork'!A:A,MATCH(G88,'label approval artwork'!F:F,0))</f>
        <v>G990-08530-22-B</v>
      </c>
      <c r="AU88" s="116" t="s">
        <v>512</v>
      </c>
      <c r="AV88" s="102" t="s">
        <v>674</v>
      </c>
      <c r="AW88" s="103" t="s">
        <v>675</v>
      </c>
      <c r="AX88" s="102" t="s">
        <v>676</v>
      </c>
      <c r="AY88" s="102" t="s">
        <v>437</v>
      </c>
    </row>
    <row r="89">
      <c r="A89" s="99">
        <v>81.0</v>
      </c>
      <c r="B89" s="100" t="s">
        <v>99</v>
      </c>
      <c r="C89" s="101" t="s">
        <v>39</v>
      </c>
      <c r="D89" s="102" t="s">
        <v>138</v>
      </c>
      <c r="E89" s="100" t="s">
        <v>518</v>
      </c>
      <c r="F89" s="100" t="s">
        <v>682</v>
      </c>
      <c r="G89" s="119" t="s">
        <v>683</v>
      </c>
      <c r="H89" s="104" t="s">
        <v>670</v>
      </c>
      <c r="I89" s="105" t="s">
        <v>501</v>
      </c>
      <c r="J89" s="104" t="s">
        <v>502</v>
      </c>
      <c r="K89" s="105" t="s">
        <v>143</v>
      </c>
      <c r="L89" s="105" t="s">
        <v>144</v>
      </c>
      <c r="M89" s="105" t="s">
        <v>145</v>
      </c>
      <c r="N89" s="106" t="s">
        <v>426</v>
      </c>
      <c r="O89" s="102" t="s">
        <v>538</v>
      </c>
      <c r="P89" s="105" t="s">
        <v>539</v>
      </c>
      <c r="Q89" s="105"/>
      <c r="R89" s="105">
        <v>8.40353925434E11</v>
      </c>
      <c r="S89" s="105"/>
      <c r="T89" s="105" t="s">
        <v>160</v>
      </c>
      <c r="U89" s="107" t="s">
        <v>540</v>
      </c>
      <c r="V89" s="108" t="s">
        <v>541</v>
      </c>
      <c r="W89" s="122" t="s">
        <v>542</v>
      </c>
      <c r="X89" s="122" t="s">
        <v>543</v>
      </c>
      <c r="Y89" s="109" t="s">
        <v>684</v>
      </c>
      <c r="Z89" s="109" t="s">
        <v>685</v>
      </c>
      <c r="AA89" s="100" t="s">
        <v>686</v>
      </c>
      <c r="AB89" s="110" t="s">
        <v>119</v>
      </c>
      <c r="AC89" s="105" t="s">
        <v>120</v>
      </c>
      <c r="AD89" s="100" t="s">
        <v>119</v>
      </c>
      <c r="AE89" s="100" t="s">
        <v>119</v>
      </c>
      <c r="AF89" s="100" t="s">
        <v>121</v>
      </c>
      <c r="AG89" s="100" t="s">
        <v>119</v>
      </c>
      <c r="AH89" s="100" t="s">
        <v>119</v>
      </c>
      <c r="AI89" s="102" t="s">
        <v>119</v>
      </c>
      <c r="AJ89" s="102" t="s">
        <v>119</v>
      </c>
      <c r="AK89" s="111" t="s">
        <v>119</v>
      </c>
      <c r="AL89" s="102" t="s">
        <v>119</v>
      </c>
      <c r="AM89" s="102" t="s">
        <v>120</v>
      </c>
      <c r="AN89" s="102" t="s">
        <v>120</v>
      </c>
      <c r="AO89" s="162" t="s">
        <v>511</v>
      </c>
      <c r="AP89" s="113" t="s">
        <v>132</v>
      </c>
      <c r="AQ89" s="103"/>
      <c r="AR89" s="114" t="s">
        <v>124</v>
      </c>
      <c r="AS89" s="115" t="s">
        <v>133</v>
      </c>
      <c r="AT89" s="102" t="str">
        <f t="array" ref="AT89">INDEX('label approval artwork'!A:A,MATCH(G89,'label approval artwork'!F:F,0))</f>
        <v>G990-08530-32-B</v>
      </c>
      <c r="AU89" s="116" t="s">
        <v>512</v>
      </c>
      <c r="AV89" s="102" t="s">
        <v>674</v>
      </c>
      <c r="AW89" s="103" t="s">
        <v>675</v>
      </c>
      <c r="AX89" s="102" t="s">
        <v>676</v>
      </c>
      <c r="AY89" s="102" t="s">
        <v>437</v>
      </c>
    </row>
    <row r="90">
      <c r="A90" s="118">
        <v>82.0</v>
      </c>
      <c r="B90" s="100" t="s">
        <v>99</v>
      </c>
      <c r="C90" s="101" t="s">
        <v>39</v>
      </c>
      <c r="D90" s="102" t="s">
        <v>138</v>
      </c>
      <c r="E90" s="100" t="s">
        <v>523</v>
      </c>
      <c r="F90" s="100" t="s">
        <v>687</v>
      </c>
      <c r="G90" s="119" t="s">
        <v>688</v>
      </c>
      <c r="H90" s="104" t="s">
        <v>670</v>
      </c>
      <c r="I90" s="105" t="s">
        <v>501</v>
      </c>
      <c r="J90" s="104" t="s">
        <v>502</v>
      </c>
      <c r="K90" s="105" t="s">
        <v>196</v>
      </c>
      <c r="L90" s="105" t="s">
        <v>197</v>
      </c>
      <c r="M90" s="105" t="s">
        <v>198</v>
      </c>
      <c r="N90" s="106" t="s">
        <v>426</v>
      </c>
      <c r="O90" s="102" t="s">
        <v>538</v>
      </c>
      <c r="P90" s="105" t="s">
        <v>539</v>
      </c>
      <c r="Q90" s="105"/>
      <c r="R90" s="105">
        <v>8.40353925472E11</v>
      </c>
      <c r="S90" s="105"/>
      <c r="T90" s="105" t="s">
        <v>160</v>
      </c>
      <c r="U90" s="107" t="s">
        <v>540</v>
      </c>
      <c r="V90" s="108" t="s">
        <v>541</v>
      </c>
      <c r="W90" s="122" t="s">
        <v>542</v>
      </c>
      <c r="X90" s="122" t="s">
        <v>543</v>
      </c>
      <c r="Y90" s="109" t="s">
        <v>689</v>
      </c>
      <c r="Z90" s="109" t="s">
        <v>690</v>
      </c>
      <c r="AA90" s="100" t="s">
        <v>691</v>
      </c>
      <c r="AB90" s="110" t="s">
        <v>119</v>
      </c>
      <c r="AC90" s="105" t="s">
        <v>120</v>
      </c>
      <c r="AD90" s="100" t="s">
        <v>119</v>
      </c>
      <c r="AE90" s="100" t="s">
        <v>119</v>
      </c>
      <c r="AF90" s="100" t="s">
        <v>121</v>
      </c>
      <c r="AG90" s="100" t="s">
        <v>119</v>
      </c>
      <c r="AH90" s="100" t="s">
        <v>119</v>
      </c>
      <c r="AI90" s="102" t="s">
        <v>119</v>
      </c>
      <c r="AJ90" s="102" t="s">
        <v>119</v>
      </c>
      <c r="AK90" s="111" t="s">
        <v>119</v>
      </c>
      <c r="AL90" s="102" t="s">
        <v>119</v>
      </c>
      <c r="AM90" s="102" t="s">
        <v>120</v>
      </c>
      <c r="AN90" s="102" t="s">
        <v>120</v>
      </c>
      <c r="AO90" s="162" t="s">
        <v>511</v>
      </c>
      <c r="AP90" s="113" t="s">
        <v>132</v>
      </c>
      <c r="AQ90" s="103"/>
      <c r="AR90" s="114" t="s">
        <v>124</v>
      </c>
      <c r="AS90" s="115" t="s">
        <v>133</v>
      </c>
      <c r="AT90" s="102" t="str">
        <f t="array" ref="AT90">INDEX('label approval artwork'!A:A,MATCH(G90,'label approval artwork'!F:F,0))</f>
        <v>G990-08530-42-B</v>
      </c>
      <c r="AU90" s="116" t="s">
        <v>512</v>
      </c>
      <c r="AV90" s="102" t="s">
        <v>674</v>
      </c>
      <c r="AW90" s="103" t="s">
        <v>675</v>
      </c>
      <c r="AX90" s="102" t="s">
        <v>676</v>
      </c>
      <c r="AY90" s="102" t="s">
        <v>437</v>
      </c>
    </row>
    <row r="91">
      <c r="A91" s="99">
        <v>83.0</v>
      </c>
      <c r="B91" s="100" t="s">
        <v>41</v>
      </c>
      <c r="C91" s="101" t="s">
        <v>41</v>
      </c>
      <c r="D91" s="102" t="s">
        <v>138</v>
      </c>
      <c r="E91" s="100" t="s">
        <v>205</v>
      </c>
      <c r="F91" s="100"/>
      <c r="G91" s="119" t="s">
        <v>692</v>
      </c>
      <c r="H91" s="104" t="s">
        <v>425</v>
      </c>
      <c r="I91" s="105" t="s">
        <v>142</v>
      </c>
      <c r="J91" s="104" t="s">
        <v>105</v>
      </c>
      <c r="K91" s="105" t="s">
        <v>106</v>
      </c>
      <c r="L91" s="105" t="s">
        <v>107</v>
      </c>
      <c r="M91" s="105" t="s">
        <v>108</v>
      </c>
      <c r="N91" s="106" t="s">
        <v>426</v>
      </c>
      <c r="O91" s="102" t="s">
        <v>146</v>
      </c>
      <c r="P91" s="105" t="s">
        <v>427</v>
      </c>
      <c r="Q91" s="105"/>
      <c r="R91" s="105">
        <v>8.40353937598E11</v>
      </c>
      <c r="S91" s="105"/>
      <c r="T91" s="105" t="s">
        <v>148</v>
      </c>
      <c r="U91" s="107" t="s">
        <v>428</v>
      </c>
      <c r="V91" s="108" t="s">
        <v>429</v>
      </c>
      <c r="W91" s="109" t="s">
        <v>693</v>
      </c>
      <c r="X91" s="109" t="s">
        <v>694</v>
      </c>
      <c r="Y91" s="109" t="s">
        <v>695</v>
      </c>
      <c r="Z91" s="109" t="s">
        <v>696</v>
      </c>
      <c r="AA91" s="100" t="s">
        <v>697</v>
      </c>
      <c r="AB91" s="110" t="s">
        <v>119</v>
      </c>
      <c r="AC91" s="105" t="s">
        <v>120</v>
      </c>
      <c r="AD91" s="100" t="s">
        <v>120</v>
      </c>
      <c r="AE91" s="100" t="s">
        <v>120</v>
      </c>
      <c r="AF91" s="100" t="s">
        <v>121</v>
      </c>
      <c r="AG91" s="100" t="s">
        <v>119</v>
      </c>
      <c r="AH91" s="100" t="s">
        <v>119</v>
      </c>
      <c r="AI91" s="102" t="s">
        <v>119</v>
      </c>
      <c r="AJ91" s="102" t="s">
        <v>119</v>
      </c>
      <c r="AK91" s="111" t="s">
        <v>119</v>
      </c>
      <c r="AL91" s="102" t="s">
        <v>120</v>
      </c>
      <c r="AM91" s="102" t="s">
        <v>120</v>
      </c>
      <c r="AN91" s="102" t="s">
        <v>120</v>
      </c>
      <c r="AO91" s="112" t="s">
        <v>131</v>
      </c>
      <c r="AP91" s="113" t="s">
        <v>132</v>
      </c>
      <c r="AQ91" s="103"/>
      <c r="AR91" s="114" t="s">
        <v>124</v>
      </c>
      <c r="AS91" s="115" t="s">
        <v>133</v>
      </c>
      <c r="AT91" s="102" t="str">
        <f t="array" ref="AT91">INDEX('label approval artwork'!A:A,MATCH(G91,'label approval artwork'!F:F,0))</f>
        <v>#VALUE!</v>
      </c>
      <c r="AU91" s="103" t="str">
        <f t="array" ref="AU91">INDEX('label approval artwork'!B:B,MATCH(G91,'label approval artwork'!F:F,0))</f>
        <v>#VALUE!</v>
      </c>
      <c r="AV91" s="102"/>
      <c r="AW91" s="102"/>
      <c r="AX91" s="102" t="s">
        <v>436</v>
      </c>
      <c r="AY91" s="102" t="s">
        <v>437</v>
      </c>
    </row>
    <row r="92">
      <c r="A92" s="118">
        <v>84.0</v>
      </c>
      <c r="B92" s="100" t="s">
        <v>41</v>
      </c>
      <c r="C92" s="101" t="s">
        <v>41</v>
      </c>
      <c r="D92" s="102" t="s">
        <v>138</v>
      </c>
      <c r="E92" s="100" t="s">
        <v>242</v>
      </c>
      <c r="F92" s="100"/>
      <c r="G92" s="119" t="s">
        <v>698</v>
      </c>
      <c r="H92" s="104" t="s">
        <v>425</v>
      </c>
      <c r="I92" s="105" t="s">
        <v>142</v>
      </c>
      <c r="J92" s="104" t="s">
        <v>105</v>
      </c>
      <c r="K92" s="105" t="s">
        <v>244</v>
      </c>
      <c r="L92" s="105" t="s">
        <v>245</v>
      </c>
      <c r="M92" s="105" t="s">
        <v>246</v>
      </c>
      <c r="N92" s="106" t="s">
        <v>426</v>
      </c>
      <c r="O92" s="102" t="s">
        <v>146</v>
      </c>
      <c r="P92" s="105" t="s">
        <v>427</v>
      </c>
      <c r="Q92" s="105"/>
      <c r="R92" s="105">
        <v>8.40353937635E11</v>
      </c>
      <c r="S92" s="105"/>
      <c r="T92" s="105" t="s">
        <v>148</v>
      </c>
      <c r="U92" s="107" t="s">
        <v>428</v>
      </c>
      <c r="V92" s="108" t="s">
        <v>429</v>
      </c>
      <c r="W92" s="109" t="s">
        <v>699</v>
      </c>
      <c r="X92" s="109" t="s">
        <v>700</v>
      </c>
      <c r="Y92" s="109" t="s">
        <v>701</v>
      </c>
      <c r="Z92" s="109" t="s">
        <v>702</v>
      </c>
      <c r="AA92" s="100" t="s">
        <v>703</v>
      </c>
      <c r="AB92" s="110" t="s">
        <v>119</v>
      </c>
      <c r="AC92" s="105" t="s">
        <v>120</v>
      </c>
      <c r="AD92" s="100" t="s">
        <v>120</v>
      </c>
      <c r="AE92" s="100" t="s">
        <v>120</v>
      </c>
      <c r="AF92" s="100" t="s">
        <v>121</v>
      </c>
      <c r="AG92" s="100" t="s">
        <v>119</v>
      </c>
      <c r="AH92" s="100" t="s">
        <v>119</v>
      </c>
      <c r="AI92" s="102" t="s">
        <v>119</v>
      </c>
      <c r="AJ92" s="102" t="s">
        <v>119</v>
      </c>
      <c r="AK92" s="111" t="s">
        <v>119</v>
      </c>
      <c r="AL92" s="102" t="s">
        <v>120</v>
      </c>
      <c r="AM92" s="102" t="s">
        <v>120</v>
      </c>
      <c r="AN92" s="102" t="s">
        <v>120</v>
      </c>
      <c r="AO92" s="112" t="s">
        <v>131</v>
      </c>
      <c r="AP92" s="113" t="s">
        <v>132</v>
      </c>
      <c r="AQ92" s="103"/>
      <c r="AR92" s="114" t="s">
        <v>124</v>
      </c>
      <c r="AS92" s="115" t="s">
        <v>133</v>
      </c>
      <c r="AT92" s="102" t="str">
        <f t="array" ref="AT92">INDEX('label approval artwork'!A:A,MATCH(G92,'label approval artwork'!F:F,0))</f>
        <v>#VALUE!</v>
      </c>
      <c r="AU92" s="103" t="str">
        <f t="array" ref="AU92">INDEX('label approval artwork'!B:B,MATCH(G92,'label approval artwork'!F:F,0))</f>
        <v>#VALUE!</v>
      </c>
      <c r="AV92" s="102"/>
      <c r="AW92" s="102"/>
      <c r="AX92" s="102" t="s">
        <v>436</v>
      </c>
      <c r="AY92" s="102" t="s">
        <v>437</v>
      </c>
    </row>
    <row r="93">
      <c r="A93" s="99">
        <v>85.0</v>
      </c>
      <c r="B93" s="100" t="s">
        <v>41</v>
      </c>
      <c r="C93" s="101" t="s">
        <v>41</v>
      </c>
      <c r="D93" s="102" t="s">
        <v>138</v>
      </c>
      <c r="E93" s="100" t="s">
        <v>139</v>
      </c>
      <c r="F93" s="100"/>
      <c r="G93" s="119" t="s">
        <v>704</v>
      </c>
      <c r="H93" s="104" t="s">
        <v>425</v>
      </c>
      <c r="I93" s="105" t="s">
        <v>142</v>
      </c>
      <c r="J93" s="104" t="s">
        <v>105</v>
      </c>
      <c r="K93" s="105" t="s">
        <v>143</v>
      </c>
      <c r="L93" s="105" t="s">
        <v>144</v>
      </c>
      <c r="M93" s="105" t="s">
        <v>145</v>
      </c>
      <c r="N93" s="106" t="s">
        <v>426</v>
      </c>
      <c r="O93" s="102" t="s">
        <v>146</v>
      </c>
      <c r="P93" s="105" t="s">
        <v>427</v>
      </c>
      <c r="Q93" s="105"/>
      <c r="R93" s="105">
        <v>8.40353937673E11</v>
      </c>
      <c r="S93" s="105"/>
      <c r="T93" s="105" t="s">
        <v>148</v>
      </c>
      <c r="U93" s="107" t="s">
        <v>428</v>
      </c>
      <c r="V93" s="108" t="s">
        <v>429</v>
      </c>
      <c r="W93" s="109" t="s">
        <v>705</v>
      </c>
      <c r="X93" s="109" t="s">
        <v>706</v>
      </c>
      <c r="Y93" s="109" t="s">
        <v>707</v>
      </c>
      <c r="Z93" s="109" t="s">
        <v>708</v>
      </c>
      <c r="AA93" s="100" t="s">
        <v>709</v>
      </c>
      <c r="AB93" s="110" t="s">
        <v>119</v>
      </c>
      <c r="AC93" s="105" t="s">
        <v>120</v>
      </c>
      <c r="AD93" s="100" t="s">
        <v>120</v>
      </c>
      <c r="AE93" s="100" t="s">
        <v>120</v>
      </c>
      <c r="AF93" s="100" t="s">
        <v>121</v>
      </c>
      <c r="AG93" s="100" t="s">
        <v>119</v>
      </c>
      <c r="AH93" s="100" t="s">
        <v>119</v>
      </c>
      <c r="AI93" s="102" t="s">
        <v>119</v>
      </c>
      <c r="AJ93" s="102" t="s">
        <v>119</v>
      </c>
      <c r="AK93" s="111" t="s">
        <v>119</v>
      </c>
      <c r="AL93" s="102" t="s">
        <v>120</v>
      </c>
      <c r="AM93" s="102" t="s">
        <v>120</v>
      </c>
      <c r="AN93" s="102" t="s">
        <v>120</v>
      </c>
      <c r="AO93" s="112" t="s">
        <v>131</v>
      </c>
      <c r="AP93" s="113" t="s">
        <v>132</v>
      </c>
      <c r="AQ93" s="103"/>
      <c r="AR93" s="114" t="s">
        <v>124</v>
      </c>
      <c r="AS93" s="115" t="s">
        <v>133</v>
      </c>
      <c r="AT93" s="102" t="str">
        <f t="array" ref="AT93">INDEX('label approval artwork'!A:A,MATCH(G93,'label approval artwork'!F:F,0))</f>
        <v>#VALUE!</v>
      </c>
      <c r="AU93" s="103" t="str">
        <f t="array" ref="AU93">INDEX('label approval artwork'!B:B,MATCH(G93,'label approval artwork'!F:F,0))</f>
        <v>#VALUE!</v>
      </c>
      <c r="AV93" s="102"/>
      <c r="AW93" s="102"/>
      <c r="AX93" s="102" t="s">
        <v>436</v>
      </c>
      <c r="AY93" s="102" t="s">
        <v>437</v>
      </c>
    </row>
    <row r="94">
      <c r="A94" s="118">
        <v>86.0</v>
      </c>
      <c r="B94" s="100" t="s">
        <v>41</v>
      </c>
      <c r="C94" s="101" t="s">
        <v>41</v>
      </c>
      <c r="D94" s="102" t="s">
        <v>138</v>
      </c>
      <c r="E94" s="100" t="s">
        <v>194</v>
      </c>
      <c r="F94" s="100"/>
      <c r="G94" s="119" t="s">
        <v>710</v>
      </c>
      <c r="H94" s="104" t="s">
        <v>425</v>
      </c>
      <c r="I94" s="105" t="s">
        <v>159</v>
      </c>
      <c r="J94" s="104" t="s">
        <v>105</v>
      </c>
      <c r="K94" s="105" t="s">
        <v>196</v>
      </c>
      <c r="L94" s="105" t="s">
        <v>197</v>
      </c>
      <c r="M94" s="105" t="s">
        <v>198</v>
      </c>
      <c r="N94" s="106" t="s">
        <v>426</v>
      </c>
      <c r="O94" s="102" t="s">
        <v>146</v>
      </c>
      <c r="P94" s="105" t="s">
        <v>427</v>
      </c>
      <c r="Q94" s="105"/>
      <c r="R94" s="105">
        <v>8.40353937871E11</v>
      </c>
      <c r="S94" s="105"/>
      <c r="T94" s="105" t="s">
        <v>160</v>
      </c>
      <c r="U94" s="107" t="s">
        <v>428</v>
      </c>
      <c r="V94" s="108" t="s">
        <v>429</v>
      </c>
      <c r="W94" s="109" t="s">
        <v>711</v>
      </c>
      <c r="X94" s="109" t="s">
        <v>712</v>
      </c>
      <c r="Y94" s="109" t="s">
        <v>713</v>
      </c>
      <c r="Z94" s="109" t="s">
        <v>714</v>
      </c>
      <c r="AA94" s="100" t="s">
        <v>715</v>
      </c>
      <c r="AB94" s="110" t="s">
        <v>119</v>
      </c>
      <c r="AC94" s="105" t="s">
        <v>120</v>
      </c>
      <c r="AD94" s="100" t="s">
        <v>120</v>
      </c>
      <c r="AE94" s="100" t="s">
        <v>120</v>
      </c>
      <c r="AF94" s="100" t="s">
        <v>121</v>
      </c>
      <c r="AG94" s="100" t="s">
        <v>119</v>
      </c>
      <c r="AH94" s="100" t="s">
        <v>119</v>
      </c>
      <c r="AI94" s="102" t="s">
        <v>119</v>
      </c>
      <c r="AJ94" s="102" t="s">
        <v>119</v>
      </c>
      <c r="AK94" s="111" t="s">
        <v>119</v>
      </c>
      <c r="AL94" s="102" t="s">
        <v>120</v>
      </c>
      <c r="AM94" s="102" t="s">
        <v>120</v>
      </c>
      <c r="AN94" s="102" t="s">
        <v>120</v>
      </c>
      <c r="AO94" s="112" t="s">
        <v>131</v>
      </c>
      <c r="AP94" s="113" t="s">
        <v>132</v>
      </c>
      <c r="AQ94" s="103"/>
      <c r="AR94" s="114" t="s">
        <v>124</v>
      </c>
      <c r="AS94" s="115" t="s">
        <v>133</v>
      </c>
      <c r="AT94" s="102" t="str">
        <f t="array" ref="AT94">INDEX('label approval artwork'!A:A,MATCH(G94,'label approval artwork'!F:F,0))</f>
        <v>#VALUE!</v>
      </c>
      <c r="AU94" s="103" t="str">
        <f t="array" ref="AU94">INDEX('label approval artwork'!B:B,MATCH(G94,'label approval artwork'!F:F,0))</f>
        <v>#VALUE!</v>
      </c>
      <c r="AV94" s="102"/>
      <c r="AW94" s="102"/>
      <c r="AX94" s="102" t="s">
        <v>436</v>
      </c>
      <c r="AY94" s="102" t="s">
        <v>437</v>
      </c>
    </row>
    <row r="95">
      <c r="A95" s="99">
        <v>87.0</v>
      </c>
      <c r="B95" s="100" t="s">
        <v>41</v>
      </c>
      <c r="C95" s="101" t="s">
        <v>41</v>
      </c>
      <c r="D95" s="102" t="s">
        <v>138</v>
      </c>
      <c r="E95" s="100" t="s">
        <v>498</v>
      </c>
      <c r="F95" s="100"/>
      <c r="G95" s="119" t="s">
        <v>716</v>
      </c>
      <c r="H95" s="104" t="s">
        <v>500</v>
      </c>
      <c r="I95" s="105" t="s">
        <v>501</v>
      </c>
      <c r="J95" s="104" t="s">
        <v>502</v>
      </c>
      <c r="K95" s="105" t="s">
        <v>106</v>
      </c>
      <c r="L95" s="105" t="s">
        <v>107</v>
      </c>
      <c r="M95" s="105" t="s">
        <v>108</v>
      </c>
      <c r="N95" s="106" t="s">
        <v>426</v>
      </c>
      <c r="O95" s="102" t="s">
        <v>503</v>
      </c>
      <c r="P95" s="105" t="s">
        <v>504</v>
      </c>
      <c r="Q95" s="105"/>
      <c r="R95" s="105">
        <v>8.40353937604E11</v>
      </c>
      <c r="S95" s="105"/>
      <c r="T95" s="105" t="s">
        <v>160</v>
      </c>
      <c r="U95" s="107" t="s">
        <v>500</v>
      </c>
      <c r="V95" s="108" t="s">
        <v>505</v>
      </c>
      <c r="W95" s="122" t="s">
        <v>506</v>
      </c>
      <c r="X95" s="122" t="s">
        <v>507</v>
      </c>
      <c r="Y95" s="109" t="s">
        <v>717</v>
      </c>
      <c r="Z95" s="109" t="s">
        <v>718</v>
      </c>
      <c r="AA95" s="100" t="s">
        <v>719</v>
      </c>
      <c r="AB95" s="110" t="s">
        <v>119</v>
      </c>
      <c r="AC95" s="105" t="s">
        <v>120</v>
      </c>
      <c r="AD95" s="100" t="s">
        <v>120</v>
      </c>
      <c r="AE95" s="100" t="s">
        <v>119</v>
      </c>
      <c r="AF95" s="100" t="s">
        <v>121</v>
      </c>
      <c r="AG95" s="100" t="s">
        <v>119</v>
      </c>
      <c r="AH95" s="100" t="s">
        <v>119</v>
      </c>
      <c r="AI95" s="102" t="s">
        <v>119</v>
      </c>
      <c r="AJ95" s="102" t="s">
        <v>119</v>
      </c>
      <c r="AK95" s="111" t="s">
        <v>119</v>
      </c>
      <c r="AL95" s="102" t="s">
        <v>120</v>
      </c>
      <c r="AM95" s="102" t="s">
        <v>120</v>
      </c>
      <c r="AN95" s="102" t="s">
        <v>120</v>
      </c>
      <c r="AO95" s="162" t="s">
        <v>511</v>
      </c>
      <c r="AP95" s="113" t="s">
        <v>132</v>
      </c>
      <c r="AQ95" s="103"/>
      <c r="AR95" s="114" t="s">
        <v>124</v>
      </c>
      <c r="AS95" s="115" t="s">
        <v>133</v>
      </c>
      <c r="AT95" s="102" t="str">
        <f t="array" ref="AT95">INDEX('label approval artwork'!A:A,MATCH(G95,'label approval artwork'!F:F,0))</f>
        <v>#VALUE!</v>
      </c>
      <c r="AU95" s="116" t="s">
        <v>512</v>
      </c>
      <c r="AV95" s="102"/>
      <c r="AW95" s="102"/>
      <c r="AX95" s="102" t="s">
        <v>436</v>
      </c>
      <c r="AY95" s="102" t="s">
        <v>437</v>
      </c>
    </row>
    <row r="96">
      <c r="A96" s="118">
        <v>88.0</v>
      </c>
      <c r="B96" s="100" t="s">
        <v>41</v>
      </c>
      <c r="C96" s="101" t="s">
        <v>41</v>
      </c>
      <c r="D96" s="102" t="s">
        <v>138</v>
      </c>
      <c r="E96" s="100" t="s">
        <v>513</v>
      </c>
      <c r="F96" s="100"/>
      <c r="G96" s="119" t="s">
        <v>720</v>
      </c>
      <c r="H96" s="104" t="s">
        <v>500</v>
      </c>
      <c r="I96" s="105" t="s">
        <v>501</v>
      </c>
      <c r="J96" s="104" t="s">
        <v>502</v>
      </c>
      <c r="K96" s="105" t="s">
        <v>244</v>
      </c>
      <c r="L96" s="105" t="s">
        <v>245</v>
      </c>
      <c r="M96" s="105" t="s">
        <v>246</v>
      </c>
      <c r="N96" s="106" t="s">
        <v>426</v>
      </c>
      <c r="O96" s="102" t="s">
        <v>503</v>
      </c>
      <c r="P96" s="105" t="s">
        <v>504</v>
      </c>
      <c r="Q96" s="105"/>
      <c r="R96" s="105">
        <v>8.40353937642E11</v>
      </c>
      <c r="S96" s="105"/>
      <c r="T96" s="105" t="s">
        <v>160</v>
      </c>
      <c r="U96" s="107" t="s">
        <v>500</v>
      </c>
      <c r="V96" s="108" t="s">
        <v>505</v>
      </c>
      <c r="W96" s="122" t="s">
        <v>506</v>
      </c>
      <c r="X96" s="122" t="s">
        <v>507</v>
      </c>
      <c r="Y96" s="109" t="s">
        <v>721</v>
      </c>
      <c r="Z96" s="109" t="s">
        <v>722</v>
      </c>
      <c r="AA96" s="100" t="s">
        <v>723</v>
      </c>
      <c r="AB96" s="110" t="s">
        <v>119</v>
      </c>
      <c r="AC96" s="105" t="s">
        <v>120</v>
      </c>
      <c r="AD96" s="100" t="s">
        <v>120</v>
      </c>
      <c r="AE96" s="100" t="s">
        <v>119</v>
      </c>
      <c r="AF96" s="100" t="s">
        <v>121</v>
      </c>
      <c r="AG96" s="100" t="s">
        <v>119</v>
      </c>
      <c r="AH96" s="100" t="s">
        <v>119</v>
      </c>
      <c r="AI96" s="102" t="s">
        <v>119</v>
      </c>
      <c r="AJ96" s="102" t="s">
        <v>119</v>
      </c>
      <c r="AK96" s="111" t="s">
        <v>119</v>
      </c>
      <c r="AL96" s="102" t="s">
        <v>120</v>
      </c>
      <c r="AM96" s="102" t="s">
        <v>120</v>
      </c>
      <c r="AN96" s="102" t="s">
        <v>120</v>
      </c>
      <c r="AO96" s="162" t="s">
        <v>511</v>
      </c>
      <c r="AP96" s="113" t="s">
        <v>132</v>
      </c>
      <c r="AQ96" s="103"/>
      <c r="AR96" s="114" t="s">
        <v>124</v>
      </c>
      <c r="AS96" s="115" t="s">
        <v>133</v>
      </c>
      <c r="AT96" s="102" t="str">
        <f t="array" ref="AT96">INDEX('label approval artwork'!A:A,MATCH(G96,'label approval artwork'!F:F,0))</f>
        <v>#VALUE!</v>
      </c>
      <c r="AU96" s="116" t="s">
        <v>512</v>
      </c>
      <c r="AV96" s="102"/>
      <c r="AW96" s="102"/>
      <c r="AX96" s="102" t="s">
        <v>436</v>
      </c>
      <c r="AY96" s="102" t="s">
        <v>437</v>
      </c>
    </row>
    <row r="97">
      <c r="A97" s="99">
        <v>89.0</v>
      </c>
      <c r="B97" s="100" t="s">
        <v>41</v>
      </c>
      <c r="C97" s="101" t="s">
        <v>41</v>
      </c>
      <c r="D97" s="102" t="s">
        <v>138</v>
      </c>
      <c r="E97" s="100" t="s">
        <v>518</v>
      </c>
      <c r="F97" s="100"/>
      <c r="G97" s="119" t="s">
        <v>724</v>
      </c>
      <c r="H97" s="104" t="s">
        <v>500</v>
      </c>
      <c r="I97" s="105" t="s">
        <v>501</v>
      </c>
      <c r="J97" s="104" t="s">
        <v>502</v>
      </c>
      <c r="K97" s="105" t="s">
        <v>143</v>
      </c>
      <c r="L97" s="105" t="s">
        <v>144</v>
      </c>
      <c r="M97" s="105" t="s">
        <v>145</v>
      </c>
      <c r="N97" s="106" t="s">
        <v>426</v>
      </c>
      <c r="O97" s="102" t="s">
        <v>503</v>
      </c>
      <c r="P97" s="105" t="s">
        <v>504</v>
      </c>
      <c r="Q97" s="105"/>
      <c r="R97" s="105">
        <v>8.4035393768E11</v>
      </c>
      <c r="S97" s="105"/>
      <c r="T97" s="105" t="s">
        <v>160</v>
      </c>
      <c r="U97" s="107" t="s">
        <v>500</v>
      </c>
      <c r="V97" s="108" t="s">
        <v>505</v>
      </c>
      <c r="W97" s="122" t="s">
        <v>506</v>
      </c>
      <c r="X97" s="122" t="s">
        <v>507</v>
      </c>
      <c r="Y97" s="109" t="s">
        <v>725</v>
      </c>
      <c r="Z97" s="109" t="s">
        <v>726</v>
      </c>
      <c r="AA97" s="100" t="s">
        <v>727</v>
      </c>
      <c r="AB97" s="110" t="s">
        <v>119</v>
      </c>
      <c r="AC97" s="105" t="s">
        <v>120</v>
      </c>
      <c r="AD97" s="100" t="s">
        <v>120</v>
      </c>
      <c r="AE97" s="100" t="s">
        <v>119</v>
      </c>
      <c r="AF97" s="100" t="s">
        <v>121</v>
      </c>
      <c r="AG97" s="100" t="s">
        <v>119</v>
      </c>
      <c r="AH97" s="100" t="s">
        <v>119</v>
      </c>
      <c r="AI97" s="102" t="s">
        <v>119</v>
      </c>
      <c r="AJ97" s="102" t="s">
        <v>119</v>
      </c>
      <c r="AK97" s="111" t="s">
        <v>119</v>
      </c>
      <c r="AL97" s="102" t="s">
        <v>120</v>
      </c>
      <c r="AM97" s="102" t="s">
        <v>120</v>
      </c>
      <c r="AN97" s="102" t="s">
        <v>120</v>
      </c>
      <c r="AO97" s="162" t="s">
        <v>511</v>
      </c>
      <c r="AP97" s="113" t="s">
        <v>132</v>
      </c>
      <c r="AQ97" s="103"/>
      <c r="AR97" s="114" t="s">
        <v>124</v>
      </c>
      <c r="AS97" s="115" t="s">
        <v>133</v>
      </c>
      <c r="AT97" s="102" t="str">
        <f t="array" ref="AT97">INDEX('label approval artwork'!A:A,MATCH(G97,'label approval artwork'!F:F,0))</f>
        <v>#VALUE!</v>
      </c>
      <c r="AU97" s="116" t="s">
        <v>512</v>
      </c>
      <c r="AV97" s="102"/>
      <c r="AW97" s="102"/>
      <c r="AX97" s="102" t="s">
        <v>436</v>
      </c>
      <c r="AY97" s="102" t="s">
        <v>437</v>
      </c>
    </row>
    <row r="98">
      <c r="A98" s="118">
        <v>90.0</v>
      </c>
      <c r="B98" s="100" t="s">
        <v>41</v>
      </c>
      <c r="C98" s="101" t="s">
        <v>41</v>
      </c>
      <c r="D98" s="102" t="s">
        <v>138</v>
      </c>
      <c r="E98" s="100" t="s">
        <v>523</v>
      </c>
      <c r="F98" s="100"/>
      <c r="G98" s="119" t="s">
        <v>728</v>
      </c>
      <c r="H98" s="104" t="s">
        <v>500</v>
      </c>
      <c r="I98" s="105" t="s">
        <v>501</v>
      </c>
      <c r="J98" s="104" t="s">
        <v>502</v>
      </c>
      <c r="K98" s="105" t="s">
        <v>196</v>
      </c>
      <c r="L98" s="105" t="s">
        <v>197</v>
      </c>
      <c r="M98" s="105" t="s">
        <v>198</v>
      </c>
      <c r="N98" s="106" t="s">
        <v>426</v>
      </c>
      <c r="O98" s="102" t="s">
        <v>503</v>
      </c>
      <c r="P98" s="105" t="s">
        <v>504</v>
      </c>
      <c r="Q98" s="105"/>
      <c r="R98" s="105">
        <v>8.40353937888E11</v>
      </c>
      <c r="S98" s="105"/>
      <c r="T98" s="105" t="s">
        <v>160</v>
      </c>
      <c r="U98" s="107" t="s">
        <v>500</v>
      </c>
      <c r="V98" s="108" t="s">
        <v>505</v>
      </c>
      <c r="W98" s="122" t="s">
        <v>506</v>
      </c>
      <c r="X98" s="122" t="s">
        <v>507</v>
      </c>
      <c r="Y98" s="109" t="s">
        <v>729</v>
      </c>
      <c r="Z98" s="109" t="s">
        <v>730</v>
      </c>
      <c r="AA98" s="100" t="s">
        <v>731</v>
      </c>
      <c r="AB98" s="110" t="s">
        <v>119</v>
      </c>
      <c r="AC98" s="105" t="s">
        <v>120</v>
      </c>
      <c r="AD98" s="100" t="s">
        <v>120</v>
      </c>
      <c r="AE98" s="100" t="s">
        <v>119</v>
      </c>
      <c r="AF98" s="100" t="s">
        <v>121</v>
      </c>
      <c r="AG98" s="100" t="s">
        <v>119</v>
      </c>
      <c r="AH98" s="100" t="s">
        <v>119</v>
      </c>
      <c r="AI98" s="102" t="s">
        <v>119</v>
      </c>
      <c r="AJ98" s="102" t="s">
        <v>119</v>
      </c>
      <c r="AK98" s="111" t="s">
        <v>119</v>
      </c>
      <c r="AL98" s="102" t="s">
        <v>120</v>
      </c>
      <c r="AM98" s="102" t="s">
        <v>120</v>
      </c>
      <c r="AN98" s="102" t="s">
        <v>120</v>
      </c>
      <c r="AO98" s="162" t="s">
        <v>511</v>
      </c>
      <c r="AP98" s="113" t="s">
        <v>132</v>
      </c>
      <c r="AQ98" s="103"/>
      <c r="AR98" s="114" t="s">
        <v>124</v>
      </c>
      <c r="AS98" s="115" t="s">
        <v>133</v>
      </c>
      <c r="AT98" s="102" t="str">
        <f t="array" ref="AT98">INDEX('label approval artwork'!A:A,MATCH(G98,'label approval artwork'!F:F,0))</f>
        <v>#VALUE!</v>
      </c>
      <c r="AU98" s="116" t="s">
        <v>512</v>
      </c>
      <c r="AV98" s="102"/>
      <c r="AW98" s="102"/>
      <c r="AX98" s="102" t="s">
        <v>436</v>
      </c>
      <c r="AY98" s="102" t="s">
        <v>437</v>
      </c>
    </row>
    <row r="99">
      <c r="A99" s="99">
        <v>91.0</v>
      </c>
      <c r="B99" s="100" t="s">
        <v>41</v>
      </c>
      <c r="C99" s="101" t="s">
        <v>41</v>
      </c>
      <c r="D99" s="102" t="s">
        <v>138</v>
      </c>
      <c r="E99" s="100" t="s">
        <v>534</v>
      </c>
      <c r="F99" s="100"/>
      <c r="G99" s="119" t="s">
        <v>732</v>
      </c>
      <c r="H99" s="104" t="s">
        <v>536</v>
      </c>
      <c r="I99" s="105" t="s">
        <v>537</v>
      </c>
      <c r="J99" s="104" t="s">
        <v>502</v>
      </c>
      <c r="K99" s="105" t="s">
        <v>106</v>
      </c>
      <c r="L99" s="105" t="s">
        <v>107</v>
      </c>
      <c r="M99" s="105" t="s">
        <v>108</v>
      </c>
      <c r="N99" s="106" t="s">
        <v>426</v>
      </c>
      <c r="O99" s="102" t="s">
        <v>538</v>
      </c>
      <c r="P99" s="105" t="s">
        <v>539</v>
      </c>
      <c r="Q99" s="105"/>
      <c r="R99" s="105">
        <v>8.40353937611E11</v>
      </c>
      <c r="S99" s="105"/>
      <c r="T99" s="105" t="s">
        <v>148</v>
      </c>
      <c r="U99" s="107" t="s">
        <v>540</v>
      </c>
      <c r="V99" s="108" t="s">
        <v>541</v>
      </c>
      <c r="W99" s="122" t="s">
        <v>542</v>
      </c>
      <c r="X99" s="122" t="s">
        <v>543</v>
      </c>
      <c r="Y99" s="109" t="s">
        <v>733</v>
      </c>
      <c r="Z99" s="109" t="s">
        <v>734</v>
      </c>
      <c r="AA99" s="100" t="s">
        <v>735</v>
      </c>
      <c r="AB99" s="110" t="s">
        <v>119</v>
      </c>
      <c r="AC99" s="105" t="s">
        <v>120</v>
      </c>
      <c r="AD99" s="100" t="s">
        <v>120</v>
      </c>
      <c r="AE99" s="100" t="s">
        <v>119</v>
      </c>
      <c r="AF99" s="100" t="s">
        <v>121</v>
      </c>
      <c r="AG99" s="100" t="s">
        <v>119</v>
      </c>
      <c r="AH99" s="100" t="s">
        <v>119</v>
      </c>
      <c r="AI99" s="102" t="s">
        <v>119</v>
      </c>
      <c r="AJ99" s="102" t="s">
        <v>119</v>
      </c>
      <c r="AK99" s="111" t="s">
        <v>119</v>
      </c>
      <c r="AL99" s="102" t="s">
        <v>120</v>
      </c>
      <c r="AM99" s="102" t="s">
        <v>120</v>
      </c>
      <c r="AN99" s="102" t="s">
        <v>120</v>
      </c>
      <c r="AO99" s="162" t="s">
        <v>511</v>
      </c>
      <c r="AP99" s="113" t="s">
        <v>132</v>
      </c>
      <c r="AQ99" s="103"/>
      <c r="AR99" s="114" t="s">
        <v>124</v>
      </c>
      <c r="AS99" s="115" t="s">
        <v>133</v>
      </c>
      <c r="AT99" s="102" t="str">
        <f t="array" ref="AT99">INDEX('label approval artwork'!A:A,MATCH(G99,'label approval artwork'!F:F,0))</f>
        <v>#VALUE!</v>
      </c>
      <c r="AU99" s="103" t="str">
        <f t="array" ref="AU99">INDEX('label approval artwork'!B:B,MATCH(G99,'label approval artwork'!F:F,0))</f>
        <v>#VALUE!</v>
      </c>
      <c r="AV99" s="102"/>
      <c r="AW99" s="102"/>
      <c r="AX99" s="102" t="s">
        <v>436</v>
      </c>
      <c r="AY99" s="102" t="s">
        <v>437</v>
      </c>
    </row>
    <row r="100">
      <c r="A100" s="118">
        <v>92.0</v>
      </c>
      <c r="B100" s="100" t="s">
        <v>41</v>
      </c>
      <c r="C100" s="101" t="s">
        <v>41</v>
      </c>
      <c r="D100" s="102" t="s">
        <v>138</v>
      </c>
      <c r="E100" s="100" t="s">
        <v>548</v>
      </c>
      <c r="F100" s="100"/>
      <c r="G100" s="119" t="s">
        <v>736</v>
      </c>
      <c r="H100" s="104" t="s">
        <v>536</v>
      </c>
      <c r="I100" s="105" t="s">
        <v>537</v>
      </c>
      <c r="J100" s="104" t="s">
        <v>502</v>
      </c>
      <c r="K100" s="105" t="s">
        <v>244</v>
      </c>
      <c r="L100" s="105" t="s">
        <v>245</v>
      </c>
      <c r="M100" s="105" t="s">
        <v>246</v>
      </c>
      <c r="N100" s="106" t="s">
        <v>426</v>
      </c>
      <c r="O100" s="102" t="s">
        <v>538</v>
      </c>
      <c r="P100" s="105" t="s">
        <v>539</v>
      </c>
      <c r="Q100" s="105"/>
      <c r="R100" s="105">
        <v>8.40353937659E11</v>
      </c>
      <c r="S100" s="105"/>
      <c r="T100" s="105" t="s">
        <v>148</v>
      </c>
      <c r="U100" s="107" t="s">
        <v>540</v>
      </c>
      <c r="V100" s="108" t="s">
        <v>541</v>
      </c>
      <c r="W100" s="122" t="s">
        <v>542</v>
      </c>
      <c r="X100" s="122" t="s">
        <v>543</v>
      </c>
      <c r="Y100" s="109" t="s">
        <v>737</v>
      </c>
      <c r="Z100" s="109" t="s">
        <v>738</v>
      </c>
      <c r="AA100" s="100" t="s">
        <v>739</v>
      </c>
      <c r="AB100" s="110" t="s">
        <v>119</v>
      </c>
      <c r="AC100" s="105" t="s">
        <v>120</v>
      </c>
      <c r="AD100" s="100" t="s">
        <v>120</v>
      </c>
      <c r="AE100" s="100" t="s">
        <v>119</v>
      </c>
      <c r="AF100" s="100" t="s">
        <v>121</v>
      </c>
      <c r="AG100" s="100" t="s">
        <v>119</v>
      </c>
      <c r="AH100" s="100" t="s">
        <v>119</v>
      </c>
      <c r="AI100" s="102" t="s">
        <v>119</v>
      </c>
      <c r="AJ100" s="102" t="s">
        <v>119</v>
      </c>
      <c r="AK100" s="111" t="s">
        <v>119</v>
      </c>
      <c r="AL100" s="102" t="s">
        <v>120</v>
      </c>
      <c r="AM100" s="102" t="s">
        <v>120</v>
      </c>
      <c r="AN100" s="102" t="s">
        <v>120</v>
      </c>
      <c r="AO100" s="162" t="s">
        <v>511</v>
      </c>
      <c r="AP100" s="113" t="s">
        <v>132</v>
      </c>
      <c r="AQ100" s="103"/>
      <c r="AR100" s="114" t="s">
        <v>124</v>
      </c>
      <c r="AS100" s="115" t="s">
        <v>133</v>
      </c>
      <c r="AT100" s="102" t="str">
        <f t="array" ref="AT100">INDEX('label approval artwork'!A:A,MATCH(G100,'label approval artwork'!F:F,0))</f>
        <v>#VALUE!</v>
      </c>
      <c r="AU100" s="103" t="str">
        <f t="array" ref="AU100">INDEX('label approval artwork'!B:B,MATCH(G100,'label approval artwork'!F:F,0))</f>
        <v>#VALUE!</v>
      </c>
      <c r="AV100" s="102"/>
      <c r="AW100" s="102"/>
      <c r="AX100" s="102" t="s">
        <v>436</v>
      </c>
      <c r="AY100" s="102" t="s">
        <v>437</v>
      </c>
    </row>
    <row r="101">
      <c r="A101" s="99">
        <v>93.0</v>
      </c>
      <c r="B101" s="100" t="s">
        <v>41</v>
      </c>
      <c r="C101" s="101" t="s">
        <v>41</v>
      </c>
      <c r="D101" s="102" t="s">
        <v>138</v>
      </c>
      <c r="E101" s="100" t="s">
        <v>554</v>
      </c>
      <c r="F101" s="100"/>
      <c r="G101" s="119" t="s">
        <v>740</v>
      </c>
      <c r="H101" s="104" t="s">
        <v>536</v>
      </c>
      <c r="I101" s="105" t="s">
        <v>537</v>
      </c>
      <c r="J101" s="104" t="s">
        <v>502</v>
      </c>
      <c r="K101" s="105" t="s">
        <v>143</v>
      </c>
      <c r="L101" s="105" t="s">
        <v>144</v>
      </c>
      <c r="M101" s="105" t="s">
        <v>145</v>
      </c>
      <c r="N101" s="106" t="s">
        <v>426</v>
      </c>
      <c r="O101" s="102" t="s">
        <v>538</v>
      </c>
      <c r="P101" s="105" t="s">
        <v>539</v>
      </c>
      <c r="Q101" s="105"/>
      <c r="R101" s="105">
        <v>8.40353937697E11</v>
      </c>
      <c r="S101" s="105"/>
      <c r="T101" s="105" t="s">
        <v>148</v>
      </c>
      <c r="U101" s="107" t="s">
        <v>540</v>
      </c>
      <c r="V101" s="108" t="s">
        <v>541</v>
      </c>
      <c r="W101" s="122" t="s">
        <v>542</v>
      </c>
      <c r="X101" s="122" t="s">
        <v>543</v>
      </c>
      <c r="Y101" s="109" t="s">
        <v>741</v>
      </c>
      <c r="Z101" s="109" t="s">
        <v>742</v>
      </c>
      <c r="AA101" s="100" t="s">
        <v>743</v>
      </c>
      <c r="AB101" s="110" t="s">
        <v>119</v>
      </c>
      <c r="AC101" s="105" t="s">
        <v>120</v>
      </c>
      <c r="AD101" s="100" t="s">
        <v>120</v>
      </c>
      <c r="AE101" s="100" t="s">
        <v>119</v>
      </c>
      <c r="AF101" s="100" t="s">
        <v>121</v>
      </c>
      <c r="AG101" s="100" t="s">
        <v>119</v>
      </c>
      <c r="AH101" s="100" t="s">
        <v>119</v>
      </c>
      <c r="AI101" s="102" t="s">
        <v>119</v>
      </c>
      <c r="AJ101" s="102" t="s">
        <v>119</v>
      </c>
      <c r="AK101" s="111" t="s">
        <v>119</v>
      </c>
      <c r="AL101" s="102" t="s">
        <v>120</v>
      </c>
      <c r="AM101" s="102" t="s">
        <v>120</v>
      </c>
      <c r="AN101" s="102" t="s">
        <v>120</v>
      </c>
      <c r="AO101" s="162" t="s">
        <v>511</v>
      </c>
      <c r="AP101" s="113" t="s">
        <v>132</v>
      </c>
      <c r="AQ101" s="103"/>
      <c r="AR101" s="114" t="s">
        <v>124</v>
      </c>
      <c r="AS101" s="115" t="s">
        <v>133</v>
      </c>
      <c r="AT101" s="102" t="str">
        <f t="array" ref="AT101">INDEX('label approval artwork'!A:A,MATCH(G101,'label approval artwork'!F:F,0))</f>
        <v>#VALUE!</v>
      </c>
      <c r="AU101" s="103" t="str">
        <f t="array" ref="AU101">INDEX('label approval artwork'!B:B,MATCH(G101,'label approval artwork'!F:F,0))</f>
        <v>#VALUE!</v>
      </c>
      <c r="AV101" s="102"/>
      <c r="AW101" s="102"/>
      <c r="AX101" s="102" t="s">
        <v>436</v>
      </c>
      <c r="AY101" s="102" t="s">
        <v>437</v>
      </c>
    </row>
    <row r="102">
      <c r="A102" s="118">
        <v>94.0</v>
      </c>
      <c r="B102" s="100" t="s">
        <v>41</v>
      </c>
      <c r="C102" s="101" t="s">
        <v>41</v>
      </c>
      <c r="D102" s="102" t="s">
        <v>138</v>
      </c>
      <c r="E102" s="100" t="s">
        <v>523</v>
      </c>
      <c r="F102" s="100"/>
      <c r="G102" s="119" t="s">
        <v>744</v>
      </c>
      <c r="H102" s="104" t="s">
        <v>536</v>
      </c>
      <c r="I102" s="105" t="s">
        <v>501</v>
      </c>
      <c r="J102" s="104" t="s">
        <v>502</v>
      </c>
      <c r="K102" s="105" t="s">
        <v>196</v>
      </c>
      <c r="L102" s="105" t="s">
        <v>197</v>
      </c>
      <c r="M102" s="105" t="s">
        <v>198</v>
      </c>
      <c r="N102" s="106" t="s">
        <v>426</v>
      </c>
      <c r="O102" s="102" t="s">
        <v>538</v>
      </c>
      <c r="P102" s="105" t="s">
        <v>539</v>
      </c>
      <c r="Q102" s="105"/>
      <c r="R102" s="105">
        <v>8.40353937895E11</v>
      </c>
      <c r="S102" s="105"/>
      <c r="T102" s="105" t="s">
        <v>160</v>
      </c>
      <c r="U102" s="107" t="s">
        <v>540</v>
      </c>
      <c r="V102" s="108" t="s">
        <v>541</v>
      </c>
      <c r="W102" s="122" t="s">
        <v>542</v>
      </c>
      <c r="X102" s="122" t="s">
        <v>543</v>
      </c>
      <c r="Y102" s="109" t="s">
        <v>745</v>
      </c>
      <c r="Z102" s="109" t="s">
        <v>746</v>
      </c>
      <c r="AA102" s="100" t="s">
        <v>747</v>
      </c>
      <c r="AB102" s="110" t="s">
        <v>119</v>
      </c>
      <c r="AC102" s="105" t="s">
        <v>120</v>
      </c>
      <c r="AD102" s="100" t="s">
        <v>120</v>
      </c>
      <c r="AE102" s="100" t="s">
        <v>119</v>
      </c>
      <c r="AF102" s="100" t="s">
        <v>121</v>
      </c>
      <c r="AG102" s="100" t="s">
        <v>119</v>
      </c>
      <c r="AH102" s="100" t="s">
        <v>119</v>
      </c>
      <c r="AI102" s="102" t="s">
        <v>119</v>
      </c>
      <c r="AJ102" s="102" t="s">
        <v>119</v>
      </c>
      <c r="AK102" s="111" t="s">
        <v>119</v>
      </c>
      <c r="AL102" s="102" t="s">
        <v>120</v>
      </c>
      <c r="AM102" s="102" t="s">
        <v>120</v>
      </c>
      <c r="AN102" s="102" t="s">
        <v>120</v>
      </c>
      <c r="AO102" s="162" t="s">
        <v>511</v>
      </c>
      <c r="AP102" s="113" t="s">
        <v>132</v>
      </c>
      <c r="AQ102" s="103"/>
      <c r="AR102" s="114" t="s">
        <v>124</v>
      </c>
      <c r="AS102" s="115" t="s">
        <v>133</v>
      </c>
      <c r="AT102" s="102" t="str">
        <f t="array" ref="AT102">INDEX('label approval artwork'!A:A,MATCH(G102,'label approval artwork'!F:F,0))</f>
        <v>#VALUE!</v>
      </c>
      <c r="AU102" s="103" t="str">
        <f t="array" ref="AU102">INDEX('label approval artwork'!B:B,MATCH(G102,'label approval artwork'!F:F,0))</f>
        <v>#VALUE!</v>
      </c>
      <c r="AV102" s="102"/>
      <c r="AW102" s="102"/>
      <c r="AX102" s="102" t="s">
        <v>436</v>
      </c>
      <c r="AY102" s="102" t="s">
        <v>437</v>
      </c>
    </row>
    <row r="103">
      <c r="A103" s="99">
        <v>95.0</v>
      </c>
      <c r="B103" s="100" t="s">
        <v>41</v>
      </c>
      <c r="C103" s="101" t="s">
        <v>41</v>
      </c>
      <c r="D103" s="102" t="s">
        <v>138</v>
      </c>
      <c r="E103" s="100" t="s">
        <v>534</v>
      </c>
      <c r="F103" s="100" t="s">
        <v>598</v>
      </c>
      <c r="G103" s="119" t="s">
        <v>748</v>
      </c>
      <c r="H103" s="104" t="s">
        <v>600</v>
      </c>
      <c r="I103" s="105" t="s">
        <v>537</v>
      </c>
      <c r="J103" s="104" t="s">
        <v>502</v>
      </c>
      <c r="K103" s="105" t="s">
        <v>106</v>
      </c>
      <c r="L103" s="105" t="s">
        <v>107</v>
      </c>
      <c r="M103" s="105" t="s">
        <v>108</v>
      </c>
      <c r="N103" s="106" t="s">
        <v>426</v>
      </c>
      <c r="O103" s="102" t="s">
        <v>538</v>
      </c>
      <c r="P103" s="105" t="s">
        <v>601</v>
      </c>
      <c r="Q103" s="105"/>
      <c r="R103" s="105"/>
      <c r="S103" s="105" t="s">
        <v>749</v>
      </c>
      <c r="T103" s="105" t="s">
        <v>148</v>
      </c>
      <c r="U103" s="107" t="s">
        <v>540</v>
      </c>
      <c r="V103" s="108" t="s">
        <v>541</v>
      </c>
      <c r="W103" s="122" t="s">
        <v>542</v>
      </c>
      <c r="X103" s="122" t="s">
        <v>543</v>
      </c>
      <c r="Y103" s="109" t="s">
        <v>750</v>
      </c>
      <c r="Z103" s="109" t="s">
        <v>751</v>
      </c>
      <c r="AA103" s="100" t="s">
        <v>752</v>
      </c>
      <c r="AB103" s="110" t="s">
        <v>119</v>
      </c>
      <c r="AC103" s="105" t="s">
        <v>119</v>
      </c>
      <c r="AD103" s="100" t="s">
        <v>120</v>
      </c>
      <c r="AE103" s="100" t="s">
        <v>119</v>
      </c>
      <c r="AF103" s="100" t="s">
        <v>121</v>
      </c>
      <c r="AG103" s="100" t="s">
        <v>119</v>
      </c>
      <c r="AH103" s="100" t="s">
        <v>119</v>
      </c>
      <c r="AI103" s="102" t="s">
        <v>119</v>
      </c>
      <c r="AJ103" s="102" t="s">
        <v>119</v>
      </c>
      <c r="AK103" s="111" t="s">
        <v>119</v>
      </c>
      <c r="AL103" s="102" t="s">
        <v>120</v>
      </c>
      <c r="AM103" s="102" t="s">
        <v>120</v>
      </c>
      <c r="AN103" s="102" t="s">
        <v>119</v>
      </c>
      <c r="AO103" s="162" t="s">
        <v>511</v>
      </c>
      <c r="AP103" s="113" t="s">
        <v>132</v>
      </c>
      <c r="AQ103" s="103"/>
      <c r="AR103" s="114" t="s">
        <v>124</v>
      </c>
      <c r="AS103" s="115" t="s">
        <v>133</v>
      </c>
      <c r="AT103" s="102" t="str">
        <f t="array" ref="AT103">INDEX('label approval artwork'!A:A,MATCH(G103,'label approval artwork'!F:F,0))</f>
        <v>#VALUE!</v>
      </c>
      <c r="AU103" s="103" t="str">
        <f t="array" ref="AU103">INDEX('label approval artwork'!B:B,MATCH(G103,'label approval artwork'!F:F,0))</f>
        <v>#VALUE!</v>
      </c>
      <c r="AV103" s="102"/>
      <c r="AW103" s="102"/>
      <c r="AX103" s="102" t="s">
        <v>606</v>
      </c>
      <c r="AY103" s="102" t="s">
        <v>437</v>
      </c>
    </row>
    <row r="104">
      <c r="A104" s="118">
        <v>96.0</v>
      </c>
      <c r="B104" s="100" t="s">
        <v>41</v>
      </c>
      <c r="C104" s="101" t="s">
        <v>41</v>
      </c>
      <c r="D104" s="102" t="s">
        <v>138</v>
      </c>
      <c r="E104" s="100" t="s">
        <v>548</v>
      </c>
      <c r="F104" s="100" t="s">
        <v>607</v>
      </c>
      <c r="G104" s="119" t="s">
        <v>753</v>
      </c>
      <c r="H104" s="104" t="s">
        <v>600</v>
      </c>
      <c r="I104" s="105" t="s">
        <v>537</v>
      </c>
      <c r="J104" s="104" t="s">
        <v>502</v>
      </c>
      <c r="K104" s="105" t="s">
        <v>244</v>
      </c>
      <c r="L104" s="105" t="s">
        <v>245</v>
      </c>
      <c r="M104" s="105" t="s">
        <v>246</v>
      </c>
      <c r="N104" s="106" t="s">
        <v>426</v>
      </c>
      <c r="O104" s="102" t="s">
        <v>538</v>
      </c>
      <c r="P104" s="105" t="s">
        <v>601</v>
      </c>
      <c r="Q104" s="105"/>
      <c r="R104" s="105"/>
      <c r="S104" s="105" t="s">
        <v>754</v>
      </c>
      <c r="T104" s="105" t="s">
        <v>148</v>
      </c>
      <c r="U104" s="107" t="s">
        <v>540</v>
      </c>
      <c r="V104" s="108" t="s">
        <v>541</v>
      </c>
      <c r="W104" s="122" t="s">
        <v>542</v>
      </c>
      <c r="X104" s="122" t="s">
        <v>543</v>
      </c>
      <c r="Y104" s="109" t="s">
        <v>755</v>
      </c>
      <c r="Z104" s="109" t="s">
        <v>756</v>
      </c>
      <c r="AA104" s="100" t="s">
        <v>757</v>
      </c>
      <c r="AB104" s="110" t="s">
        <v>119</v>
      </c>
      <c r="AC104" s="105" t="s">
        <v>119</v>
      </c>
      <c r="AD104" s="100" t="s">
        <v>120</v>
      </c>
      <c r="AE104" s="100" t="s">
        <v>119</v>
      </c>
      <c r="AF104" s="100" t="s">
        <v>121</v>
      </c>
      <c r="AG104" s="100" t="s">
        <v>119</v>
      </c>
      <c r="AH104" s="100" t="s">
        <v>119</v>
      </c>
      <c r="AI104" s="102" t="s">
        <v>119</v>
      </c>
      <c r="AJ104" s="102" t="s">
        <v>119</v>
      </c>
      <c r="AK104" s="111" t="s">
        <v>119</v>
      </c>
      <c r="AL104" s="102" t="s">
        <v>120</v>
      </c>
      <c r="AM104" s="102" t="s">
        <v>120</v>
      </c>
      <c r="AN104" s="102" t="s">
        <v>119</v>
      </c>
      <c r="AO104" s="162" t="s">
        <v>511</v>
      </c>
      <c r="AP104" s="113" t="s">
        <v>132</v>
      </c>
      <c r="AQ104" s="103"/>
      <c r="AR104" s="114" t="s">
        <v>124</v>
      </c>
      <c r="AS104" s="115" t="s">
        <v>133</v>
      </c>
      <c r="AT104" s="102" t="str">
        <f t="array" ref="AT104">INDEX('label approval artwork'!A:A,MATCH(G104,'label approval artwork'!F:F,0))</f>
        <v>#VALUE!</v>
      </c>
      <c r="AU104" s="103" t="str">
        <f t="array" ref="AU104">INDEX('label approval artwork'!B:B,MATCH(G104,'label approval artwork'!F:F,0))</f>
        <v>#VALUE!</v>
      </c>
      <c r="AV104" s="102"/>
      <c r="AW104" s="102"/>
      <c r="AX104" s="102" t="s">
        <v>606</v>
      </c>
      <c r="AY104" s="102" t="s">
        <v>437</v>
      </c>
    </row>
    <row r="105">
      <c r="A105" s="99">
        <v>97.0</v>
      </c>
      <c r="B105" s="100" t="s">
        <v>41</v>
      </c>
      <c r="C105" s="101" t="s">
        <v>41</v>
      </c>
      <c r="D105" s="102" t="s">
        <v>138</v>
      </c>
      <c r="E105" s="100" t="s">
        <v>554</v>
      </c>
      <c r="F105" s="100" t="s">
        <v>613</v>
      </c>
      <c r="G105" s="119" t="s">
        <v>758</v>
      </c>
      <c r="H105" s="104" t="s">
        <v>600</v>
      </c>
      <c r="I105" s="105" t="s">
        <v>537</v>
      </c>
      <c r="J105" s="104" t="s">
        <v>502</v>
      </c>
      <c r="K105" s="105" t="s">
        <v>143</v>
      </c>
      <c r="L105" s="105" t="s">
        <v>144</v>
      </c>
      <c r="M105" s="105" t="s">
        <v>145</v>
      </c>
      <c r="N105" s="106" t="s">
        <v>426</v>
      </c>
      <c r="O105" s="102" t="s">
        <v>538</v>
      </c>
      <c r="P105" s="105" t="s">
        <v>601</v>
      </c>
      <c r="Q105" s="105"/>
      <c r="R105" s="105"/>
      <c r="S105" s="105" t="s">
        <v>759</v>
      </c>
      <c r="T105" s="105" t="s">
        <v>148</v>
      </c>
      <c r="U105" s="107" t="s">
        <v>540</v>
      </c>
      <c r="V105" s="108" t="s">
        <v>541</v>
      </c>
      <c r="W105" s="122" t="s">
        <v>542</v>
      </c>
      <c r="X105" s="122" t="s">
        <v>543</v>
      </c>
      <c r="Y105" s="109" t="s">
        <v>760</v>
      </c>
      <c r="Z105" s="109" t="s">
        <v>761</v>
      </c>
      <c r="AA105" s="100" t="s">
        <v>762</v>
      </c>
      <c r="AB105" s="110" t="s">
        <v>119</v>
      </c>
      <c r="AC105" s="105" t="s">
        <v>119</v>
      </c>
      <c r="AD105" s="100" t="s">
        <v>120</v>
      </c>
      <c r="AE105" s="100" t="s">
        <v>119</v>
      </c>
      <c r="AF105" s="100" t="s">
        <v>121</v>
      </c>
      <c r="AG105" s="100" t="s">
        <v>119</v>
      </c>
      <c r="AH105" s="100" t="s">
        <v>119</v>
      </c>
      <c r="AI105" s="102" t="s">
        <v>119</v>
      </c>
      <c r="AJ105" s="102" t="s">
        <v>119</v>
      </c>
      <c r="AK105" s="111" t="s">
        <v>119</v>
      </c>
      <c r="AL105" s="102" t="s">
        <v>120</v>
      </c>
      <c r="AM105" s="102" t="s">
        <v>120</v>
      </c>
      <c r="AN105" s="102" t="s">
        <v>119</v>
      </c>
      <c r="AO105" s="162" t="s">
        <v>511</v>
      </c>
      <c r="AP105" s="113" t="s">
        <v>132</v>
      </c>
      <c r="AQ105" s="103"/>
      <c r="AR105" s="114" t="s">
        <v>124</v>
      </c>
      <c r="AS105" s="115" t="s">
        <v>133</v>
      </c>
      <c r="AT105" s="102" t="str">
        <f t="array" ref="AT105">INDEX('label approval artwork'!A:A,MATCH(G105,'label approval artwork'!F:F,0))</f>
        <v>#VALUE!</v>
      </c>
      <c r="AU105" s="103" t="str">
        <f t="array" ref="AU105">INDEX('label approval artwork'!B:B,MATCH(G105,'label approval artwork'!F:F,0))</f>
        <v>#VALUE!</v>
      </c>
      <c r="AV105" s="102"/>
      <c r="AW105" s="102"/>
      <c r="AX105" s="102" t="s">
        <v>606</v>
      </c>
      <c r="AY105" s="102" t="s">
        <v>437</v>
      </c>
    </row>
    <row r="106">
      <c r="A106" s="118">
        <v>98.0</v>
      </c>
      <c r="B106" s="100" t="s">
        <v>41</v>
      </c>
      <c r="C106" s="101" t="s">
        <v>41</v>
      </c>
      <c r="D106" s="102" t="s">
        <v>138</v>
      </c>
      <c r="E106" s="100" t="s">
        <v>523</v>
      </c>
      <c r="F106" s="100" t="s">
        <v>637</v>
      </c>
      <c r="G106" s="119" t="s">
        <v>763</v>
      </c>
      <c r="H106" s="104" t="s">
        <v>600</v>
      </c>
      <c r="I106" s="105" t="s">
        <v>501</v>
      </c>
      <c r="J106" s="104" t="s">
        <v>502</v>
      </c>
      <c r="K106" s="105" t="s">
        <v>196</v>
      </c>
      <c r="L106" s="105" t="s">
        <v>197</v>
      </c>
      <c r="M106" s="105" t="s">
        <v>198</v>
      </c>
      <c r="N106" s="106" t="s">
        <v>426</v>
      </c>
      <c r="O106" s="102" t="s">
        <v>538</v>
      </c>
      <c r="P106" s="105" t="s">
        <v>601</v>
      </c>
      <c r="Q106" s="105"/>
      <c r="R106" s="105"/>
      <c r="S106" s="105" t="s">
        <v>764</v>
      </c>
      <c r="T106" s="105" t="s">
        <v>160</v>
      </c>
      <c r="U106" s="107" t="s">
        <v>540</v>
      </c>
      <c r="V106" s="108" t="s">
        <v>541</v>
      </c>
      <c r="W106" s="122" t="s">
        <v>542</v>
      </c>
      <c r="X106" s="122" t="s">
        <v>543</v>
      </c>
      <c r="Y106" s="109" t="s">
        <v>765</v>
      </c>
      <c r="Z106" s="109" t="s">
        <v>766</v>
      </c>
      <c r="AA106" s="100" t="s">
        <v>767</v>
      </c>
      <c r="AB106" s="110" t="s">
        <v>119</v>
      </c>
      <c r="AC106" s="105" t="s">
        <v>119</v>
      </c>
      <c r="AD106" s="100" t="s">
        <v>120</v>
      </c>
      <c r="AE106" s="100" t="s">
        <v>119</v>
      </c>
      <c r="AF106" s="100" t="s">
        <v>121</v>
      </c>
      <c r="AG106" s="100" t="s">
        <v>119</v>
      </c>
      <c r="AH106" s="100" t="s">
        <v>119</v>
      </c>
      <c r="AI106" s="102" t="s">
        <v>119</v>
      </c>
      <c r="AJ106" s="102" t="s">
        <v>119</v>
      </c>
      <c r="AK106" s="111" t="s">
        <v>119</v>
      </c>
      <c r="AL106" s="102" t="s">
        <v>120</v>
      </c>
      <c r="AM106" s="102" t="s">
        <v>120</v>
      </c>
      <c r="AN106" s="102" t="s">
        <v>119</v>
      </c>
      <c r="AO106" s="162" t="s">
        <v>511</v>
      </c>
      <c r="AP106" s="113" t="s">
        <v>132</v>
      </c>
      <c r="AQ106" s="103"/>
      <c r="AR106" s="114" t="s">
        <v>124</v>
      </c>
      <c r="AS106" s="115" t="s">
        <v>133</v>
      </c>
      <c r="AT106" s="102" t="str">
        <f t="array" ref="AT106">INDEX('label approval artwork'!A:A,MATCH(G106,'label approval artwork'!F:F,0))</f>
        <v>#VALUE!</v>
      </c>
      <c r="AU106" s="103" t="str">
        <f t="array" ref="AU106">INDEX('label approval artwork'!B:B,MATCH(G106,'label approval artwork'!F:F,0))</f>
        <v>#VALUE!</v>
      </c>
      <c r="AV106" s="102"/>
      <c r="AW106" s="102"/>
      <c r="AX106" s="102" t="s">
        <v>606</v>
      </c>
      <c r="AY106" s="102" t="s">
        <v>437</v>
      </c>
    </row>
    <row r="107">
      <c r="A107" s="99">
        <v>99.0</v>
      </c>
      <c r="B107" s="100" t="s">
        <v>42</v>
      </c>
      <c r="C107" s="101" t="s">
        <v>42</v>
      </c>
      <c r="D107" s="102" t="s">
        <v>354</v>
      </c>
      <c r="E107" s="100" t="s">
        <v>205</v>
      </c>
      <c r="F107" s="100"/>
      <c r="G107" s="119" t="s">
        <v>768</v>
      </c>
      <c r="H107" s="104" t="s">
        <v>425</v>
      </c>
      <c r="I107" s="105" t="s">
        <v>142</v>
      </c>
      <c r="J107" s="104" t="s">
        <v>105</v>
      </c>
      <c r="K107" s="105" t="s">
        <v>106</v>
      </c>
      <c r="L107" s="105" t="s">
        <v>107</v>
      </c>
      <c r="M107" s="105" t="s">
        <v>108</v>
      </c>
      <c r="N107" s="106" t="s">
        <v>426</v>
      </c>
      <c r="O107" s="102" t="s">
        <v>146</v>
      </c>
      <c r="P107" s="105" t="s">
        <v>427</v>
      </c>
      <c r="Q107" s="105"/>
      <c r="R107" s="105">
        <v>8.40353936737E11</v>
      </c>
      <c r="S107" s="105"/>
      <c r="T107" s="105" t="s">
        <v>148</v>
      </c>
      <c r="U107" s="107" t="s">
        <v>428</v>
      </c>
      <c r="V107" s="108" t="s">
        <v>429</v>
      </c>
      <c r="W107" s="109" t="s">
        <v>769</v>
      </c>
      <c r="X107" s="109" t="s">
        <v>770</v>
      </c>
      <c r="Y107" s="109" t="s">
        <v>771</v>
      </c>
      <c r="Z107" s="109" t="s">
        <v>772</v>
      </c>
      <c r="AA107" s="100" t="s">
        <v>773</v>
      </c>
      <c r="AB107" s="110" t="s">
        <v>119</v>
      </c>
      <c r="AC107" s="105" t="s">
        <v>120</v>
      </c>
      <c r="AD107" s="100" t="s">
        <v>120</v>
      </c>
      <c r="AE107" s="100" t="s">
        <v>120</v>
      </c>
      <c r="AF107" s="100" t="s">
        <v>361</v>
      </c>
      <c r="AG107" s="100" t="s">
        <v>120</v>
      </c>
      <c r="AH107" s="100" t="s">
        <v>120</v>
      </c>
      <c r="AI107" s="102" t="s">
        <v>120</v>
      </c>
      <c r="AJ107" s="102" t="s">
        <v>120</v>
      </c>
      <c r="AK107" s="111" t="s">
        <v>120</v>
      </c>
      <c r="AL107" s="102" t="s">
        <v>120</v>
      </c>
      <c r="AM107" s="102" t="s">
        <v>120</v>
      </c>
      <c r="AN107" s="102" t="s">
        <v>120</v>
      </c>
      <c r="AO107" s="152" t="s">
        <v>403</v>
      </c>
      <c r="AP107" s="113" t="s">
        <v>132</v>
      </c>
      <c r="AQ107" s="103"/>
      <c r="AR107" s="114" t="s">
        <v>124</v>
      </c>
      <c r="AS107" s="115" t="s">
        <v>133</v>
      </c>
      <c r="AT107" s="102" t="str">
        <f t="array" ref="AT107">INDEX('label approval artwork'!A:A,MATCH(G107,'label approval artwork'!F:F,0))</f>
        <v>#VALUE!</v>
      </c>
      <c r="AU107" s="103" t="str">
        <f t="array" ref="AU107">INDEX('label approval artwork'!B:B,MATCH(G107,'label approval artwork'!F:F,0))</f>
        <v>#VALUE!</v>
      </c>
      <c r="AV107" s="102" t="s">
        <v>435</v>
      </c>
      <c r="AW107" s="102"/>
      <c r="AX107" s="102" t="s">
        <v>436</v>
      </c>
      <c r="AY107" s="102" t="s">
        <v>437</v>
      </c>
    </row>
    <row r="108">
      <c r="A108" s="118">
        <v>100.0</v>
      </c>
      <c r="B108" s="100" t="s">
        <v>42</v>
      </c>
      <c r="C108" s="101" t="s">
        <v>42</v>
      </c>
      <c r="D108" s="102" t="s">
        <v>354</v>
      </c>
      <c r="E108" s="100" t="s">
        <v>242</v>
      </c>
      <c r="F108" s="100"/>
      <c r="G108" s="119" t="s">
        <v>774</v>
      </c>
      <c r="H108" s="104" t="s">
        <v>425</v>
      </c>
      <c r="I108" s="105" t="s">
        <v>142</v>
      </c>
      <c r="J108" s="104" t="s">
        <v>105</v>
      </c>
      <c r="K108" s="105" t="s">
        <v>244</v>
      </c>
      <c r="L108" s="105" t="s">
        <v>245</v>
      </c>
      <c r="M108" s="105" t="s">
        <v>246</v>
      </c>
      <c r="N108" s="106" t="s">
        <v>426</v>
      </c>
      <c r="O108" s="102" t="s">
        <v>146</v>
      </c>
      <c r="P108" s="105" t="s">
        <v>427</v>
      </c>
      <c r="Q108" s="105"/>
      <c r="R108" s="105">
        <v>8.40353936799E11</v>
      </c>
      <c r="S108" s="105"/>
      <c r="T108" s="105" t="s">
        <v>148</v>
      </c>
      <c r="U108" s="107" t="s">
        <v>428</v>
      </c>
      <c r="V108" s="108" t="s">
        <v>429</v>
      </c>
      <c r="W108" s="109" t="s">
        <v>775</v>
      </c>
      <c r="X108" s="109" t="s">
        <v>776</v>
      </c>
      <c r="Y108" s="109" t="s">
        <v>777</v>
      </c>
      <c r="Z108" s="109" t="s">
        <v>778</v>
      </c>
      <c r="AA108" s="100" t="s">
        <v>779</v>
      </c>
      <c r="AB108" s="110" t="s">
        <v>119</v>
      </c>
      <c r="AC108" s="105" t="s">
        <v>120</v>
      </c>
      <c r="AD108" s="100" t="s">
        <v>120</v>
      </c>
      <c r="AE108" s="100" t="s">
        <v>120</v>
      </c>
      <c r="AF108" s="100" t="s">
        <v>361</v>
      </c>
      <c r="AG108" s="100" t="s">
        <v>120</v>
      </c>
      <c r="AH108" s="100" t="s">
        <v>120</v>
      </c>
      <c r="AI108" s="102" t="s">
        <v>120</v>
      </c>
      <c r="AJ108" s="102" t="s">
        <v>120</v>
      </c>
      <c r="AK108" s="111" t="s">
        <v>120</v>
      </c>
      <c r="AL108" s="102" t="s">
        <v>120</v>
      </c>
      <c r="AM108" s="102" t="s">
        <v>120</v>
      </c>
      <c r="AN108" s="102" t="s">
        <v>120</v>
      </c>
      <c r="AO108" s="152" t="s">
        <v>403</v>
      </c>
      <c r="AP108" s="113" t="s">
        <v>132</v>
      </c>
      <c r="AQ108" s="103"/>
      <c r="AR108" s="114" t="s">
        <v>124</v>
      </c>
      <c r="AS108" s="115" t="s">
        <v>133</v>
      </c>
      <c r="AT108" s="102" t="str">
        <f t="array" ref="AT108">INDEX('label approval artwork'!A:A,MATCH(G108,'label approval artwork'!F:F,0))</f>
        <v>#VALUE!</v>
      </c>
      <c r="AU108" s="103" t="str">
        <f t="array" ref="AU108">INDEX('label approval artwork'!B:B,MATCH(G108,'label approval artwork'!F:F,0))</f>
        <v>#VALUE!</v>
      </c>
      <c r="AV108" s="102" t="s">
        <v>435</v>
      </c>
      <c r="AW108" s="102"/>
      <c r="AX108" s="102" t="s">
        <v>436</v>
      </c>
      <c r="AY108" s="102" t="s">
        <v>437</v>
      </c>
    </row>
    <row r="109">
      <c r="A109" s="99">
        <v>101.0</v>
      </c>
      <c r="B109" s="100" t="s">
        <v>42</v>
      </c>
      <c r="C109" s="101" t="s">
        <v>42</v>
      </c>
      <c r="D109" s="102" t="s">
        <v>354</v>
      </c>
      <c r="E109" s="100" t="s">
        <v>139</v>
      </c>
      <c r="F109" s="100"/>
      <c r="G109" s="119" t="s">
        <v>780</v>
      </c>
      <c r="H109" s="104" t="s">
        <v>425</v>
      </c>
      <c r="I109" s="105" t="s">
        <v>142</v>
      </c>
      <c r="J109" s="104" t="s">
        <v>105</v>
      </c>
      <c r="K109" s="105" t="s">
        <v>143</v>
      </c>
      <c r="L109" s="105" t="s">
        <v>144</v>
      </c>
      <c r="M109" s="105" t="s">
        <v>145</v>
      </c>
      <c r="N109" s="106" t="s">
        <v>426</v>
      </c>
      <c r="O109" s="102" t="s">
        <v>146</v>
      </c>
      <c r="P109" s="105" t="s">
        <v>427</v>
      </c>
      <c r="Q109" s="105"/>
      <c r="R109" s="105">
        <v>8.4035393685E11</v>
      </c>
      <c r="S109" s="105"/>
      <c r="T109" s="105" t="s">
        <v>148</v>
      </c>
      <c r="U109" s="107" t="s">
        <v>428</v>
      </c>
      <c r="V109" s="108" t="s">
        <v>429</v>
      </c>
      <c r="W109" s="109" t="s">
        <v>781</v>
      </c>
      <c r="X109" s="109" t="s">
        <v>782</v>
      </c>
      <c r="Y109" s="109" t="s">
        <v>783</v>
      </c>
      <c r="Z109" s="109" t="s">
        <v>784</v>
      </c>
      <c r="AA109" s="100" t="s">
        <v>785</v>
      </c>
      <c r="AB109" s="110" t="s">
        <v>119</v>
      </c>
      <c r="AC109" s="105" t="s">
        <v>120</v>
      </c>
      <c r="AD109" s="100" t="s">
        <v>120</v>
      </c>
      <c r="AE109" s="100" t="s">
        <v>120</v>
      </c>
      <c r="AF109" s="100" t="s">
        <v>361</v>
      </c>
      <c r="AG109" s="100" t="s">
        <v>120</v>
      </c>
      <c r="AH109" s="100" t="s">
        <v>120</v>
      </c>
      <c r="AI109" s="102" t="s">
        <v>120</v>
      </c>
      <c r="AJ109" s="102" t="s">
        <v>120</v>
      </c>
      <c r="AK109" s="111" t="s">
        <v>120</v>
      </c>
      <c r="AL109" s="102" t="s">
        <v>120</v>
      </c>
      <c r="AM109" s="102" t="s">
        <v>120</v>
      </c>
      <c r="AN109" s="102" t="s">
        <v>120</v>
      </c>
      <c r="AO109" s="152" t="s">
        <v>403</v>
      </c>
      <c r="AP109" s="113" t="s">
        <v>132</v>
      </c>
      <c r="AQ109" s="103"/>
      <c r="AR109" s="114" t="s">
        <v>124</v>
      </c>
      <c r="AS109" s="115" t="s">
        <v>133</v>
      </c>
      <c r="AT109" s="102" t="str">
        <f t="array" ref="AT109">INDEX('label approval artwork'!A:A,MATCH(G109,'label approval artwork'!F:F,0))</f>
        <v>#VALUE!</v>
      </c>
      <c r="AU109" s="103" t="str">
        <f t="array" ref="AU109">INDEX('label approval artwork'!B:B,MATCH(G109,'label approval artwork'!F:F,0))</f>
        <v>#VALUE!</v>
      </c>
      <c r="AV109" s="102" t="s">
        <v>435</v>
      </c>
      <c r="AW109" s="102"/>
      <c r="AX109" s="102" t="s">
        <v>436</v>
      </c>
      <c r="AY109" s="102" t="s">
        <v>437</v>
      </c>
    </row>
    <row r="110">
      <c r="A110" s="118">
        <v>102.0</v>
      </c>
      <c r="B110" s="100" t="s">
        <v>42</v>
      </c>
      <c r="C110" s="101" t="s">
        <v>42</v>
      </c>
      <c r="D110" s="102" t="s">
        <v>354</v>
      </c>
      <c r="E110" s="100" t="s">
        <v>157</v>
      </c>
      <c r="F110" s="100"/>
      <c r="G110" s="119" t="s">
        <v>786</v>
      </c>
      <c r="H110" s="104" t="s">
        <v>425</v>
      </c>
      <c r="I110" s="105" t="s">
        <v>159</v>
      </c>
      <c r="J110" s="104" t="s">
        <v>105</v>
      </c>
      <c r="K110" s="105" t="s">
        <v>106</v>
      </c>
      <c r="L110" s="105" t="s">
        <v>107</v>
      </c>
      <c r="M110" s="105" t="s">
        <v>108</v>
      </c>
      <c r="N110" s="106" t="s">
        <v>426</v>
      </c>
      <c r="O110" s="102" t="s">
        <v>146</v>
      </c>
      <c r="P110" s="105" t="s">
        <v>427</v>
      </c>
      <c r="Q110" s="105"/>
      <c r="R110" s="105">
        <v>8.40353937093E11</v>
      </c>
      <c r="S110" s="105"/>
      <c r="T110" s="105" t="s">
        <v>160</v>
      </c>
      <c r="U110" s="107" t="s">
        <v>428</v>
      </c>
      <c r="V110" s="108" t="s">
        <v>429</v>
      </c>
      <c r="W110" s="109" t="s">
        <v>787</v>
      </c>
      <c r="X110" s="109" t="s">
        <v>788</v>
      </c>
      <c r="Y110" s="109" t="s">
        <v>789</v>
      </c>
      <c r="Z110" s="109" t="s">
        <v>790</v>
      </c>
      <c r="AA110" s="100" t="s">
        <v>791</v>
      </c>
      <c r="AB110" s="110" t="s">
        <v>119</v>
      </c>
      <c r="AC110" s="105" t="s">
        <v>120</v>
      </c>
      <c r="AD110" s="100" t="s">
        <v>120</v>
      </c>
      <c r="AE110" s="100" t="s">
        <v>120</v>
      </c>
      <c r="AF110" s="100" t="s">
        <v>361</v>
      </c>
      <c r="AG110" s="100" t="s">
        <v>120</v>
      </c>
      <c r="AH110" s="100" t="s">
        <v>120</v>
      </c>
      <c r="AI110" s="102" t="s">
        <v>120</v>
      </c>
      <c r="AJ110" s="102" t="s">
        <v>120</v>
      </c>
      <c r="AK110" s="111" t="s">
        <v>120</v>
      </c>
      <c r="AL110" s="102" t="s">
        <v>120</v>
      </c>
      <c r="AM110" s="102" t="s">
        <v>120</v>
      </c>
      <c r="AN110" s="102" t="s">
        <v>120</v>
      </c>
      <c r="AO110" s="152" t="s">
        <v>403</v>
      </c>
      <c r="AP110" s="113" t="s">
        <v>132</v>
      </c>
      <c r="AQ110" s="103"/>
      <c r="AR110" s="114" t="s">
        <v>124</v>
      </c>
      <c r="AS110" s="115" t="s">
        <v>133</v>
      </c>
      <c r="AT110" s="102" t="str">
        <f t="array" ref="AT110">INDEX('label approval artwork'!A:A,MATCH(G110,'label approval artwork'!F:F,0))</f>
        <v>#VALUE!</v>
      </c>
      <c r="AU110" s="103" t="str">
        <f t="array" ref="AU110">INDEX('label approval artwork'!B:B,MATCH(G110,'label approval artwork'!F:F,0))</f>
        <v>#VALUE!</v>
      </c>
      <c r="AV110" s="102" t="s">
        <v>435</v>
      </c>
      <c r="AW110" s="102"/>
      <c r="AX110" s="102" t="s">
        <v>436</v>
      </c>
      <c r="AY110" s="102" t="s">
        <v>437</v>
      </c>
    </row>
    <row r="111">
      <c r="A111" s="99">
        <v>103.0</v>
      </c>
      <c r="B111" s="100" t="s">
        <v>42</v>
      </c>
      <c r="C111" s="101" t="s">
        <v>42</v>
      </c>
      <c r="D111" s="102" t="s">
        <v>354</v>
      </c>
      <c r="E111" s="100" t="s">
        <v>288</v>
      </c>
      <c r="F111" s="100"/>
      <c r="G111" s="119" t="s">
        <v>792</v>
      </c>
      <c r="H111" s="104" t="s">
        <v>425</v>
      </c>
      <c r="I111" s="105" t="s">
        <v>159</v>
      </c>
      <c r="J111" s="104" t="s">
        <v>105</v>
      </c>
      <c r="K111" s="105" t="s">
        <v>244</v>
      </c>
      <c r="L111" s="105" t="s">
        <v>245</v>
      </c>
      <c r="M111" s="105" t="s">
        <v>246</v>
      </c>
      <c r="N111" s="106" t="s">
        <v>426</v>
      </c>
      <c r="O111" s="102" t="s">
        <v>146</v>
      </c>
      <c r="P111" s="105" t="s">
        <v>427</v>
      </c>
      <c r="Q111" s="105"/>
      <c r="R111" s="105">
        <v>8.40353937109E11</v>
      </c>
      <c r="S111" s="105"/>
      <c r="T111" s="105" t="s">
        <v>160</v>
      </c>
      <c r="U111" s="107" t="s">
        <v>428</v>
      </c>
      <c r="V111" s="108" t="s">
        <v>429</v>
      </c>
      <c r="W111" s="109" t="s">
        <v>793</v>
      </c>
      <c r="X111" s="109" t="s">
        <v>794</v>
      </c>
      <c r="Y111" s="109" t="s">
        <v>795</v>
      </c>
      <c r="Z111" s="109" t="s">
        <v>796</v>
      </c>
      <c r="AA111" s="100" t="s">
        <v>797</v>
      </c>
      <c r="AB111" s="110" t="s">
        <v>119</v>
      </c>
      <c r="AC111" s="105" t="s">
        <v>120</v>
      </c>
      <c r="AD111" s="100" t="s">
        <v>120</v>
      </c>
      <c r="AE111" s="100" t="s">
        <v>120</v>
      </c>
      <c r="AF111" s="100" t="s">
        <v>361</v>
      </c>
      <c r="AG111" s="100" t="s">
        <v>120</v>
      </c>
      <c r="AH111" s="100" t="s">
        <v>120</v>
      </c>
      <c r="AI111" s="102" t="s">
        <v>120</v>
      </c>
      <c r="AJ111" s="102" t="s">
        <v>120</v>
      </c>
      <c r="AK111" s="111" t="s">
        <v>120</v>
      </c>
      <c r="AL111" s="102" t="s">
        <v>120</v>
      </c>
      <c r="AM111" s="102" t="s">
        <v>120</v>
      </c>
      <c r="AN111" s="102" t="s">
        <v>120</v>
      </c>
      <c r="AO111" s="152" t="s">
        <v>403</v>
      </c>
      <c r="AP111" s="113" t="s">
        <v>132</v>
      </c>
      <c r="AQ111" s="103"/>
      <c r="AR111" s="114" t="s">
        <v>124</v>
      </c>
      <c r="AS111" s="115" t="s">
        <v>133</v>
      </c>
      <c r="AT111" s="102" t="str">
        <f t="array" ref="AT111">INDEX('label approval artwork'!A:A,MATCH(G111,'label approval artwork'!F:F,0))</f>
        <v>#VALUE!</v>
      </c>
      <c r="AU111" s="103" t="str">
        <f t="array" ref="AU111">INDEX('label approval artwork'!B:B,MATCH(G111,'label approval artwork'!F:F,0))</f>
        <v>#VALUE!</v>
      </c>
      <c r="AV111" s="102" t="s">
        <v>435</v>
      </c>
      <c r="AW111" s="102"/>
      <c r="AX111" s="102" t="s">
        <v>436</v>
      </c>
      <c r="AY111" s="102" t="s">
        <v>437</v>
      </c>
    </row>
    <row r="112">
      <c r="A112" s="118">
        <v>104.0</v>
      </c>
      <c r="B112" s="100" t="s">
        <v>42</v>
      </c>
      <c r="C112" s="101" t="s">
        <v>42</v>
      </c>
      <c r="D112" s="102" t="s">
        <v>354</v>
      </c>
      <c r="E112" s="100" t="s">
        <v>168</v>
      </c>
      <c r="F112" s="100"/>
      <c r="G112" s="119" t="s">
        <v>798</v>
      </c>
      <c r="H112" s="104" t="s">
        <v>425</v>
      </c>
      <c r="I112" s="105" t="s">
        <v>159</v>
      </c>
      <c r="J112" s="104" t="s">
        <v>105</v>
      </c>
      <c r="K112" s="105" t="s">
        <v>143</v>
      </c>
      <c r="L112" s="105" t="s">
        <v>144</v>
      </c>
      <c r="M112" s="105" t="s">
        <v>145</v>
      </c>
      <c r="N112" s="106" t="s">
        <v>426</v>
      </c>
      <c r="O112" s="102" t="s">
        <v>146</v>
      </c>
      <c r="P112" s="105" t="s">
        <v>427</v>
      </c>
      <c r="Q112" s="105"/>
      <c r="R112" s="105">
        <v>8.40353937116E11</v>
      </c>
      <c r="S112" s="105"/>
      <c r="T112" s="105" t="s">
        <v>160</v>
      </c>
      <c r="U112" s="107" t="s">
        <v>428</v>
      </c>
      <c r="V112" s="108" t="s">
        <v>429</v>
      </c>
      <c r="W112" s="109" t="s">
        <v>799</v>
      </c>
      <c r="X112" s="109" t="s">
        <v>800</v>
      </c>
      <c r="Y112" s="109" t="s">
        <v>801</v>
      </c>
      <c r="Z112" s="109" t="s">
        <v>802</v>
      </c>
      <c r="AA112" s="100" t="s">
        <v>803</v>
      </c>
      <c r="AB112" s="110" t="s">
        <v>119</v>
      </c>
      <c r="AC112" s="105" t="s">
        <v>120</v>
      </c>
      <c r="AD112" s="100" t="s">
        <v>120</v>
      </c>
      <c r="AE112" s="100" t="s">
        <v>120</v>
      </c>
      <c r="AF112" s="100" t="s">
        <v>361</v>
      </c>
      <c r="AG112" s="100" t="s">
        <v>120</v>
      </c>
      <c r="AH112" s="100" t="s">
        <v>120</v>
      </c>
      <c r="AI112" s="102" t="s">
        <v>120</v>
      </c>
      <c r="AJ112" s="102" t="s">
        <v>120</v>
      </c>
      <c r="AK112" s="111" t="s">
        <v>120</v>
      </c>
      <c r="AL112" s="102" t="s">
        <v>120</v>
      </c>
      <c r="AM112" s="102" t="s">
        <v>120</v>
      </c>
      <c r="AN112" s="102" t="s">
        <v>120</v>
      </c>
      <c r="AO112" s="152" t="s">
        <v>403</v>
      </c>
      <c r="AP112" s="113" t="s">
        <v>132</v>
      </c>
      <c r="AQ112" s="103"/>
      <c r="AR112" s="114" t="s">
        <v>124</v>
      </c>
      <c r="AS112" s="115" t="s">
        <v>133</v>
      </c>
      <c r="AT112" s="102" t="str">
        <f t="array" ref="AT112">INDEX('label approval artwork'!A:A,MATCH(G112,'label approval artwork'!F:F,0))</f>
        <v>#VALUE!</v>
      </c>
      <c r="AU112" s="103" t="str">
        <f t="array" ref="AU112">INDEX('label approval artwork'!B:B,MATCH(G112,'label approval artwork'!F:F,0))</f>
        <v>#VALUE!</v>
      </c>
      <c r="AV112" s="102" t="s">
        <v>435</v>
      </c>
      <c r="AW112" s="102"/>
      <c r="AX112" s="102" t="s">
        <v>436</v>
      </c>
      <c r="AY112" s="102" t="s">
        <v>437</v>
      </c>
    </row>
    <row r="113">
      <c r="A113" s="99">
        <v>105.0</v>
      </c>
      <c r="B113" s="100" t="s">
        <v>42</v>
      </c>
      <c r="C113" s="101" t="s">
        <v>42</v>
      </c>
      <c r="D113" s="102" t="s">
        <v>354</v>
      </c>
      <c r="E113" s="100" t="s">
        <v>194</v>
      </c>
      <c r="F113" s="100"/>
      <c r="G113" s="119" t="s">
        <v>804</v>
      </c>
      <c r="H113" s="104" t="s">
        <v>425</v>
      </c>
      <c r="I113" s="105" t="s">
        <v>159</v>
      </c>
      <c r="J113" s="104" t="s">
        <v>105</v>
      </c>
      <c r="K113" s="105" t="s">
        <v>196</v>
      </c>
      <c r="L113" s="105" t="s">
        <v>197</v>
      </c>
      <c r="M113" s="105" t="s">
        <v>198</v>
      </c>
      <c r="N113" s="106" t="s">
        <v>426</v>
      </c>
      <c r="O113" s="102" t="s">
        <v>146</v>
      </c>
      <c r="P113" s="105" t="s">
        <v>427</v>
      </c>
      <c r="Q113" s="105"/>
      <c r="R113" s="105">
        <v>8.40353937123E11</v>
      </c>
      <c r="S113" s="105"/>
      <c r="T113" s="105" t="s">
        <v>160</v>
      </c>
      <c r="U113" s="107" t="s">
        <v>428</v>
      </c>
      <c r="V113" s="108" t="s">
        <v>429</v>
      </c>
      <c r="W113" s="109" t="s">
        <v>805</v>
      </c>
      <c r="X113" s="109" t="s">
        <v>806</v>
      </c>
      <c r="Y113" s="109" t="s">
        <v>807</v>
      </c>
      <c r="Z113" s="109" t="s">
        <v>808</v>
      </c>
      <c r="AA113" s="100" t="s">
        <v>809</v>
      </c>
      <c r="AB113" s="110" t="s">
        <v>119</v>
      </c>
      <c r="AC113" s="105" t="s">
        <v>120</v>
      </c>
      <c r="AD113" s="100" t="s">
        <v>120</v>
      </c>
      <c r="AE113" s="100" t="s">
        <v>120</v>
      </c>
      <c r="AF113" s="100" t="s">
        <v>361</v>
      </c>
      <c r="AG113" s="100" t="s">
        <v>120</v>
      </c>
      <c r="AH113" s="100" t="s">
        <v>120</v>
      </c>
      <c r="AI113" s="102" t="s">
        <v>120</v>
      </c>
      <c r="AJ113" s="102" t="s">
        <v>120</v>
      </c>
      <c r="AK113" s="111" t="s">
        <v>120</v>
      </c>
      <c r="AL113" s="102" t="s">
        <v>120</v>
      </c>
      <c r="AM113" s="102" t="s">
        <v>120</v>
      </c>
      <c r="AN113" s="102" t="s">
        <v>120</v>
      </c>
      <c r="AO113" s="152" t="s">
        <v>403</v>
      </c>
      <c r="AP113" s="113" t="s">
        <v>132</v>
      </c>
      <c r="AQ113" s="103"/>
      <c r="AR113" s="114" t="s">
        <v>124</v>
      </c>
      <c r="AS113" s="115" t="s">
        <v>133</v>
      </c>
      <c r="AT113" s="102" t="str">
        <f t="array" ref="AT113">INDEX('label approval artwork'!A:A,MATCH(G113,'label approval artwork'!F:F,0))</f>
        <v>#VALUE!</v>
      </c>
      <c r="AU113" s="103" t="str">
        <f t="array" ref="AU113">INDEX('label approval artwork'!B:B,MATCH(G113,'label approval artwork'!F:F,0))</f>
        <v>#VALUE!</v>
      </c>
      <c r="AV113" s="102" t="s">
        <v>435</v>
      </c>
      <c r="AW113" s="102"/>
      <c r="AX113" s="102" t="s">
        <v>436</v>
      </c>
      <c r="AY113" s="102" t="s">
        <v>437</v>
      </c>
    </row>
    <row r="114">
      <c r="A114" s="118">
        <v>106.0</v>
      </c>
      <c r="B114" s="100" t="s">
        <v>42</v>
      </c>
      <c r="C114" s="101" t="s">
        <v>42</v>
      </c>
      <c r="D114" s="102" t="s">
        <v>354</v>
      </c>
      <c r="E114" s="100" t="s">
        <v>176</v>
      </c>
      <c r="F114" s="100"/>
      <c r="G114" s="119" t="s">
        <v>810</v>
      </c>
      <c r="H114" s="104" t="s">
        <v>425</v>
      </c>
      <c r="I114" s="105" t="s">
        <v>178</v>
      </c>
      <c r="J114" s="104" t="s">
        <v>105</v>
      </c>
      <c r="K114" s="105" t="s">
        <v>106</v>
      </c>
      <c r="L114" s="105" t="s">
        <v>107</v>
      </c>
      <c r="M114" s="105" t="s">
        <v>108</v>
      </c>
      <c r="N114" s="106" t="s">
        <v>426</v>
      </c>
      <c r="O114" s="102" t="s">
        <v>146</v>
      </c>
      <c r="P114" s="105" t="s">
        <v>427</v>
      </c>
      <c r="Q114" s="105"/>
      <c r="R114" s="105">
        <v>8.4035393713E11</v>
      </c>
      <c r="S114" s="105"/>
      <c r="T114" s="105" t="s">
        <v>179</v>
      </c>
      <c r="U114" s="107" t="s">
        <v>428</v>
      </c>
      <c r="V114" s="108" t="s">
        <v>429</v>
      </c>
      <c r="W114" s="109" t="s">
        <v>811</v>
      </c>
      <c r="X114" s="109" t="s">
        <v>812</v>
      </c>
      <c r="Y114" s="109" t="s">
        <v>813</v>
      </c>
      <c r="Z114" s="109" t="s">
        <v>814</v>
      </c>
      <c r="AA114" s="100" t="s">
        <v>815</v>
      </c>
      <c r="AB114" s="110" t="s">
        <v>119</v>
      </c>
      <c r="AC114" s="105" t="s">
        <v>120</v>
      </c>
      <c r="AD114" s="100" t="s">
        <v>120</v>
      </c>
      <c r="AE114" s="100" t="s">
        <v>120</v>
      </c>
      <c r="AF114" s="100" t="s">
        <v>361</v>
      </c>
      <c r="AG114" s="100" t="s">
        <v>120</v>
      </c>
      <c r="AH114" s="100" t="s">
        <v>120</v>
      </c>
      <c r="AI114" s="102" t="s">
        <v>120</v>
      </c>
      <c r="AJ114" s="102" t="s">
        <v>120</v>
      </c>
      <c r="AK114" s="111" t="s">
        <v>120</v>
      </c>
      <c r="AL114" s="102" t="s">
        <v>120</v>
      </c>
      <c r="AM114" s="102" t="s">
        <v>120</v>
      </c>
      <c r="AN114" s="102" t="s">
        <v>120</v>
      </c>
      <c r="AO114" s="152" t="s">
        <v>403</v>
      </c>
      <c r="AP114" s="113" t="s">
        <v>132</v>
      </c>
      <c r="AQ114" s="103"/>
      <c r="AR114" s="114" t="s">
        <v>124</v>
      </c>
      <c r="AS114" s="115" t="s">
        <v>133</v>
      </c>
      <c r="AT114" s="102" t="str">
        <f t="array" ref="AT114">INDEX('label approval artwork'!A:A,MATCH(G114,'label approval artwork'!F:F,0))</f>
        <v>#VALUE!</v>
      </c>
      <c r="AU114" s="103" t="str">
        <f t="array" ref="AU114">INDEX('label approval artwork'!B:B,MATCH(G114,'label approval artwork'!F:F,0))</f>
        <v>#VALUE!</v>
      </c>
      <c r="AV114" s="102" t="s">
        <v>435</v>
      </c>
      <c r="AW114" s="102"/>
      <c r="AX114" s="102" t="s">
        <v>436</v>
      </c>
      <c r="AY114" s="102" t="s">
        <v>437</v>
      </c>
    </row>
    <row r="115">
      <c r="A115" s="99">
        <v>107.0</v>
      </c>
      <c r="B115" s="100" t="s">
        <v>42</v>
      </c>
      <c r="C115" s="101" t="s">
        <v>42</v>
      </c>
      <c r="D115" s="102" t="s">
        <v>354</v>
      </c>
      <c r="E115" s="100" t="s">
        <v>314</v>
      </c>
      <c r="F115" s="100"/>
      <c r="G115" s="119" t="s">
        <v>816</v>
      </c>
      <c r="H115" s="104" t="s">
        <v>425</v>
      </c>
      <c r="I115" s="105" t="s">
        <v>178</v>
      </c>
      <c r="J115" s="104" t="s">
        <v>105</v>
      </c>
      <c r="K115" s="105" t="s">
        <v>244</v>
      </c>
      <c r="L115" s="105" t="s">
        <v>245</v>
      </c>
      <c r="M115" s="105" t="s">
        <v>246</v>
      </c>
      <c r="N115" s="106" t="s">
        <v>426</v>
      </c>
      <c r="O115" s="102" t="s">
        <v>146</v>
      </c>
      <c r="P115" s="105" t="s">
        <v>427</v>
      </c>
      <c r="Q115" s="105"/>
      <c r="R115" s="105">
        <v>8.40353937147E11</v>
      </c>
      <c r="S115" s="105"/>
      <c r="T115" s="105" t="s">
        <v>179</v>
      </c>
      <c r="U115" s="107" t="s">
        <v>428</v>
      </c>
      <c r="V115" s="108" t="s">
        <v>429</v>
      </c>
      <c r="W115" s="109" t="s">
        <v>817</v>
      </c>
      <c r="X115" s="109" t="s">
        <v>818</v>
      </c>
      <c r="Y115" s="109" t="s">
        <v>819</v>
      </c>
      <c r="Z115" s="109" t="s">
        <v>820</v>
      </c>
      <c r="AA115" s="100" t="s">
        <v>821</v>
      </c>
      <c r="AB115" s="110" t="s">
        <v>119</v>
      </c>
      <c r="AC115" s="105" t="s">
        <v>120</v>
      </c>
      <c r="AD115" s="100" t="s">
        <v>120</v>
      </c>
      <c r="AE115" s="100" t="s">
        <v>120</v>
      </c>
      <c r="AF115" s="100" t="s">
        <v>361</v>
      </c>
      <c r="AG115" s="100" t="s">
        <v>120</v>
      </c>
      <c r="AH115" s="100" t="s">
        <v>120</v>
      </c>
      <c r="AI115" s="102" t="s">
        <v>120</v>
      </c>
      <c r="AJ115" s="102" t="s">
        <v>120</v>
      </c>
      <c r="AK115" s="111" t="s">
        <v>120</v>
      </c>
      <c r="AL115" s="102" t="s">
        <v>120</v>
      </c>
      <c r="AM115" s="102" t="s">
        <v>120</v>
      </c>
      <c r="AN115" s="102" t="s">
        <v>120</v>
      </c>
      <c r="AO115" s="152" t="s">
        <v>403</v>
      </c>
      <c r="AP115" s="113" t="s">
        <v>132</v>
      </c>
      <c r="AQ115" s="103"/>
      <c r="AR115" s="114" t="s">
        <v>124</v>
      </c>
      <c r="AS115" s="115" t="s">
        <v>133</v>
      </c>
      <c r="AT115" s="102" t="str">
        <f t="array" ref="AT115">INDEX('label approval artwork'!A:A,MATCH(G115,'label approval artwork'!F:F,0))</f>
        <v>#VALUE!</v>
      </c>
      <c r="AU115" s="103" t="str">
        <f t="array" ref="AU115">INDEX('label approval artwork'!B:B,MATCH(G115,'label approval artwork'!F:F,0))</f>
        <v>#VALUE!</v>
      </c>
      <c r="AV115" s="102" t="s">
        <v>435</v>
      </c>
      <c r="AW115" s="102"/>
      <c r="AX115" s="102" t="s">
        <v>436</v>
      </c>
      <c r="AY115" s="102" t="s">
        <v>437</v>
      </c>
    </row>
    <row r="116">
      <c r="A116" s="118">
        <v>108.0</v>
      </c>
      <c r="B116" s="100" t="s">
        <v>42</v>
      </c>
      <c r="C116" s="101" t="s">
        <v>42</v>
      </c>
      <c r="D116" s="102" t="s">
        <v>354</v>
      </c>
      <c r="E116" s="100" t="s">
        <v>186</v>
      </c>
      <c r="F116" s="100"/>
      <c r="G116" s="119" t="s">
        <v>822</v>
      </c>
      <c r="H116" s="104" t="s">
        <v>425</v>
      </c>
      <c r="I116" s="105" t="s">
        <v>178</v>
      </c>
      <c r="J116" s="104" t="s">
        <v>105</v>
      </c>
      <c r="K116" s="105" t="s">
        <v>143</v>
      </c>
      <c r="L116" s="105" t="s">
        <v>144</v>
      </c>
      <c r="M116" s="105" t="s">
        <v>145</v>
      </c>
      <c r="N116" s="106" t="s">
        <v>426</v>
      </c>
      <c r="O116" s="102" t="s">
        <v>146</v>
      </c>
      <c r="P116" s="105" t="s">
        <v>427</v>
      </c>
      <c r="Q116" s="105"/>
      <c r="R116" s="105">
        <v>8.40353937154E11</v>
      </c>
      <c r="S116" s="105"/>
      <c r="T116" s="105" t="s">
        <v>179</v>
      </c>
      <c r="U116" s="107" t="s">
        <v>428</v>
      </c>
      <c r="V116" s="108" t="s">
        <v>429</v>
      </c>
      <c r="W116" s="109" t="s">
        <v>823</v>
      </c>
      <c r="X116" s="109" t="s">
        <v>824</v>
      </c>
      <c r="Y116" s="109" t="s">
        <v>825</v>
      </c>
      <c r="Z116" s="109" t="s">
        <v>826</v>
      </c>
      <c r="AA116" s="100" t="s">
        <v>827</v>
      </c>
      <c r="AB116" s="110" t="s">
        <v>119</v>
      </c>
      <c r="AC116" s="105" t="s">
        <v>120</v>
      </c>
      <c r="AD116" s="100" t="s">
        <v>120</v>
      </c>
      <c r="AE116" s="100" t="s">
        <v>120</v>
      </c>
      <c r="AF116" s="100" t="s">
        <v>361</v>
      </c>
      <c r="AG116" s="100" t="s">
        <v>120</v>
      </c>
      <c r="AH116" s="100" t="s">
        <v>120</v>
      </c>
      <c r="AI116" s="102" t="s">
        <v>120</v>
      </c>
      <c r="AJ116" s="102" t="s">
        <v>120</v>
      </c>
      <c r="AK116" s="111" t="s">
        <v>120</v>
      </c>
      <c r="AL116" s="102" t="s">
        <v>120</v>
      </c>
      <c r="AM116" s="102" t="s">
        <v>120</v>
      </c>
      <c r="AN116" s="102" t="s">
        <v>120</v>
      </c>
      <c r="AO116" s="152" t="s">
        <v>403</v>
      </c>
      <c r="AP116" s="113" t="s">
        <v>132</v>
      </c>
      <c r="AQ116" s="103"/>
      <c r="AR116" s="114" t="s">
        <v>124</v>
      </c>
      <c r="AS116" s="115" t="s">
        <v>133</v>
      </c>
      <c r="AT116" s="102" t="str">
        <f t="array" ref="AT116">INDEX('label approval artwork'!A:A,MATCH(G116,'label approval artwork'!F:F,0))</f>
        <v>#VALUE!</v>
      </c>
      <c r="AU116" s="103" t="str">
        <f t="array" ref="AU116">INDEX('label approval artwork'!B:B,MATCH(G116,'label approval artwork'!F:F,0))</f>
        <v>#VALUE!</v>
      </c>
      <c r="AV116" s="102" t="s">
        <v>435</v>
      </c>
      <c r="AW116" s="102"/>
      <c r="AX116" s="102" t="s">
        <v>436</v>
      </c>
      <c r="AY116" s="102" t="s">
        <v>437</v>
      </c>
    </row>
    <row r="117">
      <c r="A117" s="99">
        <v>109.0</v>
      </c>
      <c r="B117" s="100" t="s">
        <v>42</v>
      </c>
      <c r="C117" s="101" t="s">
        <v>42</v>
      </c>
      <c r="D117" s="102" t="s">
        <v>354</v>
      </c>
      <c r="E117" s="100" t="s">
        <v>336</v>
      </c>
      <c r="F117" s="100"/>
      <c r="G117" s="119" t="s">
        <v>828</v>
      </c>
      <c r="H117" s="104" t="s">
        <v>425</v>
      </c>
      <c r="I117" s="105" t="s">
        <v>338</v>
      </c>
      <c r="J117" s="104" t="s">
        <v>105</v>
      </c>
      <c r="K117" s="105" t="s">
        <v>106</v>
      </c>
      <c r="L117" s="105" t="s">
        <v>107</v>
      </c>
      <c r="M117" s="105" t="s">
        <v>108</v>
      </c>
      <c r="N117" s="106" t="s">
        <v>426</v>
      </c>
      <c r="O117" s="102" t="s">
        <v>146</v>
      </c>
      <c r="P117" s="105" t="s">
        <v>427</v>
      </c>
      <c r="Q117" s="105"/>
      <c r="R117" s="105">
        <v>8.40353937178E11</v>
      </c>
      <c r="S117" s="105"/>
      <c r="T117" s="105" t="s">
        <v>339</v>
      </c>
      <c r="U117" s="107" t="s">
        <v>428</v>
      </c>
      <c r="V117" s="108" t="s">
        <v>429</v>
      </c>
      <c r="W117" s="109" t="s">
        <v>829</v>
      </c>
      <c r="X117" s="109" t="s">
        <v>830</v>
      </c>
      <c r="Y117" s="109" t="s">
        <v>831</v>
      </c>
      <c r="Z117" s="109" t="s">
        <v>832</v>
      </c>
      <c r="AA117" s="100" t="s">
        <v>833</v>
      </c>
      <c r="AB117" s="110" t="s">
        <v>119</v>
      </c>
      <c r="AC117" s="105" t="s">
        <v>120</v>
      </c>
      <c r="AD117" s="100" t="s">
        <v>120</v>
      </c>
      <c r="AE117" s="100" t="s">
        <v>120</v>
      </c>
      <c r="AF117" s="100" t="s">
        <v>361</v>
      </c>
      <c r="AG117" s="100" t="s">
        <v>120</v>
      </c>
      <c r="AH117" s="100" t="s">
        <v>120</v>
      </c>
      <c r="AI117" s="102" t="s">
        <v>120</v>
      </c>
      <c r="AJ117" s="102" t="s">
        <v>120</v>
      </c>
      <c r="AK117" s="111" t="s">
        <v>120</v>
      </c>
      <c r="AL117" s="102" t="s">
        <v>120</v>
      </c>
      <c r="AM117" s="102" t="s">
        <v>120</v>
      </c>
      <c r="AN117" s="102" t="s">
        <v>120</v>
      </c>
      <c r="AO117" s="152" t="s">
        <v>403</v>
      </c>
      <c r="AP117" s="113" t="s">
        <v>132</v>
      </c>
      <c r="AQ117" s="103"/>
      <c r="AR117" s="114" t="s">
        <v>124</v>
      </c>
      <c r="AS117" s="115" t="s">
        <v>133</v>
      </c>
      <c r="AT117" s="102" t="str">
        <f t="array" ref="AT117">INDEX('label approval artwork'!A:A,MATCH(G117,'label approval artwork'!F:F,0))</f>
        <v>#VALUE!</v>
      </c>
      <c r="AU117" s="103" t="str">
        <f t="array" ref="AU117">INDEX('label approval artwork'!B:B,MATCH(G117,'label approval artwork'!F:F,0))</f>
        <v>#VALUE!</v>
      </c>
      <c r="AV117" s="102" t="s">
        <v>435</v>
      </c>
      <c r="AW117" s="102"/>
      <c r="AX117" s="102" t="s">
        <v>436</v>
      </c>
      <c r="AY117" s="102" t="s">
        <v>437</v>
      </c>
    </row>
    <row r="118">
      <c r="A118" s="118">
        <v>110.0</v>
      </c>
      <c r="B118" s="100" t="s">
        <v>42</v>
      </c>
      <c r="C118" s="101" t="s">
        <v>42</v>
      </c>
      <c r="D118" s="102" t="s">
        <v>354</v>
      </c>
      <c r="E118" s="100" t="s">
        <v>534</v>
      </c>
      <c r="F118" s="100"/>
      <c r="G118" s="119" t="s">
        <v>834</v>
      </c>
      <c r="H118" s="104" t="s">
        <v>536</v>
      </c>
      <c r="I118" s="105" t="s">
        <v>537</v>
      </c>
      <c r="J118" s="104" t="s">
        <v>502</v>
      </c>
      <c r="K118" s="105" t="s">
        <v>106</v>
      </c>
      <c r="L118" s="105" t="s">
        <v>107</v>
      </c>
      <c r="M118" s="105" t="s">
        <v>108</v>
      </c>
      <c r="N118" s="106" t="s">
        <v>426</v>
      </c>
      <c r="O118" s="102" t="s">
        <v>538</v>
      </c>
      <c r="P118" s="105" t="s">
        <v>539</v>
      </c>
      <c r="Q118" s="105"/>
      <c r="R118" s="105">
        <v>8.40353936744E11</v>
      </c>
      <c r="S118" s="105"/>
      <c r="T118" s="105" t="s">
        <v>148</v>
      </c>
      <c r="U118" s="107" t="s">
        <v>540</v>
      </c>
      <c r="V118" s="108" t="s">
        <v>541</v>
      </c>
      <c r="W118" s="122" t="s">
        <v>542</v>
      </c>
      <c r="X118" s="122" t="s">
        <v>543</v>
      </c>
      <c r="Y118" s="109" t="s">
        <v>835</v>
      </c>
      <c r="Z118" s="109" t="s">
        <v>836</v>
      </c>
      <c r="AA118" s="100" t="s">
        <v>837</v>
      </c>
      <c r="AB118" s="110" t="s">
        <v>119</v>
      </c>
      <c r="AC118" s="105" t="s">
        <v>120</v>
      </c>
      <c r="AD118" s="100" t="s">
        <v>120</v>
      </c>
      <c r="AE118" s="100" t="s">
        <v>119</v>
      </c>
      <c r="AF118" s="100" t="s">
        <v>361</v>
      </c>
      <c r="AG118" s="100" t="s">
        <v>120</v>
      </c>
      <c r="AH118" s="100" t="s">
        <v>120</v>
      </c>
      <c r="AI118" s="102" t="s">
        <v>120</v>
      </c>
      <c r="AJ118" s="102" t="s">
        <v>120</v>
      </c>
      <c r="AK118" s="111" t="s">
        <v>120</v>
      </c>
      <c r="AL118" s="102" t="s">
        <v>120</v>
      </c>
      <c r="AM118" s="102" t="s">
        <v>120</v>
      </c>
      <c r="AN118" s="102" t="s">
        <v>120</v>
      </c>
      <c r="AO118" s="152" t="s">
        <v>838</v>
      </c>
      <c r="AP118" s="113" t="s">
        <v>132</v>
      </c>
      <c r="AQ118" s="103"/>
      <c r="AR118" s="114" t="s">
        <v>124</v>
      </c>
      <c r="AS118" s="115" t="s">
        <v>133</v>
      </c>
      <c r="AT118" s="102" t="str">
        <f t="array" ref="AT118">INDEX('label approval artwork'!A:A,MATCH(G118,'label approval artwork'!F:F,0))</f>
        <v>#VALUE!</v>
      </c>
      <c r="AU118" s="103" t="str">
        <f t="array" ref="AU118">INDEX('label approval artwork'!B:B,MATCH(G118,'label approval artwork'!F:F,0))</f>
        <v>#VALUE!</v>
      </c>
      <c r="AV118" s="102" t="s">
        <v>435</v>
      </c>
      <c r="AW118" s="102"/>
      <c r="AX118" s="102" t="s">
        <v>436</v>
      </c>
      <c r="AY118" s="102" t="s">
        <v>437</v>
      </c>
    </row>
    <row r="119">
      <c r="A119" s="99">
        <v>111.0</v>
      </c>
      <c r="B119" s="100" t="s">
        <v>42</v>
      </c>
      <c r="C119" s="101" t="s">
        <v>42</v>
      </c>
      <c r="D119" s="102" t="s">
        <v>354</v>
      </c>
      <c r="E119" s="100" t="s">
        <v>548</v>
      </c>
      <c r="F119" s="100"/>
      <c r="G119" s="119" t="s">
        <v>839</v>
      </c>
      <c r="H119" s="104" t="s">
        <v>536</v>
      </c>
      <c r="I119" s="105" t="s">
        <v>537</v>
      </c>
      <c r="J119" s="104" t="s">
        <v>502</v>
      </c>
      <c r="K119" s="105" t="s">
        <v>244</v>
      </c>
      <c r="L119" s="105" t="s">
        <v>245</v>
      </c>
      <c r="M119" s="105" t="s">
        <v>246</v>
      </c>
      <c r="N119" s="106" t="s">
        <v>426</v>
      </c>
      <c r="O119" s="102" t="s">
        <v>538</v>
      </c>
      <c r="P119" s="105" t="s">
        <v>539</v>
      </c>
      <c r="Q119" s="105"/>
      <c r="R119" s="105">
        <v>8.40353936805E11</v>
      </c>
      <c r="S119" s="105"/>
      <c r="T119" s="105" t="s">
        <v>148</v>
      </c>
      <c r="U119" s="107" t="s">
        <v>540</v>
      </c>
      <c r="V119" s="108" t="s">
        <v>541</v>
      </c>
      <c r="W119" s="122" t="s">
        <v>542</v>
      </c>
      <c r="X119" s="122" t="s">
        <v>543</v>
      </c>
      <c r="Y119" s="109" t="s">
        <v>840</v>
      </c>
      <c r="Z119" s="109" t="s">
        <v>841</v>
      </c>
      <c r="AA119" s="100" t="s">
        <v>842</v>
      </c>
      <c r="AB119" s="110" t="s">
        <v>119</v>
      </c>
      <c r="AC119" s="105" t="s">
        <v>120</v>
      </c>
      <c r="AD119" s="100" t="s">
        <v>120</v>
      </c>
      <c r="AE119" s="100" t="s">
        <v>119</v>
      </c>
      <c r="AF119" s="100" t="s">
        <v>361</v>
      </c>
      <c r="AG119" s="100" t="s">
        <v>120</v>
      </c>
      <c r="AH119" s="100" t="s">
        <v>120</v>
      </c>
      <c r="AI119" s="102" t="s">
        <v>120</v>
      </c>
      <c r="AJ119" s="102" t="s">
        <v>120</v>
      </c>
      <c r="AK119" s="111" t="s">
        <v>120</v>
      </c>
      <c r="AL119" s="102" t="s">
        <v>120</v>
      </c>
      <c r="AM119" s="102" t="s">
        <v>120</v>
      </c>
      <c r="AN119" s="102" t="s">
        <v>120</v>
      </c>
      <c r="AO119" s="152" t="s">
        <v>838</v>
      </c>
      <c r="AP119" s="113" t="s">
        <v>132</v>
      </c>
      <c r="AQ119" s="103"/>
      <c r="AR119" s="114" t="s">
        <v>124</v>
      </c>
      <c r="AS119" s="115" t="s">
        <v>133</v>
      </c>
      <c r="AT119" s="102" t="str">
        <f t="array" ref="AT119">INDEX('label approval artwork'!A:A,MATCH(G119,'label approval artwork'!F:F,0))</f>
        <v>#VALUE!</v>
      </c>
      <c r="AU119" s="103" t="str">
        <f t="array" ref="AU119">INDEX('label approval artwork'!B:B,MATCH(G119,'label approval artwork'!F:F,0))</f>
        <v>#VALUE!</v>
      </c>
      <c r="AV119" s="102" t="s">
        <v>435</v>
      </c>
      <c r="AW119" s="102"/>
      <c r="AX119" s="102" t="s">
        <v>436</v>
      </c>
      <c r="AY119" s="102" t="s">
        <v>437</v>
      </c>
    </row>
    <row r="120">
      <c r="A120" s="118">
        <v>112.0</v>
      </c>
      <c r="B120" s="100" t="s">
        <v>42</v>
      </c>
      <c r="C120" s="101" t="s">
        <v>42</v>
      </c>
      <c r="D120" s="102" t="s">
        <v>354</v>
      </c>
      <c r="E120" s="100" t="s">
        <v>554</v>
      </c>
      <c r="F120" s="100"/>
      <c r="G120" s="119" t="s">
        <v>843</v>
      </c>
      <c r="H120" s="104" t="s">
        <v>536</v>
      </c>
      <c r="I120" s="105" t="s">
        <v>537</v>
      </c>
      <c r="J120" s="104" t="s">
        <v>502</v>
      </c>
      <c r="K120" s="105" t="s">
        <v>143</v>
      </c>
      <c r="L120" s="105" t="s">
        <v>144</v>
      </c>
      <c r="M120" s="105" t="s">
        <v>145</v>
      </c>
      <c r="N120" s="106" t="s">
        <v>426</v>
      </c>
      <c r="O120" s="102" t="s">
        <v>538</v>
      </c>
      <c r="P120" s="105" t="s">
        <v>539</v>
      </c>
      <c r="Q120" s="105"/>
      <c r="R120" s="105">
        <v>8.40353936867E11</v>
      </c>
      <c r="S120" s="105"/>
      <c r="T120" s="105" t="s">
        <v>148</v>
      </c>
      <c r="U120" s="107" t="s">
        <v>540</v>
      </c>
      <c r="V120" s="108" t="s">
        <v>541</v>
      </c>
      <c r="W120" s="122" t="s">
        <v>542</v>
      </c>
      <c r="X120" s="122" t="s">
        <v>543</v>
      </c>
      <c r="Y120" s="109" t="s">
        <v>844</v>
      </c>
      <c r="Z120" s="109" t="s">
        <v>845</v>
      </c>
      <c r="AA120" s="100" t="s">
        <v>846</v>
      </c>
      <c r="AB120" s="110" t="s">
        <v>119</v>
      </c>
      <c r="AC120" s="105" t="s">
        <v>120</v>
      </c>
      <c r="AD120" s="100" t="s">
        <v>120</v>
      </c>
      <c r="AE120" s="100" t="s">
        <v>119</v>
      </c>
      <c r="AF120" s="100" t="s">
        <v>361</v>
      </c>
      <c r="AG120" s="100" t="s">
        <v>120</v>
      </c>
      <c r="AH120" s="100" t="s">
        <v>120</v>
      </c>
      <c r="AI120" s="102" t="s">
        <v>120</v>
      </c>
      <c r="AJ120" s="102" t="s">
        <v>120</v>
      </c>
      <c r="AK120" s="111" t="s">
        <v>120</v>
      </c>
      <c r="AL120" s="102" t="s">
        <v>120</v>
      </c>
      <c r="AM120" s="102" t="s">
        <v>120</v>
      </c>
      <c r="AN120" s="102" t="s">
        <v>120</v>
      </c>
      <c r="AO120" s="152" t="s">
        <v>838</v>
      </c>
      <c r="AP120" s="113" t="s">
        <v>132</v>
      </c>
      <c r="AQ120" s="103"/>
      <c r="AR120" s="114" t="s">
        <v>124</v>
      </c>
      <c r="AS120" s="115" t="s">
        <v>133</v>
      </c>
      <c r="AT120" s="102" t="str">
        <f t="array" ref="AT120">INDEX('label approval artwork'!A:A,MATCH(G120,'label approval artwork'!F:F,0))</f>
        <v>#VALUE!</v>
      </c>
      <c r="AU120" s="103" t="str">
        <f t="array" ref="AU120">INDEX('label approval artwork'!B:B,MATCH(G120,'label approval artwork'!F:F,0))</f>
        <v>#VALUE!</v>
      </c>
      <c r="AV120" s="102" t="s">
        <v>435</v>
      </c>
      <c r="AW120" s="102"/>
      <c r="AX120" s="102" t="s">
        <v>436</v>
      </c>
      <c r="AY120" s="102" t="s">
        <v>437</v>
      </c>
    </row>
    <row r="121">
      <c r="A121" s="99">
        <v>113.0</v>
      </c>
      <c r="B121" s="100" t="s">
        <v>42</v>
      </c>
      <c r="C121" s="101" t="s">
        <v>42</v>
      </c>
      <c r="D121" s="102" t="s">
        <v>354</v>
      </c>
      <c r="E121" s="100" t="s">
        <v>498</v>
      </c>
      <c r="F121" s="100"/>
      <c r="G121" s="119" t="s">
        <v>847</v>
      </c>
      <c r="H121" s="104" t="s">
        <v>536</v>
      </c>
      <c r="I121" s="105" t="s">
        <v>501</v>
      </c>
      <c r="J121" s="104" t="s">
        <v>502</v>
      </c>
      <c r="K121" s="105" t="s">
        <v>106</v>
      </c>
      <c r="L121" s="105" t="s">
        <v>107</v>
      </c>
      <c r="M121" s="105" t="s">
        <v>108</v>
      </c>
      <c r="N121" s="106" t="s">
        <v>426</v>
      </c>
      <c r="O121" s="102" t="s">
        <v>538</v>
      </c>
      <c r="P121" s="105" t="s">
        <v>539</v>
      </c>
      <c r="Q121" s="105"/>
      <c r="R121" s="105">
        <v>8.40353937192E11</v>
      </c>
      <c r="S121" s="105"/>
      <c r="T121" s="105" t="s">
        <v>160</v>
      </c>
      <c r="U121" s="107" t="s">
        <v>540</v>
      </c>
      <c r="V121" s="108" t="s">
        <v>541</v>
      </c>
      <c r="W121" s="122" t="s">
        <v>542</v>
      </c>
      <c r="X121" s="122" t="s">
        <v>543</v>
      </c>
      <c r="Y121" s="109" t="s">
        <v>848</v>
      </c>
      <c r="Z121" s="109" t="s">
        <v>849</v>
      </c>
      <c r="AA121" s="100" t="s">
        <v>850</v>
      </c>
      <c r="AB121" s="110" t="s">
        <v>119</v>
      </c>
      <c r="AC121" s="105" t="s">
        <v>120</v>
      </c>
      <c r="AD121" s="100" t="s">
        <v>120</v>
      </c>
      <c r="AE121" s="100" t="s">
        <v>119</v>
      </c>
      <c r="AF121" s="100" t="s">
        <v>361</v>
      </c>
      <c r="AG121" s="100" t="s">
        <v>120</v>
      </c>
      <c r="AH121" s="100" t="s">
        <v>120</v>
      </c>
      <c r="AI121" s="102" t="s">
        <v>120</v>
      </c>
      <c r="AJ121" s="102" t="s">
        <v>120</v>
      </c>
      <c r="AK121" s="111" t="s">
        <v>120</v>
      </c>
      <c r="AL121" s="102" t="s">
        <v>120</v>
      </c>
      <c r="AM121" s="102" t="s">
        <v>120</v>
      </c>
      <c r="AN121" s="102" t="s">
        <v>120</v>
      </c>
      <c r="AO121" s="152" t="s">
        <v>838</v>
      </c>
      <c r="AP121" s="113" t="s">
        <v>132</v>
      </c>
      <c r="AQ121" s="103"/>
      <c r="AR121" s="114" t="s">
        <v>124</v>
      </c>
      <c r="AS121" s="115" t="s">
        <v>133</v>
      </c>
      <c r="AT121" s="102" t="str">
        <f t="array" ref="AT121">INDEX('label approval artwork'!A:A,MATCH(G121,'label approval artwork'!F:F,0))</f>
        <v>#VALUE!</v>
      </c>
      <c r="AU121" s="103" t="str">
        <f t="array" ref="AU121">INDEX('label approval artwork'!B:B,MATCH(G121,'label approval artwork'!F:F,0))</f>
        <v>#VALUE!</v>
      </c>
      <c r="AV121" s="102" t="s">
        <v>435</v>
      </c>
      <c r="AW121" s="102"/>
      <c r="AX121" s="102" t="s">
        <v>436</v>
      </c>
      <c r="AY121" s="102" t="s">
        <v>437</v>
      </c>
    </row>
    <row r="122">
      <c r="A122" s="118">
        <v>114.0</v>
      </c>
      <c r="B122" s="100" t="s">
        <v>42</v>
      </c>
      <c r="C122" s="101" t="s">
        <v>42</v>
      </c>
      <c r="D122" s="102" t="s">
        <v>354</v>
      </c>
      <c r="E122" s="100" t="s">
        <v>513</v>
      </c>
      <c r="F122" s="100"/>
      <c r="G122" s="119" t="s">
        <v>851</v>
      </c>
      <c r="H122" s="104" t="s">
        <v>536</v>
      </c>
      <c r="I122" s="105" t="s">
        <v>501</v>
      </c>
      <c r="J122" s="104" t="s">
        <v>502</v>
      </c>
      <c r="K122" s="105" t="s">
        <v>244</v>
      </c>
      <c r="L122" s="105" t="s">
        <v>245</v>
      </c>
      <c r="M122" s="105" t="s">
        <v>246</v>
      </c>
      <c r="N122" s="106" t="s">
        <v>426</v>
      </c>
      <c r="O122" s="102" t="s">
        <v>538</v>
      </c>
      <c r="P122" s="105" t="s">
        <v>539</v>
      </c>
      <c r="Q122" s="105"/>
      <c r="R122" s="105">
        <v>8.40353937208E11</v>
      </c>
      <c r="S122" s="105"/>
      <c r="T122" s="105" t="s">
        <v>160</v>
      </c>
      <c r="U122" s="107" t="s">
        <v>540</v>
      </c>
      <c r="V122" s="108" t="s">
        <v>541</v>
      </c>
      <c r="W122" s="122" t="s">
        <v>542</v>
      </c>
      <c r="X122" s="122" t="s">
        <v>543</v>
      </c>
      <c r="Y122" s="109" t="s">
        <v>852</v>
      </c>
      <c r="Z122" s="109" t="s">
        <v>853</v>
      </c>
      <c r="AA122" s="100" t="s">
        <v>854</v>
      </c>
      <c r="AB122" s="110" t="s">
        <v>119</v>
      </c>
      <c r="AC122" s="105" t="s">
        <v>120</v>
      </c>
      <c r="AD122" s="100" t="s">
        <v>120</v>
      </c>
      <c r="AE122" s="100" t="s">
        <v>119</v>
      </c>
      <c r="AF122" s="100" t="s">
        <v>361</v>
      </c>
      <c r="AG122" s="100" t="s">
        <v>120</v>
      </c>
      <c r="AH122" s="100" t="s">
        <v>120</v>
      </c>
      <c r="AI122" s="102" t="s">
        <v>120</v>
      </c>
      <c r="AJ122" s="102" t="s">
        <v>120</v>
      </c>
      <c r="AK122" s="111" t="s">
        <v>120</v>
      </c>
      <c r="AL122" s="102" t="s">
        <v>120</v>
      </c>
      <c r="AM122" s="102" t="s">
        <v>120</v>
      </c>
      <c r="AN122" s="102" t="s">
        <v>120</v>
      </c>
      <c r="AO122" s="152" t="s">
        <v>838</v>
      </c>
      <c r="AP122" s="113" t="s">
        <v>132</v>
      </c>
      <c r="AQ122" s="103"/>
      <c r="AR122" s="114" t="s">
        <v>124</v>
      </c>
      <c r="AS122" s="115" t="s">
        <v>133</v>
      </c>
      <c r="AT122" s="102" t="str">
        <f t="array" ref="AT122">INDEX('label approval artwork'!A:A,MATCH(G122,'label approval artwork'!F:F,0))</f>
        <v>#VALUE!</v>
      </c>
      <c r="AU122" s="103" t="str">
        <f t="array" ref="AU122">INDEX('label approval artwork'!B:B,MATCH(G122,'label approval artwork'!F:F,0))</f>
        <v>#VALUE!</v>
      </c>
      <c r="AV122" s="102" t="s">
        <v>435</v>
      </c>
      <c r="AW122" s="102"/>
      <c r="AX122" s="102" t="s">
        <v>436</v>
      </c>
      <c r="AY122" s="102" t="s">
        <v>437</v>
      </c>
    </row>
    <row r="123">
      <c r="A123" s="99">
        <v>115.0</v>
      </c>
      <c r="B123" s="100" t="s">
        <v>42</v>
      </c>
      <c r="C123" s="101" t="s">
        <v>42</v>
      </c>
      <c r="D123" s="102" t="s">
        <v>354</v>
      </c>
      <c r="E123" s="100" t="s">
        <v>518</v>
      </c>
      <c r="F123" s="100"/>
      <c r="G123" s="119" t="s">
        <v>855</v>
      </c>
      <c r="H123" s="104" t="s">
        <v>536</v>
      </c>
      <c r="I123" s="105" t="s">
        <v>501</v>
      </c>
      <c r="J123" s="104" t="s">
        <v>502</v>
      </c>
      <c r="K123" s="105" t="s">
        <v>143</v>
      </c>
      <c r="L123" s="105" t="s">
        <v>144</v>
      </c>
      <c r="M123" s="105" t="s">
        <v>145</v>
      </c>
      <c r="N123" s="106" t="s">
        <v>426</v>
      </c>
      <c r="O123" s="102" t="s">
        <v>538</v>
      </c>
      <c r="P123" s="105" t="s">
        <v>539</v>
      </c>
      <c r="Q123" s="105"/>
      <c r="R123" s="105">
        <v>8.40353937215E11</v>
      </c>
      <c r="S123" s="105"/>
      <c r="T123" s="105" t="s">
        <v>160</v>
      </c>
      <c r="U123" s="107" t="s">
        <v>540</v>
      </c>
      <c r="V123" s="108" t="s">
        <v>541</v>
      </c>
      <c r="W123" s="122" t="s">
        <v>542</v>
      </c>
      <c r="X123" s="122" t="s">
        <v>543</v>
      </c>
      <c r="Y123" s="109" t="s">
        <v>856</v>
      </c>
      <c r="Z123" s="109" t="s">
        <v>857</v>
      </c>
      <c r="AA123" s="100" t="s">
        <v>858</v>
      </c>
      <c r="AB123" s="110" t="s">
        <v>119</v>
      </c>
      <c r="AC123" s="105" t="s">
        <v>120</v>
      </c>
      <c r="AD123" s="100" t="s">
        <v>120</v>
      </c>
      <c r="AE123" s="100" t="s">
        <v>119</v>
      </c>
      <c r="AF123" s="100" t="s">
        <v>361</v>
      </c>
      <c r="AG123" s="100" t="s">
        <v>120</v>
      </c>
      <c r="AH123" s="100" t="s">
        <v>120</v>
      </c>
      <c r="AI123" s="102" t="s">
        <v>120</v>
      </c>
      <c r="AJ123" s="102" t="s">
        <v>120</v>
      </c>
      <c r="AK123" s="111" t="s">
        <v>120</v>
      </c>
      <c r="AL123" s="102" t="s">
        <v>120</v>
      </c>
      <c r="AM123" s="102" t="s">
        <v>120</v>
      </c>
      <c r="AN123" s="102" t="s">
        <v>120</v>
      </c>
      <c r="AO123" s="152" t="s">
        <v>838</v>
      </c>
      <c r="AP123" s="113" t="s">
        <v>132</v>
      </c>
      <c r="AQ123" s="103"/>
      <c r="AR123" s="114" t="s">
        <v>124</v>
      </c>
      <c r="AS123" s="115" t="s">
        <v>133</v>
      </c>
      <c r="AT123" s="102" t="str">
        <f t="array" ref="AT123">INDEX('label approval artwork'!A:A,MATCH(G123,'label approval artwork'!F:F,0))</f>
        <v>#VALUE!</v>
      </c>
      <c r="AU123" s="103" t="str">
        <f t="array" ref="AU123">INDEX('label approval artwork'!B:B,MATCH(G123,'label approval artwork'!F:F,0))</f>
        <v>#VALUE!</v>
      </c>
      <c r="AV123" s="102" t="s">
        <v>435</v>
      </c>
      <c r="AW123" s="102"/>
      <c r="AX123" s="102" t="s">
        <v>436</v>
      </c>
      <c r="AY123" s="102" t="s">
        <v>437</v>
      </c>
    </row>
    <row r="124">
      <c r="A124" s="118">
        <v>116.0</v>
      </c>
      <c r="B124" s="100" t="s">
        <v>42</v>
      </c>
      <c r="C124" s="101" t="s">
        <v>42</v>
      </c>
      <c r="D124" s="102" t="s">
        <v>354</v>
      </c>
      <c r="E124" s="100" t="s">
        <v>523</v>
      </c>
      <c r="F124" s="100"/>
      <c r="G124" s="119" t="s">
        <v>859</v>
      </c>
      <c r="H124" s="104" t="s">
        <v>536</v>
      </c>
      <c r="I124" s="105" t="s">
        <v>501</v>
      </c>
      <c r="J124" s="104" t="s">
        <v>502</v>
      </c>
      <c r="K124" s="105" t="s">
        <v>196</v>
      </c>
      <c r="L124" s="105" t="s">
        <v>197</v>
      </c>
      <c r="M124" s="105" t="s">
        <v>198</v>
      </c>
      <c r="N124" s="106" t="s">
        <v>426</v>
      </c>
      <c r="O124" s="102" t="s">
        <v>538</v>
      </c>
      <c r="P124" s="105" t="s">
        <v>539</v>
      </c>
      <c r="Q124" s="105"/>
      <c r="R124" s="105">
        <v>8.40353937222E11</v>
      </c>
      <c r="S124" s="105"/>
      <c r="T124" s="105" t="s">
        <v>160</v>
      </c>
      <c r="U124" s="107" t="s">
        <v>540</v>
      </c>
      <c r="V124" s="108" t="s">
        <v>541</v>
      </c>
      <c r="W124" s="122" t="s">
        <v>542</v>
      </c>
      <c r="X124" s="122" t="s">
        <v>543</v>
      </c>
      <c r="Y124" s="109" t="s">
        <v>860</v>
      </c>
      <c r="Z124" s="109" t="s">
        <v>861</v>
      </c>
      <c r="AA124" s="100" t="s">
        <v>862</v>
      </c>
      <c r="AB124" s="110" t="s">
        <v>119</v>
      </c>
      <c r="AC124" s="105" t="s">
        <v>120</v>
      </c>
      <c r="AD124" s="100" t="s">
        <v>120</v>
      </c>
      <c r="AE124" s="100" t="s">
        <v>119</v>
      </c>
      <c r="AF124" s="100" t="s">
        <v>361</v>
      </c>
      <c r="AG124" s="100" t="s">
        <v>120</v>
      </c>
      <c r="AH124" s="100" t="s">
        <v>120</v>
      </c>
      <c r="AI124" s="102" t="s">
        <v>120</v>
      </c>
      <c r="AJ124" s="102" t="s">
        <v>120</v>
      </c>
      <c r="AK124" s="111" t="s">
        <v>120</v>
      </c>
      <c r="AL124" s="102" t="s">
        <v>120</v>
      </c>
      <c r="AM124" s="102" t="s">
        <v>120</v>
      </c>
      <c r="AN124" s="102" t="s">
        <v>120</v>
      </c>
      <c r="AO124" s="152" t="s">
        <v>838</v>
      </c>
      <c r="AP124" s="113" t="s">
        <v>132</v>
      </c>
      <c r="AQ124" s="103"/>
      <c r="AR124" s="114" t="s">
        <v>124</v>
      </c>
      <c r="AS124" s="115" t="s">
        <v>133</v>
      </c>
      <c r="AT124" s="102" t="e">
        <v>#VALUE!</v>
      </c>
      <c r="AU124" s="103" t="str">
        <f t="array" ref="AU124">INDEX('label approval artwork'!B:B,MATCH(G124,'label approval artwork'!F:F,0))</f>
        <v>#VALUE!</v>
      </c>
      <c r="AV124" s="102" t="s">
        <v>435</v>
      </c>
      <c r="AW124" s="102"/>
      <c r="AX124" s="102" t="s">
        <v>436</v>
      </c>
      <c r="AY124" s="102" t="s">
        <v>437</v>
      </c>
    </row>
    <row r="125">
      <c r="A125" s="99">
        <v>117.0</v>
      </c>
      <c r="B125" s="100" t="s">
        <v>42</v>
      </c>
      <c r="C125" s="101" t="s">
        <v>42</v>
      </c>
      <c r="D125" s="102" t="s">
        <v>354</v>
      </c>
      <c r="E125" s="100" t="s">
        <v>528</v>
      </c>
      <c r="F125" s="100"/>
      <c r="G125" s="119" t="s">
        <v>863</v>
      </c>
      <c r="H125" s="104" t="s">
        <v>536</v>
      </c>
      <c r="I125" s="105" t="s">
        <v>530</v>
      </c>
      <c r="J125" s="104" t="s">
        <v>502</v>
      </c>
      <c r="K125" s="105" t="s">
        <v>106</v>
      </c>
      <c r="L125" s="105" t="s">
        <v>107</v>
      </c>
      <c r="M125" s="105" t="s">
        <v>108</v>
      </c>
      <c r="N125" s="106" t="s">
        <v>426</v>
      </c>
      <c r="O125" s="102" t="s">
        <v>538</v>
      </c>
      <c r="P125" s="105" t="s">
        <v>539</v>
      </c>
      <c r="Q125" s="105"/>
      <c r="R125" s="105">
        <v>8.40353937239E11</v>
      </c>
      <c r="S125" s="105"/>
      <c r="T125" s="105" t="s">
        <v>179</v>
      </c>
      <c r="U125" s="107" t="s">
        <v>540</v>
      </c>
      <c r="V125" s="108" t="s">
        <v>541</v>
      </c>
      <c r="W125" s="122" t="s">
        <v>542</v>
      </c>
      <c r="X125" s="122" t="s">
        <v>543</v>
      </c>
      <c r="Y125" s="109" t="s">
        <v>864</v>
      </c>
      <c r="Z125" s="109" t="s">
        <v>865</v>
      </c>
      <c r="AA125" s="100" t="s">
        <v>866</v>
      </c>
      <c r="AB125" s="110" t="s">
        <v>119</v>
      </c>
      <c r="AC125" s="105" t="s">
        <v>120</v>
      </c>
      <c r="AD125" s="100" t="s">
        <v>120</v>
      </c>
      <c r="AE125" s="100" t="s">
        <v>119</v>
      </c>
      <c r="AF125" s="100" t="s">
        <v>361</v>
      </c>
      <c r="AG125" s="100" t="s">
        <v>120</v>
      </c>
      <c r="AH125" s="100" t="s">
        <v>120</v>
      </c>
      <c r="AI125" s="102" t="s">
        <v>120</v>
      </c>
      <c r="AJ125" s="102" t="s">
        <v>120</v>
      </c>
      <c r="AK125" s="111" t="s">
        <v>120</v>
      </c>
      <c r="AL125" s="102" t="s">
        <v>120</v>
      </c>
      <c r="AM125" s="102" t="s">
        <v>120</v>
      </c>
      <c r="AN125" s="102" t="s">
        <v>120</v>
      </c>
      <c r="AO125" s="152" t="s">
        <v>838</v>
      </c>
      <c r="AP125" s="113" t="s">
        <v>132</v>
      </c>
      <c r="AQ125" s="103"/>
      <c r="AR125" s="114" t="s">
        <v>124</v>
      </c>
      <c r="AS125" s="115" t="s">
        <v>133</v>
      </c>
      <c r="AT125" s="102" t="e">
        <v>#VALUE!</v>
      </c>
      <c r="AU125" s="103" t="str">
        <f t="array" ref="AU125">INDEX('label approval artwork'!B:B,MATCH(G125,'label approval artwork'!F:F,0))</f>
        <v>#VALUE!</v>
      </c>
      <c r="AV125" s="102" t="s">
        <v>435</v>
      </c>
      <c r="AW125" s="102"/>
      <c r="AX125" s="102" t="s">
        <v>436</v>
      </c>
      <c r="AY125" s="102" t="s">
        <v>437</v>
      </c>
    </row>
    <row r="126">
      <c r="A126" s="118">
        <v>118.0</v>
      </c>
      <c r="B126" s="100" t="s">
        <v>42</v>
      </c>
      <c r="C126" s="101" t="s">
        <v>42</v>
      </c>
      <c r="D126" s="102" t="s">
        <v>354</v>
      </c>
      <c r="E126" s="100" t="s">
        <v>585</v>
      </c>
      <c r="F126" s="100"/>
      <c r="G126" s="119" t="s">
        <v>867</v>
      </c>
      <c r="H126" s="104" t="s">
        <v>536</v>
      </c>
      <c r="I126" s="105" t="s">
        <v>530</v>
      </c>
      <c r="J126" s="104" t="s">
        <v>502</v>
      </c>
      <c r="K126" s="105" t="s">
        <v>143</v>
      </c>
      <c r="L126" s="105" t="s">
        <v>144</v>
      </c>
      <c r="M126" s="105" t="s">
        <v>145</v>
      </c>
      <c r="N126" s="106" t="s">
        <v>426</v>
      </c>
      <c r="O126" s="102" t="s">
        <v>538</v>
      </c>
      <c r="P126" s="105" t="s">
        <v>539</v>
      </c>
      <c r="Q126" s="105"/>
      <c r="R126" s="105">
        <v>8.40353937253E11</v>
      </c>
      <c r="S126" s="105"/>
      <c r="T126" s="105" t="s">
        <v>179</v>
      </c>
      <c r="U126" s="107" t="s">
        <v>540</v>
      </c>
      <c r="V126" s="108" t="s">
        <v>541</v>
      </c>
      <c r="W126" s="122" t="s">
        <v>542</v>
      </c>
      <c r="X126" s="122" t="s">
        <v>543</v>
      </c>
      <c r="Y126" s="109" t="s">
        <v>868</v>
      </c>
      <c r="Z126" s="109" t="s">
        <v>869</v>
      </c>
      <c r="AA126" s="100" t="s">
        <v>870</v>
      </c>
      <c r="AB126" s="110" t="s">
        <v>119</v>
      </c>
      <c r="AC126" s="105" t="s">
        <v>120</v>
      </c>
      <c r="AD126" s="100" t="s">
        <v>120</v>
      </c>
      <c r="AE126" s="100" t="s">
        <v>119</v>
      </c>
      <c r="AF126" s="100" t="s">
        <v>361</v>
      </c>
      <c r="AG126" s="100" t="s">
        <v>120</v>
      </c>
      <c r="AH126" s="100" t="s">
        <v>120</v>
      </c>
      <c r="AI126" s="102" t="s">
        <v>120</v>
      </c>
      <c r="AJ126" s="102" t="s">
        <v>120</v>
      </c>
      <c r="AK126" s="111" t="s">
        <v>120</v>
      </c>
      <c r="AL126" s="102" t="s">
        <v>120</v>
      </c>
      <c r="AM126" s="102" t="s">
        <v>120</v>
      </c>
      <c r="AN126" s="102" t="s">
        <v>120</v>
      </c>
      <c r="AO126" s="152" t="s">
        <v>838</v>
      </c>
      <c r="AP126" s="113" t="s">
        <v>132</v>
      </c>
      <c r="AQ126" s="103"/>
      <c r="AR126" s="114" t="s">
        <v>124</v>
      </c>
      <c r="AS126" s="115" t="s">
        <v>133</v>
      </c>
      <c r="AT126" s="102" t="e">
        <v>#VALUE!</v>
      </c>
      <c r="AU126" s="103" t="str">
        <f t="array" ref="AU126">INDEX('label approval artwork'!B:B,MATCH(G126,'label approval artwork'!F:F,0))</f>
        <v>#VALUE!</v>
      </c>
      <c r="AV126" s="102" t="s">
        <v>435</v>
      </c>
      <c r="AW126" s="102"/>
      <c r="AX126" s="102" t="s">
        <v>436</v>
      </c>
      <c r="AY126" s="102" t="s">
        <v>437</v>
      </c>
    </row>
    <row r="127">
      <c r="A127" s="99">
        <v>119.0</v>
      </c>
      <c r="B127" s="100" t="s">
        <v>42</v>
      </c>
      <c r="C127" s="101" t="s">
        <v>42</v>
      </c>
      <c r="D127" s="102" t="s">
        <v>354</v>
      </c>
      <c r="E127" s="100" t="s">
        <v>591</v>
      </c>
      <c r="F127" s="100"/>
      <c r="G127" s="119" t="s">
        <v>871</v>
      </c>
      <c r="H127" s="104" t="s">
        <v>536</v>
      </c>
      <c r="I127" s="105" t="s">
        <v>593</v>
      </c>
      <c r="J127" s="104" t="s">
        <v>502</v>
      </c>
      <c r="K127" s="105" t="s">
        <v>106</v>
      </c>
      <c r="L127" s="105" t="s">
        <v>107</v>
      </c>
      <c r="M127" s="105" t="s">
        <v>108</v>
      </c>
      <c r="N127" s="106" t="s">
        <v>426</v>
      </c>
      <c r="O127" s="102" t="s">
        <v>538</v>
      </c>
      <c r="P127" s="105" t="s">
        <v>539</v>
      </c>
      <c r="Q127" s="105"/>
      <c r="R127" s="105">
        <v>8.40353937277E11</v>
      </c>
      <c r="S127" s="105"/>
      <c r="T127" s="105" t="s">
        <v>339</v>
      </c>
      <c r="U127" s="107" t="s">
        <v>540</v>
      </c>
      <c r="V127" s="108" t="s">
        <v>541</v>
      </c>
      <c r="W127" s="122" t="s">
        <v>542</v>
      </c>
      <c r="X127" s="122" t="s">
        <v>543</v>
      </c>
      <c r="Y127" s="109" t="s">
        <v>872</v>
      </c>
      <c r="Z127" s="109" t="s">
        <v>873</v>
      </c>
      <c r="AA127" s="100" t="s">
        <v>874</v>
      </c>
      <c r="AB127" s="110" t="s">
        <v>119</v>
      </c>
      <c r="AC127" s="105" t="s">
        <v>120</v>
      </c>
      <c r="AD127" s="100" t="s">
        <v>120</v>
      </c>
      <c r="AE127" s="100" t="s">
        <v>119</v>
      </c>
      <c r="AF127" s="100" t="s">
        <v>361</v>
      </c>
      <c r="AG127" s="100" t="s">
        <v>120</v>
      </c>
      <c r="AH127" s="100" t="s">
        <v>120</v>
      </c>
      <c r="AI127" s="102" t="s">
        <v>120</v>
      </c>
      <c r="AJ127" s="102" t="s">
        <v>120</v>
      </c>
      <c r="AK127" s="111" t="s">
        <v>120</v>
      </c>
      <c r="AL127" s="102" t="s">
        <v>120</v>
      </c>
      <c r="AM127" s="102" t="s">
        <v>120</v>
      </c>
      <c r="AN127" s="102" t="s">
        <v>120</v>
      </c>
      <c r="AO127" s="152" t="s">
        <v>838</v>
      </c>
      <c r="AP127" s="113" t="s">
        <v>132</v>
      </c>
      <c r="AQ127" s="103"/>
      <c r="AR127" s="114" t="s">
        <v>124</v>
      </c>
      <c r="AS127" s="115" t="s">
        <v>133</v>
      </c>
      <c r="AT127" s="102" t="e">
        <v>#VALUE!</v>
      </c>
      <c r="AU127" s="103" t="str">
        <f t="array" ref="AU127">INDEX('label approval artwork'!B:B,MATCH(G127,'label approval artwork'!F:F,0))</f>
        <v>#VALUE!</v>
      </c>
      <c r="AV127" s="102" t="s">
        <v>435</v>
      </c>
      <c r="AW127" s="102"/>
      <c r="AX127" s="102" t="s">
        <v>436</v>
      </c>
      <c r="AY127" s="102" t="s">
        <v>437</v>
      </c>
    </row>
    <row r="128">
      <c r="A128" s="118">
        <v>120.0</v>
      </c>
      <c r="B128" s="100" t="s">
        <v>42</v>
      </c>
      <c r="C128" s="101" t="s">
        <v>42</v>
      </c>
      <c r="D128" s="102" t="s">
        <v>354</v>
      </c>
      <c r="E128" s="100" t="s">
        <v>534</v>
      </c>
      <c r="F128" s="100" t="s">
        <v>598</v>
      </c>
      <c r="G128" s="119" t="s">
        <v>875</v>
      </c>
      <c r="H128" s="104" t="s">
        <v>600</v>
      </c>
      <c r="I128" s="105" t="s">
        <v>537</v>
      </c>
      <c r="J128" s="104" t="s">
        <v>502</v>
      </c>
      <c r="K128" s="105" t="s">
        <v>106</v>
      </c>
      <c r="L128" s="105" t="s">
        <v>107</v>
      </c>
      <c r="M128" s="105" t="s">
        <v>108</v>
      </c>
      <c r="N128" s="106" t="s">
        <v>426</v>
      </c>
      <c r="O128" s="102" t="s">
        <v>538</v>
      </c>
      <c r="P128" s="105" t="s">
        <v>601</v>
      </c>
      <c r="Q128" s="105"/>
      <c r="R128" s="105"/>
      <c r="S128" s="105" t="s">
        <v>876</v>
      </c>
      <c r="T128" s="105" t="s">
        <v>148</v>
      </c>
      <c r="U128" s="107" t="s">
        <v>540</v>
      </c>
      <c r="V128" s="108" t="s">
        <v>541</v>
      </c>
      <c r="W128" s="122" t="s">
        <v>542</v>
      </c>
      <c r="X128" s="122" t="s">
        <v>543</v>
      </c>
      <c r="Y128" s="109" t="s">
        <v>877</v>
      </c>
      <c r="Z128" s="109" t="s">
        <v>878</v>
      </c>
      <c r="AA128" s="100" t="s">
        <v>879</v>
      </c>
      <c r="AB128" s="110" t="s">
        <v>119</v>
      </c>
      <c r="AC128" s="105" t="s">
        <v>119</v>
      </c>
      <c r="AD128" s="100" t="s">
        <v>120</v>
      </c>
      <c r="AE128" s="100" t="s">
        <v>119</v>
      </c>
      <c r="AF128" s="100" t="s">
        <v>361</v>
      </c>
      <c r="AG128" s="100" t="s">
        <v>120</v>
      </c>
      <c r="AH128" s="100" t="s">
        <v>120</v>
      </c>
      <c r="AI128" s="102" t="s">
        <v>120</v>
      </c>
      <c r="AJ128" s="102" t="s">
        <v>120</v>
      </c>
      <c r="AK128" s="111" t="s">
        <v>120</v>
      </c>
      <c r="AL128" s="102" t="s">
        <v>120</v>
      </c>
      <c r="AM128" s="102" t="s">
        <v>120</v>
      </c>
      <c r="AN128" s="102" t="s">
        <v>119</v>
      </c>
      <c r="AO128" s="152" t="s">
        <v>838</v>
      </c>
      <c r="AP128" s="113" t="s">
        <v>132</v>
      </c>
      <c r="AQ128" s="103"/>
      <c r="AR128" s="114" t="s">
        <v>124</v>
      </c>
      <c r="AS128" s="115" t="s">
        <v>133</v>
      </c>
      <c r="AT128" s="102" t="str">
        <f t="array" ref="AT128">INDEX('label approval artwork'!A:A,MATCH(G128,'label approval artwork'!F:F,0))</f>
        <v>#VALUE!</v>
      </c>
      <c r="AU128" s="103" t="str">
        <f t="array" ref="AU128">INDEX('label approval artwork'!B:B,MATCH(G128,'label approval artwork'!F:F,0))</f>
        <v>#VALUE!</v>
      </c>
      <c r="AV128" s="102" t="s">
        <v>435</v>
      </c>
      <c r="AW128" s="102"/>
      <c r="AX128" s="102" t="s">
        <v>606</v>
      </c>
      <c r="AY128" s="102" t="s">
        <v>437</v>
      </c>
    </row>
    <row r="129">
      <c r="A129" s="99">
        <v>121.0</v>
      </c>
      <c r="B129" s="100" t="s">
        <v>42</v>
      </c>
      <c r="C129" s="101" t="s">
        <v>42</v>
      </c>
      <c r="D129" s="102" t="s">
        <v>354</v>
      </c>
      <c r="E129" s="100" t="s">
        <v>548</v>
      </c>
      <c r="F129" s="100" t="s">
        <v>607</v>
      </c>
      <c r="G129" s="119" t="s">
        <v>880</v>
      </c>
      <c r="H129" s="104" t="s">
        <v>600</v>
      </c>
      <c r="I129" s="105" t="s">
        <v>537</v>
      </c>
      <c r="J129" s="104" t="s">
        <v>502</v>
      </c>
      <c r="K129" s="105" t="s">
        <v>244</v>
      </c>
      <c r="L129" s="105" t="s">
        <v>245</v>
      </c>
      <c r="M129" s="105" t="s">
        <v>246</v>
      </c>
      <c r="N129" s="106" t="s">
        <v>426</v>
      </c>
      <c r="O129" s="102" t="s">
        <v>538</v>
      </c>
      <c r="P129" s="105" t="s">
        <v>601</v>
      </c>
      <c r="Q129" s="105"/>
      <c r="R129" s="105"/>
      <c r="S129" s="105" t="s">
        <v>881</v>
      </c>
      <c r="T129" s="105" t="s">
        <v>148</v>
      </c>
      <c r="U129" s="107" t="s">
        <v>540</v>
      </c>
      <c r="V129" s="108" t="s">
        <v>541</v>
      </c>
      <c r="W129" s="122" t="s">
        <v>542</v>
      </c>
      <c r="X129" s="122" t="s">
        <v>543</v>
      </c>
      <c r="Y129" s="109" t="s">
        <v>882</v>
      </c>
      <c r="Z129" s="109" t="s">
        <v>883</v>
      </c>
      <c r="AA129" s="100" t="s">
        <v>884</v>
      </c>
      <c r="AB129" s="110" t="s">
        <v>119</v>
      </c>
      <c r="AC129" s="105" t="s">
        <v>119</v>
      </c>
      <c r="AD129" s="100" t="s">
        <v>120</v>
      </c>
      <c r="AE129" s="100" t="s">
        <v>119</v>
      </c>
      <c r="AF129" s="100" t="s">
        <v>361</v>
      </c>
      <c r="AG129" s="100" t="s">
        <v>120</v>
      </c>
      <c r="AH129" s="100" t="s">
        <v>120</v>
      </c>
      <c r="AI129" s="102" t="s">
        <v>120</v>
      </c>
      <c r="AJ129" s="102" t="s">
        <v>120</v>
      </c>
      <c r="AK129" s="111" t="s">
        <v>120</v>
      </c>
      <c r="AL129" s="102" t="s">
        <v>120</v>
      </c>
      <c r="AM129" s="102" t="s">
        <v>120</v>
      </c>
      <c r="AN129" s="102" t="s">
        <v>119</v>
      </c>
      <c r="AO129" s="152" t="s">
        <v>838</v>
      </c>
      <c r="AP129" s="113" t="s">
        <v>132</v>
      </c>
      <c r="AQ129" s="103"/>
      <c r="AR129" s="114" t="s">
        <v>124</v>
      </c>
      <c r="AS129" s="115" t="s">
        <v>133</v>
      </c>
      <c r="AT129" s="102" t="str">
        <f t="array" ref="AT129">INDEX('label approval artwork'!A:A,MATCH(G129,'label approval artwork'!F:F,0))</f>
        <v>#VALUE!</v>
      </c>
      <c r="AU129" s="103" t="str">
        <f t="array" ref="AU129">INDEX('label approval artwork'!B:B,MATCH(G129,'label approval artwork'!F:F,0))</f>
        <v>#VALUE!</v>
      </c>
      <c r="AV129" s="102" t="s">
        <v>435</v>
      </c>
      <c r="AW129" s="102"/>
      <c r="AX129" s="102" t="s">
        <v>606</v>
      </c>
      <c r="AY129" s="102" t="s">
        <v>437</v>
      </c>
    </row>
    <row r="130">
      <c r="A130" s="118">
        <v>122.0</v>
      </c>
      <c r="B130" s="100" t="s">
        <v>42</v>
      </c>
      <c r="C130" s="101" t="s">
        <v>42</v>
      </c>
      <c r="D130" s="102" t="s">
        <v>354</v>
      </c>
      <c r="E130" s="100" t="s">
        <v>554</v>
      </c>
      <c r="F130" s="100" t="s">
        <v>613</v>
      </c>
      <c r="G130" s="119" t="s">
        <v>885</v>
      </c>
      <c r="H130" s="104" t="s">
        <v>600</v>
      </c>
      <c r="I130" s="105" t="s">
        <v>537</v>
      </c>
      <c r="J130" s="104" t="s">
        <v>502</v>
      </c>
      <c r="K130" s="105" t="s">
        <v>143</v>
      </c>
      <c r="L130" s="105" t="s">
        <v>144</v>
      </c>
      <c r="M130" s="105" t="s">
        <v>145</v>
      </c>
      <c r="N130" s="106" t="s">
        <v>426</v>
      </c>
      <c r="O130" s="102" t="s">
        <v>538</v>
      </c>
      <c r="P130" s="105" t="s">
        <v>601</v>
      </c>
      <c r="Q130" s="105"/>
      <c r="R130" s="105"/>
      <c r="S130" s="105" t="s">
        <v>886</v>
      </c>
      <c r="T130" s="105" t="s">
        <v>148</v>
      </c>
      <c r="U130" s="107" t="s">
        <v>540</v>
      </c>
      <c r="V130" s="108" t="s">
        <v>541</v>
      </c>
      <c r="W130" s="122" t="s">
        <v>542</v>
      </c>
      <c r="X130" s="122" t="s">
        <v>543</v>
      </c>
      <c r="Y130" s="109" t="s">
        <v>887</v>
      </c>
      <c r="Z130" s="109" t="s">
        <v>888</v>
      </c>
      <c r="AA130" s="100" t="s">
        <v>889</v>
      </c>
      <c r="AB130" s="110" t="s">
        <v>119</v>
      </c>
      <c r="AC130" s="105" t="s">
        <v>119</v>
      </c>
      <c r="AD130" s="100" t="s">
        <v>120</v>
      </c>
      <c r="AE130" s="100" t="s">
        <v>119</v>
      </c>
      <c r="AF130" s="100" t="s">
        <v>361</v>
      </c>
      <c r="AG130" s="100" t="s">
        <v>120</v>
      </c>
      <c r="AH130" s="100" t="s">
        <v>120</v>
      </c>
      <c r="AI130" s="102" t="s">
        <v>120</v>
      </c>
      <c r="AJ130" s="102" t="s">
        <v>120</v>
      </c>
      <c r="AK130" s="111" t="s">
        <v>120</v>
      </c>
      <c r="AL130" s="102" t="s">
        <v>120</v>
      </c>
      <c r="AM130" s="102" t="s">
        <v>120</v>
      </c>
      <c r="AN130" s="102" t="s">
        <v>119</v>
      </c>
      <c r="AO130" s="152" t="s">
        <v>838</v>
      </c>
      <c r="AP130" s="113" t="s">
        <v>132</v>
      </c>
      <c r="AQ130" s="103"/>
      <c r="AR130" s="114" t="s">
        <v>124</v>
      </c>
      <c r="AS130" s="115" t="s">
        <v>133</v>
      </c>
      <c r="AT130" s="102" t="str">
        <f t="array" ref="AT130">INDEX('label approval artwork'!A:A,MATCH(G130,'label approval artwork'!F:F,0))</f>
        <v>#VALUE!</v>
      </c>
      <c r="AU130" s="103" t="str">
        <f t="array" ref="AU130">INDEX('label approval artwork'!B:B,MATCH(G130,'label approval artwork'!F:F,0))</f>
        <v>#VALUE!</v>
      </c>
      <c r="AV130" s="102" t="s">
        <v>435</v>
      </c>
      <c r="AW130" s="102"/>
      <c r="AX130" s="102" t="s">
        <v>606</v>
      </c>
      <c r="AY130" s="102" t="s">
        <v>437</v>
      </c>
    </row>
    <row r="131">
      <c r="A131" s="99">
        <v>123.0</v>
      </c>
      <c r="B131" s="100" t="s">
        <v>42</v>
      </c>
      <c r="C131" s="101" t="s">
        <v>42</v>
      </c>
      <c r="D131" s="102" t="s">
        <v>354</v>
      </c>
      <c r="E131" s="100" t="s">
        <v>498</v>
      </c>
      <c r="F131" s="100" t="s">
        <v>619</v>
      </c>
      <c r="G131" s="119" t="s">
        <v>890</v>
      </c>
      <c r="H131" s="104" t="s">
        <v>600</v>
      </c>
      <c r="I131" s="105" t="s">
        <v>501</v>
      </c>
      <c r="J131" s="104" t="s">
        <v>502</v>
      </c>
      <c r="K131" s="105" t="s">
        <v>106</v>
      </c>
      <c r="L131" s="105" t="s">
        <v>107</v>
      </c>
      <c r="M131" s="105" t="s">
        <v>108</v>
      </c>
      <c r="N131" s="106" t="s">
        <v>426</v>
      </c>
      <c r="O131" s="102" t="s">
        <v>538</v>
      </c>
      <c r="P131" s="105" t="s">
        <v>601</v>
      </c>
      <c r="Q131" s="105"/>
      <c r="R131" s="105"/>
      <c r="S131" s="105" t="s">
        <v>891</v>
      </c>
      <c r="T131" s="105" t="s">
        <v>160</v>
      </c>
      <c r="U131" s="107" t="s">
        <v>540</v>
      </c>
      <c r="V131" s="108" t="s">
        <v>541</v>
      </c>
      <c r="W131" s="122" t="s">
        <v>542</v>
      </c>
      <c r="X131" s="122" t="s">
        <v>543</v>
      </c>
      <c r="Y131" s="109" t="s">
        <v>892</v>
      </c>
      <c r="Z131" s="109" t="s">
        <v>893</v>
      </c>
      <c r="AA131" s="100" t="s">
        <v>894</v>
      </c>
      <c r="AB131" s="110" t="s">
        <v>119</v>
      </c>
      <c r="AC131" s="105" t="s">
        <v>119</v>
      </c>
      <c r="AD131" s="100" t="s">
        <v>120</v>
      </c>
      <c r="AE131" s="100" t="s">
        <v>119</v>
      </c>
      <c r="AF131" s="100" t="s">
        <v>361</v>
      </c>
      <c r="AG131" s="100" t="s">
        <v>120</v>
      </c>
      <c r="AH131" s="100" t="s">
        <v>120</v>
      </c>
      <c r="AI131" s="102" t="s">
        <v>120</v>
      </c>
      <c r="AJ131" s="102" t="s">
        <v>120</v>
      </c>
      <c r="AK131" s="111" t="s">
        <v>120</v>
      </c>
      <c r="AL131" s="102" t="s">
        <v>120</v>
      </c>
      <c r="AM131" s="102" t="s">
        <v>120</v>
      </c>
      <c r="AN131" s="102" t="s">
        <v>119</v>
      </c>
      <c r="AO131" s="152" t="s">
        <v>838</v>
      </c>
      <c r="AP131" s="113" t="s">
        <v>132</v>
      </c>
      <c r="AQ131" s="103"/>
      <c r="AR131" s="114" t="s">
        <v>124</v>
      </c>
      <c r="AS131" s="115" t="s">
        <v>133</v>
      </c>
      <c r="AT131" s="102" t="str">
        <f t="array" ref="AT131">INDEX('label approval artwork'!A:A,MATCH(G131,'label approval artwork'!F:F,0))</f>
        <v>#VALUE!</v>
      </c>
      <c r="AU131" s="103" t="str">
        <f t="array" ref="AU131">INDEX('label approval artwork'!B:B,MATCH(G131,'label approval artwork'!F:F,0))</f>
        <v>#VALUE!</v>
      </c>
      <c r="AV131" s="102" t="s">
        <v>435</v>
      </c>
      <c r="AW131" s="102"/>
      <c r="AX131" s="102" t="s">
        <v>606</v>
      </c>
      <c r="AY131" s="102" t="s">
        <v>437</v>
      </c>
    </row>
    <row r="132">
      <c r="A132" s="118">
        <v>124.0</v>
      </c>
      <c r="B132" s="100" t="s">
        <v>42</v>
      </c>
      <c r="C132" s="101" t="s">
        <v>42</v>
      </c>
      <c r="D132" s="102" t="s">
        <v>354</v>
      </c>
      <c r="E132" s="100" t="s">
        <v>513</v>
      </c>
      <c r="F132" s="100" t="s">
        <v>625</v>
      </c>
      <c r="G132" s="119" t="s">
        <v>895</v>
      </c>
      <c r="H132" s="104" t="s">
        <v>600</v>
      </c>
      <c r="I132" s="105" t="s">
        <v>501</v>
      </c>
      <c r="J132" s="104" t="s">
        <v>502</v>
      </c>
      <c r="K132" s="105" t="s">
        <v>244</v>
      </c>
      <c r="L132" s="105" t="s">
        <v>245</v>
      </c>
      <c r="M132" s="105" t="s">
        <v>246</v>
      </c>
      <c r="N132" s="106" t="s">
        <v>426</v>
      </c>
      <c r="O132" s="102" t="s">
        <v>538</v>
      </c>
      <c r="P132" s="105" t="s">
        <v>601</v>
      </c>
      <c r="Q132" s="105"/>
      <c r="R132" s="105"/>
      <c r="S132" s="105" t="s">
        <v>896</v>
      </c>
      <c r="T132" s="105" t="s">
        <v>160</v>
      </c>
      <c r="U132" s="107" t="s">
        <v>540</v>
      </c>
      <c r="V132" s="108" t="s">
        <v>541</v>
      </c>
      <c r="W132" s="122" t="s">
        <v>542</v>
      </c>
      <c r="X132" s="122" t="s">
        <v>543</v>
      </c>
      <c r="Y132" s="109" t="s">
        <v>897</v>
      </c>
      <c r="Z132" s="109" t="s">
        <v>898</v>
      </c>
      <c r="AA132" s="100" t="s">
        <v>899</v>
      </c>
      <c r="AB132" s="110" t="s">
        <v>119</v>
      </c>
      <c r="AC132" s="105" t="s">
        <v>119</v>
      </c>
      <c r="AD132" s="100" t="s">
        <v>120</v>
      </c>
      <c r="AE132" s="100" t="s">
        <v>119</v>
      </c>
      <c r="AF132" s="100" t="s">
        <v>361</v>
      </c>
      <c r="AG132" s="100" t="s">
        <v>120</v>
      </c>
      <c r="AH132" s="100" t="s">
        <v>120</v>
      </c>
      <c r="AI132" s="102" t="s">
        <v>120</v>
      </c>
      <c r="AJ132" s="102" t="s">
        <v>120</v>
      </c>
      <c r="AK132" s="111" t="s">
        <v>120</v>
      </c>
      <c r="AL132" s="102" t="s">
        <v>120</v>
      </c>
      <c r="AM132" s="102" t="s">
        <v>120</v>
      </c>
      <c r="AN132" s="102" t="s">
        <v>119</v>
      </c>
      <c r="AO132" s="152" t="s">
        <v>838</v>
      </c>
      <c r="AP132" s="113" t="s">
        <v>132</v>
      </c>
      <c r="AQ132" s="103"/>
      <c r="AR132" s="114" t="s">
        <v>124</v>
      </c>
      <c r="AS132" s="115" t="s">
        <v>133</v>
      </c>
      <c r="AT132" s="102" t="str">
        <f t="array" ref="AT132">INDEX('label approval artwork'!A:A,MATCH(G132,'label approval artwork'!F:F,0))</f>
        <v>#VALUE!</v>
      </c>
      <c r="AU132" s="103" t="str">
        <f t="array" ref="AU132">INDEX('label approval artwork'!B:B,MATCH(G132,'label approval artwork'!F:F,0))</f>
        <v>#VALUE!</v>
      </c>
      <c r="AV132" s="102" t="s">
        <v>435</v>
      </c>
      <c r="AW132" s="102"/>
      <c r="AX132" s="102" t="s">
        <v>606</v>
      </c>
      <c r="AY132" s="102" t="s">
        <v>437</v>
      </c>
    </row>
    <row r="133">
      <c r="A133" s="99">
        <v>125.0</v>
      </c>
      <c r="B133" s="100" t="s">
        <v>42</v>
      </c>
      <c r="C133" s="101" t="s">
        <v>42</v>
      </c>
      <c r="D133" s="102" t="s">
        <v>354</v>
      </c>
      <c r="E133" s="100" t="s">
        <v>518</v>
      </c>
      <c r="F133" s="100" t="s">
        <v>631</v>
      </c>
      <c r="G133" s="119" t="s">
        <v>900</v>
      </c>
      <c r="H133" s="104" t="s">
        <v>600</v>
      </c>
      <c r="I133" s="105" t="s">
        <v>501</v>
      </c>
      <c r="J133" s="104" t="s">
        <v>502</v>
      </c>
      <c r="K133" s="105" t="s">
        <v>143</v>
      </c>
      <c r="L133" s="105" t="s">
        <v>144</v>
      </c>
      <c r="M133" s="105" t="s">
        <v>145</v>
      </c>
      <c r="N133" s="106" t="s">
        <v>426</v>
      </c>
      <c r="O133" s="102" t="s">
        <v>538</v>
      </c>
      <c r="P133" s="105" t="s">
        <v>601</v>
      </c>
      <c r="Q133" s="105"/>
      <c r="R133" s="105"/>
      <c r="S133" s="105" t="s">
        <v>901</v>
      </c>
      <c r="T133" s="105" t="s">
        <v>160</v>
      </c>
      <c r="U133" s="107" t="s">
        <v>540</v>
      </c>
      <c r="V133" s="108" t="s">
        <v>541</v>
      </c>
      <c r="W133" s="122" t="s">
        <v>542</v>
      </c>
      <c r="X133" s="122" t="s">
        <v>543</v>
      </c>
      <c r="Y133" s="109" t="s">
        <v>902</v>
      </c>
      <c r="Z133" s="109" t="s">
        <v>903</v>
      </c>
      <c r="AA133" s="100" t="s">
        <v>904</v>
      </c>
      <c r="AB133" s="110" t="s">
        <v>119</v>
      </c>
      <c r="AC133" s="105" t="s">
        <v>119</v>
      </c>
      <c r="AD133" s="100" t="s">
        <v>120</v>
      </c>
      <c r="AE133" s="100" t="s">
        <v>119</v>
      </c>
      <c r="AF133" s="100" t="s">
        <v>361</v>
      </c>
      <c r="AG133" s="100" t="s">
        <v>120</v>
      </c>
      <c r="AH133" s="100" t="s">
        <v>120</v>
      </c>
      <c r="AI133" s="102" t="s">
        <v>120</v>
      </c>
      <c r="AJ133" s="102" t="s">
        <v>120</v>
      </c>
      <c r="AK133" s="111" t="s">
        <v>120</v>
      </c>
      <c r="AL133" s="102" t="s">
        <v>120</v>
      </c>
      <c r="AM133" s="102" t="s">
        <v>120</v>
      </c>
      <c r="AN133" s="102" t="s">
        <v>119</v>
      </c>
      <c r="AO133" s="152" t="s">
        <v>838</v>
      </c>
      <c r="AP133" s="113" t="s">
        <v>132</v>
      </c>
      <c r="AQ133" s="103"/>
      <c r="AR133" s="114" t="s">
        <v>124</v>
      </c>
      <c r="AS133" s="115" t="s">
        <v>133</v>
      </c>
      <c r="AT133" s="102" t="str">
        <f t="array" ref="AT133">INDEX('label approval artwork'!A:A,MATCH(G133,'label approval artwork'!F:F,0))</f>
        <v>#VALUE!</v>
      </c>
      <c r="AU133" s="103" t="str">
        <f t="array" ref="AU133">INDEX('label approval artwork'!B:B,MATCH(G133,'label approval artwork'!F:F,0))</f>
        <v>#VALUE!</v>
      </c>
      <c r="AV133" s="102" t="s">
        <v>435</v>
      </c>
      <c r="AW133" s="102"/>
      <c r="AX133" s="102" t="s">
        <v>606</v>
      </c>
      <c r="AY133" s="102" t="s">
        <v>437</v>
      </c>
    </row>
    <row r="134">
      <c r="A134" s="118">
        <v>126.0</v>
      </c>
      <c r="B134" s="100" t="s">
        <v>42</v>
      </c>
      <c r="C134" s="101" t="s">
        <v>42</v>
      </c>
      <c r="D134" s="102" t="s">
        <v>354</v>
      </c>
      <c r="E134" s="100" t="s">
        <v>523</v>
      </c>
      <c r="F134" s="100" t="s">
        <v>637</v>
      </c>
      <c r="G134" s="119" t="s">
        <v>905</v>
      </c>
      <c r="H134" s="104" t="s">
        <v>600</v>
      </c>
      <c r="I134" s="105" t="s">
        <v>501</v>
      </c>
      <c r="J134" s="104" t="s">
        <v>502</v>
      </c>
      <c r="K134" s="105" t="s">
        <v>196</v>
      </c>
      <c r="L134" s="105" t="s">
        <v>197</v>
      </c>
      <c r="M134" s="105" t="s">
        <v>198</v>
      </c>
      <c r="N134" s="106" t="s">
        <v>426</v>
      </c>
      <c r="O134" s="102" t="s">
        <v>538</v>
      </c>
      <c r="P134" s="105" t="s">
        <v>601</v>
      </c>
      <c r="Q134" s="105"/>
      <c r="R134" s="105"/>
      <c r="S134" s="105" t="s">
        <v>906</v>
      </c>
      <c r="T134" s="105" t="s">
        <v>160</v>
      </c>
      <c r="U134" s="107" t="s">
        <v>540</v>
      </c>
      <c r="V134" s="108" t="s">
        <v>541</v>
      </c>
      <c r="W134" s="122" t="s">
        <v>542</v>
      </c>
      <c r="X134" s="122" t="s">
        <v>543</v>
      </c>
      <c r="Y134" s="109" t="s">
        <v>907</v>
      </c>
      <c r="Z134" s="109" t="s">
        <v>908</v>
      </c>
      <c r="AA134" s="100" t="s">
        <v>909</v>
      </c>
      <c r="AB134" s="110" t="s">
        <v>119</v>
      </c>
      <c r="AC134" s="105" t="s">
        <v>119</v>
      </c>
      <c r="AD134" s="100" t="s">
        <v>120</v>
      </c>
      <c r="AE134" s="100" t="s">
        <v>119</v>
      </c>
      <c r="AF134" s="100" t="s">
        <v>361</v>
      </c>
      <c r="AG134" s="100" t="s">
        <v>120</v>
      </c>
      <c r="AH134" s="100" t="s">
        <v>120</v>
      </c>
      <c r="AI134" s="102" t="s">
        <v>120</v>
      </c>
      <c r="AJ134" s="102" t="s">
        <v>120</v>
      </c>
      <c r="AK134" s="111" t="s">
        <v>120</v>
      </c>
      <c r="AL134" s="102" t="s">
        <v>120</v>
      </c>
      <c r="AM134" s="102" t="s">
        <v>120</v>
      </c>
      <c r="AN134" s="102" t="s">
        <v>119</v>
      </c>
      <c r="AO134" s="152" t="s">
        <v>838</v>
      </c>
      <c r="AP134" s="113" t="s">
        <v>132</v>
      </c>
      <c r="AQ134" s="103"/>
      <c r="AR134" s="114" t="s">
        <v>124</v>
      </c>
      <c r="AS134" s="115" t="s">
        <v>133</v>
      </c>
      <c r="AT134" s="102" t="str">
        <f t="array" ref="AT134">INDEX('label approval artwork'!A:A,MATCH(G134,'label approval artwork'!F:F,0))</f>
        <v>#VALUE!</v>
      </c>
      <c r="AU134" s="103" t="str">
        <f t="array" ref="AU134">INDEX('label approval artwork'!B:B,MATCH(G134,'label approval artwork'!F:F,0))</f>
        <v>#VALUE!</v>
      </c>
      <c r="AV134" s="102" t="s">
        <v>435</v>
      </c>
      <c r="AW134" s="102"/>
      <c r="AX134" s="102" t="s">
        <v>606</v>
      </c>
      <c r="AY134" s="102" t="s">
        <v>437</v>
      </c>
    </row>
    <row r="135">
      <c r="A135" s="99">
        <v>127.0</v>
      </c>
      <c r="B135" s="100" t="s">
        <v>42</v>
      </c>
      <c r="C135" s="101" t="s">
        <v>42</v>
      </c>
      <c r="D135" s="102" t="s">
        <v>354</v>
      </c>
      <c r="E135" s="100" t="s">
        <v>528</v>
      </c>
      <c r="F135" s="100" t="s">
        <v>643</v>
      </c>
      <c r="G135" s="119" t="s">
        <v>910</v>
      </c>
      <c r="H135" s="104" t="s">
        <v>600</v>
      </c>
      <c r="I135" s="105" t="s">
        <v>530</v>
      </c>
      <c r="J135" s="104" t="s">
        <v>502</v>
      </c>
      <c r="K135" s="105" t="s">
        <v>106</v>
      </c>
      <c r="L135" s="105" t="s">
        <v>107</v>
      </c>
      <c r="M135" s="105" t="s">
        <v>108</v>
      </c>
      <c r="N135" s="106" t="s">
        <v>426</v>
      </c>
      <c r="O135" s="102" t="s">
        <v>538</v>
      </c>
      <c r="P135" s="105" t="s">
        <v>601</v>
      </c>
      <c r="Q135" s="105"/>
      <c r="R135" s="105"/>
      <c r="S135" s="105" t="s">
        <v>911</v>
      </c>
      <c r="T135" s="105" t="s">
        <v>179</v>
      </c>
      <c r="U135" s="107" t="s">
        <v>540</v>
      </c>
      <c r="V135" s="108" t="s">
        <v>541</v>
      </c>
      <c r="W135" s="122" t="s">
        <v>542</v>
      </c>
      <c r="X135" s="122" t="s">
        <v>543</v>
      </c>
      <c r="Y135" s="109" t="s">
        <v>912</v>
      </c>
      <c r="Z135" s="109" t="s">
        <v>913</v>
      </c>
      <c r="AA135" s="100" t="s">
        <v>914</v>
      </c>
      <c r="AB135" s="110" t="s">
        <v>119</v>
      </c>
      <c r="AC135" s="105" t="s">
        <v>119</v>
      </c>
      <c r="AD135" s="100" t="s">
        <v>120</v>
      </c>
      <c r="AE135" s="100" t="s">
        <v>119</v>
      </c>
      <c r="AF135" s="100" t="s">
        <v>361</v>
      </c>
      <c r="AG135" s="100" t="s">
        <v>120</v>
      </c>
      <c r="AH135" s="100" t="s">
        <v>120</v>
      </c>
      <c r="AI135" s="102" t="s">
        <v>120</v>
      </c>
      <c r="AJ135" s="102" t="s">
        <v>120</v>
      </c>
      <c r="AK135" s="111" t="s">
        <v>120</v>
      </c>
      <c r="AL135" s="102" t="s">
        <v>120</v>
      </c>
      <c r="AM135" s="102" t="s">
        <v>120</v>
      </c>
      <c r="AN135" s="102" t="s">
        <v>119</v>
      </c>
      <c r="AO135" s="152" t="s">
        <v>838</v>
      </c>
      <c r="AP135" s="113" t="s">
        <v>132</v>
      </c>
      <c r="AQ135" s="103"/>
      <c r="AR135" s="114" t="s">
        <v>124</v>
      </c>
      <c r="AS135" s="115" t="s">
        <v>133</v>
      </c>
      <c r="AT135" s="102" t="str">
        <f t="array" ref="AT135">INDEX('label approval artwork'!A:A,MATCH(G135,'label approval artwork'!F:F,0))</f>
        <v>#VALUE!</v>
      </c>
      <c r="AU135" s="103" t="str">
        <f t="array" ref="AU135">INDEX('label approval artwork'!B:B,MATCH(G135,'label approval artwork'!F:F,0))</f>
        <v>#VALUE!</v>
      </c>
      <c r="AV135" s="102" t="s">
        <v>435</v>
      </c>
      <c r="AW135" s="102"/>
      <c r="AX135" s="102" t="s">
        <v>606</v>
      </c>
      <c r="AY135" s="102" t="s">
        <v>437</v>
      </c>
    </row>
    <row r="136">
      <c r="A136" s="118">
        <v>128.0</v>
      </c>
      <c r="B136" s="100" t="s">
        <v>42</v>
      </c>
      <c r="C136" s="101" t="s">
        <v>42</v>
      </c>
      <c r="D136" s="102" t="s">
        <v>354</v>
      </c>
      <c r="E136" s="100" t="s">
        <v>649</v>
      </c>
      <c r="F136" s="100" t="s">
        <v>650</v>
      </c>
      <c r="G136" s="119" t="s">
        <v>915</v>
      </c>
      <c r="H136" s="104" t="s">
        <v>600</v>
      </c>
      <c r="I136" s="105" t="s">
        <v>530</v>
      </c>
      <c r="J136" s="104" t="s">
        <v>502</v>
      </c>
      <c r="K136" s="105" t="s">
        <v>244</v>
      </c>
      <c r="L136" s="105" t="s">
        <v>245</v>
      </c>
      <c r="M136" s="105" t="s">
        <v>246</v>
      </c>
      <c r="N136" s="106" t="s">
        <v>426</v>
      </c>
      <c r="O136" s="102" t="s">
        <v>538</v>
      </c>
      <c r="P136" s="105" t="s">
        <v>601</v>
      </c>
      <c r="Q136" s="105"/>
      <c r="R136" s="105"/>
      <c r="S136" s="105" t="s">
        <v>916</v>
      </c>
      <c r="T136" s="105" t="s">
        <v>179</v>
      </c>
      <c r="U136" s="107" t="s">
        <v>540</v>
      </c>
      <c r="V136" s="108" t="s">
        <v>541</v>
      </c>
      <c r="W136" s="122" t="s">
        <v>542</v>
      </c>
      <c r="X136" s="122" t="s">
        <v>543</v>
      </c>
      <c r="Y136" s="109" t="s">
        <v>917</v>
      </c>
      <c r="Z136" s="109" t="s">
        <v>918</v>
      </c>
      <c r="AA136" s="100" t="s">
        <v>919</v>
      </c>
      <c r="AB136" s="110" t="s">
        <v>119</v>
      </c>
      <c r="AC136" s="105" t="s">
        <v>119</v>
      </c>
      <c r="AD136" s="100" t="s">
        <v>120</v>
      </c>
      <c r="AE136" s="100" t="s">
        <v>119</v>
      </c>
      <c r="AF136" s="100" t="s">
        <v>361</v>
      </c>
      <c r="AG136" s="100" t="s">
        <v>120</v>
      </c>
      <c r="AH136" s="100" t="s">
        <v>120</v>
      </c>
      <c r="AI136" s="102" t="s">
        <v>120</v>
      </c>
      <c r="AJ136" s="102" t="s">
        <v>120</v>
      </c>
      <c r="AK136" s="111" t="s">
        <v>120</v>
      </c>
      <c r="AL136" s="102" t="s">
        <v>120</v>
      </c>
      <c r="AM136" s="102" t="s">
        <v>120</v>
      </c>
      <c r="AN136" s="102" t="s">
        <v>119</v>
      </c>
      <c r="AO136" s="152" t="s">
        <v>838</v>
      </c>
      <c r="AP136" s="113" t="s">
        <v>132</v>
      </c>
      <c r="AQ136" s="103"/>
      <c r="AR136" s="114" t="s">
        <v>124</v>
      </c>
      <c r="AS136" s="115" t="s">
        <v>133</v>
      </c>
      <c r="AT136" s="102" t="str">
        <f t="array" ref="AT136">INDEX('label approval artwork'!A:A,MATCH(G136,'label approval artwork'!F:F,0))</f>
        <v>#VALUE!</v>
      </c>
      <c r="AU136" s="103" t="str">
        <f t="array" ref="AU136">INDEX('label approval artwork'!B:B,MATCH(G136,'label approval artwork'!F:F,0))</f>
        <v>#VALUE!</v>
      </c>
      <c r="AV136" s="102" t="s">
        <v>435</v>
      </c>
      <c r="AW136" s="102"/>
      <c r="AX136" s="102" t="s">
        <v>606</v>
      </c>
      <c r="AY136" s="102" t="s">
        <v>437</v>
      </c>
    </row>
    <row r="137">
      <c r="A137" s="99">
        <v>129.0</v>
      </c>
      <c r="B137" s="100" t="s">
        <v>42</v>
      </c>
      <c r="C137" s="101" t="s">
        <v>42</v>
      </c>
      <c r="D137" s="102" t="s">
        <v>354</v>
      </c>
      <c r="E137" s="100" t="s">
        <v>585</v>
      </c>
      <c r="F137" s="100" t="s">
        <v>656</v>
      </c>
      <c r="G137" s="119" t="s">
        <v>920</v>
      </c>
      <c r="H137" s="104" t="s">
        <v>600</v>
      </c>
      <c r="I137" s="105" t="s">
        <v>530</v>
      </c>
      <c r="J137" s="104" t="s">
        <v>502</v>
      </c>
      <c r="K137" s="105" t="s">
        <v>143</v>
      </c>
      <c r="L137" s="105" t="s">
        <v>144</v>
      </c>
      <c r="M137" s="105" t="s">
        <v>145</v>
      </c>
      <c r="N137" s="106" t="s">
        <v>426</v>
      </c>
      <c r="O137" s="102" t="s">
        <v>538</v>
      </c>
      <c r="P137" s="105" t="s">
        <v>601</v>
      </c>
      <c r="Q137" s="105"/>
      <c r="R137" s="105"/>
      <c r="S137" s="105" t="s">
        <v>921</v>
      </c>
      <c r="T137" s="105" t="s">
        <v>179</v>
      </c>
      <c r="U137" s="107" t="s">
        <v>540</v>
      </c>
      <c r="V137" s="108" t="s">
        <v>541</v>
      </c>
      <c r="W137" s="122" t="s">
        <v>542</v>
      </c>
      <c r="X137" s="122" t="s">
        <v>543</v>
      </c>
      <c r="Y137" s="109" t="s">
        <v>922</v>
      </c>
      <c r="Z137" s="109" t="s">
        <v>923</v>
      </c>
      <c r="AA137" s="100" t="s">
        <v>924</v>
      </c>
      <c r="AB137" s="110" t="s">
        <v>119</v>
      </c>
      <c r="AC137" s="105" t="s">
        <v>119</v>
      </c>
      <c r="AD137" s="100" t="s">
        <v>120</v>
      </c>
      <c r="AE137" s="100" t="s">
        <v>119</v>
      </c>
      <c r="AF137" s="100" t="s">
        <v>361</v>
      </c>
      <c r="AG137" s="100" t="s">
        <v>120</v>
      </c>
      <c r="AH137" s="100" t="s">
        <v>120</v>
      </c>
      <c r="AI137" s="102" t="s">
        <v>120</v>
      </c>
      <c r="AJ137" s="102" t="s">
        <v>120</v>
      </c>
      <c r="AK137" s="111" t="s">
        <v>120</v>
      </c>
      <c r="AL137" s="102" t="s">
        <v>120</v>
      </c>
      <c r="AM137" s="102" t="s">
        <v>120</v>
      </c>
      <c r="AN137" s="102" t="s">
        <v>119</v>
      </c>
      <c r="AO137" s="152" t="s">
        <v>838</v>
      </c>
      <c r="AP137" s="113" t="s">
        <v>132</v>
      </c>
      <c r="AQ137" s="103"/>
      <c r="AR137" s="114" t="s">
        <v>124</v>
      </c>
      <c r="AS137" s="115" t="s">
        <v>133</v>
      </c>
      <c r="AT137" s="102" t="str">
        <f t="array" ref="AT137">INDEX('label approval artwork'!A:A,MATCH(G137,'label approval artwork'!F:F,0))</f>
        <v>#VALUE!</v>
      </c>
      <c r="AU137" s="103" t="str">
        <f t="array" ref="AU137">INDEX('label approval artwork'!B:B,MATCH(G137,'label approval artwork'!F:F,0))</f>
        <v>#VALUE!</v>
      </c>
      <c r="AV137" s="102" t="s">
        <v>435</v>
      </c>
      <c r="AW137" s="102"/>
      <c r="AX137" s="102" t="s">
        <v>606</v>
      </c>
      <c r="AY137" s="102" t="s">
        <v>437</v>
      </c>
    </row>
    <row r="138">
      <c r="A138" s="118">
        <v>130.0</v>
      </c>
      <c r="B138" s="100" t="s">
        <v>42</v>
      </c>
      <c r="C138" s="101" t="s">
        <v>42</v>
      </c>
      <c r="D138" s="102" t="s">
        <v>354</v>
      </c>
      <c r="E138" s="100" t="s">
        <v>591</v>
      </c>
      <c r="F138" s="100" t="s">
        <v>662</v>
      </c>
      <c r="G138" s="119" t="s">
        <v>925</v>
      </c>
      <c r="H138" s="104" t="s">
        <v>600</v>
      </c>
      <c r="I138" s="105" t="s">
        <v>593</v>
      </c>
      <c r="J138" s="104" t="s">
        <v>502</v>
      </c>
      <c r="K138" s="105" t="s">
        <v>106</v>
      </c>
      <c r="L138" s="105" t="s">
        <v>107</v>
      </c>
      <c r="M138" s="105" t="s">
        <v>108</v>
      </c>
      <c r="N138" s="106" t="s">
        <v>426</v>
      </c>
      <c r="O138" s="102" t="s">
        <v>538</v>
      </c>
      <c r="P138" s="105" t="s">
        <v>601</v>
      </c>
      <c r="Q138" s="105"/>
      <c r="R138" s="105"/>
      <c r="S138" s="105" t="s">
        <v>926</v>
      </c>
      <c r="T138" s="105" t="s">
        <v>339</v>
      </c>
      <c r="U138" s="107" t="s">
        <v>540</v>
      </c>
      <c r="V138" s="108" t="s">
        <v>541</v>
      </c>
      <c r="W138" s="122" t="s">
        <v>542</v>
      </c>
      <c r="X138" s="122" t="s">
        <v>543</v>
      </c>
      <c r="Y138" s="109" t="s">
        <v>927</v>
      </c>
      <c r="Z138" s="109" t="s">
        <v>928</v>
      </c>
      <c r="AA138" s="100" t="s">
        <v>929</v>
      </c>
      <c r="AB138" s="110" t="s">
        <v>119</v>
      </c>
      <c r="AC138" s="105" t="s">
        <v>119</v>
      </c>
      <c r="AD138" s="100" t="s">
        <v>120</v>
      </c>
      <c r="AE138" s="100" t="s">
        <v>119</v>
      </c>
      <c r="AF138" s="100" t="s">
        <v>361</v>
      </c>
      <c r="AG138" s="100" t="s">
        <v>120</v>
      </c>
      <c r="AH138" s="100" t="s">
        <v>120</v>
      </c>
      <c r="AI138" s="102" t="s">
        <v>120</v>
      </c>
      <c r="AJ138" s="102" t="s">
        <v>120</v>
      </c>
      <c r="AK138" s="111" t="s">
        <v>120</v>
      </c>
      <c r="AL138" s="102" t="s">
        <v>120</v>
      </c>
      <c r="AM138" s="102" t="s">
        <v>120</v>
      </c>
      <c r="AN138" s="102" t="s">
        <v>119</v>
      </c>
      <c r="AO138" s="152" t="s">
        <v>838</v>
      </c>
      <c r="AP138" s="113" t="s">
        <v>132</v>
      </c>
      <c r="AQ138" s="103"/>
      <c r="AR138" s="114" t="s">
        <v>124</v>
      </c>
      <c r="AS138" s="115" t="s">
        <v>133</v>
      </c>
      <c r="AT138" s="102" t="str">
        <f t="array" ref="AT138">INDEX('label approval artwork'!A:A,MATCH(G138,'label approval artwork'!F:F,0))</f>
        <v>#VALUE!</v>
      </c>
      <c r="AU138" s="103" t="str">
        <f t="array" ref="AU138">INDEX('label approval artwork'!B:B,MATCH(G138,'label approval artwork'!F:F,0))</f>
        <v>#VALUE!</v>
      </c>
      <c r="AV138" s="102" t="s">
        <v>435</v>
      </c>
      <c r="AW138" s="102"/>
      <c r="AX138" s="102" t="s">
        <v>606</v>
      </c>
      <c r="AY138" s="102" t="s">
        <v>437</v>
      </c>
    </row>
    <row r="139">
      <c r="A139" s="99"/>
      <c r="B139" s="100"/>
      <c r="C139" s="101"/>
      <c r="D139" s="102"/>
      <c r="E139" s="100"/>
      <c r="F139" s="100"/>
      <c r="G139" s="119"/>
      <c r="H139" s="104"/>
      <c r="I139" s="105"/>
      <c r="J139" s="104"/>
      <c r="K139" s="105"/>
      <c r="L139" s="105"/>
      <c r="M139" s="105"/>
      <c r="N139" s="106"/>
      <c r="O139" s="102"/>
      <c r="P139" s="105"/>
      <c r="Q139" s="105"/>
      <c r="R139" s="105"/>
      <c r="S139" s="105"/>
      <c r="T139" s="105"/>
      <c r="U139" s="118"/>
      <c r="V139" s="164"/>
      <c r="W139" s="165"/>
      <c r="X139" s="165"/>
      <c r="Y139" s="166"/>
      <c r="Z139" s="166"/>
      <c r="AA139" s="100"/>
      <c r="AB139" s="167"/>
      <c r="AC139" s="105"/>
      <c r="AD139" s="100"/>
      <c r="AE139" s="100"/>
      <c r="AF139" s="100"/>
      <c r="AG139" s="100"/>
      <c r="AH139" s="100"/>
      <c r="AI139" s="102"/>
      <c r="AJ139" s="102"/>
      <c r="AK139" s="111"/>
      <c r="AL139" s="102"/>
      <c r="AM139" s="102"/>
      <c r="AN139" s="102"/>
      <c r="AP139" s="103"/>
      <c r="AQ139" s="103"/>
      <c r="AR139" s="114"/>
      <c r="AS139" s="115"/>
      <c r="AT139" s="102"/>
      <c r="AU139" s="102"/>
      <c r="AX139" s="102"/>
      <c r="AY139" s="102"/>
    </row>
    <row r="140">
      <c r="A140" s="118"/>
      <c r="B140" s="100"/>
      <c r="C140" s="101"/>
      <c r="D140" s="102"/>
      <c r="E140" s="100"/>
      <c r="F140" s="100"/>
      <c r="G140" s="119"/>
      <c r="H140" s="104"/>
      <c r="I140" s="105"/>
      <c r="J140" s="104"/>
      <c r="K140" s="105"/>
      <c r="L140" s="105"/>
      <c r="M140" s="105"/>
      <c r="N140" s="106"/>
      <c r="O140" s="102"/>
      <c r="P140" s="105"/>
      <c r="Q140" s="105"/>
      <c r="R140" s="105"/>
      <c r="S140" s="105"/>
      <c r="T140" s="105"/>
      <c r="U140" s="118"/>
      <c r="V140" s="164"/>
      <c r="W140" s="165"/>
      <c r="X140" s="165"/>
      <c r="Y140" s="166"/>
      <c r="Z140" s="166"/>
      <c r="AA140" s="100"/>
      <c r="AB140" s="167"/>
      <c r="AC140" s="105"/>
      <c r="AD140" s="100"/>
      <c r="AE140" s="100"/>
      <c r="AF140" s="100"/>
      <c r="AG140" s="100"/>
      <c r="AH140" s="100"/>
      <c r="AI140" s="102"/>
      <c r="AJ140" s="102"/>
      <c r="AK140" s="111"/>
      <c r="AL140" s="102"/>
      <c r="AM140" s="102"/>
      <c r="AN140" s="102"/>
      <c r="AP140" s="103"/>
      <c r="AQ140" s="103"/>
      <c r="AR140" s="114"/>
      <c r="AS140" s="115"/>
      <c r="AT140" s="102"/>
      <c r="AU140" s="102"/>
      <c r="AX140" s="102"/>
      <c r="AY140" s="102"/>
    </row>
    <row r="141">
      <c r="A141" s="168"/>
      <c r="B141" s="100"/>
      <c r="C141" s="101"/>
      <c r="D141" s="102"/>
      <c r="E141" s="100"/>
      <c r="F141" s="100"/>
      <c r="G141" s="119"/>
      <c r="H141" s="104"/>
      <c r="I141" s="105"/>
      <c r="J141" s="104"/>
      <c r="K141" s="105"/>
      <c r="L141" s="105"/>
      <c r="M141" s="105"/>
      <c r="N141" s="169"/>
      <c r="O141" s="102"/>
      <c r="P141" s="105"/>
      <c r="Q141" s="105"/>
      <c r="R141" s="105"/>
      <c r="S141" s="105"/>
      <c r="T141" s="105"/>
      <c r="AA141" s="100"/>
      <c r="AB141" s="170"/>
      <c r="AC141" s="105"/>
      <c r="AD141" s="100"/>
      <c r="AE141" s="100"/>
      <c r="AF141" s="100"/>
      <c r="AG141" s="100"/>
      <c r="AM141" s="102"/>
      <c r="AN141" s="102"/>
      <c r="AR141" s="119"/>
      <c r="AS141" s="103"/>
    </row>
    <row r="142">
      <c r="A142" s="168"/>
      <c r="B142" s="100" t="str">
        <f t="array" ref="B142">IFERROR( INDEX('POR Config List'!A:A,MATCH(G142,'POR Config List'!D:D,0)),"")</f>
        <v/>
      </c>
      <c r="C142" s="101" t="str">
        <f t="array" ref="C142">IFERROR(INDEX('label approval artwork'!E:E,MATCH(G142,'label approval artwork'!F:F,0),""),"")</f>
        <v/>
      </c>
      <c r="D142" s="102" t="str">
        <f t="shared" ref="D142:D966" si="3"> IF(ISBLANK(C142) ,"",IF(C142="CLNR","builk pack","retail pack"))</f>
        <v/>
      </c>
      <c r="E142" s="100" t="str">
        <f t="array" ref="E142">IF(ISBLANK(G142),"",INDEX('POR Config List'!K:K,MATCH(G142,'POR Config List'!D:D,0)))</f>
        <v/>
      </c>
      <c r="F142" s="100" t="str">
        <f t="array" ref="F142">IF(ISBLANK(G142),"",INDEX('POR Config List'!J:J,MATCH(G142,'POR Config List'!D:D,0)))</f>
        <v/>
      </c>
      <c r="G142" s="119"/>
      <c r="H142" s="104" t="str">
        <f t="array" ref="H142">IF(ISBLANK(G142),"",INDEX('MP SKUs'!G:G,MATCH(G142,'MP SKUs'!A:A,0)))</f>
        <v/>
      </c>
      <c r="I142" s="105" t="str">
        <f t="array" ref="I142">IF(ISBLANK(G142),"",INDEX('POR Config List'!O:O,MATCH(G142,'POR Config List'!D:D,0)))</f>
        <v/>
      </c>
      <c r="J142" s="104" t="str">
        <f t="array" ref="J142">IF(ISBLANK(G142),"",INDEX('POR Config List'!H:H,MATCH(G142,'POR Config List'!D:D,0)))</f>
        <v/>
      </c>
      <c r="K142" s="105" t="str">
        <f t="array" ref="K142">IF(ISBLANK(G142),"",INDEX('POR Config List'!G:G,MATCH(G142,'POR Config List'!D:D,0)))</f>
        <v/>
      </c>
      <c r="L142" s="105"/>
      <c r="M142" s="105" t="str">
        <f t="array" ref="M142">IF(ISBLANK(G142),"",INDEX('label approval artwork'!Q:Q,MATCH( G142,'label approval artwork'!F:F,0)))</f>
        <v/>
      </c>
      <c r="N142" s="169"/>
      <c r="O142" s="102" t="str">
        <f t="array" ref="O142">IF(ISBLANK(G142),"",INDEX('POR Config List'!C:C,MATCH(G142,'POR Config List'!D:D,0)))</f>
        <v/>
      </c>
      <c r="P142" s="105" t="str">
        <f t="shared" ref="P142:P966" si="4">IF(ISBLANK(G142),"",IF(H142="US GStore","UGS",IF(H142="US-VZW","UVZ",IF(H142="US - AT&amp;T","UAT",IF(H142="US - Tmobile","UTM",IF(H142="JP","AJP",IF(H142="IN","NCA",IF(H142="CA/TW/SG/AU/MY/MX","NCA",IF(H142="EU(GB, DE, IT, ES, IE, FR, NL, BE, AT, CH, PT, PL, CEE (RO, CZ, HU, SI, LV, LT, EE, FI), NO,SE,DK, SK)","EMA")))))))))</f>
        <v/>
      </c>
      <c r="Q142" s="105" t="str">
        <f t="array" ref="Q142">IF(ISBLANK(G142),"",INDEX('label approval artwork'!J:J,MATCH( G142,'label approval artwork'!F:F,0)))</f>
        <v/>
      </c>
      <c r="R142" s="105" t="str">
        <f t="array" ref="R142">IFERROR( IF(P142&lt;&gt;"EMA",INDEX('label approval artwork'!H:H,MATCH(G142,'label approval artwork'!F:F,0),"")),"")</f>
        <v/>
      </c>
      <c r="S142" s="105"/>
      <c r="T142" s="105" t="str">
        <f t="array" ref="T142">IF(ISBLANK(G142),"",INDEX('POR Config List'!I:I,MATCH(G142,'POR Config List'!D:D,0)))</f>
        <v/>
      </c>
      <c r="AA142" s="100" t="str">
        <f t="array" ref="AA142">IF(ISBLANK(G142),"",INDEX('POR Config List'!E:E,MATCH(G142,'POR Config List'!D:D,0)))</f>
        <v/>
      </c>
      <c r="AC142" s="105"/>
      <c r="AD142" s="100"/>
      <c r="AE142" s="100"/>
      <c r="AF142" s="100"/>
      <c r="AG142" s="100"/>
      <c r="AM142" s="102"/>
      <c r="AN142" s="102"/>
      <c r="AR142" s="119"/>
      <c r="AS142" s="103"/>
    </row>
    <row r="143">
      <c r="A143" s="168"/>
      <c r="B143" s="100" t="str">
        <f t="array" ref="B143">IFERROR( INDEX('POR Config List'!A:A,MATCH(G143,'POR Config List'!D:D,0)),"")</f>
        <v/>
      </c>
      <c r="C143" s="101" t="str">
        <f t="array" ref="C143">IFERROR(INDEX('label approval artwork'!E:E,MATCH(G143,'label approval artwork'!F:F,0),""),"")</f>
        <v/>
      </c>
      <c r="D143" s="102" t="str">
        <f t="shared" si="3"/>
        <v/>
      </c>
      <c r="E143" s="100" t="str">
        <f t="array" ref="E143">IF(ISBLANK(G143),"",INDEX('POR Config List'!K:K,MATCH(G143,'POR Config List'!D:D,0)))</f>
        <v/>
      </c>
      <c r="F143" s="100" t="str">
        <f t="array" ref="F143">IF(ISBLANK(G143),"",INDEX('POR Config List'!J:J,MATCH(G143,'POR Config List'!D:D,0)))</f>
        <v/>
      </c>
      <c r="G143" s="119"/>
      <c r="H143" s="104" t="str">
        <f t="array" ref="H143">IF(ISBLANK(G143),"",INDEX('MP SKUs'!G:G,MATCH(G143,'MP SKUs'!A:A,0)))</f>
        <v/>
      </c>
      <c r="I143" s="105" t="str">
        <f t="array" ref="I143">IF(ISBLANK(G143),"",INDEX('POR Config List'!O:O,MATCH(G143,'POR Config List'!D:D,0)))</f>
        <v/>
      </c>
      <c r="J143" s="104" t="str">
        <f t="array" ref="J143">IF(ISBLANK(G143),"",INDEX('POR Config List'!H:H,MATCH(G143,'POR Config List'!D:D,0)))</f>
        <v/>
      </c>
      <c r="K143" s="105" t="str">
        <f t="array" ref="K143">IF(ISBLANK(G143),"",INDEX('POR Config List'!G:G,MATCH(G143,'POR Config List'!D:D,0)))</f>
        <v/>
      </c>
      <c r="L143" s="105"/>
      <c r="M143" s="105" t="str">
        <f t="array" ref="M143">IF(ISBLANK(G143),"",INDEX('label approval artwork'!Q:Q,MATCH( G143,'label approval artwork'!F:F,0)))</f>
        <v/>
      </c>
      <c r="N143" s="169"/>
      <c r="O143" s="102" t="str">
        <f t="array" ref="O143">IF(ISBLANK(G143),"",INDEX('POR Config List'!C:C,MATCH(G143,'POR Config List'!D:D,0)))</f>
        <v/>
      </c>
      <c r="P143" s="105" t="str">
        <f t="shared" si="4"/>
        <v/>
      </c>
      <c r="Q143" s="105" t="str">
        <f t="array" ref="Q143">IF(ISBLANK(G143),"",INDEX('label approval artwork'!J:J,MATCH( G143,'label approval artwork'!F:F,0)))</f>
        <v/>
      </c>
      <c r="R143" s="105" t="str">
        <f t="array" ref="R143">IFERROR( IF(P143&lt;&gt;"EMA",INDEX('label approval artwork'!H:H,MATCH(G143,'label approval artwork'!F:F,0),"")),"")</f>
        <v/>
      </c>
      <c r="S143" s="105"/>
      <c r="T143" s="105" t="str">
        <f t="array" ref="T143">IF(ISBLANK(G143),"",INDEX('POR Config List'!I:I,MATCH(G143,'POR Config List'!D:D,0)))</f>
        <v/>
      </c>
      <c r="AA143" s="100" t="str">
        <f t="array" ref="AA143">IF(ISBLANK(G143),"",INDEX('POR Config List'!E:E,MATCH(G143,'POR Config List'!D:D,0)))</f>
        <v/>
      </c>
      <c r="AC143" s="105"/>
      <c r="AD143" s="100"/>
      <c r="AE143" s="100"/>
      <c r="AF143" s="100"/>
      <c r="AG143" s="100"/>
      <c r="AM143" s="102"/>
      <c r="AN143" s="102"/>
      <c r="AR143" s="119"/>
      <c r="AS143" s="103"/>
    </row>
    <row r="144">
      <c r="A144" s="168"/>
      <c r="B144" s="100" t="str">
        <f t="array" ref="B144">IFERROR( INDEX('POR Config List'!A:A,MATCH(G144,'POR Config List'!D:D,0)),"")</f>
        <v/>
      </c>
      <c r="C144" s="101" t="str">
        <f t="array" ref="C144">IFERROR(INDEX('label approval artwork'!E:E,MATCH(G144,'label approval artwork'!F:F,0),""),"")</f>
        <v/>
      </c>
      <c r="D144" s="102" t="str">
        <f t="shared" si="3"/>
        <v/>
      </c>
      <c r="E144" s="100" t="str">
        <f t="array" ref="E144">IF(ISBLANK(G144),"",INDEX('POR Config List'!K:K,MATCH(G144,'POR Config List'!D:D,0)))</f>
        <v/>
      </c>
      <c r="F144" s="100" t="str">
        <f t="array" ref="F144">IF(ISBLANK(G144),"",INDEX('POR Config List'!J:J,MATCH(G144,'POR Config List'!D:D,0)))</f>
        <v/>
      </c>
      <c r="G144" s="119"/>
      <c r="H144" s="104" t="str">
        <f t="array" ref="H144">IF(ISBLANK(G144),"",INDEX('MP SKUs'!G:G,MATCH(G144,'MP SKUs'!A:A,0)))</f>
        <v/>
      </c>
      <c r="I144" s="105" t="str">
        <f t="array" ref="I144">IF(ISBLANK(G144),"",INDEX('POR Config List'!O:O,MATCH(G144,'POR Config List'!D:D,0)))</f>
        <v/>
      </c>
      <c r="J144" s="104" t="str">
        <f t="array" ref="J144">IF(ISBLANK(G144),"",INDEX('POR Config List'!H:H,MATCH(G144,'POR Config List'!D:D,0)))</f>
        <v/>
      </c>
      <c r="K144" s="105" t="str">
        <f t="array" ref="K144">IF(ISBLANK(G144),"",INDEX('POR Config List'!G:G,MATCH(G144,'POR Config List'!D:D,0)))</f>
        <v/>
      </c>
      <c r="L144" s="105"/>
      <c r="M144" s="105" t="str">
        <f t="array" ref="M144">IF(ISBLANK(G144),"",INDEX('label approval artwork'!Q:Q,MATCH( G144,'label approval artwork'!F:F,0)))</f>
        <v/>
      </c>
      <c r="N144" s="169"/>
      <c r="O144" s="102" t="str">
        <f t="array" ref="O144">IF(ISBLANK(G144),"",INDEX('POR Config List'!C:C,MATCH(G144,'POR Config List'!D:D,0)))</f>
        <v/>
      </c>
      <c r="P144" s="105" t="str">
        <f t="shared" si="4"/>
        <v/>
      </c>
      <c r="Q144" s="105" t="str">
        <f t="array" ref="Q144">IF(ISBLANK(G144),"",INDEX('label approval artwork'!J:J,MATCH( G144,'label approval artwork'!F:F,0)))</f>
        <v/>
      </c>
      <c r="R144" s="105" t="str">
        <f t="array" ref="R144">IFERROR( IF(P144&lt;&gt;"EMA",INDEX('label approval artwork'!H:H,MATCH(G144,'label approval artwork'!F:F,0),"")),"")</f>
        <v/>
      </c>
      <c r="S144" s="105"/>
      <c r="T144" s="105" t="str">
        <f t="array" ref="T144">IF(ISBLANK(G144),"",INDEX('POR Config List'!I:I,MATCH(G144,'POR Config List'!D:D,0)))</f>
        <v/>
      </c>
      <c r="AA144" s="100" t="str">
        <f t="array" ref="AA144">IF(ISBLANK(G144),"",INDEX('POR Config List'!E:E,MATCH(G144,'POR Config List'!D:D,0)))</f>
        <v/>
      </c>
      <c r="AC144" s="105"/>
      <c r="AD144" s="100"/>
      <c r="AE144" s="100"/>
      <c r="AF144" s="100"/>
      <c r="AG144" s="100"/>
      <c r="AM144" s="102"/>
      <c r="AN144" s="102"/>
      <c r="AR144" s="119"/>
      <c r="AS144" s="103"/>
    </row>
    <row r="145">
      <c r="A145" s="168"/>
      <c r="B145" s="100" t="str">
        <f t="array" ref="B145">IFERROR( INDEX('POR Config List'!A:A,MATCH(G145,'POR Config List'!D:D,0)),"")</f>
        <v/>
      </c>
      <c r="C145" s="101" t="str">
        <f t="array" ref="C145">IFERROR(INDEX('label approval artwork'!E:E,MATCH(G145,'label approval artwork'!F:F,0),""),"")</f>
        <v/>
      </c>
      <c r="D145" s="102" t="str">
        <f t="shared" si="3"/>
        <v/>
      </c>
      <c r="E145" s="100" t="str">
        <f t="array" ref="E145">IF(ISBLANK(G145),"",INDEX('POR Config List'!K:K,MATCH(G145,'POR Config List'!D:D,0)))</f>
        <v/>
      </c>
      <c r="F145" s="100" t="str">
        <f t="array" ref="F145">IF(ISBLANK(G145),"",INDEX('POR Config List'!J:J,MATCH(G145,'POR Config List'!D:D,0)))</f>
        <v/>
      </c>
      <c r="G145" s="119"/>
      <c r="H145" s="104" t="str">
        <f t="array" ref="H145">IF(ISBLANK(G145),"",INDEX('MP SKUs'!G:G,MATCH(G145,'MP SKUs'!A:A,0)))</f>
        <v/>
      </c>
      <c r="I145" s="105" t="str">
        <f t="array" ref="I145">IF(ISBLANK(G145),"",INDEX('POR Config List'!O:O,MATCH(G145,'POR Config List'!D:D,0)))</f>
        <v/>
      </c>
      <c r="J145" s="104" t="str">
        <f t="array" ref="J145">IF(ISBLANK(G145),"",INDEX('POR Config List'!H:H,MATCH(G145,'POR Config List'!D:D,0)))</f>
        <v/>
      </c>
      <c r="K145" s="105" t="str">
        <f t="array" ref="K145">IF(ISBLANK(G145),"",INDEX('POR Config List'!G:G,MATCH(G145,'POR Config List'!D:D,0)))</f>
        <v/>
      </c>
      <c r="L145" s="105"/>
      <c r="M145" s="105" t="str">
        <f t="array" ref="M145">IF(ISBLANK(G145),"",INDEX('label approval artwork'!Q:Q,MATCH( G145,'label approval artwork'!F:F,0)))</f>
        <v/>
      </c>
      <c r="N145" s="169"/>
      <c r="O145" s="102" t="str">
        <f t="array" ref="O145">IF(ISBLANK(G145),"",INDEX('POR Config List'!C:C,MATCH(G145,'POR Config List'!D:D,0)))</f>
        <v/>
      </c>
      <c r="P145" s="105" t="str">
        <f t="shared" si="4"/>
        <v/>
      </c>
      <c r="Q145" s="105" t="str">
        <f t="array" ref="Q145">IF(ISBLANK(G145),"",INDEX('label approval artwork'!J:J,MATCH( G145,'label approval artwork'!F:F,0)))</f>
        <v/>
      </c>
      <c r="R145" s="105" t="str">
        <f t="array" ref="R145">IFERROR( IF(P145&lt;&gt;"EMA",INDEX('label approval artwork'!H:H,MATCH(G145,'label approval artwork'!F:F,0),"")),"")</f>
        <v/>
      </c>
      <c r="S145" s="105"/>
      <c r="T145" s="105" t="str">
        <f t="array" ref="T145">IF(ISBLANK(G145),"",INDEX('POR Config List'!I:I,MATCH(G145,'POR Config List'!D:D,0)))</f>
        <v/>
      </c>
      <c r="AA145" s="100" t="str">
        <f t="array" ref="AA145">IF(ISBLANK(G145),"",INDEX('POR Config List'!E:E,MATCH(G145,'POR Config List'!D:D,0)))</f>
        <v/>
      </c>
      <c r="AC145" s="105"/>
      <c r="AD145" s="100"/>
      <c r="AE145" s="100"/>
      <c r="AF145" s="100"/>
      <c r="AG145" s="100"/>
      <c r="AM145" s="102"/>
      <c r="AN145" s="102"/>
      <c r="AR145" s="119"/>
      <c r="AS145" s="103"/>
    </row>
    <row r="146">
      <c r="A146" s="168"/>
      <c r="B146" s="100" t="str">
        <f t="array" ref="B146">IFERROR( INDEX('POR Config List'!A:A,MATCH(G146,'POR Config List'!D:D,0)),"")</f>
        <v/>
      </c>
      <c r="C146" s="101" t="str">
        <f t="array" ref="C146">IFERROR(INDEX('label approval artwork'!E:E,MATCH(G146,'label approval artwork'!F:F,0),""),"")</f>
        <v/>
      </c>
      <c r="D146" s="102" t="str">
        <f t="shared" si="3"/>
        <v/>
      </c>
      <c r="E146" s="100" t="str">
        <f t="array" ref="E146">IF(ISBLANK(G146),"",INDEX('POR Config List'!K:K,MATCH(G146,'POR Config List'!D:D,0)))</f>
        <v/>
      </c>
      <c r="F146" s="100" t="str">
        <f t="array" ref="F146">IF(ISBLANK(G146),"",INDEX('POR Config List'!J:J,MATCH(G146,'POR Config List'!D:D,0)))</f>
        <v/>
      </c>
      <c r="G146" s="119"/>
      <c r="H146" s="104" t="str">
        <f t="array" ref="H146">IF(ISBLANK(G146),"",INDEX('MP SKUs'!G:G,MATCH(G146,'MP SKUs'!A:A,0)))</f>
        <v/>
      </c>
      <c r="I146" s="105" t="str">
        <f t="array" ref="I146">IF(ISBLANK(G146),"",INDEX('POR Config List'!O:O,MATCH(G146,'POR Config List'!D:D,0)))</f>
        <v/>
      </c>
      <c r="J146" s="104" t="str">
        <f t="array" ref="J146">IF(ISBLANK(G146),"",INDEX('POR Config List'!H:H,MATCH(G146,'POR Config List'!D:D,0)))</f>
        <v/>
      </c>
      <c r="K146" s="105" t="str">
        <f t="array" ref="K146">IF(ISBLANK(G146),"",INDEX('POR Config List'!G:G,MATCH(G146,'POR Config List'!D:D,0)))</f>
        <v/>
      </c>
      <c r="L146" s="105"/>
      <c r="M146" s="105" t="str">
        <f t="array" ref="M146">IF(ISBLANK(G146),"",INDEX('label approval artwork'!Q:Q,MATCH( G146,'label approval artwork'!F:F,0)))</f>
        <v/>
      </c>
      <c r="N146" s="169"/>
      <c r="O146" s="102" t="str">
        <f t="array" ref="O146">IF(ISBLANK(G146),"",INDEX('POR Config List'!C:C,MATCH(G146,'POR Config List'!D:D,0)))</f>
        <v/>
      </c>
      <c r="P146" s="105" t="str">
        <f t="shared" si="4"/>
        <v/>
      </c>
      <c r="Q146" s="105" t="str">
        <f t="array" ref="Q146">IF(ISBLANK(G146),"",INDEX('label approval artwork'!J:J,MATCH( G146,'label approval artwork'!F:F,0)))</f>
        <v/>
      </c>
      <c r="R146" s="105" t="str">
        <f t="array" ref="R146">IFERROR( IF(P146&lt;&gt;"EMA",INDEX('label approval artwork'!H:H,MATCH(G146,'label approval artwork'!F:F,0),"")),"")</f>
        <v/>
      </c>
      <c r="S146" s="105"/>
      <c r="T146" s="105" t="str">
        <f t="array" ref="T146">IF(ISBLANK(G146),"",INDEX('POR Config List'!I:I,MATCH(G146,'POR Config List'!D:D,0)))</f>
        <v/>
      </c>
      <c r="AA146" s="100" t="str">
        <f t="array" ref="AA146">IF(ISBLANK(G146),"",INDEX('POR Config List'!E:E,MATCH(G146,'POR Config List'!D:D,0)))</f>
        <v/>
      </c>
      <c r="AC146" s="105"/>
      <c r="AD146" s="100"/>
      <c r="AE146" s="100"/>
      <c r="AF146" s="100"/>
      <c r="AG146" s="100"/>
      <c r="AM146" s="102"/>
      <c r="AN146" s="102"/>
      <c r="AR146" s="119"/>
      <c r="AS146" s="103"/>
    </row>
    <row r="147">
      <c r="A147" s="168"/>
      <c r="B147" s="100" t="str">
        <f t="array" ref="B147">IFERROR( INDEX('POR Config List'!A:A,MATCH(G147,'POR Config List'!D:D,0)),"")</f>
        <v/>
      </c>
      <c r="C147" s="101" t="str">
        <f t="array" ref="C147">IFERROR(INDEX('label approval artwork'!E:E,MATCH(G147,'label approval artwork'!F:F,0),""),"")</f>
        <v/>
      </c>
      <c r="D147" s="102" t="str">
        <f t="shared" si="3"/>
        <v/>
      </c>
      <c r="E147" s="100" t="str">
        <f t="array" ref="E147">IF(ISBLANK(G147),"",INDEX('POR Config List'!K:K,MATCH(G147,'POR Config List'!D:D,0)))</f>
        <v/>
      </c>
      <c r="F147" s="100" t="str">
        <f t="array" ref="F147">IF(ISBLANK(G147),"",INDEX('POR Config List'!J:J,MATCH(G147,'POR Config List'!D:D,0)))</f>
        <v/>
      </c>
      <c r="G147" s="119"/>
      <c r="H147" s="104" t="str">
        <f t="array" ref="H147">IF(ISBLANK(G147),"",INDEX('MP SKUs'!G:G,MATCH(G147,'MP SKUs'!A:A,0)))</f>
        <v/>
      </c>
      <c r="I147" s="105" t="str">
        <f t="array" ref="I147">IF(ISBLANK(G147),"",INDEX('POR Config List'!O:O,MATCH(G147,'POR Config List'!D:D,0)))</f>
        <v/>
      </c>
      <c r="J147" s="104" t="str">
        <f t="array" ref="J147">IF(ISBLANK(G147),"",INDEX('POR Config List'!H:H,MATCH(G147,'POR Config List'!D:D,0)))</f>
        <v/>
      </c>
      <c r="K147" s="105" t="str">
        <f t="array" ref="K147">IF(ISBLANK(G147),"",INDEX('POR Config List'!G:G,MATCH(G147,'POR Config List'!D:D,0)))</f>
        <v/>
      </c>
      <c r="L147" s="105"/>
      <c r="M147" s="105" t="str">
        <f t="array" ref="M147">IF(ISBLANK(G147),"",INDEX('label approval artwork'!Q:Q,MATCH( G147,'label approval artwork'!F:F,0)))</f>
        <v/>
      </c>
      <c r="N147" s="169"/>
      <c r="O147" s="102" t="str">
        <f t="array" ref="O147">IF(ISBLANK(G147),"",INDEX('POR Config List'!C:C,MATCH(G147,'POR Config List'!D:D,0)))</f>
        <v/>
      </c>
      <c r="P147" s="105" t="str">
        <f t="shared" si="4"/>
        <v/>
      </c>
      <c r="Q147" s="105" t="str">
        <f t="array" ref="Q147">IF(ISBLANK(G147),"",INDEX('label approval artwork'!J:J,MATCH( G147,'label approval artwork'!F:F,0)))</f>
        <v/>
      </c>
      <c r="R147" s="105" t="str">
        <f t="array" ref="R147">IFERROR( IF(P147&lt;&gt;"EMA",INDEX('label approval artwork'!H:H,MATCH(G147,'label approval artwork'!F:F,0),"")),"")</f>
        <v/>
      </c>
      <c r="S147" s="105"/>
      <c r="T147" s="105" t="str">
        <f t="array" ref="T147">IF(ISBLANK(G147),"",INDEX('POR Config List'!I:I,MATCH(G147,'POR Config List'!D:D,0)))</f>
        <v/>
      </c>
      <c r="AA147" s="100" t="str">
        <f t="array" ref="AA147">IF(ISBLANK(G147),"",INDEX('POR Config List'!E:E,MATCH(G147,'POR Config List'!D:D,0)))</f>
        <v/>
      </c>
      <c r="AC147" s="105"/>
      <c r="AD147" s="100"/>
      <c r="AE147" s="100"/>
      <c r="AF147" s="100"/>
      <c r="AG147" s="100"/>
      <c r="AM147" s="102"/>
      <c r="AN147" s="102"/>
      <c r="AR147" s="119"/>
      <c r="AS147" s="103"/>
    </row>
    <row r="148">
      <c r="A148" s="168"/>
      <c r="B148" s="100" t="str">
        <f t="array" ref="B148">IFERROR( INDEX('POR Config List'!A:A,MATCH(G148,'POR Config List'!D:D,0)),"")</f>
        <v/>
      </c>
      <c r="C148" s="101" t="str">
        <f t="array" ref="C148">IFERROR(INDEX('label approval artwork'!E:E,MATCH(G148,'label approval artwork'!F:F,0),""),"")</f>
        <v/>
      </c>
      <c r="D148" s="102" t="str">
        <f t="shared" si="3"/>
        <v/>
      </c>
      <c r="E148" s="100" t="str">
        <f t="array" ref="E148">IF(ISBLANK(G148),"",INDEX('POR Config List'!K:K,MATCH(G148,'POR Config List'!D:D,0)))</f>
        <v/>
      </c>
      <c r="F148" s="100" t="str">
        <f t="array" ref="F148">IF(ISBLANK(G148),"",INDEX('POR Config List'!J:J,MATCH(G148,'POR Config List'!D:D,0)))</f>
        <v/>
      </c>
      <c r="G148" s="119"/>
      <c r="H148" s="104" t="str">
        <f t="array" ref="H148">IF(ISBLANK(G148),"",INDEX('MP SKUs'!G:G,MATCH(G148,'MP SKUs'!A:A,0)))</f>
        <v/>
      </c>
      <c r="I148" s="105" t="str">
        <f t="array" ref="I148">IF(ISBLANK(G148),"",INDEX('POR Config List'!O:O,MATCH(G148,'POR Config List'!D:D,0)))</f>
        <v/>
      </c>
      <c r="J148" s="104" t="str">
        <f t="array" ref="J148">IF(ISBLANK(G148),"",INDEX('POR Config List'!H:H,MATCH(G148,'POR Config List'!D:D,0)))</f>
        <v/>
      </c>
      <c r="K148" s="105" t="str">
        <f t="array" ref="K148">IF(ISBLANK(G148),"",INDEX('POR Config List'!G:G,MATCH(G148,'POR Config List'!D:D,0)))</f>
        <v/>
      </c>
      <c r="L148" s="105"/>
      <c r="M148" s="105" t="str">
        <f t="array" ref="M148">IF(ISBLANK(G148),"",INDEX('label approval artwork'!Q:Q,MATCH( G148,'label approval artwork'!F:F,0)))</f>
        <v/>
      </c>
      <c r="N148" s="169"/>
      <c r="O148" s="102" t="str">
        <f t="array" ref="O148">IF(ISBLANK(G148),"",INDEX('POR Config List'!C:C,MATCH(G148,'POR Config List'!D:D,0)))</f>
        <v/>
      </c>
      <c r="P148" s="105" t="str">
        <f t="shared" si="4"/>
        <v/>
      </c>
      <c r="Q148" s="105" t="str">
        <f t="array" ref="Q148">IF(ISBLANK(G148),"",INDEX('label approval artwork'!J:J,MATCH( G148,'label approval artwork'!F:F,0)))</f>
        <v/>
      </c>
      <c r="R148" s="105" t="str">
        <f t="array" ref="R148">IFERROR( IF(P148&lt;&gt;"EMA",INDEX('label approval artwork'!H:H,MATCH(G148,'label approval artwork'!F:F,0),"")),"")</f>
        <v/>
      </c>
      <c r="S148" s="105"/>
      <c r="T148" s="105" t="str">
        <f t="array" ref="T148">IF(ISBLANK(G148),"",INDEX('POR Config List'!I:I,MATCH(G148,'POR Config List'!D:D,0)))</f>
        <v/>
      </c>
      <c r="AA148" s="100" t="str">
        <f t="array" ref="AA148">IF(ISBLANK(G148),"",INDEX('POR Config List'!E:E,MATCH(G148,'POR Config List'!D:D,0)))</f>
        <v/>
      </c>
      <c r="AC148" s="105"/>
      <c r="AD148" s="100"/>
      <c r="AE148" s="100"/>
      <c r="AF148" s="100"/>
      <c r="AG148" s="100"/>
      <c r="AM148" s="102"/>
      <c r="AN148" s="102"/>
      <c r="AR148" s="119"/>
      <c r="AS148" s="103"/>
    </row>
    <row r="149">
      <c r="A149" s="168"/>
      <c r="B149" s="100" t="str">
        <f t="array" ref="B149">IFERROR( INDEX('POR Config List'!A:A,MATCH(G149,'POR Config List'!D:D,0)),"")</f>
        <v/>
      </c>
      <c r="C149" s="101" t="str">
        <f t="array" ref="C149">IFERROR(INDEX('label approval artwork'!E:E,MATCH(G149,'label approval artwork'!F:F,0),""),"")</f>
        <v/>
      </c>
      <c r="D149" s="102" t="str">
        <f t="shared" si="3"/>
        <v/>
      </c>
      <c r="E149" s="100" t="str">
        <f t="array" ref="E149">IF(ISBLANK(G149),"",INDEX('POR Config List'!K:K,MATCH(G149,'POR Config List'!D:D,0)))</f>
        <v/>
      </c>
      <c r="F149" s="100" t="str">
        <f t="array" ref="F149">IF(ISBLANK(G149),"",INDEX('POR Config List'!J:J,MATCH(G149,'POR Config List'!D:D,0)))</f>
        <v/>
      </c>
      <c r="G149" s="119"/>
      <c r="H149" s="104" t="str">
        <f t="array" ref="H149">IF(ISBLANK(G149),"",INDEX('MP SKUs'!G:G,MATCH(G149,'MP SKUs'!A:A,0)))</f>
        <v/>
      </c>
      <c r="I149" s="105" t="str">
        <f t="array" ref="I149">IF(ISBLANK(G149),"",INDEX('POR Config List'!O:O,MATCH(G149,'POR Config List'!D:D,0)))</f>
        <v/>
      </c>
      <c r="J149" s="104" t="str">
        <f t="array" ref="J149">IF(ISBLANK(G149),"",INDEX('POR Config List'!H:H,MATCH(G149,'POR Config List'!D:D,0)))</f>
        <v/>
      </c>
      <c r="K149" s="105" t="str">
        <f t="array" ref="K149">IF(ISBLANK(G149),"",INDEX('POR Config List'!G:G,MATCH(G149,'POR Config List'!D:D,0)))</f>
        <v/>
      </c>
      <c r="L149" s="105"/>
      <c r="M149" s="105" t="str">
        <f t="array" ref="M149">IF(ISBLANK(G149),"",INDEX('label approval artwork'!Q:Q,MATCH( G149,'label approval artwork'!F:F,0)))</f>
        <v/>
      </c>
      <c r="N149" s="169"/>
      <c r="O149" s="102" t="str">
        <f t="array" ref="O149">IF(ISBLANK(G149),"",INDEX('POR Config List'!C:C,MATCH(G149,'POR Config List'!D:D,0)))</f>
        <v/>
      </c>
      <c r="P149" s="105" t="str">
        <f t="shared" si="4"/>
        <v/>
      </c>
      <c r="Q149" s="105" t="str">
        <f t="array" ref="Q149">IF(ISBLANK(G149),"",INDEX('label approval artwork'!J:J,MATCH( G149,'label approval artwork'!F:F,0)))</f>
        <v/>
      </c>
      <c r="R149" s="105" t="str">
        <f t="array" ref="R149">IFERROR( IF(P149&lt;&gt;"EMA",INDEX('label approval artwork'!H:H,MATCH(G149,'label approval artwork'!F:F,0),"")),"")</f>
        <v/>
      </c>
      <c r="S149" s="105"/>
      <c r="T149" s="105" t="str">
        <f t="array" ref="T149">IF(ISBLANK(G149),"",INDEX('POR Config List'!I:I,MATCH(G149,'POR Config List'!D:D,0)))</f>
        <v/>
      </c>
      <c r="AA149" s="100" t="str">
        <f t="array" ref="AA149">IF(ISBLANK(G149),"",INDEX('POR Config List'!E:E,MATCH(G149,'POR Config List'!D:D,0)))</f>
        <v/>
      </c>
      <c r="AC149" s="105"/>
      <c r="AD149" s="100"/>
      <c r="AE149" s="100"/>
      <c r="AF149" s="100"/>
      <c r="AG149" s="100"/>
      <c r="AM149" s="102"/>
      <c r="AN149" s="102"/>
      <c r="AR149" s="119"/>
      <c r="AS149" s="103"/>
    </row>
    <row r="150">
      <c r="A150" s="168"/>
      <c r="B150" s="100" t="str">
        <f t="array" ref="B150">IFERROR( INDEX('POR Config List'!A:A,MATCH(G150,'POR Config List'!D:D,0)),"")</f>
        <v/>
      </c>
      <c r="C150" s="101" t="str">
        <f t="array" ref="C150">IFERROR(INDEX('label approval artwork'!E:E,MATCH(G150,'label approval artwork'!F:F,0),""),"")</f>
        <v/>
      </c>
      <c r="D150" s="102" t="str">
        <f t="shared" si="3"/>
        <v/>
      </c>
      <c r="E150" s="100" t="str">
        <f t="array" ref="E150">IF(ISBLANK(G150),"",INDEX('POR Config List'!K:K,MATCH(G150,'POR Config List'!D:D,0)))</f>
        <v/>
      </c>
      <c r="F150" s="100" t="str">
        <f t="array" ref="F150">IF(ISBLANK(G150),"",INDEX('POR Config List'!J:J,MATCH(G150,'POR Config List'!D:D,0)))</f>
        <v/>
      </c>
      <c r="G150" s="119"/>
      <c r="H150" s="104" t="str">
        <f t="array" ref="H150">IF(ISBLANK(G150),"",INDEX('MP SKUs'!G:G,MATCH(G150,'MP SKUs'!A:A,0)))</f>
        <v/>
      </c>
      <c r="I150" s="105" t="str">
        <f t="array" ref="I150">IF(ISBLANK(G150),"",INDEX('POR Config List'!O:O,MATCH(G150,'POR Config List'!D:D,0)))</f>
        <v/>
      </c>
      <c r="J150" s="104" t="str">
        <f t="array" ref="J150">IF(ISBLANK(G150),"",INDEX('POR Config List'!H:H,MATCH(G150,'POR Config List'!D:D,0)))</f>
        <v/>
      </c>
      <c r="K150" s="105" t="str">
        <f t="array" ref="K150">IF(ISBLANK(G150),"",INDEX('POR Config List'!G:G,MATCH(G150,'POR Config List'!D:D,0)))</f>
        <v/>
      </c>
      <c r="L150" s="105"/>
      <c r="M150" s="105" t="str">
        <f t="array" ref="M150">IF(ISBLANK(G150),"",INDEX('label approval artwork'!Q:Q,MATCH( G150,'label approval artwork'!F:F,0)))</f>
        <v/>
      </c>
      <c r="N150" s="169" t="str">
        <f t="shared" ref="N150:N966" si="5">IF(ISBLANK(G150),"",IF(OR(P150="UAT",P150="UVZ",P150="UTM","US"),"00"))</f>
        <v/>
      </c>
      <c r="O150" s="102" t="str">
        <f t="array" ref="O150">IF(ISBLANK(G150),"",INDEX('POR Config List'!C:C,MATCH(G150,'POR Config List'!D:D,0)))</f>
        <v/>
      </c>
      <c r="P150" s="105" t="str">
        <f t="shared" si="4"/>
        <v/>
      </c>
      <c r="Q150" s="105" t="str">
        <f t="array" ref="Q150">IF(ISBLANK(G150),"",INDEX('label approval artwork'!J:J,MATCH( G150,'label approval artwork'!F:F,0)))</f>
        <v/>
      </c>
      <c r="R150" s="105" t="str">
        <f t="array" ref="R150">IFERROR( IF(P150&lt;&gt;"EMA",INDEX('label approval artwork'!H:H,MATCH(G150,'label approval artwork'!F:F,0),"")),"")</f>
        <v/>
      </c>
      <c r="S150" s="105"/>
      <c r="T150" s="105" t="str">
        <f t="array" ref="T150">IF(ISBLANK(G150),"",INDEX('POR Config List'!I:I,MATCH(G150,'POR Config List'!D:D,0)))</f>
        <v/>
      </c>
      <c r="AA150" s="100" t="str">
        <f t="array" ref="AA150">IF(ISBLANK(G150),"",INDEX('POR Config List'!E:E,MATCH(G150,'POR Config List'!D:D,0)))</f>
        <v/>
      </c>
      <c r="AC150" s="105"/>
      <c r="AD150" s="100"/>
      <c r="AE150" s="100"/>
      <c r="AF150" s="100"/>
      <c r="AG150" s="100"/>
      <c r="AM150" s="102"/>
      <c r="AN150" s="102"/>
      <c r="AR150" s="119"/>
      <c r="AS150" s="103"/>
    </row>
    <row r="151">
      <c r="A151" s="168"/>
      <c r="B151" s="100" t="str">
        <f t="array" ref="B151">IFERROR( INDEX('POR Config List'!A:A,MATCH(G151,'POR Config List'!D:D,0)),"")</f>
        <v/>
      </c>
      <c r="C151" s="101" t="str">
        <f t="array" ref="C151">IFERROR(INDEX('label approval artwork'!E:E,MATCH(G151,'label approval artwork'!F:F,0),""),"")</f>
        <v/>
      </c>
      <c r="D151" s="102" t="str">
        <f t="shared" si="3"/>
        <v/>
      </c>
      <c r="E151" s="100" t="str">
        <f t="array" ref="E151">IF(ISBLANK(G151),"",INDEX('POR Config List'!K:K,MATCH(G151,'POR Config List'!D:D,0)))</f>
        <v/>
      </c>
      <c r="F151" s="100" t="str">
        <f t="array" ref="F151">IF(ISBLANK(G151),"",INDEX('POR Config List'!J:J,MATCH(G151,'POR Config List'!D:D,0)))</f>
        <v/>
      </c>
      <c r="G151" s="119"/>
      <c r="H151" s="104" t="str">
        <f t="array" ref="H151">IF(ISBLANK(G151),"",INDEX('MP SKUs'!G:G,MATCH(G151,'MP SKUs'!A:A,0)))</f>
        <v/>
      </c>
      <c r="I151" s="105" t="str">
        <f t="array" ref="I151">IF(ISBLANK(G151),"",INDEX('POR Config List'!O:O,MATCH(G151,'POR Config List'!D:D,0)))</f>
        <v/>
      </c>
      <c r="J151" s="104" t="str">
        <f t="array" ref="J151">IF(ISBLANK(G151),"",INDEX('POR Config List'!H:H,MATCH(G151,'POR Config List'!D:D,0)))</f>
        <v/>
      </c>
      <c r="K151" s="105" t="str">
        <f t="array" ref="K151">IF(ISBLANK(G151),"",INDEX('POR Config List'!G:G,MATCH(G151,'POR Config List'!D:D,0)))</f>
        <v/>
      </c>
      <c r="L151" s="105"/>
      <c r="M151" s="105" t="str">
        <f t="array" ref="M151">IF(ISBLANK(G151),"",INDEX('label approval artwork'!Q:Q,MATCH( G151,'label approval artwork'!F:F,0)))</f>
        <v/>
      </c>
      <c r="N151" s="169" t="str">
        <f t="shared" si="5"/>
        <v/>
      </c>
      <c r="O151" s="102" t="str">
        <f t="array" ref="O151">IF(ISBLANK(G151),"",INDEX('POR Config List'!C:C,MATCH(G151,'POR Config List'!D:D,0)))</f>
        <v/>
      </c>
      <c r="P151" s="105" t="str">
        <f t="shared" si="4"/>
        <v/>
      </c>
      <c r="Q151" s="105" t="str">
        <f t="array" ref="Q151">IF(ISBLANK(G151),"",INDEX('label approval artwork'!J:J,MATCH( G151,'label approval artwork'!F:F,0)))</f>
        <v/>
      </c>
      <c r="R151" s="105" t="str">
        <f t="array" ref="R151">IFERROR( IF(P151&lt;&gt;"EMA",INDEX('label approval artwork'!H:H,MATCH(G151,'label approval artwork'!F:F,0),"")),"")</f>
        <v/>
      </c>
      <c r="S151" s="105"/>
      <c r="T151" s="105" t="str">
        <f t="array" ref="T151">IF(ISBLANK(G151),"",INDEX('POR Config List'!I:I,MATCH(G151,'POR Config List'!D:D,0)))</f>
        <v/>
      </c>
      <c r="AA151" s="100" t="str">
        <f t="array" ref="AA151">IF(ISBLANK(G151),"",INDEX('POR Config List'!E:E,MATCH(G151,'POR Config List'!D:D,0)))</f>
        <v/>
      </c>
      <c r="AC151" s="105"/>
      <c r="AD151" s="100"/>
      <c r="AE151" s="100"/>
      <c r="AF151" s="100"/>
      <c r="AG151" s="100"/>
      <c r="AM151" s="102"/>
      <c r="AN151" s="102"/>
      <c r="AR151" s="119"/>
      <c r="AS151" s="103"/>
    </row>
    <row r="152">
      <c r="A152" s="168"/>
      <c r="B152" s="100" t="str">
        <f t="array" ref="B152">IFERROR( INDEX('POR Config List'!A:A,MATCH(G152,'POR Config List'!D:D,0)),"")</f>
        <v/>
      </c>
      <c r="C152" s="101" t="str">
        <f t="array" ref="C152">IFERROR(INDEX('label approval artwork'!E:E,MATCH(G152,'label approval artwork'!F:F,0),""),"")</f>
        <v/>
      </c>
      <c r="D152" s="102" t="str">
        <f t="shared" si="3"/>
        <v/>
      </c>
      <c r="E152" s="100" t="str">
        <f t="array" ref="E152">IF(ISBLANK(G152),"",INDEX('POR Config List'!K:K,MATCH(G152,'POR Config List'!D:D,0)))</f>
        <v/>
      </c>
      <c r="F152" s="100" t="str">
        <f t="array" ref="F152">IF(ISBLANK(G152),"",INDEX('POR Config List'!J:J,MATCH(G152,'POR Config List'!D:D,0)))</f>
        <v/>
      </c>
      <c r="G152" s="119"/>
      <c r="H152" s="104" t="str">
        <f t="array" ref="H152">IF(ISBLANK(G152),"",INDEX('MP SKUs'!G:G,MATCH(G152,'MP SKUs'!A:A,0)))</f>
        <v/>
      </c>
      <c r="I152" s="105" t="str">
        <f t="array" ref="I152">IF(ISBLANK(G152),"",INDEX('POR Config List'!O:O,MATCH(G152,'POR Config List'!D:D,0)))</f>
        <v/>
      </c>
      <c r="J152" s="104" t="str">
        <f t="array" ref="J152">IF(ISBLANK(G152),"",INDEX('POR Config List'!H:H,MATCH(G152,'POR Config List'!D:D,0)))</f>
        <v/>
      </c>
      <c r="K152" s="105" t="str">
        <f t="array" ref="K152">IF(ISBLANK(G152),"",INDEX('POR Config List'!G:G,MATCH(G152,'POR Config List'!D:D,0)))</f>
        <v/>
      </c>
      <c r="L152" s="105"/>
      <c r="M152" s="105" t="str">
        <f t="array" ref="M152">IF(ISBLANK(G152),"",INDEX('label approval artwork'!Q:Q,MATCH( G152,'label approval artwork'!F:F,0)))</f>
        <v/>
      </c>
      <c r="N152" s="169" t="str">
        <f t="shared" si="5"/>
        <v/>
      </c>
      <c r="O152" s="102" t="str">
        <f t="array" ref="O152">IF(ISBLANK(G152),"",INDEX('POR Config List'!C:C,MATCH(G152,'POR Config List'!D:D,0)))</f>
        <v/>
      </c>
      <c r="P152" s="105" t="str">
        <f t="shared" si="4"/>
        <v/>
      </c>
      <c r="Q152" s="105" t="str">
        <f t="array" ref="Q152">IF(ISBLANK(G152),"",INDEX('label approval artwork'!J:J,MATCH( G152,'label approval artwork'!F:F,0)))</f>
        <v/>
      </c>
      <c r="R152" s="105" t="str">
        <f t="array" ref="R152">IFERROR( IF(P152&lt;&gt;"EMA",INDEX('label approval artwork'!H:H,MATCH(G152,'label approval artwork'!F:F,0),"")),"")</f>
        <v/>
      </c>
      <c r="S152" s="105"/>
      <c r="T152" s="105" t="str">
        <f t="array" ref="T152">IF(ISBLANK(G152),"",INDEX('POR Config List'!I:I,MATCH(G152,'POR Config List'!D:D,0)))</f>
        <v/>
      </c>
      <c r="AA152" s="100" t="str">
        <f t="array" ref="AA152">IF(ISBLANK(G152),"",INDEX('POR Config List'!E:E,MATCH(G152,'POR Config List'!D:D,0)))</f>
        <v/>
      </c>
      <c r="AC152" s="105"/>
      <c r="AD152" s="100"/>
      <c r="AE152" s="100"/>
      <c r="AF152" s="100"/>
      <c r="AG152" s="100"/>
      <c r="AM152" s="102"/>
      <c r="AN152" s="102"/>
      <c r="AR152" s="119"/>
      <c r="AS152" s="103"/>
    </row>
    <row r="153">
      <c r="A153" s="168"/>
      <c r="B153" s="100" t="str">
        <f t="array" ref="B153">IFERROR( INDEX('POR Config List'!A:A,MATCH(G153,'POR Config List'!D:D,0)),"")</f>
        <v/>
      </c>
      <c r="C153" s="101" t="str">
        <f t="array" ref="C153">IFERROR(INDEX('label approval artwork'!E:E,MATCH(G153,'label approval artwork'!F:F,0),""),"")</f>
        <v/>
      </c>
      <c r="D153" s="102" t="str">
        <f t="shared" si="3"/>
        <v/>
      </c>
      <c r="E153" s="100" t="str">
        <f t="array" ref="E153">IF(ISBLANK(G153),"",INDEX('POR Config List'!K:K,MATCH(G153,'POR Config List'!D:D,0)))</f>
        <v/>
      </c>
      <c r="F153" s="100" t="str">
        <f t="array" ref="F153">IF(ISBLANK(G153),"",INDEX('POR Config List'!J:J,MATCH(G153,'POR Config List'!D:D,0)))</f>
        <v/>
      </c>
      <c r="G153" s="119"/>
      <c r="H153" s="104" t="str">
        <f t="array" ref="H153">IF(ISBLANK(G153),"",INDEX('MP SKUs'!G:G,MATCH(G153,'MP SKUs'!A:A,0)))</f>
        <v/>
      </c>
      <c r="I153" s="105" t="str">
        <f t="array" ref="I153">IF(ISBLANK(G153),"",INDEX('POR Config List'!O:O,MATCH(G153,'POR Config List'!D:D,0)))</f>
        <v/>
      </c>
      <c r="J153" s="104" t="str">
        <f t="array" ref="J153">IF(ISBLANK(G153),"",INDEX('POR Config List'!H:H,MATCH(G153,'POR Config List'!D:D,0)))</f>
        <v/>
      </c>
      <c r="K153" s="105" t="str">
        <f t="array" ref="K153">IF(ISBLANK(G153),"",INDEX('POR Config List'!G:G,MATCH(G153,'POR Config List'!D:D,0)))</f>
        <v/>
      </c>
      <c r="L153" s="105"/>
      <c r="M153" s="105" t="str">
        <f t="array" ref="M153">IF(ISBLANK(G153),"",INDEX('label approval artwork'!Q:Q,MATCH( G153,'label approval artwork'!F:F,0)))</f>
        <v/>
      </c>
      <c r="N153" s="169" t="str">
        <f t="shared" si="5"/>
        <v/>
      </c>
      <c r="O153" s="102" t="str">
        <f t="array" ref="O153">IF(ISBLANK(G153),"",INDEX('POR Config List'!C:C,MATCH(G153,'POR Config List'!D:D,0)))</f>
        <v/>
      </c>
      <c r="P153" s="105" t="str">
        <f t="shared" si="4"/>
        <v/>
      </c>
      <c r="Q153" s="105" t="str">
        <f t="array" ref="Q153">IF(ISBLANK(G153),"",INDEX('label approval artwork'!J:J,MATCH( G153,'label approval artwork'!F:F,0)))</f>
        <v/>
      </c>
      <c r="R153" s="105" t="str">
        <f t="array" ref="R153">IFERROR( IF(P153&lt;&gt;"EMA",INDEX('label approval artwork'!H:H,MATCH(G153,'label approval artwork'!F:F,0),"")),"")</f>
        <v/>
      </c>
      <c r="S153" s="105"/>
      <c r="T153" s="105" t="str">
        <f t="array" ref="T153">IF(ISBLANK(G153),"",INDEX('POR Config List'!I:I,MATCH(G153,'POR Config List'!D:D,0)))</f>
        <v/>
      </c>
      <c r="AA153" s="100" t="str">
        <f t="array" ref="AA153">IF(ISBLANK(G153),"",INDEX('POR Config List'!E:E,MATCH(G153,'POR Config List'!D:D,0)))</f>
        <v/>
      </c>
      <c r="AC153" s="105"/>
      <c r="AD153" s="100"/>
      <c r="AE153" s="100"/>
      <c r="AF153" s="100"/>
      <c r="AG153" s="100"/>
      <c r="AM153" s="102"/>
      <c r="AN153" s="102"/>
      <c r="AR153" s="119"/>
      <c r="AS153" s="103"/>
    </row>
    <row r="154">
      <c r="A154" s="168"/>
      <c r="B154" s="100" t="str">
        <f t="array" ref="B154">IFERROR( INDEX('POR Config List'!A:A,MATCH(G154,'POR Config List'!D:D,0)),"")</f>
        <v/>
      </c>
      <c r="C154" s="101" t="str">
        <f t="array" ref="C154">IFERROR(INDEX('label approval artwork'!E:E,MATCH(G154,'label approval artwork'!F:F,0),""),"")</f>
        <v/>
      </c>
      <c r="D154" s="102" t="str">
        <f t="shared" si="3"/>
        <v/>
      </c>
      <c r="E154" s="100" t="str">
        <f t="array" ref="E154">IF(ISBLANK(G154),"",INDEX('POR Config List'!K:K,MATCH(G154,'POR Config List'!D:D,0)))</f>
        <v/>
      </c>
      <c r="F154" s="100" t="str">
        <f t="array" ref="F154">IF(ISBLANK(G154),"",INDEX('POR Config List'!J:J,MATCH(G154,'POR Config List'!D:D,0)))</f>
        <v/>
      </c>
      <c r="G154" s="119"/>
      <c r="H154" s="104" t="str">
        <f t="array" ref="H154">IF(ISBLANK(G154),"",INDEX('MP SKUs'!G:G,MATCH(G154,'MP SKUs'!A:A,0)))</f>
        <v/>
      </c>
      <c r="I154" s="105" t="str">
        <f t="array" ref="I154">IF(ISBLANK(G154),"",INDEX('POR Config List'!O:O,MATCH(G154,'POR Config List'!D:D,0)))</f>
        <v/>
      </c>
      <c r="J154" s="104" t="str">
        <f t="array" ref="J154">IF(ISBLANK(G154),"",INDEX('POR Config List'!H:H,MATCH(G154,'POR Config List'!D:D,0)))</f>
        <v/>
      </c>
      <c r="K154" s="105" t="str">
        <f t="array" ref="K154">IF(ISBLANK(G154),"",INDEX('POR Config List'!G:G,MATCH(G154,'POR Config List'!D:D,0)))</f>
        <v/>
      </c>
      <c r="L154" s="105"/>
      <c r="M154" s="105" t="str">
        <f t="array" ref="M154">IF(ISBLANK(G154),"",INDEX('label approval artwork'!Q:Q,MATCH( G154,'label approval artwork'!F:F,0)))</f>
        <v/>
      </c>
      <c r="N154" s="169" t="str">
        <f t="shared" si="5"/>
        <v/>
      </c>
      <c r="O154" s="102" t="str">
        <f t="array" ref="O154">IF(ISBLANK(G154),"",INDEX('POR Config List'!C:C,MATCH(G154,'POR Config List'!D:D,0)))</f>
        <v/>
      </c>
      <c r="P154" s="105" t="str">
        <f t="shared" si="4"/>
        <v/>
      </c>
      <c r="Q154" s="105" t="str">
        <f t="array" ref="Q154">IF(ISBLANK(G154),"",INDEX('label approval artwork'!J:J,MATCH( G154,'label approval artwork'!F:F,0)))</f>
        <v/>
      </c>
      <c r="R154" s="105" t="str">
        <f t="array" ref="R154">IFERROR( IF(P154&lt;&gt;"EMA",INDEX('label approval artwork'!H:H,MATCH(G154,'label approval artwork'!F:F,0),"")),"")</f>
        <v/>
      </c>
      <c r="S154" s="105"/>
      <c r="T154" s="105" t="str">
        <f t="array" ref="T154">IF(ISBLANK(G154),"",INDEX('POR Config List'!I:I,MATCH(G154,'POR Config List'!D:D,0)))</f>
        <v/>
      </c>
      <c r="AA154" s="100" t="str">
        <f t="array" ref="AA154">IF(ISBLANK(G154),"",INDEX('POR Config List'!E:E,MATCH(G154,'POR Config List'!D:D,0)))</f>
        <v/>
      </c>
      <c r="AC154" s="105"/>
      <c r="AD154" s="100"/>
      <c r="AE154" s="100"/>
      <c r="AF154" s="100"/>
      <c r="AG154" s="100"/>
      <c r="AM154" s="102"/>
      <c r="AN154" s="102"/>
      <c r="AR154" s="119"/>
      <c r="AS154" s="103"/>
    </row>
    <row r="155">
      <c r="A155" s="168"/>
      <c r="B155" s="100" t="str">
        <f t="array" ref="B155">IFERROR( INDEX('POR Config List'!A:A,MATCH(G155,'POR Config List'!D:D,0)),"")</f>
        <v/>
      </c>
      <c r="C155" s="101" t="str">
        <f t="array" ref="C155">IFERROR(INDEX('label approval artwork'!E:E,MATCH(G155,'label approval artwork'!F:F,0),""),"")</f>
        <v/>
      </c>
      <c r="D155" s="102" t="str">
        <f t="shared" si="3"/>
        <v/>
      </c>
      <c r="E155" s="100" t="str">
        <f t="array" ref="E155">IF(ISBLANK(G155),"",INDEX('POR Config List'!K:K,MATCH(G155,'POR Config List'!D:D,0)))</f>
        <v/>
      </c>
      <c r="F155" s="100" t="str">
        <f t="array" ref="F155">IF(ISBLANK(G155),"",INDEX('POR Config List'!J:J,MATCH(G155,'POR Config List'!D:D,0)))</f>
        <v/>
      </c>
      <c r="G155" s="119"/>
      <c r="H155" s="104" t="str">
        <f t="array" ref="H155">IF(ISBLANK(G155),"",INDEX('MP SKUs'!G:G,MATCH(G155,'MP SKUs'!A:A,0)))</f>
        <v/>
      </c>
      <c r="I155" s="105" t="str">
        <f t="array" ref="I155">IF(ISBLANK(G155),"",INDEX('POR Config List'!O:O,MATCH(G155,'POR Config List'!D:D,0)))</f>
        <v/>
      </c>
      <c r="J155" s="104" t="str">
        <f t="array" ref="J155">IF(ISBLANK(G155),"",INDEX('POR Config List'!H:H,MATCH(G155,'POR Config List'!D:D,0)))</f>
        <v/>
      </c>
      <c r="K155" s="105" t="str">
        <f t="array" ref="K155">IF(ISBLANK(G155),"",INDEX('POR Config List'!G:G,MATCH(G155,'POR Config List'!D:D,0)))</f>
        <v/>
      </c>
      <c r="L155" s="105"/>
      <c r="M155" s="105" t="str">
        <f t="array" ref="M155">IF(ISBLANK(G155),"",INDEX('label approval artwork'!Q:Q,MATCH( G155,'label approval artwork'!F:F,0)))</f>
        <v/>
      </c>
      <c r="N155" s="169" t="str">
        <f t="shared" si="5"/>
        <v/>
      </c>
      <c r="O155" s="102" t="str">
        <f t="array" ref="O155">IF(ISBLANK(G155),"",INDEX('POR Config List'!C:C,MATCH(G155,'POR Config List'!D:D,0)))</f>
        <v/>
      </c>
      <c r="P155" s="105" t="str">
        <f t="shared" si="4"/>
        <v/>
      </c>
      <c r="Q155" s="105" t="str">
        <f t="array" ref="Q155">IF(ISBLANK(G155),"",INDEX('label approval artwork'!J:J,MATCH( G155,'label approval artwork'!F:F,0)))</f>
        <v/>
      </c>
      <c r="R155" s="105" t="str">
        <f t="array" ref="R155">IFERROR( IF(P155&lt;&gt;"EMA",INDEX('label approval artwork'!H:H,MATCH(G155,'label approval artwork'!F:F,0),"")),"")</f>
        <v/>
      </c>
      <c r="S155" s="105"/>
      <c r="T155" s="105" t="str">
        <f t="array" ref="T155">IF(ISBLANK(G155),"",INDEX('POR Config List'!I:I,MATCH(G155,'POR Config List'!D:D,0)))</f>
        <v/>
      </c>
      <c r="AA155" s="100" t="str">
        <f t="array" ref="AA155">IF(ISBLANK(G155),"",INDEX('POR Config List'!E:E,MATCH(G155,'POR Config List'!D:D,0)))</f>
        <v/>
      </c>
      <c r="AC155" s="105"/>
      <c r="AD155" s="100"/>
      <c r="AE155" s="100"/>
      <c r="AF155" s="100"/>
      <c r="AG155" s="100"/>
      <c r="AM155" s="102"/>
      <c r="AN155" s="102"/>
      <c r="AR155" s="119"/>
      <c r="AS155" s="103"/>
    </row>
    <row r="156">
      <c r="A156" s="168"/>
      <c r="B156" s="100" t="str">
        <f t="array" ref="B156">IFERROR( INDEX('POR Config List'!A:A,MATCH(G156,'POR Config List'!D:D,0)),"")</f>
        <v/>
      </c>
      <c r="C156" s="101" t="str">
        <f t="array" ref="C156">IFERROR(INDEX('label approval artwork'!E:E,MATCH(G156,'label approval artwork'!F:F,0),""),"")</f>
        <v/>
      </c>
      <c r="D156" s="102" t="str">
        <f t="shared" si="3"/>
        <v/>
      </c>
      <c r="E156" s="100" t="str">
        <f t="array" ref="E156">IF(ISBLANK(G156),"",INDEX('POR Config List'!K:K,MATCH(G156,'POR Config List'!D:D,0)))</f>
        <v/>
      </c>
      <c r="F156" s="100" t="str">
        <f t="array" ref="F156">IF(ISBLANK(G156),"",INDEX('POR Config List'!J:J,MATCH(G156,'POR Config List'!D:D,0)))</f>
        <v/>
      </c>
      <c r="G156" s="119"/>
      <c r="H156" s="104" t="str">
        <f t="array" ref="H156">IF(ISBLANK(G156),"",INDEX('MP SKUs'!G:G,MATCH(G156,'MP SKUs'!A:A,0)))</f>
        <v/>
      </c>
      <c r="I156" s="105" t="str">
        <f t="array" ref="I156">IF(ISBLANK(G156),"",INDEX('POR Config List'!O:O,MATCH(G156,'POR Config List'!D:D,0)))</f>
        <v/>
      </c>
      <c r="J156" s="104" t="str">
        <f t="array" ref="J156">IF(ISBLANK(G156),"",INDEX('POR Config List'!H:H,MATCH(G156,'POR Config List'!D:D,0)))</f>
        <v/>
      </c>
      <c r="K156" s="105" t="str">
        <f t="array" ref="K156">IF(ISBLANK(G156),"",INDEX('POR Config List'!G:G,MATCH(G156,'POR Config List'!D:D,0)))</f>
        <v/>
      </c>
      <c r="L156" s="105"/>
      <c r="M156" s="105" t="str">
        <f t="array" ref="M156">IF(ISBLANK(G156),"",INDEX('label approval artwork'!Q:Q,MATCH( G156,'label approval artwork'!F:F,0)))</f>
        <v/>
      </c>
      <c r="N156" s="169" t="str">
        <f t="shared" si="5"/>
        <v/>
      </c>
      <c r="O156" s="102" t="str">
        <f t="array" ref="O156">IF(ISBLANK(G156),"",INDEX('POR Config List'!C:C,MATCH(G156,'POR Config List'!D:D,0)))</f>
        <v/>
      </c>
      <c r="P156" s="105" t="str">
        <f t="shared" si="4"/>
        <v/>
      </c>
      <c r="Q156" s="105" t="str">
        <f t="array" ref="Q156">IF(ISBLANK(G156),"",INDEX('label approval artwork'!J:J,MATCH( G156,'label approval artwork'!F:F,0)))</f>
        <v/>
      </c>
      <c r="R156" s="105" t="str">
        <f t="array" ref="R156">IFERROR( IF(P156&lt;&gt;"EMA",INDEX('label approval artwork'!H:H,MATCH(G156,'label approval artwork'!F:F,0),"")),"")</f>
        <v/>
      </c>
      <c r="S156" s="105"/>
      <c r="T156" s="105" t="str">
        <f t="array" ref="T156">IF(ISBLANK(G156),"",INDEX('POR Config List'!I:I,MATCH(G156,'POR Config List'!D:D,0)))</f>
        <v/>
      </c>
      <c r="AA156" s="100" t="str">
        <f t="array" ref="AA156">IF(ISBLANK(G156),"",INDEX('POR Config List'!E:E,MATCH(G156,'POR Config List'!D:D,0)))</f>
        <v/>
      </c>
      <c r="AC156" s="105"/>
      <c r="AD156" s="100"/>
      <c r="AE156" s="100"/>
      <c r="AF156" s="100"/>
      <c r="AG156" s="100"/>
      <c r="AM156" s="102"/>
      <c r="AN156" s="102"/>
      <c r="AR156" s="119"/>
      <c r="AS156" s="103"/>
    </row>
    <row r="157">
      <c r="A157" s="168"/>
      <c r="B157" s="100" t="str">
        <f t="array" ref="B157">IFERROR( INDEX('POR Config List'!A:A,MATCH(G157,'POR Config List'!D:D,0)),"")</f>
        <v/>
      </c>
      <c r="C157" s="101" t="str">
        <f t="array" ref="C157">IFERROR(INDEX('label approval artwork'!E:E,MATCH(G157,'label approval artwork'!F:F,0),""),"")</f>
        <v/>
      </c>
      <c r="D157" s="102" t="str">
        <f t="shared" si="3"/>
        <v/>
      </c>
      <c r="E157" s="100" t="str">
        <f t="array" ref="E157">IF(ISBLANK(G157),"",INDEX('POR Config List'!K:K,MATCH(G157,'POR Config List'!D:D,0)))</f>
        <v/>
      </c>
      <c r="F157" s="100" t="str">
        <f t="array" ref="F157">IF(ISBLANK(G157),"",INDEX('POR Config List'!J:J,MATCH(G157,'POR Config List'!D:D,0)))</f>
        <v/>
      </c>
      <c r="G157" s="119"/>
      <c r="H157" s="104" t="str">
        <f t="array" ref="H157">IF(ISBLANK(G157),"",INDEX('MP SKUs'!G:G,MATCH(G157,'MP SKUs'!A:A,0)))</f>
        <v/>
      </c>
      <c r="I157" s="105" t="str">
        <f t="array" ref="I157">IF(ISBLANK(G157),"",INDEX('POR Config List'!O:O,MATCH(G157,'POR Config List'!D:D,0)))</f>
        <v/>
      </c>
      <c r="J157" s="104" t="str">
        <f t="array" ref="J157">IF(ISBLANK(G157),"",INDEX('POR Config List'!H:H,MATCH(G157,'POR Config List'!D:D,0)))</f>
        <v/>
      </c>
      <c r="K157" s="105" t="str">
        <f t="array" ref="K157">IF(ISBLANK(G157),"",INDEX('POR Config List'!G:G,MATCH(G157,'POR Config List'!D:D,0)))</f>
        <v/>
      </c>
      <c r="L157" s="105"/>
      <c r="M157" s="105" t="str">
        <f t="array" ref="M157">IF(ISBLANK(G157),"",INDEX('label approval artwork'!Q:Q,MATCH( G157,'label approval artwork'!F:F,0)))</f>
        <v/>
      </c>
      <c r="N157" s="169" t="str">
        <f t="shared" si="5"/>
        <v/>
      </c>
      <c r="O157" s="102" t="str">
        <f t="array" ref="O157">IF(ISBLANK(G157),"",INDEX('POR Config List'!C:C,MATCH(G157,'POR Config List'!D:D,0)))</f>
        <v/>
      </c>
      <c r="P157" s="105" t="str">
        <f t="shared" si="4"/>
        <v/>
      </c>
      <c r="Q157" s="105" t="str">
        <f t="array" ref="Q157">IF(ISBLANK(G157),"",INDEX('label approval artwork'!J:J,MATCH( G157,'label approval artwork'!F:F,0)))</f>
        <v/>
      </c>
      <c r="R157" s="105" t="str">
        <f t="array" ref="R157">IFERROR( IF(P157&lt;&gt;"EMA",INDEX('label approval artwork'!H:H,MATCH(G157,'label approval artwork'!F:F,0),"")),"")</f>
        <v/>
      </c>
      <c r="S157" s="105"/>
      <c r="T157" s="105" t="str">
        <f t="array" ref="T157">IF(ISBLANK(G157),"",INDEX('POR Config List'!I:I,MATCH(G157,'POR Config List'!D:D,0)))</f>
        <v/>
      </c>
      <c r="AA157" s="100" t="str">
        <f t="array" ref="AA157">IF(ISBLANK(G157),"",INDEX('POR Config List'!E:E,MATCH(G157,'POR Config List'!D:D,0)))</f>
        <v/>
      </c>
      <c r="AC157" s="105"/>
      <c r="AD157" s="100"/>
      <c r="AE157" s="100"/>
      <c r="AF157" s="100"/>
      <c r="AG157" s="100"/>
      <c r="AM157" s="102"/>
      <c r="AN157" s="102"/>
      <c r="AR157" s="119"/>
      <c r="AS157" s="103"/>
    </row>
    <row r="158">
      <c r="A158" s="168"/>
      <c r="B158" s="100" t="str">
        <f t="array" ref="B158">IFERROR( INDEX('POR Config List'!A:A,MATCH(G158,'POR Config List'!D:D,0)),"")</f>
        <v/>
      </c>
      <c r="C158" s="101" t="str">
        <f t="array" ref="C158">IFERROR(INDEX('label approval artwork'!E:E,MATCH(G158,'label approval artwork'!F:F,0),""),"")</f>
        <v/>
      </c>
      <c r="D158" s="102" t="str">
        <f t="shared" si="3"/>
        <v/>
      </c>
      <c r="E158" s="100" t="str">
        <f t="array" ref="E158">IF(ISBLANK(G158),"",INDEX('POR Config List'!K:K,MATCH(G158,'POR Config List'!D:D,0)))</f>
        <v/>
      </c>
      <c r="F158" s="100" t="str">
        <f t="array" ref="F158">IF(ISBLANK(G158),"",INDEX('POR Config List'!J:J,MATCH(G158,'POR Config List'!D:D,0)))</f>
        <v/>
      </c>
      <c r="G158" s="119"/>
      <c r="H158" s="104" t="str">
        <f t="array" ref="H158">IF(ISBLANK(G158),"",INDEX('MP SKUs'!G:G,MATCH(G158,'MP SKUs'!A:A,0)))</f>
        <v/>
      </c>
      <c r="I158" s="105" t="str">
        <f t="array" ref="I158">IF(ISBLANK(G158),"",INDEX('POR Config List'!O:O,MATCH(G158,'POR Config List'!D:D,0)))</f>
        <v/>
      </c>
      <c r="J158" s="104" t="str">
        <f t="array" ref="J158">IF(ISBLANK(G158),"",INDEX('POR Config List'!H:H,MATCH(G158,'POR Config List'!D:D,0)))</f>
        <v/>
      </c>
      <c r="K158" s="105" t="str">
        <f t="array" ref="K158">IF(ISBLANK(G158),"",INDEX('POR Config List'!G:G,MATCH(G158,'POR Config List'!D:D,0)))</f>
        <v/>
      </c>
      <c r="L158" s="105"/>
      <c r="M158" s="105" t="str">
        <f t="array" ref="M158">IF(ISBLANK(G158),"",INDEX('label approval artwork'!Q:Q,MATCH( G158,'label approval artwork'!F:F,0)))</f>
        <v/>
      </c>
      <c r="N158" s="169" t="str">
        <f t="shared" si="5"/>
        <v/>
      </c>
      <c r="O158" s="102" t="str">
        <f t="array" ref="O158">IF(ISBLANK(G158),"",INDEX('POR Config List'!C:C,MATCH(G158,'POR Config List'!D:D,0)))</f>
        <v/>
      </c>
      <c r="P158" s="105" t="str">
        <f t="shared" si="4"/>
        <v/>
      </c>
      <c r="Q158" s="105" t="str">
        <f t="array" ref="Q158">IF(ISBLANK(G158),"",INDEX('label approval artwork'!J:J,MATCH( G158,'label approval artwork'!F:F,0)))</f>
        <v/>
      </c>
      <c r="R158" s="105" t="str">
        <f t="array" ref="R158">IFERROR( IF(P158&lt;&gt;"EMA",INDEX('label approval artwork'!H:H,MATCH(G158,'label approval artwork'!F:F,0),"")),"")</f>
        <v/>
      </c>
      <c r="S158" s="105"/>
      <c r="T158" s="105" t="str">
        <f t="array" ref="T158">IF(ISBLANK(G158),"",INDEX('POR Config List'!I:I,MATCH(G158,'POR Config List'!D:D,0)))</f>
        <v/>
      </c>
      <c r="AA158" s="100" t="str">
        <f t="array" ref="AA158">IF(ISBLANK(G158),"",INDEX('POR Config List'!E:E,MATCH(G158,'POR Config List'!D:D,0)))</f>
        <v/>
      </c>
      <c r="AC158" s="105"/>
      <c r="AD158" s="100"/>
      <c r="AE158" s="100"/>
      <c r="AF158" s="100"/>
      <c r="AG158" s="100"/>
      <c r="AM158" s="102"/>
      <c r="AN158" s="102"/>
      <c r="AR158" s="119"/>
      <c r="AS158" s="103"/>
    </row>
    <row r="159">
      <c r="A159" s="168"/>
      <c r="B159" s="100" t="str">
        <f t="array" ref="B159">IFERROR( INDEX('POR Config List'!A:A,MATCH(G159,'POR Config List'!D:D,0)),"")</f>
        <v/>
      </c>
      <c r="C159" s="101" t="str">
        <f t="array" ref="C159">IFERROR(INDEX('label approval artwork'!E:E,MATCH(G159,'label approval artwork'!F:F,0),""),"")</f>
        <v/>
      </c>
      <c r="D159" s="102" t="str">
        <f t="shared" si="3"/>
        <v/>
      </c>
      <c r="E159" s="100" t="str">
        <f t="array" ref="E159">IF(ISBLANK(G159),"",INDEX('POR Config List'!K:K,MATCH(G159,'POR Config List'!D:D,0)))</f>
        <v/>
      </c>
      <c r="F159" s="100" t="str">
        <f t="array" ref="F159">IF(ISBLANK(G159),"",INDEX('POR Config List'!J:J,MATCH(G159,'POR Config List'!D:D,0)))</f>
        <v/>
      </c>
      <c r="G159" s="119"/>
      <c r="H159" s="104" t="str">
        <f t="array" ref="H159">IF(ISBLANK(G159),"",INDEX('MP SKUs'!G:G,MATCH(G159,'MP SKUs'!A:A,0)))</f>
        <v/>
      </c>
      <c r="I159" s="105" t="str">
        <f t="array" ref="I159">IF(ISBLANK(G159),"",INDEX('POR Config List'!O:O,MATCH(G159,'POR Config List'!D:D,0)))</f>
        <v/>
      </c>
      <c r="J159" s="104" t="str">
        <f t="array" ref="J159">IF(ISBLANK(G159),"",INDEX('POR Config List'!H:H,MATCH(G159,'POR Config List'!D:D,0)))</f>
        <v/>
      </c>
      <c r="K159" s="105" t="str">
        <f t="array" ref="K159">IF(ISBLANK(G159),"",INDEX('POR Config List'!G:G,MATCH(G159,'POR Config List'!D:D,0)))</f>
        <v/>
      </c>
      <c r="L159" s="105"/>
      <c r="M159" s="105" t="str">
        <f t="array" ref="M159">IF(ISBLANK(G159),"",INDEX('label approval artwork'!Q:Q,MATCH( G159,'label approval artwork'!F:F,0)))</f>
        <v/>
      </c>
      <c r="N159" s="169" t="str">
        <f t="shared" si="5"/>
        <v/>
      </c>
      <c r="O159" s="102" t="str">
        <f t="array" ref="O159">IF(ISBLANK(G159),"",INDEX('POR Config List'!C:C,MATCH(G159,'POR Config List'!D:D,0)))</f>
        <v/>
      </c>
      <c r="P159" s="105" t="str">
        <f t="shared" si="4"/>
        <v/>
      </c>
      <c r="Q159" s="105" t="str">
        <f t="array" ref="Q159">IF(ISBLANK(G159),"",INDEX('label approval artwork'!J:J,MATCH( G159,'label approval artwork'!F:F,0)))</f>
        <v/>
      </c>
      <c r="R159" s="105" t="str">
        <f t="array" ref="R159">IFERROR( IF(P159&lt;&gt;"EMA",INDEX('label approval artwork'!H:H,MATCH(G159,'label approval artwork'!F:F,0),"")),"")</f>
        <v/>
      </c>
      <c r="S159" s="105"/>
      <c r="T159" s="105" t="str">
        <f t="array" ref="T159">IF(ISBLANK(G159),"",INDEX('POR Config List'!I:I,MATCH(G159,'POR Config List'!D:D,0)))</f>
        <v/>
      </c>
      <c r="AA159" s="100" t="str">
        <f t="array" ref="AA159">IF(ISBLANK(G159),"",INDEX('POR Config List'!E:E,MATCH(G159,'POR Config List'!D:D,0)))</f>
        <v/>
      </c>
      <c r="AC159" s="105"/>
      <c r="AD159" s="100"/>
      <c r="AE159" s="100"/>
      <c r="AF159" s="100"/>
      <c r="AG159" s="100"/>
      <c r="AM159" s="102"/>
      <c r="AN159" s="102"/>
      <c r="AR159" s="119"/>
      <c r="AS159" s="103"/>
    </row>
    <row r="160">
      <c r="A160" s="168"/>
      <c r="B160" s="100" t="str">
        <f t="array" ref="B160">IFERROR( INDEX('POR Config List'!A:A,MATCH(G160,'POR Config List'!D:D,0)),"")</f>
        <v/>
      </c>
      <c r="C160" s="101" t="str">
        <f t="array" ref="C160">IFERROR(INDEX('label approval artwork'!E:E,MATCH(G160,'label approval artwork'!F:F,0),""),"")</f>
        <v/>
      </c>
      <c r="D160" s="102" t="str">
        <f t="shared" si="3"/>
        <v/>
      </c>
      <c r="E160" s="100" t="str">
        <f t="array" ref="E160">IF(ISBLANK(G160),"",INDEX('POR Config List'!K:K,MATCH(G160,'POR Config List'!D:D,0)))</f>
        <v/>
      </c>
      <c r="F160" s="100" t="str">
        <f t="array" ref="F160">IF(ISBLANK(G160),"",INDEX('POR Config List'!J:J,MATCH(G160,'POR Config List'!D:D,0)))</f>
        <v/>
      </c>
      <c r="G160" s="119"/>
      <c r="H160" s="104" t="str">
        <f t="array" ref="H160">IF(ISBLANK(G160),"",INDEX('MP SKUs'!G:G,MATCH(G160,'MP SKUs'!A:A,0)))</f>
        <v/>
      </c>
      <c r="I160" s="105" t="str">
        <f t="array" ref="I160">IF(ISBLANK(G160),"",INDEX('POR Config List'!O:O,MATCH(G160,'POR Config List'!D:D,0)))</f>
        <v/>
      </c>
      <c r="J160" s="104" t="str">
        <f t="array" ref="J160">IF(ISBLANK(G160),"",INDEX('POR Config List'!H:H,MATCH(G160,'POR Config List'!D:D,0)))</f>
        <v/>
      </c>
      <c r="K160" s="105" t="str">
        <f t="array" ref="K160">IF(ISBLANK(G160),"",INDEX('POR Config List'!G:G,MATCH(G160,'POR Config List'!D:D,0)))</f>
        <v/>
      </c>
      <c r="L160" s="105"/>
      <c r="M160" s="105" t="str">
        <f t="array" ref="M160">IF(ISBLANK(G160),"",INDEX('label approval artwork'!Q:Q,MATCH( G160,'label approval artwork'!F:F,0)))</f>
        <v/>
      </c>
      <c r="N160" s="169" t="str">
        <f t="shared" si="5"/>
        <v/>
      </c>
      <c r="O160" s="102" t="str">
        <f t="array" ref="O160">IF(ISBLANK(G160),"",INDEX('POR Config List'!C:C,MATCH(G160,'POR Config List'!D:D,0)))</f>
        <v/>
      </c>
      <c r="P160" s="105" t="str">
        <f t="shared" si="4"/>
        <v/>
      </c>
      <c r="Q160" s="105" t="str">
        <f t="array" ref="Q160">IF(ISBLANK(G160),"",INDEX('label approval artwork'!J:J,MATCH( G160,'label approval artwork'!F:F,0)))</f>
        <v/>
      </c>
      <c r="R160" s="105" t="str">
        <f t="array" ref="R160">IFERROR( IF(P160&lt;&gt;"EMA",INDEX('label approval artwork'!H:H,MATCH(G160,'label approval artwork'!F:F,0),"")),"")</f>
        <v/>
      </c>
      <c r="S160" s="105"/>
      <c r="T160" s="105" t="str">
        <f t="array" ref="T160">IF(ISBLANK(G160),"",INDEX('POR Config List'!I:I,MATCH(G160,'POR Config List'!D:D,0)))</f>
        <v/>
      </c>
      <c r="AA160" s="100" t="str">
        <f t="array" ref="AA160">IF(ISBLANK(G160),"",INDEX('POR Config List'!E:E,MATCH(G160,'POR Config List'!D:D,0)))</f>
        <v/>
      </c>
      <c r="AC160" s="105"/>
      <c r="AD160" s="100"/>
      <c r="AE160" s="100"/>
      <c r="AF160" s="100"/>
      <c r="AG160" s="100"/>
      <c r="AM160" s="102"/>
      <c r="AN160" s="102"/>
      <c r="AR160" s="119"/>
      <c r="AS160" s="103"/>
    </row>
    <row r="161">
      <c r="A161" s="168"/>
      <c r="B161" s="100" t="str">
        <f t="array" ref="B161">IFERROR( INDEX('POR Config List'!A:A,MATCH(G161,'POR Config List'!D:D,0)),"")</f>
        <v/>
      </c>
      <c r="C161" s="101" t="str">
        <f t="array" ref="C161">IFERROR(INDEX('label approval artwork'!E:E,MATCH(G161,'label approval artwork'!F:F,0),""),"")</f>
        <v/>
      </c>
      <c r="D161" s="102" t="str">
        <f t="shared" si="3"/>
        <v/>
      </c>
      <c r="E161" s="100" t="str">
        <f t="array" ref="E161">IF(ISBLANK(G161),"",INDEX('POR Config List'!K:K,MATCH(G161,'POR Config List'!D:D,0)))</f>
        <v/>
      </c>
      <c r="F161" s="100" t="str">
        <f t="array" ref="F161">IF(ISBLANK(G161),"",INDEX('POR Config List'!J:J,MATCH(G161,'POR Config List'!D:D,0)))</f>
        <v/>
      </c>
      <c r="G161" s="119"/>
      <c r="H161" s="104" t="str">
        <f t="array" ref="H161">IF(ISBLANK(G161),"",INDEX('MP SKUs'!G:G,MATCH(G161,'MP SKUs'!A:A,0)))</f>
        <v/>
      </c>
      <c r="I161" s="105" t="str">
        <f t="array" ref="I161">IF(ISBLANK(G161),"",INDEX('POR Config List'!O:O,MATCH(G161,'POR Config List'!D:D,0)))</f>
        <v/>
      </c>
      <c r="J161" s="104" t="str">
        <f t="array" ref="J161">IF(ISBLANK(G161),"",INDEX('POR Config List'!H:H,MATCH(G161,'POR Config List'!D:D,0)))</f>
        <v/>
      </c>
      <c r="K161" s="105" t="str">
        <f t="array" ref="K161">IF(ISBLANK(G161),"",INDEX('POR Config List'!G:G,MATCH(G161,'POR Config List'!D:D,0)))</f>
        <v/>
      </c>
      <c r="L161" s="105"/>
      <c r="M161" s="105" t="str">
        <f t="array" ref="M161">IF(ISBLANK(G161),"",INDEX('label approval artwork'!Q:Q,MATCH( G161,'label approval artwork'!F:F,0)))</f>
        <v/>
      </c>
      <c r="N161" s="169" t="str">
        <f t="shared" si="5"/>
        <v/>
      </c>
      <c r="O161" s="102" t="str">
        <f t="array" ref="O161">IF(ISBLANK(G161),"",INDEX('POR Config List'!C:C,MATCH(G161,'POR Config List'!D:D,0)))</f>
        <v/>
      </c>
      <c r="P161" s="105" t="str">
        <f t="shared" si="4"/>
        <v/>
      </c>
      <c r="Q161" s="105" t="str">
        <f t="array" ref="Q161">IF(ISBLANK(G161),"",INDEX('label approval artwork'!J:J,MATCH( G161,'label approval artwork'!F:F,0)))</f>
        <v/>
      </c>
      <c r="R161" s="105" t="str">
        <f t="array" ref="R161">IFERROR( IF(P161&lt;&gt;"EMA",INDEX('label approval artwork'!H:H,MATCH(G161,'label approval artwork'!F:F,0),"")),"")</f>
        <v/>
      </c>
      <c r="S161" s="105"/>
      <c r="T161" s="105" t="str">
        <f t="array" ref="T161">IF(ISBLANK(G161),"",INDEX('POR Config List'!I:I,MATCH(G161,'POR Config List'!D:D,0)))</f>
        <v/>
      </c>
      <c r="AA161" s="100" t="str">
        <f t="array" ref="AA161">IF(ISBLANK(G161),"",INDEX('POR Config List'!E:E,MATCH(G161,'POR Config List'!D:D,0)))</f>
        <v/>
      </c>
      <c r="AC161" s="105"/>
      <c r="AD161" s="100"/>
      <c r="AE161" s="100"/>
      <c r="AF161" s="100"/>
      <c r="AG161" s="100"/>
      <c r="AM161" s="102"/>
      <c r="AN161" s="102"/>
      <c r="AR161" s="119"/>
      <c r="AS161" s="103"/>
    </row>
    <row r="162">
      <c r="A162" s="168"/>
      <c r="B162" s="100" t="str">
        <f t="array" ref="B162">IFERROR( INDEX('POR Config List'!A:A,MATCH(G162,'POR Config List'!D:D,0)),"")</f>
        <v/>
      </c>
      <c r="C162" s="101" t="str">
        <f t="array" ref="C162">IFERROR(INDEX('label approval artwork'!E:E,MATCH(G162,'label approval artwork'!F:F,0),""),"")</f>
        <v/>
      </c>
      <c r="D162" s="102" t="str">
        <f t="shared" si="3"/>
        <v/>
      </c>
      <c r="E162" s="100" t="str">
        <f t="array" ref="E162">IF(ISBLANK(G162),"",INDEX('POR Config List'!K:K,MATCH(G162,'POR Config List'!D:D,0)))</f>
        <v/>
      </c>
      <c r="F162" s="100" t="str">
        <f t="array" ref="F162">IF(ISBLANK(G162),"",INDEX('POR Config List'!J:J,MATCH(G162,'POR Config List'!D:D,0)))</f>
        <v/>
      </c>
      <c r="G162" s="119"/>
      <c r="H162" s="104" t="str">
        <f t="array" ref="H162">IF(ISBLANK(G162),"",INDEX('MP SKUs'!G:G,MATCH(G162,'MP SKUs'!A:A,0)))</f>
        <v/>
      </c>
      <c r="I162" s="105" t="str">
        <f t="array" ref="I162">IF(ISBLANK(G162),"",INDEX('POR Config List'!O:O,MATCH(G162,'POR Config List'!D:D,0)))</f>
        <v/>
      </c>
      <c r="J162" s="104" t="str">
        <f t="array" ref="J162">IF(ISBLANK(G162),"",INDEX('POR Config List'!H:H,MATCH(G162,'POR Config List'!D:D,0)))</f>
        <v/>
      </c>
      <c r="K162" s="105" t="str">
        <f t="array" ref="K162">IF(ISBLANK(G162),"",INDEX('POR Config List'!G:G,MATCH(G162,'POR Config List'!D:D,0)))</f>
        <v/>
      </c>
      <c r="L162" s="105"/>
      <c r="M162" s="105" t="str">
        <f t="array" ref="M162">IF(ISBLANK(G162),"",INDEX('label approval artwork'!Q:Q,MATCH( G162,'label approval artwork'!F:F,0)))</f>
        <v/>
      </c>
      <c r="N162" s="169" t="str">
        <f t="shared" si="5"/>
        <v/>
      </c>
      <c r="O162" s="102" t="str">
        <f t="array" ref="O162">IF(ISBLANK(G162),"",INDEX('POR Config List'!C:C,MATCH(G162,'POR Config List'!D:D,0)))</f>
        <v/>
      </c>
      <c r="P162" s="105" t="str">
        <f t="shared" si="4"/>
        <v/>
      </c>
      <c r="Q162" s="105" t="str">
        <f t="array" ref="Q162">IF(ISBLANK(G162),"",INDEX('label approval artwork'!J:J,MATCH( G162,'label approval artwork'!F:F,0)))</f>
        <v/>
      </c>
      <c r="R162" s="105" t="str">
        <f t="array" ref="R162">IFERROR( IF(P162&lt;&gt;"EMA",INDEX('label approval artwork'!H:H,MATCH(G162,'label approval artwork'!F:F,0),"")),"")</f>
        <v/>
      </c>
      <c r="S162" s="105"/>
      <c r="T162" s="105" t="str">
        <f t="array" ref="T162">IF(ISBLANK(G162),"",INDEX('POR Config List'!I:I,MATCH(G162,'POR Config List'!D:D,0)))</f>
        <v/>
      </c>
      <c r="AA162" s="100" t="str">
        <f t="array" ref="AA162">IF(ISBLANK(G162),"",INDEX('POR Config List'!E:E,MATCH(G162,'POR Config List'!D:D,0)))</f>
        <v/>
      </c>
      <c r="AC162" s="105"/>
      <c r="AD162" s="100"/>
      <c r="AE162" s="100"/>
      <c r="AF162" s="100"/>
      <c r="AG162" s="100"/>
      <c r="AM162" s="102"/>
      <c r="AN162" s="102"/>
      <c r="AR162" s="119"/>
      <c r="AS162" s="103"/>
    </row>
    <row r="163">
      <c r="A163" s="168"/>
      <c r="B163" s="100" t="str">
        <f t="array" ref="B163">IFERROR( INDEX('POR Config List'!A:A,MATCH(G163,'POR Config List'!D:D,0)),"")</f>
        <v/>
      </c>
      <c r="C163" s="101" t="str">
        <f t="array" ref="C163">IFERROR(INDEX('label approval artwork'!E:E,MATCH(G163,'label approval artwork'!F:F,0),""),"")</f>
        <v/>
      </c>
      <c r="D163" s="102" t="str">
        <f t="shared" si="3"/>
        <v/>
      </c>
      <c r="E163" s="100" t="str">
        <f t="array" ref="E163">IF(ISBLANK(G163),"",INDEX('POR Config List'!K:K,MATCH(G163,'POR Config List'!D:D,0)))</f>
        <v/>
      </c>
      <c r="F163" s="100" t="str">
        <f t="array" ref="F163">IF(ISBLANK(G163),"",INDEX('POR Config List'!J:J,MATCH(G163,'POR Config List'!D:D,0)))</f>
        <v/>
      </c>
      <c r="G163" s="119"/>
      <c r="H163" s="104" t="str">
        <f t="array" ref="H163">IF(ISBLANK(G163),"",INDEX('MP SKUs'!G:G,MATCH(G163,'MP SKUs'!A:A,0)))</f>
        <v/>
      </c>
      <c r="I163" s="105" t="str">
        <f t="array" ref="I163">IF(ISBLANK(G163),"",INDEX('POR Config List'!O:O,MATCH(G163,'POR Config List'!D:D,0)))</f>
        <v/>
      </c>
      <c r="J163" s="104" t="str">
        <f t="array" ref="J163">IF(ISBLANK(G163),"",INDEX('POR Config List'!H:H,MATCH(G163,'POR Config List'!D:D,0)))</f>
        <v/>
      </c>
      <c r="K163" s="105" t="str">
        <f t="array" ref="K163">IF(ISBLANK(G163),"",INDEX('POR Config List'!G:G,MATCH(G163,'POR Config List'!D:D,0)))</f>
        <v/>
      </c>
      <c r="L163" s="105"/>
      <c r="M163" s="105" t="str">
        <f t="array" ref="M163">IF(ISBLANK(G163),"",INDEX('label approval artwork'!Q:Q,MATCH( G163,'label approval artwork'!F:F,0)))</f>
        <v/>
      </c>
      <c r="N163" s="169" t="str">
        <f t="shared" si="5"/>
        <v/>
      </c>
      <c r="O163" s="102" t="str">
        <f t="array" ref="O163">IF(ISBLANK(G163),"",INDEX('POR Config List'!C:C,MATCH(G163,'POR Config List'!D:D,0)))</f>
        <v/>
      </c>
      <c r="P163" s="105" t="str">
        <f t="shared" si="4"/>
        <v/>
      </c>
      <c r="Q163" s="105" t="str">
        <f t="array" ref="Q163">IF(ISBLANK(G163),"",INDEX('label approval artwork'!J:J,MATCH( G163,'label approval artwork'!F:F,0)))</f>
        <v/>
      </c>
      <c r="R163" s="105" t="str">
        <f t="array" ref="R163">IFERROR( IF(P163&lt;&gt;"EMA",INDEX('label approval artwork'!H:H,MATCH(G163,'label approval artwork'!F:F,0),"")),"")</f>
        <v/>
      </c>
      <c r="S163" s="105"/>
      <c r="T163" s="105" t="str">
        <f t="array" ref="T163">IF(ISBLANK(G163),"",INDEX('POR Config List'!I:I,MATCH(G163,'POR Config List'!D:D,0)))</f>
        <v/>
      </c>
      <c r="AA163" s="100" t="str">
        <f t="array" ref="AA163">IF(ISBLANK(G163),"",INDEX('POR Config List'!E:E,MATCH(G163,'POR Config List'!D:D,0)))</f>
        <v/>
      </c>
      <c r="AC163" s="105"/>
      <c r="AD163" s="100"/>
      <c r="AE163" s="100"/>
      <c r="AF163" s="100"/>
      <c r="AG163" s="100"/>
      <c r="AM163" s="102"/>
      <c r="AN163" s="102"/>
      <c r="AR163" s="119"/>
      <c r="AS163" s="103"/>
    </row>
    <row r="164">
      <c r="A164" s="168"/>
      <c r="B164" s="100" t="str">
        <f t="array" ref="B164">IFERROR( INDEX('POR Config List'!A:A,MATCH(G164,'POR Config List'!D:D,0)),"")</f>
        <v/>
      </c>
      <c r="C164" s="101" t="str">
        <f t="array" ref="C164">IFERROR(INDEX('label approval artwork'!E:E,MATCH(G164,'label approval artwork'!F:F,0),""),"")</f>
        <v/>
      </c>
      <c r="D164" s="102" t="str">
        <f t="shared" si="3"/>
        <v/>
      </c>
      <c r="E164" s="100" t="str">
        <f t="array" ref="E164">IF(ISBLANK(G164),"",INDEX('POR Config List'!K:K,MATCH(G164,'POR Config List'!D:D,0)))</f>
        <v/>
      </c>
      <c r="F164" s="100" t="str">
        <f t="array" ref="F164">IF(ISBLANK(G164),"",INDEX('POR Config List'!J:J,MATCH(G164,'POR Config List'!D:D,0)))</f>
        <v/>
      </c>
      <c r="G164" s="119"/>
      <c r="H164" s="104" t="str">
        <f t="array" ref="H164">IF(ISBLANK(G164),"",INDEX('MP SKUs'!G:G,MATCH(G164,'MP SKUs'!A:A,0)))</f>
        <v/>
      </c>
      <c r="I164" s="105" t="str">
        <f t="array" ref="I164">IF(ISBLANK(G164),"",INDEX('POR Config List'!O:O,MATCH(G164,'POR Config List'!D:D,0)))</f>
        <v/>
      </c>
      <c r="J164" s="104" t="str">
        <f t="array" ref="J164">IF(ISBLANK(G164),"",INDEX('POR Config List'!H:H,MATCH(G164,'POR Config List'!D:D,0)))</f>
        <v/>
      </c>
      <c r="K164" s="105" t="str">
        <f t="array" ref="K164">IF(ISBLANK(G164),"",INDEX('POR Config List'!G:G,MATCH(G164,'POR Config List'!D:D,0)))</f>
        <v/>
      </c>
      <c r="L164" s="105"/>
      <c r="M164" s="105" t="str">
        <f t="array" ref="M164">IF(ISBLANK(G164),"",INDEX('label approval artwork'!Q:Q,MATCH( G164,'label approval artwork'!F:F,0)))</f>
        <v/>
      </c>
      <c r="N164" s="169" t="str">
        <f t="shared" si="5"/>
        <v/>
      </c>
      <c r="O164" s="102" t="str">
        <f t="array" ref="O164">IF(ISBLANK(G164),"",INDEX('POR Config List'!C:C,MATCH(G164,'POR Config List'!D:D,0)))</f>
        <v/>
      </c>
      <c r="P164" s="105" t="str">
        <f t="shared" si="4"/>
        <v/>
      </c>
      <c r="Q164" s="105" t="str">
        <f t="array" ref="Q164">IF(ISBLANK(G164),"",INDEX('label approval artwork'!J:J,MATCH( G164,'label approval artwork'!F:F,0)))</f>
        <v/>
      </c>
      <c r="R164" s="105" t="str">
        <f t="array" ref="R164">IFERROR( IF(P164&lt;&gt;"EMA",INDEX('label approval artwork'!H:H,MATCH(G164,'label approval artwork'!F:F,0),"")),"")</f>
        <v/>
      </c>
      <c r="S164" s="105"/>
      <c r="T164" s="105" t="str">
        <f t="array" ref="T164">IF(ISBLANK(G164),"",INDEX('POR Config List'!I:I,MATCH(G164,'POR Config List'!D:D,0)))</f>
        <v/>
      </c>
      <c r="AA164" s="100" t="str">
        <f t="array" ref="AA164">IF(ISBLANK(G164),"",INDEX('POR Config List'!E:E,MATCH(G164,'POR Config List'!D:D,0)))</f>
        <v/>
      </c>
      <c r="AC164" s="105"/>
      <c r="AD164" s="100"/>
      <c r="AE164" s="100"/>
      <c r="AF164" s="100"/>
      <c r="AG164" s="100"/>
      <c r="AM164" s="102"/>
      <c r="AN164" s="102"/>
      <c r="AR164" s="119"/>
      <c r="AS164" s="103"/>
    </row>
    <row r="165">
      <c r="A165" s="168"/>
      <c r="B165" s="100" t="str">
        <f t="array" ref="B165">IFERROR( INDEX('POR Config List'!A:A,MATCH(G165,'POR Config List'!D:D,0)),"")</f>
        <v/>
      </c>
      <c r="C165" s="101" t="str">
        <f t="array" ref="C165">IFERROR(INDEX('label approval artwork'!E:E,MATCH(G165,'label approval artwork'!F:F,0),""),"")</f>
        <v/>
      </c>
      <c r="D165" s="102" t="str">
        <f t="shared" si="3"/>
        <v/>
      </c>
      <c r="E165" s="100" t="str">
        <f t="array" ref="E165">IF(ISBLANK(G165),"",INDEX('POR Config List'!K:K,MATCH(G165,'POR Config List'!D:D,0)))</f>
        <v/>
      </c>
      <c r="F165" s="100" t="str">
        <f t="array" ref="F165">IF(ISBLANK(G165),"",INDEX('POR Config List'!J:J,MATCH(G165,'POR Config List'!D:D,0)))</f>
        <v/>
      </c>
      <c r="G165" s="119"/>
      <c r="H165" s="104" t="str">
        <f t="array" ref="H165">IF(ISBLANK(G165),"",INDEX('MP SKUs'!G:G,MATCH(G165,'MP SKUs'!A:A,0)))</f>
        <v/>
      </c>
      <c r="I165" s="105" t="str">
        <f t="array" ref="I165">IF(ISBLANK(G165),"",INDEX('POR Config List'!O:O,MATCH(G165,'POR Config List'!D:D,0)))</f>
        <v/>
      </c>
      <c r="J165" s="104" t="str">
        <f t="array" ref="J165">IF(ISBLANK(G165),"",INDEX('POR Config List'!H:H,MATCH(G165,'POR Config List'!D:D,0)))</f>
        <v/>
      </c>
      <c r="K165" s="105" t="str">
        <f t="array" ref="K165">IF(ISBLANK(G165),"",INDEX('POR Config List'!G:G,MATCH(G165,'POR Config List'!D:D,0)))</f>
        <v/>
      </c>
      <c r="L165" s="105"/>
      <c r="M165" s="105" t="str">
        <f t="array" ref="M165">IF(ISBLANK(G165),"",INDEX('label approval artwork'!Q:Q,MATCH( G165,'label approval artwork'!F:F,0)))</f>
        <v/>
      </c>
      <c r="N165" s="169" t="str">
        <f t="shared" si="5"/>
        <v/>
      </c>
      <c r="O165" s="102" t="str">
        <f t="array" ref="O165">IF(ISBLANK(G165),"",INDEX('POR Config List'!C:C,MATCH(G165,'POR Config List'!D:D,0)))</f>
        <v/>
      </c>
      <c r="P165" s="105" t="str">
        <f t="shared" si="4"/>
        <v/>
      </c>
      <c r="Q165" s="105" t="str">
        <f t="array" ref="Q165">IF(ISBLANK(G165),"",INDEX('label approval artwork'!J:J,MATCH( G165,'label approval artwork'!F:F,0)))</f>
        <v/>
      </c>
      <c r="R165" s="105" t="str">
        <f t="array" ref="R165">IFERROR( IF(P165&lt;&gt;"EMA",INDEX('label approval artwork'!H:H,MATCH(G165,'label approval artwork'!F:F,0),"")),"")</f>
        <v/>
      </c>
      <c r="S165" s="105"/>
      <c r="T165" s="105" t="str">
        <f t="array" ref="T165">IF(ISBLANK(G165),"",INDEX('POR Config List'!I:I,MATCH(G165,'POR Config List'!D:D,0)))</f>
        <v/>
      </c>
      <c r="AA165" s="100" t="str">
        <f t="array" ref="AA165">IF(ISBLANK(G165),"",INDEX('POR Config List'!E:E,MATCH(G165,'POR Config List'!D:D,0)))</f>
        <v/>
      </c>
      <c r="AC165" s="105"/>
      <c r="AD165" s="100"/>
      <c r="AE165" s="100"/>
      <c r="AF165" s="100"/>
      <c r="AG165" s="100"/>
      <c r="AM165" s="102"/>
      <c r="AN165" s="102"/>
      <c r="AR165" s="119"/>
      <c r="AS165" s="103"/>
    </row>
    <row r="166">
      <c r="A166" s="168"/>
      <c r="B166" s="100" t="str">
        <f t="array" ref="B166">IFERROR( INDEX('POR Config List'!A:A,MATCH(G166,'POR Config List'!D:D,0)),"")</f>
        <v/>
      </c>
      <c r="C166" s="101" t="str">
        <f t="array" ref="C166">IFERROR(INDEX('label approval artwork'!E:E,MATCH(G166,'label approval artwork'!F:F,0),""),"")</f>
        <v/>
      </c>
      <c r="D166" s="102" t="str">
        <f t="shared" si="3"/>
        <v/>
      </c>
      <c r="E166" s="100" t="str">
        <f t="array" ref="E166">IF(ISBLANK(G166),"",INDEX('POR Config List'!K:K,MATCH(G166,'POR Config List'!D:D,0)))</f>
        <v/>
      </c>
      <c r="F166" s="100" t="str">
        <f t="array" ref="F166">IF(ISBLANK(G166),"",INDEX('POR Config List'!J:J,MATCH(G166,'POR Config List'!D:D,0)))</f>
        <v/>
      </c>
      <c r="G166" s="119"/>
      <c r="H166" s="104" t="str">
        <f t="array" ref="H166">IF(ISBLANK(G166),"",INDEX('MP SKUs'!G:G,MATCH(G166,'MP SKUs'!A:A,0)))</f>
        <v/>
      </c>
      <c r="I166" s="105" t="str">
        <f t="array" ref="I166">IF(ISBLANK(G166),"",INDEX('POR Config List'!O:O,MATCH(G166,'POR Config List'!D:D,0)))</f>
        <v/>
      </c>
      <c r="J166" s="104" t="str">
        <f t="array" ref="J166">IF(ISBLANK(G166),"",INDEX('POR Config List'!H:H,MATCH(G166,'POR Config List'!D:D,0)))</f>
        <v/>
      </c>
      <c r="K166" s="105" t="str">
        <f t="array" ref="K166">IF(ISBLANK(G166),"",INDEX('POR Config List'!G:G,MATCH(G166,'POR Config List'!D:D,0)))</f>
        <v/>
      </c>
      <c r="L166" s="105"/>
      <c r="M166" s="105" t="str">
        <f t="array" ref="M166">IF(ISBLANK(G166),"",INDEX('label approval artwork'!Q:Q,MATCH( G166,'label approval artwork'!F:F,0)))</f>
        <v/>
      </c>
      <c r="N166" s="169" t="str">
        <f t="shared" si="5"/>
        <v/>
      </c>
      <c r="O166" s="102" t="str">
        <f t="array" ref="O166">IF(ISBLANK(G166),"",INDEX('POR Config List'!C:C,MATCH(G166,'POR Config List'!D:D,0)))</f>
        <v/>
      </c>
      <c r="P166" s="105" t="str">
        <f t="shared" si="4"/>
        <v/>
      </c>
      <c r="Q166" s="105" t="str">
        <f t="array" ref="Q166">IF(ISBLANK(G166),"",INDEX('label approval artwork'!J:J,MATCH( G166,'label approval artwork'!F:F,0)))</f>
        <v/>
      </c>
      <c r="R166" s="105" t="str">
        <f t="array" ref="R166">IFERROR( IF(P166&lt;&gt;"EMA",INDEX('label approval artwork'!H:H,MATCH(G166,'label approval artwork'!F:F,0),"")),"")</f>
        <v/>
      </c>
      <c r="S166" s="105"/>
      <c r="T166" s="105" t="str">
        <f t="array" ref="T166">IF(ISBLANK(G166),"",INDEX('POR Config List'!I:I,MATCH(G166,'POR Config List'!D:D,0)))</f>
        <v/>
      </c>
      <c r="AA166" s="100" t="str">
        <f t="array" ref="AA166">IF(ISBLANK(G166),"",INDEX('POR Config List'!E:E,MATCH(G166,'POR Config List'!D:D,0)))</f>
        <v/>
      </c>
      <c r="AC166" s="105"/>
      <c r="AD166" s="100"/>
      <c r="AE166" s="100"/>
      <c r="AF166" s="100"/>
      <c r="AG166" s="100"/>
      <c r="AM166" s="102"/>
      <c r="AN166" s="102"/>
      <c r="AR166" s="119"/>
      <c r="AS166" s="103"/>
    </row>
    <row r="167">
      <c r="A167" s="168"/>
      <c r="B167" s="100" t="str">
        <f t="array" ref="B167">IFERROR( INDEX('POR Config List'!A:A,MATCH(G167,'POR Config List'!D:D,0)),"")</f>
        <v/>
      </c>
      <c r="C167" s="101" t="str">
        <f t="array" ref="C167">IFERROR(INDEX('label approval artwork'!E:E,MATCH(G167,'label approval artwork'!F:F,0),""),"")</f>
        <v/>
      </c>
      <c r="D167" s="102" t="str">
        <f t="shared" si="3"/>
        <v/>
      </c>
      <c r="E167" s="100" t="str">
        <f t="array" ref="E167">IF(ISBLANK(G167),"",INDEX('POR Config List'!K:K,MATCH(G167,'POR Config List'!D:D,0)))</f>
        <v/>
      </c>
      <c r="F167" s="100" t="str">
        <f t="array" ref="F167">IF(ISBLANK(G167),"",INDEX('POR Config List'!J:J,MATCH(G167,'POR Config List'!D:D,0)))</f>
        <v/>
      </c>
      <c r="G167" s="119"/>
      <c r="H167" s="104" t="str">
        <f t="array" ref="H167">IF(ISBLANK(G167),"",INDEX('MP SKUs'!G:G,MATCH(G167,'MP SKUs'!A:A,0)))</f>
        <v/>
      </c>
      <c r="I167" s="105" t="str">
        <f t="array" ref="I167">IF(ISBLANK(G167),"",INDEX('POR Config List'!O:O,MATCH(G167,'POR Config List'!D:D,0)))</f>
        <v/>
      </c>
      <c r="J167" s="104" t="str">
        <f t="array" ref="J167">IF(ISBLANK(G167),"",INDEX('POR Config List'!H:H,MATCH(G167,'POR Config List'!D:D,0)))</f>
        <v/>
      </c>
      <c r="K167" s="105" t="str">
        <f t="array" ref="K167">IF(ISBLANK(G167),"",INDEX('POR Config List'!G:G,MATCH(G167,'POR Config List'!D:D,0)))</f>
        <v/>
      </c>
      <c r="L167" s="105"/>
      <c r="M167" s="105" t="str">
        <f t="array" ref="M167">IF(ISBLANK(G167),"",INDEX('label approval artwork'!Q:Q,MATCH( G167,'label approval artwork'!F:F,0)))</f>
        <v/>
      </c>
      <c r="N167" s="169" t="str">
        <f t="shared" si="5"/>
        <v/>
      </c>
      <c r="O167" s="102" t="str">
        <f t="array" ref="O167">IF(ISBLANK(G167),"",INDEX('POR Config List'!C:C,MATCH(G167,'POR Config List'!D:D,0)))</f>
        <v/>
      </c>
      <c r="P167" s="105" t="str">
        <f t="shared" si="4"/>
        <v/>
      </c>
      <c r="Q167" s="105" t="str">
        <f t="array" ref="Q167">IF(ISBLANK(G167),"",INDEX('label approval artwork'!J:J,MATCH( G167,'label approval artwork'!F:F,0)))</f>
        <v/>
      </c>
      <c r="R167" s="105" t="str">
        <f t="array" ref="R167">IFERROR( IF(P167&lt;&gt;"EMA",INDEX('label approval artwork'!H:H,MATCH(G167,'label approval artwork'!F:F,0),"")),"")</f>
        <v/>
      </c>
      <c r="S167" s="105"/>
      <c r="T167" s="105" t="str">
        <f t="array" ref="T167">IF(ISBLANK(G167),"",INDEX('POR Config List'!I:I,MATCH(G167,'POR Config List'!D:D,0)))</f>
        <v/>
      </c>
      <c r="AA167" s="100" t="str">
        <f t="array" ref="AA167">IF(ISBLANK(G167),"",INDEX('POR Config List'!E:E,MATCH(G167,'POR Config List'!D:D,0)))</f>
        <v/>
      </c>
      <c r="AC167" s="105"/>
      <c r="AD167" s="100"/>
      <c r="AE167" s="100"/>
      <c r="AF167" s="100"/>
      <c r="AG167" s="100"/>
      <c r="AM167" s="102"/>
      <c r="AN167" s="102"/>
      <c r="AR167" s="119"/>
      <c r="AS167" s="103"/>
    </row>
    <row r="168">
      <c r="A168" s="168"/>
      <c r="B168" s="100" t="str">
        <f t="array" ref="B168">IFERROR( INDEX('POR Config List'!A:A,MATCH(G168,'POR Config List'!D:D,0)),"")</f>
        <v/>
      </c>
      <c r="C168" s="101" t="str">
        <f t="array" ref="C168">IFERROR(INDEX('label approval artwork'!E:E,MATCH(G168,'label approval artwork'!F:F,0),""),"")</f>
        <v/>
      </c>
      <c r="D168" s="102" t="str">
        <f t="shared" si="3"/>
        <v/>
      </c>
      <c r="E168" s="100" t="str">
        <f t="array" ref="E168">IF(ISBLANK(G168),"",INDEX('POR Config List'!K:K,MATCH(G168,'POR Config List'!D:D,0)))</f>
        <v/>
      </c>
      <c r="F168" s="100" t="str">
        <f t="array" ref="F168">IF(ISBLANK(G168),"",INDEX('POR Config List'!J:J,MATCH(G168,'POR Config List'!D:D,0)))</f>
        <v/>
      </c>
      <c r="G168" s="119"/>
      <c r="H168" s="104" t="str">
        <f t="array" ref="H168">IF(ISBLANK(G168),"",INDEX('MP SKUs'!G:G,MATCH(G168,'MP SKUs'!A:A,0)))</f>
        <v/>
      </c>
      <c r="I168" s="105" t="str">
        <f t="array" ref="I168">IF(ISBLANK(G168),"",INDEX('POR Config List'!O:O,MATCH(G168,'POR Config List'!D:D,0)))</f>
        <v/>
      </c>
      <c r="J168" s="104" t="str">
        <f t="array" ref="J168">IF(ISBLANK(G168),"",INDEX('POR Config List'!H:H,MATCH(G168,'POR Config List'!D:D,0)))</f>
        <v/>
      </c>
      <c r="K168" s="105" t="str">
        <f t="array" ref="K168">IF(ISBLANK(G168),"",INDEX('POR Config List'!G:G,MATCH(G168,'POR Config List'!D:D,0)))</f>
        <v/>
      </c>
      <c r="L168" s="105"/>
      <c r="M168" s="105" t="str">
        <f t="array" ref="M168">IF(ISBLANK(G168),"",INDEX('label approval artwork'!Q:Q,MATCH( G168,'label approval artwork'!F:F,0)))</f>
        <v/>
      </c>
      <c r="N168" s="169" t="str">
        <f t="shared" si="5"/>
        <v/>
      </c>
      <c r="O168" s="102" t="str">
        <f t="array" ref="O168">IF(ISBLANK(G168),"",INDEX('POR Config List'!C:C,MATCH(G168,'POR Config List'!D:D,0)))</f>
        <v/>
      </c>
      <c r="P168" s="105" t="str">
        <f t="shared" si="4"/>
        <v/>
      </c>
      <c r="Q168" s="105" t="str">
        <f t="array" ref="Q168">IF(ISBLANK(G168),"",INDEX('label approval artwork'!J:J,MATCH( G168,'label approval artwork'!F:F,0)))</f>
        <v/>
      </c>
      <c r="R168" s="105" t="str">
        <f t="array" ref="R168">IFERROR( IF(P168&lt;&gt;"EMA",INDEX('label approval artwork'!H:H,MATCH(G168,'label approval artwork'!F:F,0),"")),"")</f>
        <v/>
      </c>
      <c r="S168" s="105"/>
      <c r="T168" s="105" t="str">
        <f t="array" ref="T168">IF(ISBLANK(G168),"",INDEX('POR Config List'!I:I,MATCH(G168,'POR Config List'!D:D,0)))</f>
        <v/>
      </c>
      <c r="AA168" s="100" t="str">
        <f t="array" ref="AA168">IF(ISBLANK(G168),"",INDEX('POR Config List'!E:E,MATCH(G168,'POR Config List'!D:D,0)))</f>
        <v/>
      </c>
      <c r="AC168" s="105"/>
      <c r="AD168" s="100"/>
      <c r="AE168" s="100"/>
      <c r="AF168" s="100"/>
      <c r="AG168" s="100"/>
      <c r="AM168" s="102"/>
      <c r="AN168" s="102"/>
      <c r="AR168" s="119"/>
      <c r="AS168" s="103"/>
    </row>
    <row r="169">
      <c r="A169" s="168"/>
      <c r="B169" s="100" t="str">
        <f t="array" ref="B169">IFERROR( INDEX('POR Config List'!A:A,MATCH(G169,'POR Config List'!D:D,0)),"")</f>
        <v/>
      </c>
      <c r="C169" s="101" t="str">
        <f t="array" ref="C169">IFERROR(INDEX('label approval artwork'!E:E,MATCH(G169,'label approval artwork'!F:F,0),""),"")</f>
        <v/>
      </c>
      <c r="D169" s="102" t="str">
        <f t="shared" si="3"/>
        <v/>
      </c>
      <c r="E169" s="100" t="str">
        <f t="array" ref="E169">IF(ISBLANK(G169),"",INDEX('POR Config List'!K:K,MATCH(G169,'POR Config List'!D:D,0)))</f>
        <v/>
      </c>
      <c r="F169" s="100" t="str">
        <f t="array" ref="F169">IF(ISBLANK(G169),"",INDEX('POR Config List'!J:J,MATCH(G169,'POR Config List'!D:D,0)))</f>
        <v/>
      </c>
      <c r="G169" s="119"/>
      <c r="H169" s="104" t="str">
        <f t="array" ref="H169">IF(ISBLANK(G169),"",INDEX('MP SKUs'!G:G,MATCH(G169,'MP SKUs'!A:A,0)))</f>
        <v/>
      </c>
      <c r="I169" s="105" t="str">
        <f t="array" ref="I169">IF(ISBLANK(G169),"",INDEX('POR Config List'!O:O,MATCH(G169,'POR Config List'!D:D,0)))</f>
        <v/>
      </c>
      <c r="J169" s="104" t="str">
        <f t="array" ref="J169">IF(ISBLANK(G169),"",INDEX('POR Config List'!H:H,MATCH(G169,'POR Config List'!D:D,0)))</f>
        <v/>
      </c>
      <c r="K169" s="105" t="str">
        <f t="array" ref="K169">IF(ISBLANK(G169),"",INDEX('POR Config List'!G:G,MATCH(G169,'POR Config List'!D:D,0)))</f>
        <v/>
      </c>
      <c r="L169" s="105"/>
      <c r="M169" s="105" t="str">
        <f t="array" ref="M169">IF(ISBLANK(G169),"",INDEX('label approval artwork'!Q:Q,MATCH( G169,'label approval artwork'!F:F,0)))</f>
        <v/>
      </c>
      <c r="N169" s="169" t="str">
        <f t="shared" si="5"/>
        <v/>
      </c>
      <c r="O169" s="102" t="str">
        <f t="array" ref="O169">IF(ISBLANK(G169),"",INDEX('POR Config List'!C:C,MATCH(G169,'POR Config List'!D:D,0)))</f>
        <v/>
      </c>
      <c r="P169" s="105" t="str">
        <f t="shared" si="4"/>
        <v/>
      </c>
      <c r="Q169" s="105" t="str">
        <f t="array" ref="Q169">IF(ISBLANK(G169),"",INDEX('label approval artwork'!J:J,MATCH( G169,'label approval artwork'!F:F,0)))</f>
        <v/>
      </c>
      <c r="R169" s="105" t="str">
        <f t="array" ref="R169">IFERROR( IF(P169&lt;&gt;"EMA",INDEX('label approval artwork'!H:H,MATCH(G169,'label approval artwork'!F:F,0),"")),"")</f>
        <v/>
      </c>
      <c r="S169" s="105"/>
      <c r="T169" s="105" t="str">
        <f t="array" ref="T169">IF(ISBLANK(G169),"",INDEX('POR Config List'!I:I,MATCH(G169,'POR Config List'!D:D,0)))</f>
        <v/>
      </c>
      <c r="AA169" s="100" t="str">
        <f t="array" ref="AA169">IF(ISBLANK(G169),"",INDEX('POR Config List'!E:E,MATCH(G169,'POR Config List'!D:D,0)))</f>
        <v/>
      </c>
      <c r="AC169" s="105"/>
      <c r="AD169" s="100"/>
      <c r="AE169" s="100"/>
      <c r="AF169" s="100"/>
      <c r="AG169" s="100"/>
      <c r="AM169" s="102"/>
      <c r="AN169" s="102"/>
      <c r="AR169" s="119"/>
      <c r="AS169" s="103"/>
    </row>
    <row r="170">
      <c r="A170" s="168"/>
      <c r="B170" s="100" t="str">
        <f t="array" ref="B170">IFERROR( INDEX('POR Config List'!A:A,MATCH(G170,'POR Config List'!D:D,0)),"")</f>
        <v/>
      </c>
      <c r="C170" s="101" t="str">
        <f t="array" ref="C170">IFERROR(INDEX('label approval artwork'!E:E,MATCH(G170,'label approval artwork'!F:F,0),""),"")</f>
        <v/>
      </c>
      <c r="D170" s="102" t="str">
        <f t="shared" si="3"/>
        <v/>
      </c>
      <c r="E170" s="100" t="str">
        <f t="array" ref="E170">IF(ISBLANK(G170),"",INDEX('POR Config List'!K:K,MATCH(G170,'POR Config List'!D:D,0)))</f>
        <v/>
      </c>
      <c r="F170" s="100" t="str">
        <f t="array" ref="F170">IF(ISBLANK(G170),"",INDEX('POR Config List'!J:J,MATCH(G170,'POR Config List'!D:D,0)))</f>
        <v/>
      </c>
      <c r="G170" s="119"/>
      <c r="H170" s="104" t="str">
        <f t="array" ref="H170">IF(ISBLANK(G170),"",INDEX('MP SKUs'!G:G,MATCH(G170,'MP SKUs'!A:A,0)))</f>
        <v/>
      </c>
      <c r="I170" s="105" t="str">
        <f t="array" ref="I170">IF(ISBLANK(G170),"",INDEX('POR Config List'!O:O,MATCH(G170,'POR Config List'!D:D,0)))</f>
        <v/>
      </c>
      <c r="J170" s="104" t="str">
        <f t="array" ref="J170">IF(ISBLANK(G170),"",INDEX('POR Config List'!H:H,MATCH(G170,'POR Config List'!D:D,0)))</f>
        <v/>
      </c>
      <c r="K170" s="105" t="str">
        <f t="array" ref="K170">IF(ISBLANK(G170),"",INDEX('POR Config List'!G:G,MATCH(G170,'POR Config List'!D:D,0)))</f>
        <v/>
      </c>
      <c r="L170" s="105"/>
      <c r="M170" s="105" t="str">
        <f t="array" ref="M170">IF(ISBLANK(G170),"",INDEX('label approval artwork'!Q:Q,MATCH( G170,'label approval artwork'!F:F,0)))</f>
        <v/>
      </c>
      <c r="N170" s="169" t="str">
        <f t="shared" si="5"/>
        <v/>
      </c>
      <c r="O170" s="102" t="str">
        <f t="array" ref="O170">IF(ISBLANK(G170),"",INDEX('POR Config List'!C:C,MATCH(G170,'POR Config List'!D:D,0)))</f>
        <v/>
      </c>
      <c r="P170" s="105" t="str">
        <f t="shared" si="4"/>
        <v/>
      </c>
      <c r="Q170" s="105" t="str">
        <f t="array" ref="Q170">IF(ISBLANK(G170),"",INDEX('label approval artwork'!J:J,MATCH( G170,'label approval artwork'!F:F,0)))</f>
        <v/>
      </c>
      <c r="R170" s="105" t="str">
        <f t="array" ref="R170">IFERROR( IF(P170&lt;&gt;"EMA",INDEX('label approval artwork'!H:H,MATCH(G170,'label approval artwork'!F:F,0),"")),"")</f>
        <v/>
      </c>
      <c r="S170" s="105"/>
      <c r="T170" s="105" t="str">
        <f t="array" ref="T170">IF(ISBLANK(G170),"",INDEX('POR Config List'!I:I,MATCH(G170,'POR Config List'!D:D,0)))</f>
        <v/>
      </c>
      <c r="AA170" s="100" t="str">
        <f t="array" ref="AA170">IF(ISBLANK(G170),"",INDEX('POR Config List'!E:E,MATCH(G170,'POR Config List'!D:D,0)))</f>
        <v/>
      </c>
      <c r="AC170" s="105"/>
      <c r="AD170" s="100"/>
      <c r="AE170" s="100"/>
      <c r="AF170" s="100"/>
      <c r="AG170" s="100"/>
      <c r="AM170" s="102"/>
      <c r="AN170" s="102"/>
      <c r="AR170" s="119"/>
      <c r="AS170" s="103"/>
    </row>
    <row r="171">
      <c r="A171" s="168"/>
      <c r="B171" s="100" t="str">
        <f t="array" ref="B171">IFERROR( INDEX('POR Config List'!A:A,MATCH(G171,'POR Config List'!D:D,0)),"")</f>
        <v/>
      </c>
      <c r="C171" s="101" t="str">
        <f t="array" ref="C171">IFERROR(INDEX('label approval artwork'!E:E,MATCH(G171,'label approval artwork'!F:F,0),""),"")</f>
        <v/>
      </c>
      <c r="D171" s="102" t="str">
        <f t="shared" si="3"/>
        <v/>
      </c>
      <c r="E171" s="100" t="str">
        <f t="array" ref="E171">IF(ISBLANK(G171),"",INDEX('POR Config List'!K:K,MATCH(G171,'POR Config List'!D:D,0)))</f>
        <v/>
      </c>
      <c r="F171" s="100" t="str">
        <f t="array" ref="F171">IF(ISBLANK(G171),"",INDEX('POR Config List'!J:J,MATCH(G171,'POR Config List'!D:D,0)))</f>
        <v/>
      </c>
      <c r="G171" s="119"/>
      <c r="H171" s="104" t="str">
        <f t="array" ref="H171">IF(ISBLANK(G171),"",INDEX('MP SKUs'!G:G,MATCH(G171,'MP SKUs'!A:A,0)))</f>
        <v/>
      </c>
      <c r="I171" s="105" t="str">
        <f t="array" ref="I171">IF(ISBLANK(G171),"",INDEX('POR Config List'!O:O,MATCH(G171,'POR Config List'!D:D,0)))</f>
        <v/>
      </c>
      <c r="J171" s="104" t="str">
        <f t="array" ref="J171">IF(ISBLANK(G171),"",INDEX('POR Config List'!H:H,MATCH(G171,'POR Config List'!D:D,0)))</f>
        <v/>
      </c>
      <c r="K171" s="105" t="str">
        <f t="array" ref="K171">IF(ISBLANK(G171),"",INDEX('POR Config List'!G:G,MATCH(G171,'POR Config List'!D:D,0)))</f>
        <v/>
      </c>
      <c r="L171" s="105"/>
      <c r="M171" s="105" t="str">
        <f t="array" ref="M171">IF(ISBLANK(G171),"",INDEX('label approval artwork'!Q:Q,MATCH( G171,'label approval artwork'!F:F,0)))</f>
        <v/>
      </c>
      <c r="N171" s="169" t="str">
        <f t="shared" si="5"/>
        <v/>
      </c>
      <c r="O171" s="102" t="str">
        <f t="array" ref="O171">IF(ISBLANK(G171),"",INDEX('POR Config List'!C:C,MATCH(G171,'POR Config List'!D:D,0)))</f>
        <v/>
      </c>
      <c r="P171" s="105" t="str">
        <f t="shared" si="4"/>
        <v/>
      </c>
      <c r="Q171" s="105" t="str">
        <f t="array" ref="Q171">IF(ISBLANK(G171),"",INDEX('label approval artwork'!J:J,MATCH( G171,'label approval artwork'!F:F,0)))</f>
        <v/>
      </c>
      <c r="R171" s="105" t="str">
        <f t="array" ref="R171">IFERROR( IF(P171&lt;&gt;"EMA",INDEX('label approval artwork'!H:H,MATCH(G171,'label approval artwork'!F:F,0),"")),"")</f>
        <v/>
      </c>
      <c r="S171" s="105"/>
      <c r="T171" s="105" t="str">
        <f t="array" ref="T171">IF(ISBLANK(G171),"",INDEX('POR Config List'!I:I,MATCH(G171,'POR Config List'!D:D,0)))</f>
        <v/>
      </c>
      <c r="AA171" s="100" t="str">
        <f t="array" ref="AA171">IF(ISBLANK(G171),"",INDEX('POR Config List'!E:E,MATCH(G171,'POR Config List'!D:D,0)))</f>
        <v/>
      </c>
      <c r="AC171" s="105"/>
      <c r="AD171" s="100"/>
      <c r="AE171" s="100"/>
      <c r="AF171" s="100"/>
      <c r="AG171" s="100"/>
      <c r="AM171" s="102"/>
      <c r="AN171" s="102"/>
      <c r="AR171" s="119"/>
      <c r="AS171" s="103"/>
    </row>
    <row r="172">
      <c r="A172" s="168"/>
      <c r="B172" s="100" t="str">
        <f t="array" ref="B172">IFERROR( INDEX('POR Config List'!A:A,MATCH(G172,'POR Config List'!D:D,0)),"")</f>
        <v/>
      </c>
      <c r="C172" s="101" t="str">
        <f t="array" ref="C172">IFERROR(INDEX('label approval artwork'!E:E,MATCH(G172,'label approval artwork'!F:F,0),""),"")</f>
        <v/>
      </c>
      <c r="D172" s="102" t="str">
        <f t="shared" si="3"/>
        <v/>
      </c>
      <c r="E172" s="100" t="str">
        <f t="array" ref="E172">IF(ISBLANK(G172),"",INDEX('POR Config List'!K:K,MATCH(G172,'POR Config List'!D:D,0)))</f>
        <v/>
      </c>
      <c r="F172" s="100" t="str">
        <f t="array" ref="F172">IF(ISBLANK(G172),"",INDEX('POR Config List'!J:J,MATCH(G172,'POR Config List'!D:D,0)))</f>
        <v/>
      </c>
      <c r="G172" s="119"/>
      <c r="H172" s="104" t="str">
        <f t="array" ref="H172">IF(ISBLANK(G172),"",INDEX('MP SKUs'!G:G,MATCH(G172,'MP SKUs'!A:A,0)))</f>
        <v/>
      </c>
      <c r="I172" s="105" t="str">
        <f t="array" ref="I172">IF(ISBLANK(G172),"",INDEX('POR Config List'!O:O,MATCH(G172,'POR Config List'!D:D,0)))</f>
        <v/>
      </c>
      <c r="J172" s="104" t="str">
        <f t="array" ref="J172">IF(ISBLANK(G172),"",INDEX('POR Config List'!H:H,MATCH(G172,'POR Config List'!D:D,0)))</f>
        <v/>
      </c>
      <c r="K172" s="105" t="str">
        <f t="array" ref="K172">IF(ISBLANK(G172),"",INDEX('POR Config List'!G:G,MATCH(G172,'POR Config List'!D:D,0)))</f>
        <v/>
      </c>
      <c r="L172" s="105"/>
      <c r="M172" s="105" t="str">
        <f t="array" ref="M172">IF(ISBLANK(G172),"",INDEX('label approval artwork'!Q:Q,MATCH( G172,'label approval artwork'!F:F,0)))</f>
        <v/>
      </c>
      <c r="N172" s="169" t="str">
        <f t="shared" si="5"/>
        <v/>
      </c>
      <c r="O172" s="102" t="str">
        <f t="array" ref="O172">IF(ISBLANK(G172),"",INDEX('POR Config List'!C:C,MATCH(G172,'POR Config List'!D:D,0)))</f>
        <v/>
      </c>
      <c r="P172" s="105" t="str">
        <f t="shared" si="4"/>
        <v/>
      </c>
      <c r="Q172" s="105" t="str">
        <f t="array" ref="Q172">IF(ISBLANK(G172),"",INDEX('label approval artwork'!J:J,MATCH( G172,'label approval artwork'!F:F,0)))</f>
        <v/>
      </c>
      <c r="R172" s="105" t="str">
        <f t="array" ref="R172">IFERROR( IF(P172&lt;&gt;"EMA",INDEX('label approval artwork'!H:H,MATCH(G172,'label approval artwork'!F:F,0),"")),"")</f>
        <v/>
      </c>
      <c r="S172" s="105"/>
      <c r="T172" s="105" t="str">
        <f t="array" ref="T172">IF(ISBLANK(G172),"",INDEX('POR Config List'!I:I,MATCH(G172,'POR Config List'!D:D,0)))</f>
        <v/>
      </c>
      <c r="AA172" s="100" t="str">
        <f t="array" ref="AA172">IF(ISBLANK(G172),"",INDEX('POR Config List'!E:E,MATCH(G172,'POR Config List'!D:D,0)))</f>
        <v/>
      </c>
      <c r="AC172" s="105"/>
      <c r="AD172" s="100"/>
      <c r="AE172" s="100"/>
      <c r="AF172" s="100"/>
      <c r="AG172" s="100"/>
      <c r="AM172" s="102"/>
      <c r="AN172" s="102"/>
      <c r="AR172" s="119"/>
      <c r="AS172" s="103"/>
    </row>
    <row r="173">
      <c r="A173" s="168"/>
      <c r="B173" s="100" t="str">
        <f t="array" ref="B173">IFERROR( INDEX('POR Config List'!A:A,MATCH(G173,'POR Config List'!D:D,0)),"")</f>
        <v/>
      </c>
      <c r="C173" s="101" t="str">
        <f t="array" ref="C173">IFERROR(INDEX('label approval artwork'!E:E,MATCH(G173,'label approval artwork'!F:F,0),""),"")</f>
        <v/>
      </c>
      <c r="D173" s="102" t="str">
        <f t="shared" si="3"/>
        <v/>
      </c>
      <c r="E173" s="100" t="str">
        <f t="array" ref="E173">IF(ISBLANK(G173),"",INDEX('POR Config List'!K:K,MATCH(G173,'POR Config List'!D:D,0)))</f>
        <v/>
      </c>
      <c r="F173" s="100" t="str">
        <f t="array" ref="F173">IF(ISBLANK(G173),"",INDEX('POR Config List'!J:J,MATCH(G173,'POR Config List'!D:D,0)))</f>
        <v/>
      </c>
      <c r="G173" s="119"/>
      <c r="H173" s="104" t="str">
        <f t="array" ref="H173">IF(ISBLANK(G173),"",INDEX('MP SKUs'!G:G,MATCH(G173,'MP SKUs'!A:A,0)))</f>
        <v/>
      </c>
      <c r="I173" s="105" t="str">
        <f t="array" ref="I173">IF(ISBLANK(G173),"",INDEX('POR Config List'!O:O,MATCH(G173,'POR Config List'!D:D,0)))</f>
        <v/>
      </c>
      <c r="J173" s="104" t="str">
        <f t="array" ref="J173">IF(ISBLANK(G173),"",INDEX('POR Config List'!H:H,MATCH(G173,'POR Config List'!D:D,0)))</f>
        <v/>
      </c>
      <c r="K173" s="105" t="str">
        <f t="array" ref="K173">IF(ISBLANK(G173),"",INDEX('POR Config List'!G:G,MATCH(G173,'POR Config List'!D:D,0)))</f>
        <v/>
      </c>
      <c r="L173" s="105"/>
      <c r="M173" s="105" t="str">
        <f t="array" ref="M173">IF(ISBLANK(G173),"",INDEX('label approval artwork'!Q:Q,MATCH( G173,'label approval artwork'!F:F,0)))</f>
        <v/>
      </c>
      <c r="N173" s="169" t="str">
        <f t="shared" si="5"/>
        <v/>
      </c>
      <c r="O173" s="102" t="str">
        <f t="array" ref="O173">IF(ISBLANK(G173),"",INDEX('POR Config List'!C:C,MATCH(G173,'POR Config List'!D:D,0)))</f>
        <v/>
      </c>
      <c r="P173" s="105" t="str">
        <f t="shared" si="4"/>
        <v/>
      </c>
      <c r="Q173" s="105" t="str">
        <f t="array" ref="Q173">IF(ISBLANK(G173),"",INDEX('label approval artwork'!J:J,MATCH( G173,'label approval artwork'!F:F,0)))</f>
        <v/>
      </c>
      <c r="R173" s="105" t="str">
        <f t="array" ref="R173">IFERROR( IF(P173&lt;&gt;"EMA",INDEX('label approval artwork'!H:H,MATCH(G173,'label approval artwork'!F:F,0),"")),"")</f>
        <v/>
      </c>
      <c r="S173" s="105"/>
      <c r="T173" s="105" t="str">
        <f t="array" ref="T173">IF(ISBLANK(G173),"",INDEX('POR Config List'!I:I,MATCH(G173,'POR Config List'!D:D,0)))</f>
        <v/>
      </c>
      <c r="AA173" s="100" t="str">
        <f t="array" ref="AA173">IF(ISBLANK(G173),"",INDEX('POR Config List'!E:E,MATCH(G173,'POR Config List'!D:D,0)))</f>
        <v/>
      </c>
      <c r="AC173" s="105"/>
      <c r="AD173" s="100"/>
      <c r="AE173" s="100"/>
      <c r="AF173" s="100"/>
      <c r="AG173" s="100"/>
      <c r="AM173" s="102"/>
      <c r="AN173" s="102"/>
      <c r="AR173" s="119"/>
      <c r="AS173" s="103"/>
    </row>
    <row r="174">
      <c r="A174" s="168"/>
      <c r="B174" s="100" t="str">
        <f t="array" ref="B174">IFERROR( INDEX('POR Config List'!A:A,MATCH(G174,'POR Config List'!D:D,0)),"")</f>
        <v/>
      </c>
      <c r="C174" s="101" t="str">
        <f t="array" ref="C174">IFERROR(INDEX('label approval artwork'!E:E,MATCH(G174,'label approval artwork'!F:F,0),""),"")</f>
        <v/>
      </c>
      <c r="D174" s="102" t="str">
        <f t="shared" si="3"/>
        <v/>
      </c>
      <c r="E174" s="100" t="str">
        <f t="array" ref="E174">IF(ISBLANK(G174),"",INDEX('POR Config List'!K:K,MATCH(G174,'POR Config List'!D:D,0)))</f>
        <v/>
      </c>
      <c r="F174" s="100" t="str">
        <f t="array" ref="F174">IF(ISBLANK(G174),"",INDEX('POR Config List'!J:J,MATCH(G174,'POR Config List'!D:D,0)))</f>
        <v/>
      </c>
      <c r="G174" s="119"/>
      <c r="H174" s="104" t="str">
        <f t="array" ref="H174">IF(ISBLANK(G174),"",INDEX('MP SKUs'!G:G,MATCH(G174,'MP SKUs'!A:A,0)))</f>
        <v/>
      </c>
      <c r="I174" s="105" t="str">
        <f t="array" ref="I174">IF(ISBLANK(G174),"",INDEX('POR Config List'!O:O,MATCH(G174,'POR Config List'!D:D,0)))</f>
        <v/>
      </c>
      <c r="J174" s="104" t="str">
        <f t="array" ref="J174">IF(ISBLANK(G174),"",INDEX('POR Config List'!H:H,MATCH(G174,'POR Config List'!D:D,0)))</f>
        <v/>
      </c>
      <c r="K174" s="105" t="str">
        <f t="array" ref="K174">IF(ISBLANK(G174),"",INDEX('POR Config List'!G:G,MATCH(G174,'POR Config List'!D:D,0)))</f>
        <v/>
      </c>
      <c r="L174" s="105"/>
      <c r="M174" s="105" t="str">
        <f t="array" ref="M174">IF(ISBLANK(G174),"",INDEX('label approval artwork'!Q:Q,MATCH( G174,'label approval artwork'!F:F,0)))</f>
        <v/>
      </c>
      <c r="N174" s="169" t="str">
        <f t="shared" si="5"/>
        <v/>
      </c>
      <c r="O174" s="102" t="str">
        <f t="array" ref="O174">IF(ISBLANK(G174),"",INDEX('POR Config List'!C:C,MATCH(G174,'POR Config List'!D:D,0)))</f>
        <v/>
      </c>
      <c r="P174" s="105" t="str">
        <f t="shared" si="4"/>
        <v/>
      </c>
      <c r="Q174" s="105" t="str">
        <f t="array" ref="Q174">IF(ISBLANK(G174),"",INDEX('label approval artwork'!J:J,MATCH( G174,'label approval artwork'!F:F,0)))</f>
        <v/>
      </c>
      <c r="R174" s="105" t="str">
        <f t="array" ref="R174">IFERROR( IF(P174&lt;&gt;"EMA",INDEX('label approval artwork'!H:H,MATCH(G174,'label approval artwork'!F:F,0),"")),"")</f>
        <v/>
      </c>
      <c r="S174" s="105"/>
      <c r="T174" s="105" t="str">
        <f t="array" ref="T174">IF(ISBLANK(G174),"",INDEX('POR Config List'!I:I,MATCH(G174,'POR Config List'!D:D,0)))</f>
        <v/>
      </c>
      <c r="AA174" s="100" t="str">
        <f t="array" ref="AA174">IF(ISBLANK(G174),"",INDEX('POR Config List'!E:E,MATCH(G174,'POR Config List'!D:D,0)))</f>
        <v/>
      </c>
      <c r="AC174" s="105"/>
      <c r="AD174" s="100"/>
      <c r="AE174" s="100"/>
      <c r="AF174" s="100"/>
      <c r="AG174" s="100"/>
      <c r="AM174" s="102"/>
      <c r="AN174" s="102"/>
      <c r="AR174" s="119"/>
      <c r="AS174" s="103"/>
    </row>
    <row r="175">
      <c r="A175" s="168"/>
      <c r="B175" s="100" t="str">
        <f t="array" ref="B175">IFERROR( INDEX('POR Config List'!A:A,MATCH(G175,'POR Config List'!D:D,0)),"")</f>
        <v/>
      </c>
      <c r="C175" s="101" t="str">
        <f t="array" ref="C175">IFERROR(INDEX('label approval artwork'!E:E,MATCH(G175,'label approval artwork'!F:F,0),""),"")</f>
        <v/>
      </c>
      <c r="D175" s="102" t="str">
        <f t="shared" si="3"/>
        <v/>
      </c>
      <c r="E175" s="100" t="str">
        <f t="array" ref="E175">IF(ISBLANK(G175),"",INDEX('POR Config List'!K:K,MATCH(G175,'POR Config List'!D:D,0)))</f>
        <v/>
      </c>
      <c r="F175" s="100" t="str">
        <f t="array" ref="F175">IF(ISBLANK(G175),"",INDEX('POR Config List'!J:J,MATCH(G175,'POR Config List'!D:D,0)))</f>
        <v/>
      </c>
      <c r="G175" s="119"/>
      <c r="H175" s="104" t="str">
        <f t="array" ref="H175">IF(ISBLANK(G175),"",INDEX('MP SKUs'!G:G,MATCH(G175,'MP SKUs'!A:A,0)))</f>
        <v/>
      </c>
      <c r="I175" s="105" t="str">
        <f t="array" ref="I175">IF(ISBLANK(G175),"",INDEX('POR Config List'!O:O,MATCH(G175,'POR Config List'!D:D,0)))</f>
        <v/>
      </c>
      <c r="J175" s="104" t="str">
        <f t="array" ref="J175">IF(ISBLANK(G175),"",INDEX('POR Config List'!H:H,MATCH(G175,'POR Config List'!D:D,0)))</f>
        <v/>
      </c>
      <c r="K175" s="105" t="str">
        <f t="array" ref="K175">IF(ISBLANK(G175),"",INDEX('POR Config List'!G:G,MATCH(G175,'POR Config List'!D:D,0)))</f>
        <v/>
      </c>
      <c r="L175" s="105"/>
      <c r="M175" s="105" t="str">
        <f t="array" ref="M175">IF(ISBLANK(G175),"",INDEX('label approval artwork'!Q:Q,MATCH( G175,'label approval artwork'!F:F,0)))</f>
        <v/>
      </c>
      <c r="N175" s="169" t="str">
        <f t="shared" si="5"/>
        <v/>
      </c>
      <c r="O175" s="102" t="str">
        <f t="array" ref="O175">IF(ISBLANK(G175),"",INDEX('POR Config List'!C:C,MATCH(G175,'POR Config List'!D:D,0)))</f>
        <v/>
      </c>
      <c r="P175" s="105" t="str">
        <f t="shared" si="4"/>
        <v/>
      </c>
      <c r="Q175" s="105" t="str">
        <f t="array" ref="Q175">IF(ISBLANK(G175),"",INDEX('label approval artwork'!J:J,MATCH( G175,'label approval artwork'!F:F,0)))</f>
        <v/>
      </c>
      <c r="R175" s="105" t="str">
        <f t="array" ref="R175">IFERROR( IF(P175&lt;&gt;"EMA",INDEX('label approval artwork'!H:H,MATCH(G175,'label approval artwork'!F:F,0),"")),"")</f>
        <v/>
      </c>
      <c r="S175" s="105"/>
      <c r="T175" s="105" t="str">
        <f t="array" ref="T175">IF(ISBLANK(G175),"",INDEX('POR Config List'!I:I,MATCH(G175,'POR Config List'!D:D,0)))</f>
        <v/>
      </c>
      <c r="AA175" s="100" t="str">
        <f t="array" ref="AA175">IF(ISBLANK(G175),"",INDEX('POR Config List'!E:E,MATCH(G175,'POR Config List'!D:D,0)))</f>
        <v/>
      </c>
      <c r="AC175" s="105"/>
      <c r="AD175" s="100"/>
      <c r="AE175" s="100"/>
      <c r="AF175" s="100"/>
      <c r="AG175" s="100"/>
      <c r="AM175" s="102"/>
      <c r="AN175" s="102"/>
      <c r="AR175" s="119"/>
      <c r="AS175" s="103"/>
    </row>
    <row r="176">
      <c r="A176" s="168"/>
      <c r="B176" s="100" t="str">
        <f t="array" ref="B176">IFERROR( INDEX('POR Config List'!A:A,MATCH(G176,'POR Config List'!D:D,0)),"")</f>
        <v/>
      </c>
      <c r="C176" s="101" t="str">
        <f t="array" ref="C176">IFERROR(INDEX('label approval artwork'!E:E,MATCH(G176,'label approval artwork'!F:F,0),""),"")</f>
        <v/>
      </c>
      <c r="D176" s="102" t="str">
        <f t="shared" si="3"/>
        <v/>
      </c>
      <c r="E176" s="100" t="str">
        <f t="array" ref="E176">IF(ISBLANK(G176),"",INDEX('POR Config List'!K:K,MATCH(G176,'POR Config List'!D:D,0)))</f>
        <v/>
      </c>
      <c r="F176" s="100" t="str">
        <f t="array" ref="F176">IF(ISBLANK(G176),"",INDEX('POR Config List'!J:J,MATCH(G176,'POR Config List'!D:D,0)))</f>
        <v/>
      </c>
      <c r="G176" s="119"/>
      <c r="H176" s="104" t="str">
        <f t="array" ref="H176">IF(ISBLANK(G176),"",INDEX('MP SKUs'!G:G,MATCH(G176,'MP SKUs'!A:A,0)))</f>
        <v/>
      </c>
      <c r="I176" s="105" t="str">
        <f t="array" ref="I176">IF(ISBLANK(G176),"",INDEX('POR Config List'!O:O,MATCH(G176,'POR Config List'!D:D,0)))</f>
        <v/>
      </c>
      <c r="J176" s="104" t="str">
        <f t="array" ref="J176">IF(ISBLANK(G176),"",INDEX('POR Config List'!H:H,MATCH(G176,'POR Config List'!D:D,0)))</f>
        <v/>
      </c>
      <c r="K176" s="105" t="str">
        <f t="array" ref="K176">IF(ISBLANK(G176),"",INDEX('POR Config List'!G:G,MATCH(G176,'POR Config List'!D:D,0)))</f>
        <v/>
      </c>
      <c r="L176" s="105"/>
      <c r="M176" s="105" t="str">
        <f t="array" ref="M176">IF(ISBLANK(G176),"",INDEX('label approval artwork'!Q:Q,MATCH( G176,'label approval artwork'!F:F,0)))</f>
        <v/>
      </c>
      <c r="N176" s="169" t="str">
        <f t="shared" si="5"/>
        <v/>
      </c>
      <c r="O176" s="102" t="str">
        <f t="array" ref="O176">IF(ISBLANK(G176),"",INDEX('POR Config List'!C:C,MATCH(G176,'POR Config List'!D:D,0)))</f>
        <v/>
      </c>
      <c r="P176" s="105" t="str">
        <f t="shared" si="4"/>
        <v/>
      </c>
      <c r="Q176" s="105" t="str">
        <f t="array" ref="Q176">IF(ISBLANK(G176),"",INDEX('label approval artwork'!J:J,MATCH( G176,'label approval artwork'!F:F,0)))</f>
        <v/>
      </c>
      <c r="R176" s="105" t="str">
        <f t="array" ref="R176">IFERROR( IF(P176&lt;&gt;"EMA",INDEX('label approval artwork'!H:H,MATCH(G176,'label approval artwork'!F:F,0),"")),"")</f>
        <v/>
      </c>
      <c r="S176" s="105"/>
      <c r="T176" s="105" t="str">
        <f t="array" ref="T176">IF(ISBLANK(G176),"",INDEX('POR Config List'!I:I,MATCH(G176,'POR Config List'!D:D,0)))</f>
        <v/>
      </c>
      <c r="AA176" s="100" t="str">
        <f t="array" ref="AA176">IF(ISBLANK(G176),"",INDEX('POR Config List'!E:E,MATCH(G176,'POR Config List'!D:D,0)))</f>
        <v/>
      </c>
      <c r="AC176" s="105"/>
      <c r="AD176" s="100"/>
      <c r="AE176" s="100"/>
      <c r="AF176" s="100"/>
      <c r="AG176" s="100"/>
      <c r="AM176" s="102"/>
      <c r="AN176" s="102"/>
      <c r="AR176" s="119"/>
      <c r="AS176" s="103"/>
    </row>
    <row r="177">
      <c r="A177" s="168"/>
      <c r="B177" s="100" t="str">
        <f t="array" ref="B177">IFERROR( INDEX('POR Config List'!A:A,MATCH(G177,'POR Config List'!D:D,0)),"")</f>
        <v/>
      </c>
      <c r="C177" s="101" t="str">
        <f t="array" ref="C177">IFERROR(INDEX('label approval artwork'!E:E,MATCH(G177,'label approval artwork'!F:F,0),""),"")</f>
        <v/>
      </c>
      <c r="D177" s="102" t="str">
        <f t="shared" si="3"/>
        <v/>
      </c>
      <c r="E177" s="100" t="str">
        <f t="array" ref="E177">IF(ISBLANK(G177),"",INDEX('POR Config List'!K:K,MATCH(G177,'POR Config List'!D:D,0)))</f>
        <v/>
      </c>
      <c r="F177" s="100" t="str">
        <f t="array" ref="F177">IF(ISBLANK(G177),"",INDEX('POR Config List'!J:J,MATCH(G177,'POR Config List'!D:D,0)))</f>
        <v/>
      </c>
      <c r="G177" s="119"/>
      <c r="H177" s="104" t="str">
        <f t="array" ref="H177">IF(ISBLANK(G177),"",INDEX('MP SKUs'!G:G,MATCH(G177,'MP SKUs'!A:A,0)))</f>
        <v/>
      </c>
      <c r="I177" s="105" t="str">
        <f t="array" ref="I177">IF(ISBLANK(G177),"",INDEX('POR Config List'!O:O,MATCH(G177,'POR Config List'!D:D,0)))</f>
        <v/>
      </c>
      <c r="J177" s="104" t="str">
        <f t="array" ref="J177">IF(ISBLANK(G177),"",INDEX('POR Config List'!H:H,MATCH(G177,'POR Config List'!D:D,0)))</f>
        <v/>
      </c>
      <c r="K177" s="105" t="str">
        <f t="array" ref="K177">IF(ISBLANK(G177),"",INDEX('POR Config List'!G:G,MATCH(G177,'POR Config List'!D:D,0)))</f>
        <v/>
      </c>
      <c r="L177" s="105"/>
      <c r="M177" s="105" t="str">
        <f t="array" ref="M177">IF(ISBLANK(G177),"",INDEX('label approval artwork'!Q:Q,MATCH( G177,'label approval artwork'!F:F,0)))</f>
        <v/>
      </c>
      <c r="N177" s="169" t="str">
        <f t="shared" si="5"/>
        <v/>
      </c>
      <c r="O177" s="102" t="str">
        <f t="array" ref="O177">IF(ISBLANK(G177),"",INDEX('POR Config List'!C:C,MATCH(G177,'POR Config List'!D:D,0)))</f>
        <v/>
      </c>
      <c r="P177" s="105" t="str">
        <f t="shared" si="4"/>
        <v/>
      </c>
      <c r="Q177" s="105" t="str">
        <f t="array" ref="Q177">IF(ISBLANK(G177),"",INDEX('label approval artwork'!J:J,MATCH( G177,'label approval artwork'!F:F,0)))</f>
        <v/>
      </c>
      <c r="R177" s="105" t="str">
        <f t="array" ref="R177">IFERROR( IF(P177&lt;&gt;"EMA",INDEX('label approval artwork'!H:H,MATCH(G177,'label approval artwork'!F:F,0),"")),"")</f>
        <v/>
      </c>
      <c r="S177" s="105"/>
      <c r="T177" s="105" t="str">
        <f t="array" ref="T177">IF(ISBLANK(G177),"",INDEX('POR Config List'!I:I,MATCH(G177,'POR Config List'!D:D,0)))</f>
        <v/>
      </c>
      <c r="AA177" s="100" t="str">
        <f t="array" ref="AA177">IF(ISBLANK(G177),"",INDEX('POR Config List'!E:E,MATCH(G177,'POR Config List'!D:D,0)))</f>
        <v/>
      </c>
      <c r="AC177" s="105"/>
      <c r="AD177" s="100"/>
      <c r="AE177" s="100"/>
      <c r="AF177" s="100"/>
      <c r="AG177" s="100"/>
      <c r="AM177" s="102"/>
      <c r="AN177" s="102"/>
      <c r="AR177" s="119"/>
      <c r="AS177" s="103"/>
    </row>
    <row r="178">
      <c r="A178" s="168"/>
      <c r="B178" s="100" t="str">
        <f t="array" ref="B178">IFERROR( INDEX('POR Config List'!A:A,MATCH(G178,'POR Config List'!D:D,0)),"")</f>
        <v/>
      </c>
      <c r="C178" s="101" t="str">
        <f t="array" ref="C178">IFERROR(INDEX('label approval artwork'!E:E,MATCH(G178,'label approval artwork'!F:F,0),""),"")</f>
        <v/>
      </c>
      <c r="D178" s="102" t="str">
        <f t="shared" si="3"/>
        <v/>
      </c>
      <c r="E178" s="100" t="str">
        <f t="array" ref="E178">IF(ISBLANK(G178),"",INDEX('POR Config List'!K:K,MATCH(G178,'POR Config List'!D:D,0)))</f>
        <v/>
      </c>
      <c r="F178" s="100" t="str">
        <f t="array" ref="F178">IF(ISBLANK(G178),"",INDEX('POR Config List'!J:J,MATCH(G178,'POR Config List'!D:D,0)))</f>
        <v/>
      </c>
      <c r="G178" s="119"/>
      <c r="H178" s="104" t="str">
        <f t="array" ref="H178">IF(ISBLANK(G178),"",INDEX('MP SKUs'!G:G,MATCH(G178,'MP SKUs'!A:A,0)))</f>
        <v/>
      </c>
      <c r="I178" s="105" t="str">
        <f t="array" ref="I178">IF(ISBLANK(G178),"",INDEX('POR Config List'!O:O,MATCH(G178,'POR Config List'!D:D,0)))</f>
        <v/>
      </c>
      <c r="J178" s="104" t="str">
        <f t="array" ref="J178">IF(ISBLANK(G178),"",INDEX('POR Config List'!H:H,MATCH(G178,'POR Config List'!D:D,0)))</f>
        <v/>
      </c>
      <c r="K178" s="105" t="str">
        <f t="array" ref="K178">IF(ISBLANK(G178),"",INDEX('POR Config List'!G:G,MATCH(G178,'POR Config List'!D:D,0)))</f>
        <v/>
      </c>
      <c r="L178" s="105"/>
      <c r="M178" s="105" t="str">
        <f t="array" ref="M178">IF(ISBLANK(G178),"",INDEX('label approval artwork'!Q:Q,MATCH( G178,'label approval artwork'!F:F,0)))</f>
        <v/>
      </c>
      <c r="N178" s="169" t="str">
        <f t="shared" si="5"/>
        <v/>
      </c>
      <c r="O178" s="102" t="str">
        <f t="array" ref="O178">IF(ISBLANK(G178),"",INDEX('POR Config List'!C:C,MATCH(G178,'POR Config List'!D:D,0)))</f>
        <v/>
      </c>
      <c r="P178" s="105" t="str">
        <f t="shared" si="4"/>
        <v/>
      </c>
      <c r="Q178" s="105" t="str">
        <f t="array" ref="Q178">IF(ISBLANK(G178),"",INDEX('label approval artwork'!J:J,MATCH( G178,'label approval artwork'!F:F,0)))</f>
        <v/>
      </c>
      <c r="R178" s="105" t="str">
        <f t="array" ref="R178">IFERROR( IF(P178&lt;&gt;"EMA",INDEX('label approval artwork'!H:H,MATCH(G178,'label approval artwork'!F:F,0),"")),"")</f>
        <v/>
      </c>
      <c r="S178" s="105"/>
      <c r="T178" s="105" t="str">
        <f t="array" ref="T178">IF(ISBLANK(G178),"",INDEX('POR Config List'!I:I,MATCH(G178,'POR Config List'!D:D,0)))</f>
        <v/>
      </c>
      <c r="AA178" s="100" t="str">
        <f t="array" ref="AA178">IF(ISBLANK(G178),"",INDEX('POR Config List'!E:E,MATCH(G178,'POR Config List'!D:D,0)))</f>
        <v/>
      </c>
      <c r="AC178" s="105"/>
      <c r="AD178" s="100"/>
      <c r="AE178" s="100"/>
      <c r="AF178" s="100"/>
      <c r="AG178" s="100"/>
      <c r="AM178" s="102"/>
      <c r="AN178" s="102"/>
      <c r="AR178" s="119"/>
      <c r="AS178" s="103"/>
    </row>
    <row r="179">
      <c r="A179" s="168"/>
      <c r="B179" s="100" t="str">
        <f t="array" ref="B179">IFERROR( INDEX('POR Config List'!A:A,MATCH(G179,'POR Config List'!D:D,0)),"")</f>
        <v/>
      </c>
      <c r="C179" s="101" t="str">
        <f t="array" ref="C179">IFERROR(INDEX('label approval artwork'!E:E,MATCH(G179,'label approval artwork'!F:F,0),""),"")</f>
        <v/>
      </c>
      <c r="D179" s="102" t="str">
        <f t="shared" si="3"/>
        <v/>
      </c>
      <c r="E179" s="100" t="str">
        <f t="array" ref="E179">IF(ISBLANK(G179),"",INDEX('POR Config List'!K:K,MATCH(G179,'POR Config List'!D:D,0)))</f>
        <v/>
      </c>
      <c r="F179" s="100" t="str">
        <f t="array" ref="F179">IF(ISBLANK(G179),"",INDEX('POR Config List'!J:J,MATCH(G179,'POR Config List'!D:D,0)))</f>
        <v/>
      </c>
      <c r="G179" s="119"/>
      <c r="H179" s="104" t="str">
        <f t="array" ref="H179">IF(ISBLANK(G179),"",INDEX('MP SKUs'!G:G,MATCH(G179,'MP SKUs'!A:A,0)))</f>
        <v/>
      </c>
      <c r="I179" s="105" t="str">
        <f t="array" ref="I179">IF(ISBLANK(G179),"",INDEX('POR Config List'!O:O,MATCH(G179,'POR Config List'!D:D,0)))</f>
        <v/>
      </c>
      <c r="J179" s="104" t="str">
        <f t="array" ref="J179">IF(ISBLANK(G179),"",INDEX('POR Config List'!H:H,MATCH(G179,'POR Config List'!D:D,0)))</f>
        <v/>
      </c>
      <c r="K179" s="105" t="str">
        <f t="array" ref="K179">IF(ISBLANK(G179),"",INDEX('POR Config List'!G:G,MATCH(G179,'POR Config List'!D:D,0)))</f>
        <v/>
      </c>
      <c r="L179" s="105"/>
      <c r="M179" s="105" t="str">
        <f t="array" ref="M179">IF(ISBLANK(G179),"",INDEX('label approval artwork'!Q:Q,MATCH( G179,'label approval artwork'!F:F,0)))</f>
        <v/>
      </c>
      <c r="N179" s="169" t="str">
        <f t="shared" si="5"/>
        <v/>
      </c>
      <c r="O179" s="102" t="str">
        <f t="array" ref="O179">IF(ISBLANK(G179),"",INDEX('POR Config List'!C:C,MATCH(G179,'POR Config List'!D:D,0)))</f>
        <v/>
      </c>
      <c r="P179" s="105" t="str">
        <f t="shared" si="4"/>
        <v/>
      </c>
      <c r="Q179" s="105" t="str">
        <f t="array" ref="Q179">IF(ISBLANK(G179),"",INDEX('label approval artwork'!J:J,MATCH( G179,'label approval artwork'!F:F,0)))</f>
        <v/>
      </c>
      <c r="R179" s="105" t="str">
        <f t="array" ref="R179">IFERROR( IF(P179&lt;&gt;"EMA",INDEX('label approval artwork'!H:H,MATCH(G179,'label approval artwork'!F:F,0),"")),"")</f>
        <v/>
      </c>
      <c r="S179" s="105"/>
      <c r="T179" s="105" t="str">
        <f t="array" ref="T179">IF(ISBLANK(G179),"",INDEX('POR Config List'!I:I,MATCH(G179,'POR Config List'!D:D,0)))</f>
        <v/>
      </c>
      <c r="AA179" s="100" t="str">
        <f t="array" ref="AA179">IF(ISBLANK(G179),"",INDEX('POR Config List'!E:E,MATCH(G179,'POR Config List'!D:D,0)))</f>
        <v/>
      </c>
      <c r="AC179" s="105"/>
      <c r="AD179" s="100"/>
      <c r="AE179" s="100"/>
      <c r="AF179" s="100"/>
      <c r="AG179" s="100"/>
      <c r="AM179" s="102"/>
      <c r="AN179" s="102"/>
      <c r="AR179" s="119"/>
      <c r="AS179" s="103"/>
    </row>
    <row r="180">
      <c r="A180" s="168"/>
      <c r="B180" s="100" t="str">
        <f t="array" ref="B180">IFERROR( INDEX('POR Config List'!A:A,MATCH(G180,'POR Config List'!D:D,0)),"")</f>
        <v/>
      </c>
      <c r="C180" s="101" t="str">
        <f t="array" ref="C180">IFERROR(INDEX('label approval artwork'!E:E,MATCH(G180,'label approval artwork'!F:F,0),""),"")</f>
        <v/>
      </c>
      <c r="D180" s="102" t="str">
        <f t="shared" si="3"/>
        <v/>
      </c>
      <c r="E180" s="100" t="str">
        <f t="array" ref="E180">IF(ISBLANK(G180),"",INDEX('POR Config List'!K:K,MATCH(G180,'POR Config List'!D:D,0)))</f>
        <v/>
      </c>
      <c r="F180" s="100" t="str">
        <f t="array" ref="F180">IF(ISBLANK(G180),"",INDEX('POR Config List'!J:J,MATCH(G180,'POR Config List'!D:D,0)))</f>
        <v/>
      </c>
      <c r="G180" s="119"/>
      <c r="H180" s="104" t="str">
        <f t="array" ref="H180">IF(ISBLANK(G180),"",INDEX('MP SKUs'!G:G,MATCH(G180,'MP SKUs'!A:A,0)))</f>
        <v/>
      </c>
      <c r="I180" s="105" t="str">
        <f t="array" ref="I180">IF(ISBLANK(G180),"",INDEX('POR Config List'!O:O,MATCH(G180,'POR Config List'!D:D,0)))</f>
        <v/>
      </c>
      <c r="J180" s="104" t="str">
        <f t="array" ref="J180">IF(ISBLANK(G180),"",INDEX('POR Config List'!H:H,MATCH(G180,'POR Config List'!D:D,0)))</f>
        <v/>
      </c>
      <c r="K180" s="105" t="str">
        <f t="array" ref="K180">IF(ISBLANK(G180),"",INDEX('POR Config List'!G:G,MATCH(G180,'POR Config List'!D:D,0)))</f>
        <v/>
      </c>
      <c r="L180" s="105"/>
      <c r="M180" s="105" t="str">
        <f t="array" ref="M180">IF(ISBLANK(G180),"",INDEX('label approval artwork'!Q:Q,MATCH( G180,'label approval artwork'!F:F,0)))</f>
        <v/>
      </c>
      <c r="N180" s="169" t="str">
        <f t="shared" si="5"/>
        <v/>
      </c>
      <c r="O180" s="102" t="str">
        <f t="array" ref="O180">IF(ISBLANK(G180),"",INDEX('POR Config List'!C:C,MATCH(G180,'POR Config List'!D:D,0)))</f>
        <v/>
      </c>
      <c r="P180" s="105" t="str">
        <f t="shared" si="4"/>
        <v/>
      </c>
      <c r="Q180" s="105" t="str">
        <f t="array" ref="Q180">IF(ISBLANK(G180),"",INDEX('label approval artwork'!J:J,MATCH( G180,'label approval artwork'!F:F,0)))</f>
        <v/>
      </c>
      <c r="R180" s="105" t="str">
        <f t="array" ref="R180">IFERROR( IF(P180&lt;&gt;"EMA",INDEX('label approval artwork'!H:H,MATCH(G180,'label approval artwork'!F:F,0),"")),"")</f>
        <v/>
      </c>
      <c r="S180" s="105"/>
      <c r="T180" s="105" t="str">
        <f t="array" ref="T180">IF(ISBLANK(G180),"",INDEX('POR Config List'!I:I,MATCH(G180,'POR Config List'!D:D,0)))</f>
        <v/>
      </c>
      <c r="AA180" s="100" t="str">
        <f t="array" ref="AA180">IF(ISBLANK(G180),"",INDEX('POR Config List'!E:E,MATCH(G180,'POR Config List'!D:D,0)))</f>
        <v/>
      </c>
      <c r="AC180" s="105"/>
      <c r="AD180" s="100"/>
      <c r="AE180" s="100"/>
      <c r="AF180" s="100"/>
      <c r="AG180" s="100"/>
      <c r="AM180" s="102"/>
      <c r="AN180" s="102"/>
      <c r="AR180" s="119"/>
      <c r="AS180" s="103"/>
    </row>
    <row r="181">
      <c r="A181" s="168"/>
      <c r="B181" s="100" t="str">
        <f t="array" ref="B181">IFERROR( INDEX('POR Config List'!A:A,MATCH(G181,'POR Config List'!D:D,0)),"")</f>
        <v/>
      </c>
      <c r="C181" s="101" t="str">
        <f t="array" ref="C181">IFERROR(INDEX('label approval artwork'!E:E,MATCH(G181,'label approval artwork'!F:F,0),""),"")</f>
        <v/>
      </c>
      <c r="D181" s="102" t="str">
        <f t="shared" si="3"/>
        <v/>
      </c>
      <c r="E181" s="100" t="str">
        <f t="array" ref="E181">IF(ISBLANK(G181),"",INDEX('POR Config List'!K:K,MATCH(G181,'POR Config List'!D:D,0)))</f>
        <v/>
      </c>
      <c r="F181" s="100" t="str">
        <f t="array" ref="F181">IF(ISBLANK(G181),"",INDEX('POR Config List'!J:J,MATCH(G181,'POR Config List'!D:D,0)))</f>
        <v/>
      </c>
      <c r="G181" s="119"/>
      <c r="H181" s="104" t="str">
        <f t="array" ref="H181">IF(ISBLANK(G181),"",INDEX('MP SKUs'!G:G,MATCH(G181,'MP SKUs'!A:A,0)))</f>
        <v/>
      </c>
      <c r="I181" s="105" t="str">
        <f t="array" ref="I181">IF(ISBLANK(G181),"",INDEX('POR Config List'!O:O,MATCH(G181,'POR Config List'!D:D,0)))</f>
        <v/>
      </c>
      <c r="J181" s="104" t="str">
        <f t="array" ref="J181">IF(ISBLANK(G181),"",INDEX('POR Config List'!H:H,MATCH(G181,'POR Config List'!D:D,0)))</f>
        <v/>
      </c>
      <c r="K181" s="105" t="str">
        <f t="array" ref="K181">IF(ISBLANK(G181),"",INDEX('POR Config List'!G:G,MATCH(G181,'POR Config List'!D:D,0)))</f>
        <v/>
      </c>
      <c r="L181" s="105"/>
      <c r="M181" s="105" t="str">
        <f t="array" ref="M181">IF(ISBLANK(G181),"",INDEX('label approval artwork'!Q:Q,MATCH( G181,'label approval artwork'!F:F,0)))</f>
        <v/>
      </c>
      <c r="N181" s="169" t="str">
        <f t="shared" si="5"/>
        <v/>
      </c>
      <c r="O181" s="102" t="str">
        <f t="array" ref="O181">IF(ISBLANK(G181),"",INDEX('POR Config List'!C:C,MATCH(G181,'POR Config List'!D:D,0)))</f>
        <v/>
      </c>
      <c r="P181" s="105" t="str">
        <f t="shared" si="4"/>
        <v/>
      </c>
      <c r="Q181" s="105" t="str">
        <f t="array" ref="Q181">IF(ISBLANK(G181),"",INDEX('label approval artwork'!J:J,MATCH( G181,'label approval artwork'!F:F,0)))</f>
        <v/>
      </c>
      <c r="R181" s="105" t="str">
        <f t="array" ref="R181">IFERROR( IF(P181&lt;&gt;"EMA",INDEX('label approval artwork'!H:H,MATCH(G181,'label approval artwork'!F:F,0),"")),"")</f>
        <v/>
      </c>
      <c r="S181" s="105"/>
      <c r="T181" s="105" t="str">
        <f t="array" ref="T181">IF(ISBLANK(G181),"",INDEX('POR Config List'!I:I,MATCH(G181,'POR Config List'!D:D,0)))</f>
        <v/>
      </c>
      <c r="AA181" s="100" t="str">
        <f t="array" ref="AA181">IF(ISBLANK(G181),"",INDEX('POR Config List'!E:E,MATCH(G181,'POR Config List'!D:D,0)))</f>
        <v/>
      </c>
      <c r="AC181" s="105"/>
      <c r="AD181" s="100"/>
      <c r="AE181" s="100"/>
      <c r="AF181" s="100"/>
      <c r="AG181" s="100"/>
      <c r="AM181" s="102"/>
      <c r="AN181" s="102"/>
      <c r="AR181" s="119"/>
      <c r="AS181" s="103"/>
    </row>
    <row r="182">
      <c r="A182" s="168"/>
      <c r="B182" s="100" t="str">
        <f t="array" ref="B182">IFERROR( INDEX('POR Config List'!A:A,MATCH(G182,'POR Config List'!D:D,0)),"")</f>
        <v/>
      </c>
      <c r="C182" s="101" t="str">
        <f t="array" ref="C182">IFERROR(INDEX('label approval artwork'!E:E,MATCH(G182,'label approval artwork'!F:F,0),""),"")</f>
        <v/>
      </c>
      <c r="D182" s="102" t="str">
        <f t="shared" si="3"/>
        <v/>
      </c>
      <c r="E182" s="100" t="str">
        <f t="array" ref="E182">IF(ISBLANK(G182),"",INDEX('POR Config List'!K:K,MATCH(G182,'POR Config List'!D:D,0)))</f>
        <v/>
      </c>
      <c r="F182" s="100" t="str">
        <f t="array" ref="F182">IF(ISBLANK(G182),"",INDEX('POR Config List'!J:J,MATCH(G182,'POR Config List'!D:D,0)))</f>
        <v/>
      </c>
      <c r="G182" s="119"/>
      <c r="H182" s="104" t="str">
        <f t="array" ref="H182">IF(ISBLANK(G182),"",INDEX('MP SKUs'!G:G,MATCH(G182,'MP SKUs'!A:A,0)))</f>
        <v/>
      </c>
      <c r="I182" s="105" t="str">
        <f t="array" ref="I182">IF(ISBLANK(G182),"",INDEX('POR Config List'!O:O,MATCH(G182,'POR Config List'!D:D,0)))</f>
        <v/>
      </c>
      <c r="J182" s="104" t="str">
        <f t="array" ref="J182">IF(ISBLANK(G182),"",INDEX('POR Config List'!H:H,MATCH(G182,'POR Config List'!D:D,0)))</f>
        <v/>
      </c>
      <c r="K182" s="105" t="str">
        <f t="array" ref="K182">IF(ISBLANK(G182),"",INDEX('POR Config List'!G:G,MATCH(G182,'POR Config List'!D:D,0)))</f>
        <v/>
      </c>
      <c r="L182" s="105"/>
      <c r="M182" s="105" t="str">
        <f t="array" ref="M182">IF(ISBLANK(G182),"",INDEX('label approval artwork'!Q:Q,MATCH( G182,'label approval artwork'!F:F,0)))</f>
        <v/>
      </c>
      <c r="N182" s="169" t="str">
        <f t="shared" si="5"/>
        <v/>
      </c>
      <c r="O182" s="102" t="str">
        <f t="array" ref="O182">IF(ISBLANK(G182),"",INDEX('POR Config List'!C:C,MATCH(G182,'POR Config List'!D:D,0)))</f>
        <v/>
      </c>
      <c r="P182" s="105" t="str">
        <f t="shared" si="4"/>
        <v/>
      </c>
      <c r="Q182" s="105" t="str">
        <f t="array" ref="Q182">IF(ISBLANK(G182),"",INDEX('label approval artwork'!J:J,MATCH( G182,'label approval artwork'!F:F,0)))</f>
        <v/>
      </c>
      <c r="R182" s="105" t="str">
        <f t="array" ref="R182">IFERROR( IF(P182&lt;&gt;"EMA",INDEX('label approval artwork'!H:H,MATCH(G182,'label approval artwork'!F:F,0),"")),"")</f>
        <v/>
      </c>
      <c r="S182" s="105"/>
      <c r="T182" s="105" t="str">
        <f t="array" ref="T182">IF(ISBLANK(G182),"",INDEX('POR Config List'!I:I,MATCH(G182,'POR Config List'!D:D,0)))</f>
        <v/>
      </c>
      <c r="AA182" s="100" t="str">
        <f t="array" ref="AA182">IF(ISBLANK(G182),"",INDEX('POR Config List'!E:E,MATCH(G182,'POR Config List'!D:D,0)))</f>
        <v/>
      </c>
      <c r="AC182" s="105"/>
      <c r="AD182" s="100"/>
      <c r="AE182" s="100"/>
      <c r="AF182" s="100"/>
      <c r="AG182" s="100"/>
      <c r="AM182" s="102"/>
      <c r="AN182" s="102"/>
      <c r="AR182" s="119"/>
      <c r="AS182" s="103"/>
    </row>
    <row r="183">
      <c r="A183" s="168"/>
      <c r="B183" s="100" t="str">
        <f t="array" ref="B183">IFERROR( INDEX('POR Config List'!A:A,MATCH(G183,'POR Config List'!D:D,0)),"")</f>
        <v/>
      </c>
      <c r="C183" s="101" t="str">
        <f t="array" ref="C183">IFERROR(INDEX('label approval artwork'!E:E,MATCH(G183,'label approval artwork'!F:F,0),""),"")</f>
        <v/>
      </c>
      <c r="D183" s="102" t="str">
        <f t="shared" si="3"/>
        <v/>
      </c>
      <c r="E183" s="100" t="str">
        <f t="array" ref="E183">IF(ISBLANK(G183),"",INDEX('POR Config List'!K:K,MATCH(G183,'POR Config List'!D:D,0)))</f>
        <v/>
      </c>
      <c r="F183" s="100" t="str">
        <f t="array" ref="F183">IF(ISBLANK(G183),"",INDEX('POR Config List'!J:J,MATCH(G183,'POR Config List'!D:D,0)))</f>
        <v/>
      </c>
      <c r="G183" s="119"/>
      <c r="H183" s="104" t="str">
        <f t="array" ref="H183">IF(ISBLANK(G183),"",INDEX('MP SKUs'!G:G,MATCH(G183,'MP SKUs'!A:A,0)))</f>
        <v/>
      </c>
      <c r="I183" s="105" t="str">
        <f t="array" ref="I183">IF(ISBLANK(G183),"",INDEX('POR Config List'!O:O,MATCH(G183,'POR Config List'!D:D,0)))</f>
        <v/>
      </c>
      <c r="J183" s="104" t="str">
        <f t="array" ref="J183">IF(ISBLANK(G183),"",INDEX('POR Config List'!H:H,MATCH(G183,'POR Config List'!D:D,0)))</f>
        <v/>
      </c>
      <c r="K183" s="105" t="str">
        <f t="array" ref="K183">IF(ISBLANK(G183),"",INDEX('POR Config List'!G:G,MATCH(G183,'POR Config List'!D:D,0)))</f>
        <v/>
      </c>
      <c r="L183" s="105"/>
      <c r="M183" s="105" t="str">
        <f t="array" ref="M183">IF(ISBLANK(G183),"",INDEX('label approval artwork'!Q:Q,MATCH( G183,'label approval artwork'!F:F,0)))</f>
        <v/>
      </c>
      <c r="N183" s="169" t="str">
        <f t="shared" si="5"/>
        <v/>
      </c>
      <c r="O183" s="102" t="str">
        <f t="array" ref="O183">IF(ISBLANK(G183),"",INDEX('POR Config List'!C:C,MATCH(G183,'POR Config List'!D:D,0)))</f>
        <v/>
      </c>
      <c r="P183" s="105" t="str">
        <f t="shared" si="4"/>
        <v/>
      </c>
      <c r="Q183" s="105" t="str">
        <f t="array" ref="Q183">IF(ISBLANK(G183),"",INDEX('label approval artwork'!J:J,MATCH( G183,'label approval artwork'!F:F,0)))</f>
        <v/>
      </c>
      <c r="R183" s="105" t="str">
        <f t="array" ref="R183">IFERROR( IF(P183&lt;&gt;"EMA",INDEX('label approval artwork'!H:H,MATCH(G183,'label approval artwork'!F:F,0),"")),"")</f>
        <v/>
      </c>
      <c r="S183" s="105"/>
      <c r="T183" s="105" t="str">
        <f t="array" ref="T183">IF(ISBLANK(G183),"",INDEX('POR Config List'!I:I,MATCH(G183,'POR Config List'!D:D,0)))</f>
        <v/>
      </c>
      <c r="AA183" s="100" t="str">
        <f t="array" ref="AA183">IF(ISBLANK(G183),"",INDEX('POR Config List'!E:E,MATCH(G183,'POR Config List'!D:D,0)))</f>
        <v/>
      </c>
      <c r="AC183" s="105"/>
      <c r="AD183" s="100"/>
      <c r="AE183" s="100"/>
      <c r="AF183" s="100"/>
      <c r="AG183" s="100"/>
      <c r="AM183" s="102"/>
      <c r="AN183" s="102"/>
      <c r="AR183" s="119"/>
      <c r="AS183" s="103"/>
    </row>
    <row r="184">
      <c r="A184" s="168"/>
      <c r="B184" s="100" t="str">
        <f t="array" ref="B184">IFERROR( INDEX('POR Config List'!A:A,MATCH(G184,'POR Config List'!D:D,0)),"")</f>
        <v/>
      </c>
      <c r="C184" s="101" t="str">
        <f t="array" ref="C184">IFERROR(INDEX('label approval artwork'!E:E,MATCH(G184,'label approval artwork'!F:F,0),""),"")</f>
        <v/>
      </c>
      <c r="D184" s="102" t="str">
        <f t="shared" si="3"/>
        <v/>
      </c>
      <c r="E184" s="100" t="str">
        <f t="array" ref="E184">IF(ISBLANK(G184),"",INDEX('POR Config List'!K:K,MATCH(G184,'POR Config List'!D:D,0)))</f>
        <v/>
      </c>
      <c r="F184" s="100" t="str">
        <f t="array" ref="F184">IF(ISBLANK(G184),"",INDEX('POR Config List'!J:J,MATCH(G184,'POR Config List'!D:D,0)))</f>
        <v/>
      </c>
      <c r="G184" s="119"/>
      <c r="H184" s="104" t="str">
        <f t="array" ref="H184">IF(ISBLANK(G184),"",INDEX('MP SKUs'!G:G,MATCH(G184,'MP SKUs'!A:A,0)))</f>
        <v/>
      </c>
      <c r="I184" s="105" t="str">
        <f t="array" ref="I184">IF(ISBLANK(G184),"",INDEX('POR Config List'!O:O,MATCH(G184,'POR Config List'!D:D,0)))</f>
        <v/>
      </c>
      <c r="J184" s="104" t="str">
        <f t="array" ref="J184">IF(ISBLANK(G184),"",INDEX('POR Config List'!H:H,MATCH(G184,'POR Config List'!D:D,0)))</f>
        <v/>
      </c>
      <c r="K184" s="105" t="str">
        <f t="array" ref="K184">IF(ISBLANK(G184),"",INDEX('POR Config List'!G:G,MATCH(G184,'POR Config List'!D:D,0)))</f>
        <v/>
      </c>
      <c r="L184" s="105"/>
      <c r="M184" s="105" t="str">
        <f t="array" ref="M184">IF(ISBLANK(G184),"",INDEX('label approval artwork'!Q:Q,MATCH( G184,'label approval artwork'!F:F,0)))</f>
        <v/>
      </c>
      <c r="N184" s="169" t="str">
        <f t="shared" si="5"/>
        <v/>
      </c>
      <c r="O184" s="102" t="str">
        <f t="array" ref="O184">IF(ISBLANK(G184),"",INDEX('POR Config List'!C:C,MATCH(G184,'POR Config List'!D:D,0)))</f>
        <v/>
      </c>
      <c r="P184" s="105" t="str">
        <f t="shared" si="4"/>
        <v/>
      </c>
      <c r="Q184" s="105" t="str">
        <f t="array" ref="Q184">IF(ISBLANK(G184),"",INDEX('label approval artwork'!J:J,MATCH( G184,'label approval artwork'!F:F,0)))</f>
        <v/>
      </c>
      <c r="R184" s="105" t="str">
        <f t="array" ref="R184">IFERROR( IF(P184&lt;&gt;"EMA",INDEX('label approval artwork'!H:H,MATCH(G184,'label approval artwork'!F:F,0),"")),"")</f>
        <v/>
      </c>
      <c r="S184" s="105"/>
      <c r="T184" s="105" t="str">
        <f t="array" ref="T184">IF(ISBLANK(G184),"",INDEX('POR Config List'!I:I,MATCH(G184,'POR Config List'!D:D,0)))</f>
        <v/>
      </c>
      <c r="AA184" s="100" t="str">
        <f t="array" ref="AA184">IF(ISBLANK(G184),"",INDEX('POR Config List'!E:E,MATCH(G184,'POR Config List'!D:D,0)))</f>
        <v/>
      </c>
      <c r="AC184" s="105"/>
      <c r="AD184" s="100"/>
      <c r="AE184" s="100"/>
      <c r="AF184" s="100"/>
      <c r="AG184" s="100"/>
      <c r="AM184" s="102"/>
      <c r="AN184" s="102"/>
      <c r="AR184" s="119"/>
      <c r="AS184" s="103"/>
    </row>
    <row r="185">
      <c r="A185" s="168"/>
      <c r="B185" s="100" t="str">
        <f t="array" ref="B185">IFERROR( INDEX('POR Config List'!A:A,MATCH(G185,'POR Config List'!D:D,0)),"")</f>
        <v/>
      </c>
      <c r="C185" s="101" t="str">
        <f t="array" ref="C185">IFERROR(INDEX('label approval artwork'!E:E,MATCH(G185,'label approval artwork'!F:F,0),""),"")</f>
        <v/>
      </c>
      <c r="D185" s="102" t="str">
        <f t="shared" si="3"/>
        <v/>
      </c>
      <c r="E185" s="100" t="str">
        <f t="array" ref="E185">IF(ISBLANK(G185),"",INDEX('POR Config List'!K:K,MATCH(G185,'POR Config List'!D:D,0)))</f>
        <v/>
      </c>
      <c r="F185" s="100" t="str">
        <f t="array" ref="F185">IF(ISBLANK(G185),"",INDEX('POR Config List'!J:J,MATCH(G185,'POR Config List'!D:D,0)))</f>
        <v/>
      </c>
      <c r="G185" s="119"/>
      <c r="H185" s="104" t="str">
        <f t="array" ref="H185">IF(ISBLANK(G185),"",INDEX('MP SKUs'!G:G,MATCH(G185,'MP SKUs'!A:A,0)))</f>
        <v/>
      </c>
      <c r="I185" s="105" t="str">
        <f t="array" ref="I185">IF(ISBLANK(G185),"",INDEX('POR Config List'!O:O,MATCH(G185,'POR Config List'!D:D,0)))</f>
        <v/>
      </c>
      <c r="J185" s="104" t="str">
        <f t="array" ref="J185">IF(ISBLANK(G185),"",INDEX('POR Config List'!H:H,MATCH(G185,'POR Config List'!D:D,0)))</f>
        <v/>
      </c>
      <c r="K185" s="105" t="str">
        <f t="array" ref="K185">IF(ISBLANK(G185),"",INDEX('POR Config List'!G:G,MATCH(G185,'POR Config List'!D:D,0)))</f>
        <v/>
      </c>
      <c r="L185" s="105"/>
      <c r="M185" s="105" t="str">
        <f t="array" ref="M185">IF(ISBLANK(G185),"",INDEX('label approval artwork'!Q:Q,MATCH( G185,'label approval artwork'!F:F,0)))</f>
        <v/>
      </c>
      <c r="N185" s="169" t="str">
        <f t="shared" si="5"/>
        <v/>
      </c>
      <c r="O185" s="102" t="str">
        <f t="array" ref="O185">IF(ISBLANK(G185),"",INDEX('POR Config List'!C:C,MATCH(G185,'POR Config List'!D:D,0)))</f>
        <v/>
      </c>
      <c r="P185" s="105" t="str">
        <f t="shared" si="4"/>
        <v/>
      </c>
      <c r="Q185" s="105" t="str">
        <f t="array" ref="Q185">IF(ISBLANK(G185),"",INDEX('label approval artwork'!J:J,MATCH( G185,'label approval artwork'!F:F,0)))</f>
        <v/>
      </c>
      <c r="R185" s="105" t="str">
        <f t="array" ref="R185">IFERROR( IF(P185&lt;&gt;"EMA",INDEX('label approval artwork'!H:H,MATCH(G185,'label approval artwork'!F:F,0),"")),"")</f>
        <v/>
      </c>
      <c r="S185" s="105"/>
      <c r="T185" s="105" t="str">
        <f t="array" ref="T185">IF(ISBLANK(G185),"",INDEX('POR Config List'!I:I,MATCH(G185,'POR Config List'!D:D,0)))</f>
        <v/>
      </c>
      <c r="AA185" s="100" t="str">
        <f t="array" ref="AA185">IF(ISBLANK(G185),"",INDEX('POR Config List'!E:E,MATCH(G185,'POR Config List'!D:D,0)))</f>
        <v/>
      </c>
      <c r="AC185" s="105"/>
      <c r="AD185" s="100"/>
      <c r="AE185" s="100"/>
      <c r="AF185" s="100"/>
      <c r="AG185" s="100"/>
      <c r="AM185" s="102"/>
      <c r="AN185" s="102"/>
      <c r="AR185" s="119"/>
      <c r="AS185" s="103"/>
    </row>
    <row r="186">
      <c r="A186" s="168"/>
      <c r="B186" s="100" t="str">
        <f t="array" ref="B186">IFERROR( INDEX('POR Config List'!A:A,MATCH(G186,'POR Config List'!D:D,0)),"")</f>
        <v/>
      </c>
      <c r="C186" s="101" t="str">
        <f t="array" ref="C186">IFERROR(INDEX('label approval artwork'!E:E,MATCH(G186,'label approval artwork'!F:F,0),""),"")</f>
        <v/>
      </c>
      <c r="D186" s="102" t="str">
        <f t="shared" si="3"/>
        <v/>
      </c>
      <c r="E186" s="100" t="str">
        <f t="array" ref="E186">IF(ISBLANK(G186),"",INDEX('POR Config List'!K:K,MATCH(G186,'POR Config List'!D:D,0)))</f>
        <v/>
      </c>
      <c r="F186" s="100" t="str">
        <f t="array" ref="F186">IF(ISBLANK(G186),"",INDEX('POR Config List'!J:J,MATCH(G186,'POR Config List'!D:D,0)))</f>
        <v/>
      </c>
      <c r="G186" s="119"/>
      <c r="H186" s="104" t="str">
        <f t="array" ref="H186">IF(ISBLANK(G186),"",INDEX('MP SKUs'!G:G,MATCH(G186,'MP SKUs'!A:A,0)))</f>
        <v/>
      </c>
      <c r="I186" s="105" t="str">
        <f t="array" ref="I186">IF(ISBLANK(G186),"",INDEX('POR Config List'!O:O,MATCH(G186,'POR Config List'!D:D,0)))</f>
        <v/>
      </c>
      <c r="J186" s="104" t="str">
        <f t="array" ref="J186">IF(ISBLANK(G186),"",INDEX('POR Config List'!H:H,MATCH(G186,'POR Config List'!D:D,0)))</f>
        <v/>
      </c>
      <c r="K186" s="105" t="str">
        <f t="array" ref="K186">IF(ISBLANK(G186),"",INDEX('POR Config List'!G:G,MATCH(G186,'POR Config List'!D:D,0)))</f>
        <v/>
      </c>
      <c r="L186" s="105"/>
      <c r="M186" s="105" t="str">
        <f t="array" ref="M186">IF(ISBLANK(G186),"",INDEX('label approval artwork'!Q:Q,MATCH( G186,'label approval artwork'!F:F,0)))</f>
        <v/>
      </c>
      <c r="N186" s="169" t="str">
        <f t="shared" si="5"/>
        <v/>
      </c>
      <c r="O186" s="102" t="str">
        <f t="array" ref="O186">IF(ISBLANK(G186),"",INDEX('POR Config List'!C:C,MATCH(G186,'POR Config List'!D:D,0)))</f>
        <v/>
      </c>
      <c r="P186" s="105" t="str">
        <f t="shared" si="4"/>
        <v/>
      </c>
      <c r="Q186" s="105" t="str">
        <f t="array" ref="Q186">IF(ISBLANK(G186),"",INDEX('label approval artwork'!J:J,MATCH( G186,'label approval artwork'!F:F,0)))</f>
        <v/>
      </c>
      <c r="R186" s="105" t="str">
        <f t="array" ref="R186">IFERROR( IF(P186&lt;&gt;"EMA",INDEX('label approval artwork'!H:H,MATCH(G186,'label approval artwork'!F:F,0),"")),"")</f>
        <v/>
      </c>
      <c r="S186" s="105"/>
      <c r="T186" s="105" t="str">
        <f t="array" ref="T186">IF(ISBLANK(G186),"",INDEX('POR Config List'!I:I,MATCH(G186,'POR Config List'!D:D,0)))</f>
        <v/>
      </c>
      <c r="AA186" s="100" t="str">
        <f t="array" ref="AA186">IF(ISBLANK(G186),"",INDEX('POR Config List'!E:E,MATCH(G186,'POR Config List'!D:D,0)))</f>
        <v/>
      </c>
      <c r="AC186" s="105"/>
      <c r="AD186" s="100"/>
      <c r="AE186" s="100"/>
      <c r="AF186" s="100"/>
      <c r="AG186" s="100"/>
      <c r="AM186" s="102"/>
      <c r="AN186" s="102"/>
      <c r="AR186" s="119"/>
      <c r="AS186" s="103"/>
    </row>
    <row r="187">
      <c r="A187" s="168"/>
      <c r="B187" s="100" t="str">
        <f t="array" ref="B187">IFERROR( INDEX('POR Config List'!A:A,MATCH(G187,'POR Config List'!D:D,0)),"")</f>
        <v/>
      </c>
      <c r="C187" s="101" t="str">
        <f t="array" ref="C187">IFERROR(INDEX('label approval artwork'!E:E,MATCH(G187,'label approval artwork'!F:F,0),""),"")</f>
        <v/>
      </c>
      <c r="D187" s="102" t="str">
        <f t="shared" si="3"/>
        <v/>
      </c>
      <c r="E187" s="100" t="str">
        <f t="array" ref="E187">IF(ISBLANK(G187),"",INDEX('POR Config List'!K:K,MATCH(G187,'POR Config List'!D:D,0)))</f>
        <v/>
      </c>
      <c r="F187" s="100" t="str">
        <f t="array" ref="F187">IF(ISBLANK(G187),"",INDEX('POR Config List'!J:J,MATCH(G187,'POR Config List'!D:D,0)))</f>
        <v/>
      </c>
      <c r="G187" s="119"/>
      <c r="H187" s="104" t="str">
        <f t="array" ref="H187">IF(ISBLANK(G187),"",INDEX('MP SKUs'!G:G,MATCH(G187,'MP SKUs'!A:A,0)))</f>
        <v/>
      </c>
      <c r="I187" s="105" t="str">
        <f t="array" ref="I187">IF(ISBLANK(G187),"",INDEX('POR Config List'!O:O,MATCH(G187,'POR Config List'!D:D,0)))</f>
        <v/>
      </c>
      <c r="J187" s="104" t="str">
        <f t="array" ref="J187">IF(ISBLANK(G187),"",INDEX('POR Config List'!H:H,MATCH(G187,'POR Config List'!D:D,0)))</f>
        <v/>
      </c>
      <c r="K187" s="105" t="str">
        <f t="array" ref="K187">IF(ISBLANK(G187),"",INDEX('POR Config List'!G:G,MATCH(G187,'POR Config List'!D:D,0)))</f>
        <v/>
      </c>
      <c r="L187" s="105"/>
      <c r="M187" s="105" t="str">
        <f t="array" ref="M187">IF(ISBLANK(G187),"",INDEX('label approval artwork'!Q:Q,MATCH( G187,'label approval artwork'!F:F,0)))</f>
        <v/>
      </c>
      <c r="N187" s="169" t="str">
        <f t="shared" si="5"/>
        <v/>
      </c>
      <c r="O187" s="102" t="str">
        <f t="array" ref="O187">IF(ISBLANK(G187),"",INDEX('POR Config List'!C:C,MATCH(G187,'POR Config List'!D:D,0)))</f>
        <v/>
      </c>
      <c r="P187" s="105" t="str">
        <f t="shared" si="4"/>
        <v/>
      </c>
      <c r="Q187" s="105" t="str">
        <f t="array" ref="Q187">IF(ISBLANK(G187),"",INDEX('label approval artwork'!J:J,MATCH( G187,'label approval artwork'!F:F,0)))</f>
        <v/>
      </c>
      <c r="R187" s="105" t="str">
        <f t="array" ref="R187">IFERROR( IF(P187&lt;&gt;"EMA",INDEX('label approval artwork'!H:H,MATCH(G187,'label approval artwork'!F:F,0),"")),"")</f>
        <v/>
      </c>
      <c r="S187" s="105"/>
      <c r="T187" s="105" t="str">
        <f t="array" ref="T187">IF(ISBLANK(G187),"",INDEX('POR Config List'!I:I,MATCH(G187,'POR Config List'!D:D,0)))</f>
        <v/>
      </c>
      <c r="AA187" s="100" t="str">
        <f t="array" ref="AA187">IF(ISBLANK(G187),"",INDEX('POR Config List'!E:E,MATCH(G187,'POR Config List'!D:D,0)))</f>
        <v/>
      </c>
      <c r="AC187" s="105"/>
      <c r="AD187" s="100"/>
      <c r="AE187" s="100"/>
      <c r="AF187" s="100"/>
      <c r="AG187" s="100"/>
      <c r="AM187" s="102"/>
      <c r="AN187" s="102"/>
      <c r="AR187" s="119"/>
      <c r="AS187" s="103"/>
    </row>
    <row r="188">
      <c r="A188" s="168"/>
      <c r="B188" s="100" t="str">
        <f t="array" ref="B188">IFERROR( INDEX('POR Config List'!A:A,MATCH(G188,'POR Config List'!D:D,0)),"")</f>
        <v/>
      </c>
      <c r="C188" s="101" t="str">
        <f t="array" ref="C188">IFERROR(INDEX('label approval artwork'!E:E,MATCH(G188,'label approval artwork'!F:F,0),""),"")</f>
        <v/>
      </c>
      <c r="D188" s="102" t="str">
        <f t="shared" si="3"/>
        <v/>
      </c>
      <c r="E188" s="100" t="str">
        <f t="array" ref="E188">IF(ISBLANK(G188),"",INDEX('POR Config List'!K:K,MATCH(G188,'POR Config List'!D:D,0)))</f>
        <v/>
      </c>
      <c r="F188" s="100" t="str">
        <f t="array" ref="F188">IF(ISBLANK(G188),"",INDEX('POR Config List'!J:J,MATCH(G188,'POR Config List'!D:D,0)))</f>
        <v/>
      </c>
      <c r="G188" s="119"/>
      <c r="H188" s="104" t="str">
        <f t="array" ref="H188">IF(ISBLANK(G188),"",INDEX('MP SKUs'!G:G,MATCH(G188,'MP SKUs'!A:A,0)))</f>
        <v/>
      </c>
      <c r="I188" s="105" t="str">
        <f t="array" ref="I188">IF(ISBLANK(G188),"",INDEX('POR Config List'!O:O,MATCH(G188,'POR Config List'!D:D,0)))</f>
        <v/>
      </c>
      <c r="J188" s="104" t="str">
        <f t="array" ref="J188">IF(ISBLANK(G188),"",INDEX('POR Config List'!H:H,MATCH(G188,'POR Config List'!D:D,0)))</f>
        <v/>
      </c>
      <c r="K188" s="105" t="str">
        <f t="array" ref="K188">IF(ISBLANK(G188),"",INDEX('POR Config List'!G:G,MATCH(G188,'POR Config List'!D:D,0)))</f>
        <v/>
      </c>
      <c r="L188" s="105"/>
      <c r="M188" s="105" t="str">
        <f t="array" ref="M188">IF(ISBLANK(G188),"",INDEX('label approval artwork'!Q:Q,MATCH( G188,'label approval artwork'!F:F,0)))</f>
        <v/>
      </c>
      <c r="N188" s="169" t="str">
        <f t="shared" si="5"/>
        <v/>
      </c>
      <c r="O188" s="102" t="str">
        <f t="array" ref="O188">IF(ISBLANK(G188),"",INDEX('POR Config List'!C:C,MATCH(G188,'POR Config List'!D:D,0)))</f>
        <v/>
      </c>
      <c r="P188" s="105" t="str">
        <f t="shared" si="4"/>
        <v/>
      </c>
      <c r="Q188" s="105" t="str">
        <f t="array" ref="Q188">IF(ISBLANK(G188),"",INDEX('label approval artwork'!J:J,MATCH( G188,'label approval artwork'!F:F,0)))</f>
        <v/>
      </c>
      <c r="R188" s="105" t="str">
        <f t="array" ref="R188">IFERROR( IF(P188&lt;&gt;"EMA",INDEX('label approval artwork'!H:H,MATCH(G188,'label approval artwork'!F:F,0),"")),"")</f>
        <v/>
      </c>
      <c r="S188" s="105"/>
      <c r="T188" s="105" t="str">
        <f t="array" ref="T188">IF(ISBLANK(G188),"",INDEX('POR Config List'!I:I,MATCH(G188,'POR Config List'!D:D,0)))</f>
        <v/>
      </c>
      <c r="AA188" s="100" t="str">
        <f t="array" ref="AA188">IF(ISBLANK(G188),"",INDEX('POR Config List'!E:E,MATCH(G188,'POR Config List'!D:D,0)))</f>
        <v/>
      </c>
      <c r="AC188" s="105"/>
      <c r="AD188" s="100"/>
      <c r="AE188" s="100"/>
      <c r="AF188" s="100"/>
      <c r="AG188" s="100"/>
      <c r="AM188" s="102"/>
      <c r="AN188" s="102"/>
      <c r="AR188" s="119"/>
      <c r="AS188" s="103"/>
    </row>
    <row r="189">
      <c r="A189" s="168"/>
      <c r="B189" s="100" t="str">
        <f t="array" ref="B189">IFERROR( INDEX('POR Config List'!A:A,MATCH(G189,'POR Config List'!D:D,0)),"")</f>
        <v/>
      </c>
      <c r="C189" s="101" t="str">
        <f t="array" ref="C189">IFERROR(INDEX('label approval artwork'!E:E,MATCH(G189,'label approval artwork'!F:F,0),""),"")</f>
        <v/>
      </c>
      <c r="D189" s="102" t="str">
        <f t="shared" si="3"/>
        <v/>
      </c>
      <c r="E189" s="100" t="str">
        <f t="array" ref="E189">IF(ISBLANK(G189),"",INDEX('POR Config List'!K:K,MATCH(G189,'POR Config List'!D:D,0)))</f>
        <v/>
      </c>
      <c r="F189" s="100" t="str">
        <f t="array" ref="F189">IF(ISBLANK(G189),"",INDEX('POR Config List'!J:J,MATCH(G189,'POR Config List'!D:D,0)))</f>
        <v/>
      </c>
      <c r="G189" s="119"/>
      <c r="H189" s="104" t="str">
        <f t="array" ref="H189">IF(ISBLANK(G189),"",INDEX('MP SKUs'!G:G,MATCH(G189,'MP SKUs'!A:A,0)))</f>
        <v/>
      </c>
      <c r="I189" s="105" t="str">
        <f t="array" ref="I189">IF(ISBLANK(G189),"",INDEX('POR Config List'!O:O,MATCH(G189,'POR Config List'!D:D,0)))</f>
        <v/>
      </c>
      <c r="J189" s="104" t="str">
        <f t="array" ref="J189">IF(ISBLANK(G189),"",INDEX('POR Config List'!H:H,MATCH(G189,'POR Config List'!D:D,0)))</f>
        <v/>
      </c>
      <c r="K189" s="105" t="str">
        <f t="array" ref="K189">IF(ISBLANK(G189),"",INDEX('POR Config List'!G:G,MATCH(G189,'POR Config List'!D:D,0)))</f>
        <v/>
      </c>
      <c r="L189" s="105"/>
      <c r="M189" s="105" t="str">
        <f t="array" ref="M189">IF(ISBLANK(G189),"",INDEX('label approval artwork'!Q:Q,MATCH( G189,'label approval artwork'!F:F,0)))</f>
        <v/>
      </c>
      <c r="N189" s="169" t="str">
        <f t="shared" si="5"/>
        <v/>
      </c>
      <c r="O189" s="102" t="str">
        <f t="array" ref="O189">IF(ISBLANK(G189),"",INDEX('POR Config List'!C:C,MATCH(G189,'POR Config List'!D:D,0)))</f>
        <v/>
      </c>
      <c r="P189" s="105" t="str">
        <f t="shared" si="4"/>
        <v/>
      </c>
      <c r="Q189" s="105" t="str">
        <f t="array" ref="Q189">IF(ISBLANK(G189),"",INDEX('label approval artwork'!J:J,MATCH( G189,'label approval artwork'!F:F,0)))</f>
        <v/>
      </c>
      <c r="R189" s="105" t="str">
        <f t="array" ref="R189">IFERROR( IF(P189&lt;&gt;"EMA",INDEX('label approval artwork'!H:H,MATCH(G189,'label approval artwork'!F:F,0),"")),"")</f>
        <v/>
      </c>
      <c r="S189" s="105"/>
      <c r="T189" s="105" t="str">
        <f t="array" ref="T189">IF(ISBLANK(G189),"",INDEX('POR Config List'!I:I,MATCH(G189,'POR Config List'!D:D,0)))</f>
        <v/>
      </c>
      <c r="AA189" s="100" t="str">
        <f t="array" ref="AA189">IF(ISBLANK(G189),"",INDEX('POR Config List'!E:E,MATCH(G189,'POR Config List'!D:D,0)))</f>
        <v/>
      </c>
      <c r="AC189" s="105"/>
      <c r="AD189" s="100"/>
      <c r="AE189" s="100"/>
      <c r="AF189" s="100"/>
      <c r="AG189" s="100"/>
      <c r="AM189" s="102"/>
      <c r="AN189" s="102"/>
      <c r="AR189" s="119"/>
      <c r="AS189" s="103"/>
    </row>
    <row r="190">
      <c r="A190" s="168"/>
      <c r="B190" s="100" t="str">
        <f t="array" ref="B190">IFERROR( INDEX('POR Config List'!A:A,MATCH(G190,'POR Config List'!D:D,0)),"")</f>
        <v/>
      </c>
      <c r="C190" s="101" t="str">
        <f t="array" ref="C190">IFERROR(INDEX('label approval artwork'!E:E,MATCH(G190,'label approval artwork'!F:F,0),""),"")</f>
        <v/>
      </c>
      <c r="D190" s="102" t="str">
        <f t="shared" si="3"/>
        <v/>
      </c>
      <c r="E190" s="100" t="str">
        <f t="array" ref="E190">IF(ISBLANK(G190),"",INDEX('POR Config List'!K:K,MATCH(G190,'POR Config List'!D:D,0)))</f>
        <v/>
      </c>
      <c r="F190" s="100" t="str">
        <f t="array" ref="F190">IF(ISBLANK(G190),"",INDEX('POR Config List'!J:J,MATCH(G190,'POR Config List'!D:D,0)))</f>
        <v/>
      </c>
      <c r="G190" s="119"/>
      <c r="H190" s="104" t="str">
        <f t="array" ref="H190">IF(ISBLANK(G190),"",INDEX('MP SKUs'!G:G,MATCH(G190,'MP SKUs'!A:A,0)))</f>
        <v/>
      </c>
      <c r="I190" s="105" t="str">
        <f t="array" ref="I190">IF(ISBLANK(G190),"",INDEX('POR Config List'!O:O,MATCH(G190,'POR Config List'!D:D,0)))</f>
        <v/>
      </c>
      <c r="J190" s="104" t="str">
        <f t="array" ref="J190">IF(ISBLANK(G190),"",INDEX('POR Config List'!H:H,MATCH(G190,'POR Config List'!D:D,0)))</f>
        <v/>
      </c>
      <c r="K190" s="105" t="str">
        <f t="array" ref="K190">IF(ISBLANK(G190),"",INDEX('POR Config List'!G:G,MATCH(G190,'POR Config List'!D:D,0)))</f>
        <v/>
      </c>
      <c r="L190" s="105"/>
      <c r="M190" s="105" t="str">
        <f t="array" ref="M190">IF(ISBLANK(G190),"",INDEX('label approval artwork'!Q:Q,MATCH( G190,'label approval artwork'!F:F,0)))</f>
        <v/>
      </c>
      <c r="N190" s="169" t="str">
        <f t="shared" si="5"/>
        <v/>
      </c>
      <c r="O190" s="102" t="str">
        <f t="array" ref="O190">IF(ISBLANK(G190),"",INDEX('POR Config List'!C:C,MATCH(G190,'POR Config List'!D:D,0)))</f>
        <v/>
      </c>
      <c r="P190" s="105" t="str">
        <f t="shared" si="4"/>
        <v/>
      </c>
      <c r="Q190" s="105" t="str">
        <f t="array" ref="Q190">IF(ISBLANK(G190),"",INDEX('label approval artwork'!J:J,MATCH( G190,'label approval artwork'!F:F,0)))</f>
        <v/>
      </c>
      <c r="R190" s="105" t="str">
        <f t="array" ref="R190">IFERROR( IF(P190&lt;&gt;"EMA",INDEX('label approval artwork'!H:H,MATCH(G190,'label approval artwork'!F:F,0),"")),"")</f>
        <v/>
      </c>
      <c r="S190" s="105"/>
      <c r="T190" s="105" t="str">
        <f t="array" ref="T190">IF(ISBLANK(G190),"",INDEX('POR Config List'!I:I,MATCH(G190,'POR Config List'!D:D,0)))</f>
        <v/>
      </c>
      <c r="AA190" s="100" t="str">
        <f t="array" ref="AA190">IF(ISBLANK(G190),"",INDEX('POR Config List'!E:E,MATCH(G190,'POR Config List'!D:D,0)))</f>
        <v/>
      </c>
      <c r="AC190" s="105"/>
      <c r="AD190" s="100"/>
      <c r="AE190" s="100"/>
      <c r="AF190" s="100"/>
      <c r="AG190" s="100"/>
      <c r="AM190" s="102"/>
      <c r="AN190" s="102"/>
      <c r="AR190" s="119"/>
      <c r="AS190" s="103"/>
    </row>
    <row r="191">
      <c r="A191" s="168"/>
      <c r="B191" s="100" t="str">
        <f t="array" ref="B191">IFERROR( INDEX('POR Config List'!A:A,MATCH(G191,'POR Config List'!D:D,0)),"")</f>
        <v/>
      </c>
      <c r="C191" s="101" t="str">
        <f t="array" ref="C191">IFERROR(INDEX('label approval artwork'!E:E,MATCH(G191,'label approval artwork'!F:F,0),""),"")</f>
        <v/>
      </c>
      <c r="D191" s="102" t="str">
        <f t="shared" si="3"/>
        <v/>
      </c>
      <c r="E191" s="100" t="str">
        <f t="array" ref="E191">IF(ISBLANK(G191),"",INDEX('POR Config List'!K:K,MATCH(G191,'POR Config List'!D:D,0)))</f>
        <v/>
      </c>
      <c r="F191" s="100" t="str">
        <f t="array" ref="F191">IF(ISBLANK(G191),"",INDEX('POR Config List'!J:J,MATCH(G191,'POR Config List'!D:D,0)))</f>
        <v/>
      </c>
      <c r="G191" s="119"/>
      <c r="H191" s="104" t="str">
        <f t="array" ref="H191">IF(ISBLANK(G191),"",INDEX('MP SKUs'!G:G,MATCH(G191,'MP SKUs'!A:A,0)))</f>
        <v/>
      </c>
      <c r="I191" s="105" t="str">
        <f t="array" ref="I191">IF(ISBLANK(G191),"",INDEX('POR Config List'!O:O,MATCH(G191,'POR Config List'!D:D,0)))</f>
        <v/>
      </c>
      <c r="J191" s="104" t="str">
        <f t="array" ref="J191">IF(ISBLANK(G191),"",INDEX('POR Config List'!H:H,MATCH(G191,'POR Config List'!D:D,0)))</f>
        <v/>
      </c>
      <c r="K191" s="105" t="str">
        <f t="array" ref="K191">IF(ISBLANK(G191),"",INDEX('POR Config List'!G:G,MATCH(G191,'POR Config List'!D:D,0)))</f>
        <v/>
      </c>
      <c r="L191" s="105"/>
      <c r="M191" s="105" t="str">
        <f t="array" ref="M191">IF(ISBLANK(G191),"",INDEX('label approval artwork'!Q:Q,MATCH( G191,'label approval artwork'!F:F,0)))</f>
        <v/>
      </c>
      <c r="N191" s="169" t="str">
        <f t="shared" si="5"/>
        <v/>
      </c>
      <c r="O191" s="102" t="str">
        <f t="array" ref="O191">IF(ISBLANK(G191),"",INDEX('POR Config List'!C:C,MATCH(G191,'POR Config List'!D:D,0)))</f>
        <v/>
      </c>
      <c r="P191" s="105" t="str">
        <f t="shared" si="4"/>
        <v/>
      </c>
      <c r="Q191" s="105" t="str">
        <f t="array" ref="Q191">IF(ISBLANK(G191),"",INDEX('label approval artwork'!J:J,MATCH( G191,'label approval artwork'!F:F,0)))</f>
        <v/>
      </c>
      <c r="R191" s="105" t="str">
        <f t="array" ref="R191">IFERROR( IF(P191&lt;&gt;"EMA",INDEX('label approval artwork'!H:H,MATCH(G191,'label approval artwork'!F:F,0),"")),"")</f>
        <v/>
      </c>
      <c r="S191" s="105"/>
      <c r="T191" s="105" t="str">
        <f t="array" ref="T191">IF(ISBLANK(G191),"",INDEX('POR Config List'!I:I,MATCH(G191,'POR Config List'!D:D,0)))</f>
        <v/>
      </c>
      <c r="AA191" s="100" t="str">
        <f t="array" ref="AA191">IF(ISBLANK(G191),"",INDEX('POR Config List'!E:E,MATCH(G191,'POR Config List'!D:D,0)))</f>
        <v/>
      </c>
      <c r="AC191" s="105"/>
      <c r="AD191" s="100"/>
      <c r="AE191" s="100"/>
      <c r="AF191" s="100"/>
      <c r="AG191" s="100"/>
      <c r="AM191" s="102"/>
      <c r="AN191" s="102"/>
      <c r="AR191" s="119"/>
      <c r="AS191" s="103"/>
    </row>
    <row r="192">
      <c r="A192" s="168"/>
      <c r="B192" s="100" t="str">
        <f t="array" ref="B192">IFERROR( INDEX('POR Config List'!A:A,MATCH(G192,'POR Config List'!D:D,0)),"")</f>
        <v/>
      </c>
      <c r="C192" s="101" t="str">
        <f t="array" ref="C192">IFERROR(INDEX('label approval artwork'!E:E,MATCH(G192,'label approval artwork'!F:F,0),""),"")</f>
        <v/>
      </c>
      <c r="D192" s="102" t="str">
        <f t="shared" si="3"/>
        <v/>
      </c>
      <c r="E192" s="100" t="str">
        <f t="array" ref="E192">IF(ISBLANK(G192),"",INDEX('POR Config List'!K:K,MATCH(G192,'POR Config List'!D:D,0)))</f>
        <v/>
      </c>
      <c r="F192" s="100" t="str">
        <f t="array" ref="F192">IF(ISBLANK(G192),"",INDEX('POR Config List'!J:J,MATCH(G192,'POR Config List'!D:D,0)))</f>
        <v/>
      </c>
      <c r="G192" s="119"/>
      <c r="H192" s="104" t="str">
        <f t="array" ref="H192">IF(ISBLANK(G192),"",INDEX('MP SKUs'!G:G,MATCH(G192,'MP SKUs'!A:A,0)))</f>
        <v/>
      </c>
      <c r="I192" s="105" t="str">
        <f t="array" ref="I192">IF(ISBLANK(G192),"",INDEX('POR Config List'!O:O,MATCH(G192,'POR Config List'!D:D,0)))</f>
        <v/>
      </c>
      <c r="J192" s="104" t="str">
        <f t="array" ref="J192">IF(ISBLANK(G192),"",INDEX('POR Config List'!H:H,MATCH(G192,'POR Config List'!D:D,0)))</f>
        <v/>
      </c>
      <c r="K192" s="105" t="str">
        <f t="array" ref="K192">IF(ISBLANK(G192),"",INDEX('POR Config List'!G:G,MATCH(G192,'POR Config List'!D:D,0)))</f>
        <v/>
      </c>
      <c r="L192" s="105"/>
      <c r="M192" s="105" t="str">
        <f t="array" ref="M192">IF(ISBLANK(G192),"",INDEX('label approval artwork'!Q:Q,MATCH( G192,'label approval artwork'!F:F,0)))</f>
        <v/>
      </c>
      <c r="N192" s="169" t="str">
        <f t="shared" si="5"/>
        <v/>
      </c>
      <c r="O192" s="102" t="str">
        <f t="array" ref="O192">IF(ISBLANK(G192),"",INDEX('POR Config List'!C:C,MATCH(G192,'POR Config List'!D:D,0)))</f>
        <v/>
      </c>
      <c r="P192" s="105" t="str">
        <f t="shared" si="4"/>
        <v/>
      </c>
      <c r="Q192" s="105" t="str">
        <f t="array" ref="Q192">IF(ISBLANK(G192),"",INDEX('label approval artwork'!J:J,MATCH( G192,'label approval artwork'!F:F,0)))</f>
        <v/>
      </c>
      <c r="R192" s="105" t="str">
        <f t="array" ref="R192">IFERROR( IF(P192&lt;&gt;"EMA",INDEX('label approval artwork'!H:H,MATCH(G192,'label approval artwork'!F:F,0),"")),"")</f>
        <v/>
      </c>
      <c r="S192" s="105"/>
      <c r="T192" s="105" t="str">
        <f t="array" ref="T192">IF(ISBLANK(G192),"",INDEX('POR Config List'!I:I,MATCH(G192,'POR Config List'!D:D,0)))</f>
        <v/>
      </c>
      <c r="AA192" s="100" t="str">
        <f t="array" ref="AA192">IF(ISBLANK(G192),"",INDEX('POR Config List'!E:E,MATCH(G192,'POR Config List'!D:D,0)))</f>
        <v/>
      </c>
      <c r="AC192" s="105"/>
      <c r="AD192" s="100"/>
      <c r="AE192" s="100"/>
      <c r="AF192" s="100"/>
      <c r="AG192" s="100"/>
      <c r="AM192" s="102"/>
      <c r="AN192" s="102"/>
      <c r="AR192" s="119"/>
      <c r="AS192" s="103"/>
    </row>
    <row r="193">
      <c r="A193" s="168"/>
      <c r="B193" s="100" t="str">
        <f t="array" ref="B193">IFERROR( INDEX('POR Config List'!A:A,MATCH(G193,'POR Config List'!D:D,0)),"")</f>
        <v/>
      </c>
      <c r="C193" s="101" t="str">
        <f t="array" ref="C193">IFERROR(INDEX('label approval artwork'!E:E,MATCH(G193,'label approval artwork'!F:F,0),""),"")</f>
        <v/>
      </c>
      <c r="D193" s="102" t="str">
        <f t="shared" si="3"/>
        <v/>
      </c>
      <c r="E193" s="100" t="str">
        <f t="array" ref="E193">IF(ISBLANK(G193),"",INDEX('POR Config List'!K:K,MATCH(G193,'POR Config List'!D:D,0)))</f>
        <v/>
      </c>
      <c r="F193" s="100" t="str">
        <f t="array" ref="F193">IF(ISBLANK(G193),"",INDEX('POR Config List'!J:J,MATCH(G193,'POR Config List'!D:D,0)))</f>
        <v/>
      </c>
      <c r="G193" s="119"/>
      <c r="H193" s="104" t="str">
        <f t="array" ref="H193">IF(ISBLANK(G193),"",INDEX('MP SKUs'!G:G,MATCH(G193,'MP SKUs'!A:A,0)))</f>
        <v/>
      </c>
      <c r="I193" s="105" t="str">
        <f t="array" ref="I193">IF(ISBLANK(G193),"",INDEX('POR Config List'!O:O,MATCH(G193,'POR Config List'!D:D,0)))</f>
        <v/>
      </c>
      <c r="J193" s="104" t="str">
        <f t="array" ref="J193">IF(ISBLANK(G193),"",INDEX('POR Config List'!H:H,MATCH(G193,'POR Config List'!D:D,0)))</f>
        <v/>
      </c>
      <c r="K193" s="105" t="str">
        <f t="array" ref="K193">IF(ISBLANK(G193),"",INDEX('POR Config List'!G:G,MATCH(G193,'POR Config List'!D:D,0)))</f>
        <v/>
      </c>
      <c r="L193" s="105"/>
      <c r="M193" s="105" t="str">
        <f t="array" ref="M193">IF(ISBLANK(G193),"",INDEX('label approval artwork'!Q:Q,MATCH( G193,'label approval artwork'!F:F,0)))</f>
        <v/>
      </c>
      <c r="N193" s="169" t="str">
        <f t="shared" si="5"/>
        <v/>
      </c>
      <c r="O193" s="102" t="str">
        <f t="array" ref="O193">IF(ISBLANK(G193),"",INDEX('POR Config List'!C:C,MATCH(G193,'POR Config List'!D:D,0)))</f>
        <v/>
      </c>
      <c r="P193" s="105" t="str">
        <f t="shared" si="4"/>
        <v/>
      </c>
      <c r="Q193" s="105" t="str">
        <f t="array" ref="Q193">IF(ISBLANK(G193),"",INDEX('label approval artwork'!J:J,MATCH( G193,'label approval artwork'!F:F,0)))</f>
        <v/>
      </c>
      <c r="R193" s="105" t="str">
        <f t="array" ref="R193">IFERROR( IF(P193&lt;&gt;"EMA",INDEX('label approval artwork'!H:H,MATCH(G193,'label approval artwork'!F:F,0),"")),"")</f>
        <v/>
      </c>
      <c r="S193" s="105"/>
      <c r="T193" s="105" t="str">
        <f t="array" ref="T193">IF(ISBLANK(G193),"",INDEX('POR Config List'!I:I,MATCH(G193,'POR Config List'!D:D,0)))</f>
        <v/>
      </c>
      <c r="AA193" s="100" t="str">
        <f t="array" ref="AA193">IF(ISBLANK(G193),"",INDEX('POR Config List'!E:E,MATCH(G193,'POR Config List'!D:D,0)))</f>
        <v/>
      </c>
      <c r="AC193" s="105"/>
      <c r="AD193" s="100"/>
      <c r="AE193" s="100"/>
      <c r="AF193" s="100"/>
      <c r="AG193" s="100"/>
      <c r="AM193" s="102"/>
      <c r="AN193" s="102"/>
      <c r="AR193" s="119"/>
      <c r="AS193" s="103"/>
    </row>
    <row r="194">
      <c r="A194" s="168"/>
      <c r="B194" s="100" t="str">
        <f t="array" ref="B194">IFERROR( INDEX('POR Config List'!A:A,MATCH(G194,'POR Config List'!D:D,0)),"")</f>
        <v/>
      </c>
      <c r="C194" s="101" t="str">
        <f t="array" ref="C194">IFERROR(INDEX('label approval artwork'!E:E,MATCH(G194,'label approval artwork'!F:F,0),""),"")</f>
        <v/>
      </c>
      <c r="D194" s="102" t="str">
        <f t="shared" si="3"/>
        <v/>
      </c>
      <c r="E194" s="100" t="str">
        <f t="array" ref="E194">IF(ISBLANK(G194),"",INDEX('POR Config List'!K:K,MATCH(G194,'POR Config List'!D:D,0)))</f>
        <v/>
      </c>
      <c r="F194" s="100" t="str">
        <f t="array" ref="F194">IF(ISBLANK(G194),"",INDEX('POR Config List'!J:J,MATCH(G194,'POR Config List'!D:D,0)))</f>
        <v/>
      </c>
      <c r="G194" s="119"/>
      <c r="H194" s="104" t="str">
        <f t="array" ref="H194">IF(ISBLANK(G194),"",INDEX('MP SKUs'!G:G,MATCH(G194,'MP SKUs'!A:A,0)))</f>
        <v/>
      </c>
      <c r="I194" s="105" t="str">
        <f t="array" ref="I194">IF(ISBLANK(G194),"",INDEX('POR Config List'!O:O,MATCH(G194,'POR Config List'!D:D,0)))</f>
        <v/>
      </c>
      <c r="J194" s="104" t="str">
        <f t="array" ref="J194">IF(ISBLANK(G194),"",INDEX('POR Config List'!H:H,MATCH(G194,'POR Config List'!D:D,0)))</f>
        <v/>
      </c>
      <c r="K194" s="105" t="str">
        <f t="array" ref="K194">IF(ISBLANK(G194),"",INDEX('POR Config List'!G:G,MATCH(G194,'POR Config List'!D:D,0)))</f>
        <v/>
      </c>
      <c r="L194" s="105"/>
      <c r="M194" s="105" t="str">
        <f t="array" ref="M194">IF(ISBLANK(G194),"",INDEX('label approval artwork'!Q:Q,MATCH( G194,'label approval artwork'!F:F,0)))</f>
        <v/>
      </c>
      <c r="N194" s="169" t="str">
        <f t="shared" si="5"/>
        <v/>
      </c>
      <c r="O194" s="102" t="str">
        <f t="array" ref="O194">IF(ISBLANK(G194),"",INDEX('POR Config List'!C:C,MATCH(G194,'POR Config List'!D:D,0)))</f>
        <v/>
      </c>
      <c r="P194" s="105" t="str">
        <f t="shared" si="4"/>
        <v/>
      </c>
      <c r="Q194" s="105" t="str">
        <f t="array" ref="Q194">IF(ISBLANK(G194),"",INDEX('label approval artwork'!J:J,MATCH( G194,'label approval artwork'!F:F,0)))</f>
        <v/>
      </c>
      <c r="R194" s="105" t="str">
        <f t="array" ref="R194">IFERROR( IF(P194&lt;&gt;"EMA",INDEX('label approval artwork'!H:H,MATCH(G194,'label approval artwork'!F:F,0),"")),"")</f>
        <v/>
      </c>
      <c r="S194" s="105"/>
      <c r="T194" s="105" t="str">
        <f t="array" ref="T194">IF(ISBLANK(G194),"",INDEX('POR Config List'!I:I,MATCH(G194,'POR Config List'!D:D,0)))</f>
        <v/>
      </c>
      <c r="AA194" s="100" t="str">
        <f t="array" ref="AA194">IF(ISBLANK(G194),"",INDEX('POR Config List'!E:E,MATCH(G194,'POR Config List'!D:D,0)))</f>
        <v/>
      </c>
      <c r="AC194" s="105"/>
      <c r="AD194" s="100"/>
      <c r="AE194" s="100"/>
      <c r="AF194" s="100"/>
      <c r="AG194" s="100"/>
      <c r="AM194" s="102"/>
      <c r="AN194" s="102"/>
      <c r="AR194" s="119"/>
      <c r="AS194" s="103"/>
    </row>
    <row r="195">
      <c r="A195" s="168"/>
      <c r="B195" s="100" t="str">
        <f t="array" ref="B195">IFERROR( INDEX('POR Config List'!A:A,MATCH(G195,'POR Config List'!D:D,0)),"")</f>
        <v/>
      </c>
      <c r="C195" s="101" t="str">
        <f t="array" ref="C195">IFERROR(INDEX('label approval artwork'!E:E,MATCH(G195,'label approval artwork'!F:F,0),""),"")</f>
        <v/>
      </c>
      <c r="D195" s="102" t="str">
        <f t="shared" si="3"/>
        <v/>
      </c>
      <c r="E195" s="100" t="str">
        <f t="array" ref="E195">IF(ISBLANK(G195),"",INDEX('POR Config List'!K:K,MATCH(G195,'POR Config List'!D:D,0)))</f>
        <v/>
      </c>
      <c r="F195" s="100" t="str">
        <f t="array" ref="F195">IF(ISBLANK(G195),"",INDEX('POR Config List'!J:J,MATCH(G195,'POR Config List'!D:D,0)))</f>
        <v/>
      </c>
      <c r="G195" s="119"/>
      <c r="H195" s="104" t="str">
        <f t="array" ref="H195">IF(ISBLANK(G195),"",INDEX('MP SKUs'!G:G,MATCH(G195,'MP SKUs'!A:A,0)))</f>
        <v/>
      </c>
      <c r="I195" s="105" t="str">
        <f t="array" ref="I195">IF(ISBLANK(G195),"",INDEX('POR Config List'!O:O,MATCH(G195,'POR Config List'!D:D,0)))</f>
        <v/>
      </c>
      <c r="J195" s="104" t="str">
        <f t="array" ref="J195">IF(ISBLANK(G195),"",INDEX('POR Config List'!H:H,MATCH(G195,'POR Config List'!D:D,0)))</f>
        <v/>
      </c>
      <c r="K195" s="105" t="str">
        <f t="array" ref="K195">IF(ISBLANK(G195),"",INDEX('POR Config List'!G:G,MATCH(G195,'POR Config List'!D:D,0)))</f>
        <v/>
      </c>
      <c r="L195" s="105"/>
      <c r="M195" s="105" t="str">
        <f t="array" ref="M195">IF(ISBLANK(G195),"",INDEX('label approval artwork'!Q:Q,MATCH( G195,'label approval artwork'!F:F,0)))</f>
        <v/>
      </c>
      <c r="N195" s="169" t="str">
        <f t="shared" si="5"/>
        <v/>
      </c>
      <c r="O195" s="102" t="str">
        <f t="array" ref="O195">IF(ISBLANK(G195),"",INDEX('POR Config List'!C:C,MATCH(G195,'POR Config List'!D:D,0)))</f>
        <v/>
      </c>
      <c r="P195" s="105" t="str">
        <f t="shared" si="4"/>
        <v/>
      </c>
      <c r="Q195" s="105" t="str">
        <f t="array" ref="Q195">IF(ISBLANK(G195),"",INDEX('label approval artwork'!J:J,MATCH( G195,'label approval artwork'!F:F,0)))</f>
        <v/>
      </c>
      <c r="R195" s="105" t="str">
        <f t="array" ref="R195">IFERROR( IF(P195&lt;&gt;"EMA",INDEX('label approval artwork'!H:H,MATCH(G195,'label approval artwork'!F:F,0),"")),"")</f>
        <v/>
      </c>
      <c r="S195" s="105"/>
      <c r="T195" s="105" t="str">
        <f t="array" ref="T195">IF(ISBLANK(G195),"",INDEX('POR Config List'!I:I,MATCH(G195,'POR Config List'!D:D,0)))</f>
        <v/>
      </c>
      <c r="AA195" s="100" t="str">
        <f t="array" ref="AA195">IF(ISBLANK(G195),"",INDEX('POR Config List'!E:E,MATCH(G195,'POR Config List'!D:D,0)))</f>
        <v/>
      </c>
      <c r="AC195" s="105"/>
      <c r="AD195" s="100"/>
      <c r="AE195" s="100"/>
      <c r="AF195" s="100"/>
      <c r="AG195" s="100"/>
      <c r="AM195" s="102"/>
      <c r="AN195" s="102"/>
      <c r="AR195" s="119"/>
      <c r="AS195" s="103"/>
    </row>
    <row r="196">
      <c r="A196" s="168"/>
      <c r="B196" s="100" t="str">
        <f t="array" ref="B196">IFERROR( INDEX('POR Config List'!A:A,MATCH(G196,'POR Config List'!D:D,0)),"")</f>
        <v/>
      </c>
      <c r="C196" s="101" t="str">
        <f t="array" ref="C196">IFERROR(INDEX('label approval artwork'!E:E,MATCH(G196,'label approval artwork'!F:F,0),""),"")</f>
        <v/>
      </c>
      <c r="D196" s="102" t="str">
        <f t="shared" si="3"/>
        <v/>
      </c>
      <c r="E196" s="100" t="str">
        <f t="array" ref="E196">IF(ISBLANK(G196),"",INDEX('POR Config List'!K:K,MATCH(G196,'POR Config List'!D:D,0)))</f>
        <v/>
      </c>
      <c r="F196" s="100" t="str">
        <f t="array" ref="F196">IF(ISBLANK(G196),"",INDEX('POR Config List'!J:J,MATCH(G196,'POR Config List'!D:D,0)))</f>
        <v/>
      </c>
      <c r="G196" s="119"/>
      <c r="H196" s="104" t="str">
        <f t="array" ref="H196">IF(ISBLANK(G196),"",INDEX('MP SKUs'!G:G,MATCH(G196,'MP SKUs'!A:A,0)))</f>
        <v/>
      </c>
      <c r="I196" s="105" t="str">
        <f t="array" ref="I196">IF(ISBLANK(G196),"",INDEX('POR Config List'!O:O,MATCH(G196,'POR Config List'!D:D,0)))</f>
        <v/>
      </c>
      <c r="J196" s="104" t="str">
        <f t="array" ref="J196">IF(ISBLANK(G196),"",INDEX('POR Config List'!H:H,MATCH(G196,'POR Config List'!D:D,0)))</f>
        <v/>
      </c>
      <c r="K196" s="105" t="str">
        <f t="array" ref="K196">IF(ISBLANK(G196),"",INDEX('POR Config List'!G:G,MATCH(G196,'POR Config List'!D:D,0)))</f>
        <v/>
      </c>
      <c r="L196" s="105"/>
      <c r="M196" s="105" t="str">
        <f t="array" ref="M196">IF(ISBLANK(G196),"",INDEX('label approval artwork'!Q:Q,MATCH( G196,'label approval artwork'!F:F,0)))</f>
        <v/>
      </c>
      <c r="N196" s="169" t="str">
        <f t="shared" si="5"/>
        <v/>
      </c>
      <c r="O196" s="102" t="str">
        <f t="array" ref="O196">IF(ISBLANK(G196),"",INDEX('POR Config List'!C:C,MATCH(G196,'POR Config List'!D:D,0)))</f>
        <v/>
      </c>
      <c r="P196" s="105" t="str">
        <f t="shared" si="4"/>
        <v/>
      </c>
      <c r="Q196" s="105" t="str">
        <f t="array" ref="Q196">IF(ISBLANK(G196),"",INDEX('label approval artwork'!J:J,MATCH( G196,'label approval artwork'!F:F,0)))</f>
        <v/>
      </c>
      <c r="R196" s="105" t="str">
        <f t="array" ref="R196">IFERROR( IF(P196&lt;&gt;"EMA",INDEX('label approval artwork'!H:H,MATCH(G196,'label approval artwork'!F:F,0),"")),"")</f>
        <v/>
      </c>
      <c r="S196" s="105"/>
      <c r="T196" s="105" t="str">
        <f t="array" ref="T196">IF(ISBLANK(G196),"",INDEX('POR Config List'!I:I,MATCH(G196,'POR Config List'!D:D,0)))</f>
        <v/>
      </c>
      <c r="AA196" s="100" t="str">
        <f t="array" ref="AA196">IF(ISBLANK(G196),"",INDEX('POR Config List'!E:E,MATCH(G196,'POR Config List'!D:D,0)))</f>
        <v/>
      </c>
      <c r="AC196" s="105"/>
      <c r="AD196" s="100"/>
      <c r="AE196" s="100"/>
      <c r="AF196" s="100"/>
      <c r="AG196" s="100"/>
      <c r="AM196" s="102"/>
      <c r="AN196" s="102"/>
      <c r="AR196" s="119"/>
      <c r="AS196" s="103"/>
    </row>
    <row r="197">
      <c r="A197" s="168"/>
      <c r="B197" s="100" t="str">
        <f t="array" ref="B197">IFERROR( INDEX('POR Config List'!A:A,MATCH(G197,'POR Config List'!D:D,0)),"")</f>
        <v/>
      </c>
      <c r="C197" s="101" t="str">
        <f t="array" ref="C197">IFERROR(INDEX('label approval artwork'!E:E,MATCH(G197,'label approval artwork'!F:F,0),""),"")</f>
        <v/>
      </c>
      <c r="D197" s="102" t="str">
        <f t="shared" si="3"/>
        <v/>
      </c>
      <c r="E197" s="100" t="str">
        <f t="array" ref="E197">IF(ISBLANK(G197),"",INDEX('POR Config List'!K:K,MATCH(G197,'POR Config List'!D:D,0)))</f>
        <v/>
      </c>
      <c r="F197" s="100" t="str">
        <f t="array" ref="F197">IF(ISBLANK(G197),"",INDEX('POR Config List'!J:J,MATCH(G197,'POR Config List'!D:D,0)))</f>
        <v/>
      </c>
      <c r="G197" s="119"/>
      <c r="H197" s="104" t="str">
        <f t="array" ref="H197">IF(ISBLANK(G197),"",INDEX('MP SKUs'!G:G,MATCH(G197,'MP SKUs'!A:A,0)))</f>
        <v/>
      </c>
      <c r="I197" s="105" t="str">
        <f t="array" ref="I197">IF(ISBLANK(G197),"",INDEX('POR Config List'!O:O,MATCH(G197,'POR Config List'!D:D,0)))</f>
        <v/>
      </c>
      <c r="J197" s="104" t="str">
        <f t="array" ref="J197">IF(ISBLANK(G197),"",INDEX('POR Config List'!H:H,MATCH(G197,'POR Config List'!D:D,0)))</f>
        <v/>
      </c>
      <c r="K197" s="105" t="str">
        <f t="array" ref="K197">IF(ISBLANK(G197),"",INDEX('POR Config List'!G:G,MATCH(G197,'POR Config List'!D:D,0)))</f>
        <v/>
      </c>
      <c r="L197" s="105"/>
      <c r="M197" s="105" t="str">
        <f t="array" ref="M197">IF(ISBLANK(G197),"",INDEX('label approval artwork'!Q:Q,MATCH( G197,'label approval artwork'!F:F,0)))</f>
        <v/>
      </c>
      <c r="N197" s="169" t="str">
        <f t="shared" si="5"/>
        <v/>
      </c>
      <c r="O197" s="102" t="str">
        <f t="array" ref="O197">IF(ISBLANK(G197),"",INDEX('POR Config List'!C:C,MATCH(G197,'POR Config List'!D:D,0)))</f>
        <v/>
      </c>
      <c r="P197" s="105" t="str">
        <f t="shared" si="4"/>
        <v/>
      </c>
      <c r="Q197" s="105" t="str">
        <f t="array" ref="Q197">IF(ISBLANK(G197),"",INDEX('label approval artwork'!J:J,MATCH( G197,'label approval artwork'!F:F,0)))</f>
        <v/>
      </c>
      <c r="R197" s="105" t="str">
        <f t="array" ref="R197">IFERROR( IF(P197&lt;&gt;"EMA",INDEX('label approval artwork'!H:H,MATCH(G197,'label approval artwork'!F:F,0),"")),"")</f>
        <v/>
      </c>
      <c r="S197" s="105"/>
      <c r="T197" s="105" t="str">
        <f t="array" ref="T197">IF(ISBLANK(G197),"",INDEX('POR Config List'!I:I,MATCH(G197,'POR Config List'!D:D,0)))</f>
        <v/>
      </c>
      <c r="AA197" s="100" t="str">
        <f t="array" ref="AA197">IF(ISBLANK(G197),"",INDEX('POR Config List'!E:E,MATCH(G197,'POR Config List'!D:D,0)))</f>
        <v/>
      </c>
      <c r="AC197" s="105"/>
      <c r="AD197" s="100"/>
      <c r="AE197" s="100"/>
      <c r="AF197" s="100"/>
      <c r="AG197" s="100"/>
      <c r="AM197" s="102"/>
      <c r="AN197" s="102"/>
      <c r="AR197" s="119"/>
      <c r="AS197" s="103"/>
    </row>
    <row r="198">
      <c r="A198" s="168"/>
      <c r="B198" s="100" t="str">
        <f t="array" ref="B198">IFERROR( INDEX('POR Config List'!A:A,MATCH(G198,'POR Config List'!D:D,0)),"")</f>
        <v/>
      </c>
      <c r="C198" s="101" t="str">
        <f t="array" ref="C198">IFERROR(INDEX('label approval artwork'!E:E,MATCH(G198,'label approval artwork'!F:F,0),""),"")</f>
        <v/>
      </c>
      <c r="D198" s="102" t="str">
        <f t="shared" si="3"/>
        <v/>
      </c>
      <c r="E198" s="100" t="str">
        <f t="array" ref="E198">IF(ISBLANK(G198),"",INDEX('POR Config List'!K:K,MATCH(G198,'POR Config List'!D:D,0)))</f>
        <v/>
      </c>
      <c r="F198" s="100" t="str">
        <f t="array" ref="F198">IF(ISBLANK(G198),"",INDEX('POR Config List'!J:J,MATCH(G198,'POR Config List'!D:D,0)))</f>
        <v/>
      </c>
      <c r="G198" s="119"/>
      <c r="H198" s="104" t="str">
        <f t="array" ref="H198">IF(ISBLANK(G198),"",INDEX('MP SKUs'!G:G,MATCH(G198,'MP SKUs'!A:A,0)))</f>
        <v/>
      </c>
      <c r="I198" s="105" t="str">
        <f t="array" ref="I198">IF(ISBLANK(G198),"",INDEX('POR Config List'!O:O,MATCH(G198,'POR Config List'!D:D,0)))</f>
        <v/>
      </c>
      <c r="J198" s="104" t="str">
        <f t="array" ref="J198">IF(ISBLANK(G198),"",INDEX('POR Config List'!H:H,MATCH(G198,'POR Config List'!D:D,0)))</f>
        <v/>
      </c>
      <c r="K198" s="105" t="str">
        <f t="array" ref="K198">IF(ISBLANK(G198),"",INDEX('POR Config List'!G:G,MATCH(G198,'POR Config List'!D:D,0)))</f>
        <v/>
      </c>
      <c r="L198" s="105"/>
      <c r="M198" s="105" t="str">
        <f t="array" ref="M198">IF(ISBLANK(G198),"",INDEX('label approval artwork'!Q:Q,MATCH( G198,'label approval artwork'!F:F,0)))</f>
        <v/>
      </c>
      <c r="N198" s="169" t="str">
        <f t="shared" si="5"/>
        <v/>
      </c>
      <c r="O198" s="102" t="str">
        <f t="array" ref="O198">IF(ISBLANK(G198),"",INDEX('POR Config List'!C:C,MATCH(G198,'POR Config List'!D:D,0)))</f>
        <v/>
      </c>
      <c r="P198" s="105" t="str">
        <f t="shared" si="4"/>
        <v/>
      </c>
      <c r="Q198" s="105" t="str">
        <f t="array" ref="Q198">IF(ISBLANK(G198),"",INDEX('label approval artwork'!J:J,MATCH( G198,'label approval artwork'!F:F,0)))</f>
        <v/>
      </c>
      <c r="R198" s="105" t="str">
        <f t="array" ref="R198">IFERROR( IF(P198&lt;&gt;"EMA",INDEX('label approval artwork'!H:H,MATCH(G198,'label approval artwork'!F:F,0),"")),"")</f>
        <v/>
      </c>
      <c r="S198" s="105"/>
      <c r="T198" s="105" t="str">
        <f t="array" ref="T198">IF(ISBLANK(G198),"",INDEX('POR Config List'!I:I,MATCH(G198,'POR Config List'!D:D,0)))</f>
        <v/>
      </c>
      <c r="AA198" s="100" t="str">
        <f t="array" ref="AA198">IF(ISBLANK(G198),"",INDEX('POR Config List'!E:E,MATCH(G198,'POR Config List'!D:D,0)))</f>
        <v/>
      </c>
      <c r="AC198" s="105"/>
      <c r="AD198" s="100"/>
      <c r="AE198" s="100"/>
      <c r="AF198" s="100"/>
      <c r="AG198" s="100"/>
      <c r="AM198" s="102"/>
      <c r="AN198" s="102"/>
      <c r="AR198" s="119"/>
      <c r="AS198" s="103"/>
    </row>
    <row r="199">
      <c r="A199" s="168"/>
      <c r="B199" s="100" t="str">
        <f t="array" ref="B199">IFERROR( INDEX('POR Config List'!A:A,MATCH(G199,'POR Config List'!D:D,0)),"")</f>
        <v/>
      </c>
      <c r="C199" s="101" t="str">
        <f t="array" ref="C199">IFERROR(INDEX('label approval artwork'!E:E,MATCH(G199,'label approval artwork'!F:F,0),""),"")</f>
        <v/>
      </c>
      <c r="D199" s="102" t="str">
        <f t="shared" si="3"/>
        <v/>
      </c>
      <c r="E199" s="100" t="str">
        <f t="array" ref="E199">IF(ISBLANK(G199),"",INDEX('POR Config List'!K:K,MATCH(G199,'POR Config List'!D:D,0)))</f>
        <v/>
      </c>
      <c r="F199" s="100" t="str">
        <f t="array" ref="F199">IF(ISBLANK(G199),"",INDEX('POR Config List'!J:J,MATCH(G199,'POR Config List'!D:D,0)))</f>
        <v/>
      </c>
      <c r="G199" s="119"/>
      <c r="H199" s="104" t="str">
        <f t="array" ref="H199">IF(ISBLANK(G199),"",INDEX('MP SKUs'!G:G,MATCH(G199,'MP SKUs'!A:A,0)))</f>
        <v/>
      </c>
      <c r="I199" s="105" t="str">
        <f t="array" ref="I199">IF(ISBLANK(G199),"",INDEX('POR Config List'!O:O,MATCH(G199,'POR Config List'!D:D,0)))</f>
        <v/>
      </c>
      <c r="J199" s="104" t="str">
        <f t="array" ref="J199">IF(ISBLANK(G199),"",INDEX('POR Config List'!H:H,MATCH(G199,'POR Config List'!D:D,0)))</f>
        <v/>
      </c>
      <c r="K199" s="105" t="str">
        <f t="array" ref="K199">IF(ISBLANK(G199),"",INDEX('POR Config List'!G:G,MATCH(G199,'POR Config List'!D:D,0)))</f>
        <v/>
      </c>
      <c r="L199" s="105"/>
      <c r="M199" s="105" t="str">
        <f t="array" ref="M199">IF(ISBLANK(G199),"",INDEX('label approval artwork'!Q:Q,MATCH( G199,'label approval artwork'!F:F,0)))</f>
        <v/>
      </c>
      <c r="N199" s="169" t="str">
        <f t="shared" si="5"/>
        <v/>
      </c>
      <c r="O199" s="102" t="str">
        <f t="array" ref="O199">IF(ISBLANK(G199),"",INDEX('POR Config List'!C:C,MATCH(G199,'POR Config List'!D:D,0)))</f>
        <v/>
      </c>
      <c r="P199" s="105" t="str">
        <f t="shared" si="4"/>
        <v/>
      </c>
      <c r="Q199" s="105" t="str">
        <f t="array" ref="Q199">IF(ISBLANK(G199),"",INDEX('label approval artwork'!J:J,MATCH( G199,'label approval artwork'!F:F,0)))</f>
        <v/>
      </c>
      <c r="R199" s="105" t="str">
        <f t="array" ref="R199">IFERROR( IF(P199&lt;&gt;"EMA",INDEX('label approval artwork'!H:H,MATCH(G199,'label approval artwork'!F:F,0),"")),"")</f>
        <v/>
      </c>
      <c r="S199" s="105"/>
      <c r="T199" s="105" t="str">
        <f t="array" ref="T199">IF(ISBLANK(G199),"",INDEX('POR Config List'!I:I,MATCH(G199,'POR Config List'!D:D,0)))</f>
        <v/>
      </c>
      <c r="AA199" s="100" t="str">
        <f t="array" ref="AA199">IF(ISBLANK(G199),"",INDEX('POR Config List'!E:E,MATCH(G199,'POR Config List'!D:D,0)))</f>
        <v/>
      </c>
      <c r="AC199" s="105"/>
      <c r="AD199" s="100"/>
      <c r="AE199" s="100"/>
      <c r="AF199" s="100"/>
      <c r="AG199" s="100"/>
      <c r="AM199" s="102"/>
      <c r="AN199" s="102"/>
      <c r="AR199" s="119"/>
      <c r="AS199" s="103"/>
    </row>
    <row r="200">
      <c r="A200" s="168"/>
      <c r="B200" s="100" t="str">
        <f t="array" ref="B200">IFERROR( INDEX('POR Config List'!A:A,MATCH(G200,'POR Config List'!D:D,0)),"")</f>
        <v/>
      </c>
      <c r="C200" s="101" t="str">
        <f t="array" ref="C200">IFERROR(INDEX('label approval artwork'!E:E,MATCH(G200,'label approval artwork'!F:F,0),""),"")</f>
        <v/>
      </c>
      <c r="D200" s="102" t="str">
        <f t="shared" si="3"/>
        <v/>
      </c>
      <c r="E200" s="100" t="str">
        <f t="array" ref="E200">IF(ISBLANK(G200),"",INDEX('POR Config List'!K:K,MATCH(G200,'POR Config List'!D:D,0)))</f>
        <v/>
      </c>
      <c r="F200" s="100" t="str">
        <f t="array" ref="F200">IF(ISBLANK(G200),"",INDEX('POR Config List'!J:J,MATCH(G200,'POR Config List'!D:D,0)))</f>
        <v/>
      </c>
      <c r="G200" s="119"/>
      <c r="H200" s="104" t="str">
        <f t="array" ref="H200">IF(ISBLANK(G200),"",INDEX('MP SKUs'!G:G,MATCH(G200,'MP SKUs'!A:A,0)))</f>
        <v/>
      </c>
      <c r="I200" s="105" t="str">
        <f t="array" ref="I200">IF(ISBLANK(G200),"",INDEX('POR Config List'!O:O,MATCH(G200,'POR Config List'!D:D,0)))</f>
        <v/>
      </c>
      <c r="J200" s="104" t="str">
        <f t="array" ref="J200">IF(ISBLANK(G200),"",INDEX('POR Config List'!H:H,MATCH(G200,'POR Config List'!D:D,0)))</f>
        <v/>
      </c>
      <c r="K200" s="105" t="str">
        <f t="array" ref="K200">IF(ISBLANK(G200),"",INDEX('POR Config List'!G:G,MATCH(G200,'POR Config List'!D:D,0)))</f>
        <v/>
      </c>
      <c r="L200" s="105"/>
      <c r="M200" s="105" t="str">
        <f t="array" ref="M200">IF(ISBLANK(G200),"",INDEX('label approval artwork'!Q:Q,MATCH( G200,'label approval artwork'!F:F,0)))</f>
        <v/>
      </c>
      <c r="N200" s="169" t="str">
        <f t="shared" si="5"/>
        <v/>
      </c>
      <c r="O200" s="102" t="str">
        <f t="array" ref="O200">IF(ISBLANK(G200),"",INDEX('POR Config List'!C:C,MATCH(G200,'POR Config List'!D:D,0)))</f>
        <v/>
      </c>
      <c r="P200" s="105" t="str">
        <f t="shared" si="4"/>
        <v/>
      </c>
      <c r="Q200" s="105" t="str">
        <f t="array" ref="Q200">IF(ISBLANK(G200),"",INDEX('label approval artwork'!J:J,MATCH( G200,'label approval artwork'!F:F,0)))</f>
        <v/>
      </c>
      <c r="R200" s="105" t="str">
        <f t="array" ref="R200">IFERROR( IF(P200&lt;&gt;"EMA",INDEX('label approval artwork'!H:H,MATCH(G200,'label approval artwork'!F:F,0),"")),"")</f>
        <v/>
      </c>
      <c r="S200" s="105"/>
      <c r="T200" s="105" t="str">
        <f t="array" ref="T200">IF(ISBLANK(G200),"",INDEX('POR Config List'!I:I,MATCH(G200,'POR Config List'!D:D,0)))</f>
        <v/>
      </c>
      <c r="AA200" s="100" t="str">
        <f t="array" ref="AA200">IF(ISBLANK(G200),"",INDEX('POR Config List'!E:E,MATCH(G200,'POR Config List'!D:D,0)))</f>
        <v/>
      </c>
      <c r="AC200" s="105"/>
      <c r="AD200" s="100"/>
      <c r="AE200" s="100"/>
      <c r="AF200" s="100"/>
      <c r="AG200" s="100"/>
      <c r="AM200" s="102"/>
      <c r="AN200" s="102"/>
      <c r="AR200" s="119"/>
      <c r="AS200" s="103"/>
    </row>
    <row r="201">
      <c r="A201" s="168"/>
      <c r="B201" s="100" t="str">
        <f t="array" ref="B201">IFERROR( INDEX('POR Config List'!A:A,MATCH(G201,'POR Config List'!D:D,0)),"")</f>
        <v/>
      </c>
      <c r="C201" s="101" t="str">
        <f t="array" ref="C201">IFERROR(INDEX('label approval artwork'!E:E,MATCH(G201,'label approval artwork'!F:F,0),""),"")</f>
        <v/>
      </c>
      <c r="D201" s="102" t="str">
        <f t="shared" si="3"/>
        <v/>
      </c>
      <c r="E201" s="100" t="str">
        <f t="array" ref="E201">IF(ISBLANK(G201),"",INDEX('POR Config List'!K:K,MATCH(G201,'POR Config List'!D:D,0)))</f>
        <v/>
      </c>
      <c r="F201" s="100" t="str">
        <f t="array" ref="F201">IF(ISBLANK(G201),"",INDEX('POR Config List'!J:J,MATCH(G201,'POR Config List'!D:D,0)))</f>
        <v/>
      </c>
      <c r="G201" s="119"/>
      <c r="H201" s="104" t="str">
        <f t="array" ref="H201">IF(ISBLANK(G201),"",INDEX('MP SKUs'!G:G,MATCH(G201,'MP SKUs'!A:A,0)))</f>
        <v/>
      </c>
      <c r="I201" s="105" t="str">
        <f t="array" ref="I201">IF(ISBLANK(G201),"",INDEX('POR Config List'!O:O,MATCH(G201,'POR Config List'!D:D,0)))</f>
        <v/>
      </c>
      <c r="J201" s="104" t="str">
        <f t="array" ref="J201">IF(ISBLANK(G201),"",INDEX('POR Config List'!H:H,MATCH(G201,'POR Config List'!D:D,0)))</f>
        <v/>
      </c>
      <c r="K201" s="105" t="str">
        <f t="array" ref="K201">IF(ISBLANK(G201),"",INDEX('POR Config List'!G:G,MATCH(G201,'POR Config List'!D:D,0)))</f>
        <v/>
      </c>
      <c r="L201" s="105"/>
      <c r="M201" s="105" t="str">
        <f t="array" ref="M201">IF(ISBLANK(G201),"",INDEX('label approval artwork'!Q:Q,MATCH( G201,'label approval artwork'!F:F,0)))</f>
        <v/>
      </c>
      <c r="N201" s="169" t="str">
        <f t="shared" si="5"/>
        <v/>
      </c>
      <c r="O201" s="102" t="str">
        <f t="array" ref="O201">IF(ISBLANK(G201),"",INDEX('POR Config List'!C:C,MATCH(G201,'POR Config List'!D:D,0)))</f>
        <v/>
      </c>
      <c r="P201" s="105" t="str">
        <f t="shared" si="4"/>
        <v/>
      </c>
      <c r="Q201" s="105" t="str">
        <f t="array" ref="Q201">IF(ISBLANK(G201),"",INDEX('label approval artwork'!J:J,MATCH( G201,'label approval artwork'!F:F,0)))</f>
        <v/>
      </c>
      <c r="R201" s="105" t="str">
        <f t="array" ref="R201">IFERROR( IF(P201&lt;&gt;"EMA",INDEX('label approval artwork'!H:H,MATCH(G201,'label approval artwork'!F:F,0),"")),"")</f>
        <v/>
      </c>
      <c r="S201" s="105"/>
      <c r="T201" s="105" t="str">
        <f t="array" ref="T201">IF(ISBLANK(G201),"",INDEX('POR Config List'!I:I,MATCH(G201,'POR Config List'!D:D,0)))</f>
        <v/>
      </c>
      <c r="AA201" s="100" t="str">
        <f t="array" ref="AA201">IF(ISBLANK(G201),"",INDEX('POR Config List'!E:E,MATCH(G201,'POR Config List'!D:D,0)))</f>
        <v/>
      </c>
      <c r="AC201" s="105"/>
      <c r="AD201" s="100"/>
      <c r="AE201" s="100"/>
      <c r="AF201" s="100"/>
      <c r="AG201" s="100"/>
      <c r="AM201" s="102"/>
      <c r="AN201" s="102"/>
      <c r="AR201" s="119"/>
      <c r="AS201" s="103"/>
    </row>
    <row r="202">
      <c r="A202" s="168"/>
      <c r="B202" s="100" t="str">
        <f t="array" ref="B202">IFERROR( INDEX('POR Config List'!A:A,MATCH(G202,'POR Config List'!D:D,0)),"")</f>
        <v/>
      </c>
      <c r="C202" s="101" t="str">
        <f t="array" ref="C202">IFERROR(INDEX('label approval artwork'!E:E,MATCH(G202,'label approval artwork'!F:F,0),""),"")</f>
        <v/>
      </c>
      <c r="D202" s="102" t="str">
        <f t="shared" si="3"/>
        <v/>
      </c>
      <c r="E202" s="100" t="str">
        <f t="array" ref="E202">IF(ISBLANK(G202),"",INDEX('POR Config List'!K:K,MATCH(G202,'POR Config List'!D:D,0)))</f>
        <v/>
      </c>
      <c r="F202" s="100" t="str">
        <f t="array" ref="F202">IF(ISBLANK(G202),"",INDEX('POR Config List'!J:J,MATCH(G202,'POR Config List'!D:D,0)))</f>
        <v/>
      </c>
      <c r="G202" s="119"/>
      <c r="H202" s="104" t="str">
        <f t="array" ref="H202">IF(ISBLANK(G202),"",INDEX('MP SKUs'!G:G,MATCH(G202,'MP SKUs'!A:A,0)))</f>
        <v/>
      </c>
      <c r="I202" s="105" t="str">
        <f t="array" ref="I202">IF(ISBLANK(G202),"",INDEX('POR Config List'!O:O,MATCH(G202,'POR Config List'!D:D,0)))</f>
        <v/>
      </c>
      <c r="J202" s="104" t="str">
        <f t="array" ref="J202">IF(ISBLANK(G202),"",INDEX('POR Config List'!H:H,MATCH(G202,'POR Config List'!D:D,0)))</f>
        <v/>
      </c>
      <c r="K202" s="105" t="str">
        <f t="array" ref="K202">IF(ISBLANK(G202),"",INDEX('POR Config List'!G:G,MATCH(G202,'POR Config List'!D:D,0)))</f>
        <v/>
      </c>
      <c r="L202" s="105"/>
      <c r="M202" s="105" t="str">
        <f t="array" ref="M202">IF(ISBLANK(G202),"",INDEX('label approval artwork'!Q:Q,MATCH( G202,'label approval artwork'!F:F,0)))</f>
        <v/>
      </c>
      <c r="N202" s="169" t="str">
        <f t="shared" si="5"/>
        <v/>
      </c>
      <c r="O202" s="102" t="str">
        <f t="array" ref="O202">IF(ISBLANK(G202),"",INDEX('POR Config List'!C:C,MATCH(G202,'POR Config List'!D:D,0)))</f>
        <v/>
      </c>
      <c r="P202" s="105" t="str">
        <f t="shared" si="4"/>
        <v/>
      </c>
      <c r="Q202" s="105" t="str">
        <f t="array" ref="Q202">IF(ISBLANK(G202),"",INDEX('label approval artwork'!J:J,MATCH( G202,'label approval artwork'!F:F,0)))</f>
        <v/>
      </c>
      <c r="R202" s="105" t="str">
        <f t="array" ref="R202">IFERROR( IF(P202&lt;&gt;"EMA",INDEX('label approval artwork'!H:H,MATCH(G202,'label approval artwork'!F:F,0),"")),"")</f>
        <v/>
      </c>
      <c r="S202" s="105"/>
      <c r="T202" s="105" t="str">
        <f t="array" ref="T202">IF(ISBLANK(G202),"",INDEX('POR Config List'!I:I,MATCH(G202,'POR Config List'!D:D,0)))</f>
        <v/>
      </c>
      <c r="AA202" s="100" t="str">
        <f t="array" ref="AA202">IF(ISBLANK(G202),"",INDEX('POR Config List'!E:E,MATCH(G202,'POR Config List'!D:D,0)))</f>
        <v/>
      </c>
      <c r="AC202" s="105"/>
      <c r="AD202" s="100"/>
      <c r="AE202" s="100"/>
      <c r="AF202" s="100"/>
      <c r="AG202" s="100"/>
      <c r="AM202" s="102"/>
      <c r="AN202" s="102"/>
      <c r="AR202" s="119"/>
      <c r="AS202" s="103"/>
    </row>
    <row r="203">
      <c r="A203" s="168"/>
      <c r="B203" s="100" t="str">
        <f t="array" ref="B203">IFERROR( INDEX('POR Config List'!A:A,MATCH(G203,'POR Config List'!D:D,0)),"")</f>
        <v/>
      </c>
      <c r="C203" s="101" t="str">
        <f t="array" ref="C203">IFERROR(INDEX('label approval artwork'!E:E,MATCH(G203,'label approval artwork'!F:F,0),""),"")</f>
        <v/>
      </c>
      <c r="D203" s="102" t="str">
        <f t="shared" si="3"/>
        <v/>
      </c>
      <c r="E203" s="100" t="str">
        <f t="array" ref="E203">IF(ISBLANK(G203),"",INDEX('POR Config List'!K:K,MATCH(G203,'POR Config List'!D:D,0)))</f>
        <v/>
      </c>
      <c r="F203" s="100" t="str">
        <f t="array" ref="F203">IF(ISBLANK(G203),"",INDEX('POR Config List'!J:J,MATCH(G203,'POR Config List'!D:D,0)))</f>
        <v/>
      </c>
      <c r="G203" s="119"/>
      <c r="H203" s="104" t="str">
        <f t="array" ref="H203">IF(ISBLANK(G203),"",INDEX('MP SKUs'!G:G,MATCH(G203,'MP SKUs'!A:A,0)))</f>
        <v/>
      </c>
      <c r="I203" s="105" t="str">
        <f t="array" ref="I203">IF(ISBLANK(G203),"",INDEX('POR Config List'!O:O,MATCH(G203,'POR Config List'!D:D,0)))</f>
        <v/>
      </c>
      <c r="J203" s="104" t="str">
        <f t="array" ref="J203">IF(ISBLANK(G203),"",INDEX('POR Config List'!H:H,MATCH(G203,'POR Config List'!D:D,0)))</f>
        <v/>
      </c>
      <c r="K203" s="105" t="str">
        <f t="array" ref="K203">IF(ISBLANK(G203),"",INDEX('POR Config List'!G:G,MATCH(G203,'POR Config List'!D:D,0)))</f>
        <v/>
      </c>
      <c r="L203" s="105"/>
      <c r="M203" s="105" t="str">
        <f t="array" ref="M203">IF(ISBLANK(G203),"",INDEX('label approval artwork'!Q:Q,MATCH( G203,'label approval artwork'!F:F,0)))</f>
        <v/>
      </c>
      <c r="N203" s="169" t="str">
        <f t="shared" si="5"/>
        <v/>
      </c>
      <c r="O203" s="102" t="str">
        <f t="array" ref="O203">IF(ISBLANK(G203),"",INDEX('POR Config List'!C:C,MATCH(G203,'POR Config List'!D:D,0)))</f>
        <v/>
      </c>
      <c r="P203" s="105" t="str">
        <f t="shared" si="4"/>
        <v/>
      </c>
      <c r="Q203" s="105" t="str">
        <f t="array" ref="Q203">IF(ISBLANK(G203),"",INDEX('label approval artwork'!J:J,MATCH( G203,'label approval artwork'!F:F,0)))</f>
        <v/>
      </c>
      <c r="R203" s="105" t="str">
        <f t="array" ref="R203">IFERROR( IF(P203&lt;&gt;"EMA",INDEX('label approval artwork'!H:H,MATCH(G203,'label approval artwork'!F:F,0),"")),"")</f>
        <v/>
      </c>
      <c r="S203" s="105"/>
      <c r="T203" s="105" t="str">
        <f t="array" ref="T203">IF(ISBLANK(G203),"",INDEX('POR Config List'!I:I,MATCH(G203,'POR Config List'!D:D,0)))</f>
        <v/>
      </c>
      <c r="AA203" s="100" t="str">
        <f t="array" ref="AA203">IF(ISBLANK(G203),"",INDEX('POR Config List'!E:E,MATCH(G203,'POR Config List'!D:D,0)))</f>
        <v/>
      </c>
      <c r="AC203" s="105"/>
      <c r="AD203" s="100"/>
      <c r="AE203" s="100"/>
      <c r="AF203" s="100"/>
      <c r="AG203" s="100"/>
      <c r="AM203" s="102"/>
      <c r="AN203" s="102"/>
      <c r="AR203" s="119"/>
      <c r="AS203" s="103"/>
    </row>
    <row r="204">
      <c r="A204" s="168"/>
      <c r="B204" s="100" t="str">
        <f t="array" ref="B204">IFERROR( INDEX('POR Config List'!A:A,MATCH(G204,'POR Config List'!D:D,0)),"")</f>
        <v/>
      </c>
      <c r="C204" s="101" t="str">
        <f t="array" ref="C204">IFERROR(INDEX('label approval artwork'!E:E,MATCH(G204,'label approval artwork'!F:F,0),""),"")</f>
        <v/>
      </c>
      <c r="D204" s="102" t="str">
        <f t="shared" si="3"/>
        <v/>
      </c>
      <c r="E204" s="100" t="str">
        <f t="array" ref="E204">IF(ISBLANK(G204),"",INDEX('POR Config List'!K:K,MATCH(G204,'POR Config List'!D:D,0)))</f>
        <v/>
      </c>
      <c r="F204" s="100" t="str">
        <f t="array" ref="F204">IF(ISBLANK(G204),"",INDEX('POR Config List'!J:J,MATCH(G204,'POR Config List'!D:D,0)))</f>
        <v/>
      </c>
      <c r="G204" s="119"/>
      <c r="H204" s="104" t="str">
        <f t="array" ref="H204">IF(ISBLANK(G204),"",INDEX('MP SKUs'!G:G,MATCH(G204,'MP SKUs'!A:A,0)))</f>
        <v/>
      </c>
      <c r="I204" s="105" t="str">
        <f t="array" ref="I204">IF(ISBLANK(G204),"",INDEX('POR Config List'!O:O,MATCH(G204,'POR Config List'!D:D,0)))</f>
        <v/>
      </c>
      <c r="J204" s="104" t="str">
        <f t="array" ref="J204">IF(ISBLANK(G204),"",INDEX('POR Config List'!H:H,MATCH(G204,'POR Config List'!D:D,0)))</f>
        <v/>
      </c>
      <c r="K204" s="105" t="str">
        <f t="array" ref="K204">IF(ISBLANK(G204),"",INDEX('POR Config List'!G:G,MATCH(G204,'POR Config List'!D:D,0)))</f>
        <v/>
      </c>
      <c r="L204" s="105"/>
      <c r="M204" s="105" t="str">
        <f t="array" ref="M204">IF(ISBLANK(G204),"",INDEX('label approval artwork'!Q:Q,MATCH( G204,'label approval artwork'!F:F,0)))</f>
        <v/>
      </c>
      <c r="N204" s="169" t="str">
        <f t="shared" si="5"/>
        <v/>
      </c>
      <c r="O204" s="102" t="str">
        <f t="array" ref="O204">IF(ISBLANK(G204),"",INDEX('POR Config List'!C:C,MATCH(G204,'POR Config List'!D:D,0)))</f>
        <v/>
      </c>
      <c r="P204" s="105" t="str">
        <f t="shared" si="4"/>
        <v/>
      </c>
      <c r="Q204" s="105" t="str">
        <f t="array" ref="Q204">IF(ISBLANK(G204),"",INDEX('label approval artwork'!J:J,MATCH( G204,'label approval artwork'!F:F,0)))</f>
        <v/>
      </c>
      <c r="R204" s="105" t="str">
        <f t="array" ref="R204">IFERROR( IF(P204&lt;&gt;"EMA",INDEX('label approval artwork'!H:H,MATCH(G204,'label approval artwork'!F:F,0),"")),"")</f>
        <v/>
      </c>
      <c r="S204" s="105"/>
      <c r="T204" s="105" t="str">
        <f t="array" ref="T204">IF(ISBLANK(G204),"",INDEX('POR Config List'!I:I,MATCH(G204,'POR Config List'!D:D,0)))</f>
        <v/>
      </c>
      <c r="AA204" s="100" t="str">
        <f t="array" ref="AA204">IF(ISBLANK(G204),"",INDEX('POR Config List'!E:E,MATCH(G204,'POR Config List'!D:D,0)))</f>
        <v/>
      </c>
      <c r="AC204" s="105"/>
      <c r="AD204" s="100"/>
      <c r="AE204" s="100"/>
      <c r="AF204" s="100"/>
      <c r="AG204" s="100"/>
      <c r="AM204" s="102"/>
      <c r="AN204" s="102"/>
      <c r="AR204" s="119"/>
      <c r="AS204" s="103"/>
    </row>
    <row r="205">
      <c r="A205" s="168"/>
      <c r="B205" s="100" t="str">
        <f t="array" ref="B205">IFERROR( INDEX('POR Config List'!A:A,MATCH(G205,'POR Config List'!D:D,0)),"")</f>
        <v/>
      </c>
      <c r="C205" s="101" t="str">
        <f t="array" ref="C205">IFERROR(INDEX('label approval artwork'!E:E,MATCH(G205,'label approval artwork'!F:F,0),""),"")</f>
        <v/>
      </c>
      <c r="D205" s="102" t="str">
        <f t="shared" si="3"/>
        <v/>
      </c>
      <c r="E205" s="100" t="str">
        <f t="array" ref="E205">IF(ISBLANK(G205),"",INDEX('POR Config List'!K:K,MATCH(G205,'POR Config List'!D:D,0)))</f>
        <v/>
      </c>
      <c r="F205" s="100" t="str">
        <f t="array" ref="F205">IF(ISBLANK(G205),"",INDEX('POR Config List'!J:J,MATCH(G205,'POR Config List'!D:D,0)))</f>
        <v/>
      </c>
      <c r="G205" s="119"/>
      <c r="H205" s="104" t="str">
        <f t="array" ref="H205">IF(ISBLANK(G205),"",INDEX('MP SKUs'!G:G,MATCH(G205,'MP SKUs'!A:A,0)))</f>
        <v/>
      </c>
      <c r="I205" s="105" t="str">
        <f t="array" ref="I205">IF(ISBLANK(G205),"",INDEX('POR Config List'!O:O,MATCH(G205,'POR Config List'!D:D,0)))</f>
        <v/>
      </c>
      <c r="J205" s="104" t="str">
        <f t="array" ref="J205">IF(ISBLANK(G205),"",INDEX('POR Config List'!H:H,MATCH(G205,'POR Config List'!D:D,0)))</f>
        <v/>
      </c>
      <c r="K205" s="105" t="str">
        <f t="array" ref="K205">IF(ISBLANK(G205),"",INDEX('POR Config List'!G:G,MATCH(G205,'POR Config List'!D:D,0)))</f>
        <v/>
      </c>
      <c r="L205" s="105"/>
      <c r="M205" s="105" t="str">
        <f t="array" ref="M205">IF(ISBLANK(G205),"",INDEX('label approval artwork'!Q:Q,MATCH( G205,'label approval artwork'!F:F,0)))</f>
        <v/>
      </c>
      <c r="N205" s="169" t="str">
        <f t="shared" si="5"/>
        <v/>
      </c>
      <c r="O205" s="102" t="str">
        <f t="array" ref="O205">IF(ISBLANK(G205),"",INDEX('POR Config List'!C:C,MATCH(G205,'POR Config List'!D:D,0)))</f>
        <v/>
      </c>
      <c r="P205" s="105" t="str">
        <f t="shared" si="4"/>
        <v/>
      </c>
      <c r="Q205" s="105" t="str">
        <f t="array" ref="Q205">IF(ISBLANK(G205),"",INDEX('label approval artwork'!J:J,MATCH( G205,'label approval artwork'!F:F,0)))</f>
        <v/>
      </c>
      <c r="R205" s="105" t="str">
        <f t="array" ref="R205">IFERROR( IF(P205&lt;&gt;"EMA",INDEX('label approval artwork'!H:H,MATCH(G205,'label approval artwork'!F:F,0),"")),"")</f>
        <v/>
      </c>
      <c r="S205" s="105"/>
      <c r="T205" s="105" t="str">
        <f t="array" ref="T205">IF(ISBLANK(G205),"",INDEX('POR Config List'!I:I,MATCH(G205,'POR Config List'!D:D,0)))</f>
        <v/>
      </c>
      <c r="AA205" s="100" t="str">
        <f t="array" ref="AA205">IF(ISBLANK(G205),"",INDEX('POR Config List'!E:E,MATCH(G205,'POR Config List'!D:D,0)))</f>
        <v/>
      </c>
      <c r="AC205" s="105"/>
      <c r="AD205" s="100"/>
      <c r="AE205" s="100"/>
      <c r="AF205" s="100"/>
      <c r="AG205" s="100"/>
      <c r="AM205" s="102"/>
      <c r="AN205" s="102"/>
      <c r="AR205" s="119"/>
      <c r="AS205" s="103"/>
    </row>
    <row r="206">
      <c r="A206" s="168"/>
      <c r="B206" s="100" t="str">
        <f t="array" ref="B206">IFERROR( INDEX('POR Config List'!A:A,MATCH(G206,'POR Config List'!D:D,0)),"")</f>
        <v/>
      </c>
      <c r="C206" s="101" t="str">
        <f t="array" ref="C206">IFERROR(INDEX('label approval artwork'!E:E,MATCH(G206,'label approval artwork'!F:F,0),""),"")</f>
        <v/>
      </c>
      <c r="D206" s="102" t="str">
        <f t="shared" si="3"/>
        <v/>
      </c>
      <c r="E206" s="100" t="str">
        <f t="array" ref="E206">IF(ISBLANK(G206),"",INDEX('POR Config List'!K:K,MATCH(G206,'POR Config List'!D:D,0)))</f>
        <v/>
      </c>
      <c r="F206" s="100" t="str">
        <f t="array" ref="F206">IF(ISBLANK(G206),"",INDEX('POR Config List'!J:J,MATCH(G206,'POR Config List'!D:D,0)))</f>
        <v/>
      </c>
      <c r="G206" s="119"/>
      <c r="H206" s="104" t="str">
        <f t="array" ref="H206">IF(ISBLANK(G206),"",INDEX('MP SKUs'!G:G,MATCH(G206,'MP SKUs'!A:A,0)))</f>
        <v/>
      </c>
      <c r="I206" s="105" t="str">
        <f t="array" ref="I206">IF(ISBLANK(G206),"",INDEX('POR Config List'!O:O,MATCH(G206,'POR Config List'!D:D,0)))</f>
        <v/>
      </c>
      <c r="J206" s="104" t="str">
        <f t="array" ref="J206">IF(ISBLANK(G206),"",INDEX('POR Config List'!H:H,MATCH(G206,'POR Config List'!D:D,0)))</f>
        <v/>
      </c>
      <c r="K206" s="105" t="str">
        <f t="array" ref="K206">IF(ISBLANK(G206),"",INDEX('POR Config List'!G:G,MATCH(G206,'POR Config List'!D:D,0)))</f>
        <v/>
      </c>
      <c r="L206" s="105"/>
      <c r="M206" s="105" t="str">
        <f t="array" ref="M206">IF(ISBLANK(G206),"",INDEX('label approval artwork'!Q:Q,MATCH( G206,'label approval artwork'!F:F,0)))</f>
        <v/>
      </c>
      <c r="N206" s="169" t="str">
        <f t="shared" si="5"/>
        <v/>
      </c>
      <c r="O206" s="102" t="str">
        <f t="array" ref="O206">IF(ISBLANK(G206),"",INDEX('POR Config List'!C:C,MATCH(G206,'POR Config List'!D:D,0)))</f>
        <v/>
      </c>
      <c r="P206" s="105" t="str">
        <f t="shared" si="4"/>
        <v/>
      </c>
      <c r="Q206" s="105" t="str">
        <f t="array" ref="Q206">IF(ISBLANK(G206),"",INDEX('label approval artwork'!J:J,MATCH( G206,'label approval artwork'!F:F,0)))</f>
        <v/>
      </c>
      <c r="R206" s="105" t="str">
        <f t="array" ref="R206">IFERROR( IF(P206&lt;&gt;"EMA",INDEX('label approval artwork'!H:H,MATCH(G206,'label approval artwork'!F:F,0),"")),"")</f>
        <v/>
      </c>
      <c r="S206" s="105"/>
      <c r="T206" s="105" t="str">
        <f t="array" ref="T206">IF(ISBLANK(G206),"",INDEX('POR Config List'!I:I,MATCH(G206,'POR Config List'!D:D,0)))</f>
        <v/>
      </c>
      <c r="AA206" s="100" t="str">
        <f t="array" ref="AA206">IF(ISBLANK(G206),"",INDEX('POR Config List'!E:E,MATCH(G206,'POR Config List'!D:D,0)))</f>
        <v/>
      </c>
      <c r="AC206" s="105"/>
      <c r="AD206" s="100"/>
      <c r="AE206" s="100"/>
      <c r="AF206" s="100"/>
      <c r="AG206" s="100"/>
      <c r="AM206" s="102"/>
      <c r="AN206" s="102"/>
      <c r="AR206" s="119"/>
      <c r="AS206" s="103"/>
    </row>
    <row r="207">
      <c r="A207" s="168"/>
      <c r="B207" s="100" t="str">
        <f t="array" ref="B207">IFERROR( INDEX('POR Config List'!A:A,MATCH(G207,'POR Config List'!D:D,0)),"")</f>
        <v/>
      </c>
      <c r="C207" s="101" t="str">
        <f t="array" ref="C207">IFERROR(INDEX('label approval artwork'!E:E,MATCH(G207,'label approval artwork'!F:F,0),""),"")</f>
        <v/>
      </c>
      <c r="D207" s="102" t="str">
        <f t="shared" si="3"/>
        <v/>
      </c>
      <c r="E207" s="100" t="str">
        <f t="array" ref="E207">IF(ISBLANK(G207),"",INDEX('POR Config List'!K:K,MATCH(G207,'POR Config List'!D:D,0)))</f>
        <v/>
      </c>
      <c r="F207" s="100" t="str">
        <f t="array" ref="F207">IF(ISBLANK(G207),"",INDEX('POR Config List'!J:J,MATCH(G207,'POR Config List'!D:D,0)))</f>
        <v/>
      </c>
      <c r="G207" s="119"/>
      <c r="H207" s="104" t="str">
        <f t="array" ref="H207">IF(ISBLANK(G207),"",INDEX('MP SKUs'!G:G,MATCH(G207,'MP SKUs'!A:A,0)))</f>
        <v/>
      </c>
      <c r="I207" s="105" t="str">
        <f t="array" ref="I207">IF(ISBLANK(G207),"",INDEX('POR Config List'!O:O,MATCH(G207,'POR Config List'!D:D,0)))</f>
        <v/>
      </c>
      <c r="J207" s="104" t="str">
        <f t="array" ref="J207">IF(ISBLANK(G207),"",INDEX('POR Config List'!H:H,MATCH(G207,'POR Config List'!D:D,0)))</f>
        <v/>
      </c>
      <c r="K207" s="105" t="str">
        <f t="array" ref="K207">IF(ISBLANK(G207),"",INDEX('POR Config List'!G:G,MATCH(G207,'POR Config List'!D:D,0)))</f>
        <v/>
      </c>
      <c r="L207" s="105"/>
      <c r="M207" s="105" t="str">
        <f t="array" ref="M207">IF(ISBLANK(G207),"",INDEX('label approval artwork'!Q:Q,MATCH( G207,'label approval artwork'!F:F,0)))</f>
        <v/>
      </c>
      <c r="N207" s="169" t="str">
        <f t="shared" si="5"/>
        <v/>
      </c>
      <c r="O207" s="102" t="str">
        <f t="array" ref="O207">IF(ISBLANK(G207),"",INDEX('POR Config List'!C:C,MATCH(G207,'POR Config List'!D:D,0)))</f>
        <v/>
      </c>
      <c r="P207" s="105" t="str">
        <f t="shared" si="4"/>
        <v/>
      </c>
      <c r="Q207" s="105" t="str">
        <f t="array" ref="Q207">IF(ISBLANK(G207),"",INDEX('label approval artwork'!J:J,MATCH( G207,'label approval artwork'!F:F,0)))</f>
        <v/>
      </c>
      <c r="R207" s="105" t="str">
        <f t="array" ref="R207">IFERROR( IF(P207&lt;&gt;"EMA",INDEX('label approval artwork'!H:H,MATCH(G207,'label approval artwork'!F:F,0),"")),"")</f>
        <v/>
      </c>
      <c r="S207" s="105"/>
      <c r="T207" s="105" t="str">
        <f t="array" ref="T207">IF(ISBLANK(G207),"",INDEX('POR Config List'!I:I,MATCH(G207,'POR Config List'!D:D,0)))</f>
        <v/>
      </c>
      <c r="AA207" s="100" t="str">
        <f t="array" ref="AA207">IF(ISBLANK(G207),"",INDEX('POR Config List'!E:E,MATCH(G207,'POR Config List'!D:D,0)))</f>
        <v/>
      </c>
      <c r="AC207" s="105"/>
      <c r="AD207" s="100"/>
      <c r="AE207" s="100"/>
      <c r="AF207" s="100"/>
      <c r="AG207" s="100"/>
      <c r="AM207" s="102"/>
      <c r="AN207" s="102"/>
      <c r="AR207" s="119"/>
      <c r="AS207" s="103"/>
    </row>
    <row r="208">
      <c r="A208" s="168"/>
      <c r="B208" s="100" t="str">
        <f t="array" ref="B208">IFERROR( INDEX('POR Config List'!A:A,MATCH(G208,'POR Config List'!D:D,0)),"")</f>
        <v/>
      </c>
      <c r="C208" s="101" t="str">
        <f t="array" ref="C208">IFERROR(INDEX('label approval artwork'!E:E,MATCH(G208,'label approval artwork'!F:F,0),""),"")</f>
        <v/>
      </c>
      <c r="D208" s="102" t="str">
        <f t="shared" si="3"/>
        <v/>
      </c>
      <c r="E208" s="100" t="str">
        <f t="array" ref="E208">IF(ISBLANK(G208),"",INDEX('POR Config List'!K:K,MATCH(G208,'POR Config List'!D:D,0)))</f>
        <v/>
      </c>
      <c r="F208" s="100" t="str">
        <f t="array" ref="F208">IF(ISBLANK(G208),"",INDEX('POR Config List'!J:J,MATCH(G208,'POR Config List'!D:D,0)))</f>
        <v/>
      </c>
      <c r="G208" s="119"/>
      <c r="H208" s="104" t="str">
        <f t="array" ref="H208">IF(ISBLANK(G208),"",INDEX('MP SKUs'!G:G,MATCH(G208,'MP SKUs'!A:A,0)))</f>
        <v/>
      </c>
      <c r="I208" s="105" t="str">
        <f t="array" ref="I208">IF(ISBLANK(G208),"",INDEX('POR Config List'!O:O,MATCH(G208,'POR Config List'!D:D,0)))</f>
        <v/>
      </c>
      <c r="J208" s="104" t="str">
        <f t="array" ref="J208">IF(ISBLANK(G208),"",INDEX('POR Config List'!H:H,MATCH(G208,'POR Config List'!D:D,0)))</f>
        <v/>
      </c>
      <c r="K208" s="105" t="str">
        <f t="array" ref="K208">IF(ISBLANK(G208),"",INDEX('POR Config List'!G:G,MATCH(G208,'POR Config List'!D:D,0)))</f>
        <v/>
      </c>
      <c r="L208" s="105"/>
      <c r="M208" s="105" t="str">
        <f t="array" ref="M208">IF(ISBLANK(G208),"",INDEX('label approval artwork'!Q:Q,MATCH( G208,'label approval artwork'!F:F,0)))</f>
        <v/>
      </c>
      <c r="N208" s="169" t="str">
        <f t="shared" si="5"/>
        <v/>
      </c>
      <c r="O208" s="102" t="str">
        <f t="array" ref="O208">IF(ISBLANK(G208),"",INDEX('POR Config List'!C:C,MATCH(G208,'POR Config List'!D:D,0)))</f>
        <v/>
      </c>
      <c r="P208" s="105" t="str">
        <f t="shared" si="4"/>
        <v/>
      </c>
      <c r="Q208" s="105" t="str">
        <f t="array" ref="Q208">IF(ISBLANK(G208),"",INDEX('label approval artwork'!J:J,MATCH( G208,'label approval artwork'!F:F,0)))</f>
        <v/>
      </c>
      <c r="R208" s="105" t="str">
        <f t="array" ref="R208">IFERROR( IF(P208&lt;&gt;"EMA",INDEX('label approval artwork'!H:H,MATCH(G208,'label approval artwork'!F:F,0),"")),"")</f>
        <v/>
      </c>
      <c r="S208" s="105"/>
      <c r="T208" s="105" t="str">
        <f t="array" ref="T208">IF(ISBLANK(G208),"",INDEX('POR Config List'!I:I,MATCH(G208,'POR Config List'!D:D,0)))</f>
        <v/>
      </c>
      <c r="AA208" s="100" t="str">
        <f t="array" ref="AA208">IF(ISBLANK(G208),"",INDEX('POR Config List'!E:E,MATCH(G208,'POR Config List'!D:D,0)))</f>
        <v/>
      </c>
      <c r="AC208" s="105"/>
      <c r="AD208" s="100"/>
      <c r="AE208" s="100"/>
      <c r="AF208" s="100"/>
      <c r="AG208" s="100"/>
      <c r="AM208" s="102"/>
      <c r="AN208" s="102"/>
      <c r="AR208" s="119"/>
      <c r="AS208" s="103"/>
    </row>
    <row r="209">
      <c r="A209" s="168"/>
      <c r="B209" s="100" t="str">
        <f t="array" ref="B209">IFERROR( INDEX('POR Config List'!A:A,MATCH(G209,'POR Config List'!D:D,0)),"")</f>
        <v/>
      </c>
      <c r="C209" s="101" t="str">
        <f t="array" ref="C209">IFERROR(INDEX('label approval artwork'!E:E,MATCH(G209,'label approval artwork'!F:F,0),""),"")</f>
        <v/>
      </c>
      <c r="D209" s="102" t="str">
        <f t="shared" si="3"/>
        <v/>
      </c>
      <c r="E209" s="100" t="str">
        <f t="array" ref="E209">IF(ISBLANK(G209),"",INDEX('POR Config List'!K:K,MATCH(G209,'POR Config List'!D:D,0)))</f>
        <v/>
      </c>
      <c r="F209" s="100" t="str">
        <f t="array" ref="F209">IF(ISBLANK(G209),"",INDEX('POR Config List'!J:J,MATCH(G209,'POR Config List'!D:D,0)))</f>
        <v/>
      </c>
      <c r="G209" s="119"/>
      <c r="H209" s="104" t="str">
        <f t="array" ref="H209">IF(ISBLANK(G209),"",INDEX('MP SKUs'!G:G,MATCH(G209,'MP SKUs'!A:A,0)))</f>
        <v/>
      </c>
      <c r="I209" s="105" t="str">
        <f t="array" ref="I209">IF(ISBLANK(G209),"",INDEX('POR Config List'!O:O,MATCH(G209,'POR Config List'!D:D,0)))</f>
        <v/>
      </c>
      <c r="J209" s="104" t="str">
        <f t="array" ref="J209">IF(ISBLANK(G209),"",INDEX('POR Config List'!H:H,MATCH(G209,'POR Config List'!D:D,0)))</f>
        <v/>
      </c>
      <c r="K209" s="105" t="str">
        <f t="array" ref="K209">IF(ISBLANK(G209),"",INDEX('POR Config List'!G:G,MATCH(G209,'POR Config List'!D:D,0)))</f>
        <v/>
      </c>
      <c r="L209" s="105"/>
      <c r="M209" s="105" t="str">
        <f t="array" ref="M209">IF(ISBLANK(G209),"",INDEX('label approval artwork'!Q:Q,MATCH( G209,'label approval artwork'!F:F,0)))</f>
        <v/>
      </c>
      <c r="N209" s="169" t="str">
        <f t="shared" si="5"/>
        <v/>
      </c>
      <c r="O209" s="102" t="str">
        <f t="array" ref="O209">IF(ISBLANK(G209),"",INDEX('POR Config List'!C:C,MATCH(G209,'POR Config List'!D:D,0)))</f>
        <v/>
      </c>
      <c r="P209" s="105" t="str">
        <f t="shared" si="4"/>
        <v/>
      </c>
      <c r="Q209" s="105" t="str">
        <f t="array" ref="Q209">IF(ISBLANK(G209),"",INDEX('label approval artwork'!J:J,MATCH( G209,'label approval artwork'!F:F,0)))</f>
        <v/>
      </c>
      <c r="R209" s="105" t="str">
        <f t="array" ref="R209">IFERROR( IF(P209&lt;&gt;"EMA",INDEX('label approval artwork'!H:H,MATCH(G209,'label approval artwork'!F:F,0),"")),"")</f>
        <v/>
      </c>
      <c r="S209" s="105"/>
      <c r="T209" s="105" t="str">
        <f t="array" ref="T209">IF(ISBLANK(G209),"",INDEX('POR Config List'!I:I,MATCH(G209,'POR Config List'!D:D,0)))</f>
        <v/>
      </c>
      <c r="AA209" s="100" t="str">
        <f t="array" ref="AA209">IF(ISBLANK(G209),"",INDEX('POR Config List'!E:E,MATCH(G209,'POR Config List'!D:D,0)))</f>
        <v/>
      </c>
      <c r="AC209" s="105"/>
      <c r="AD209" s="100"/>
      <c r="AE209" s="100"/>
      <c r="AF209" s="100"/>
      <c r="AG209" s="100"/>
      <c r="AM209" s="102"/>
      <c r="AN209" s="102"/>
      <c r="AR209" s="119"/>
      <c r="AS209" s="103"/>
    </row>
    <row r="210">
      <c r="A210" s="168"/>
      <c r="B210" s="100" t="str">
        <f t="array" ref="B210">IFERROR( INDEX('POR Config List'!A:A,MATCH(G210,'POR Config List'!D:D,0)),"")</f>
        <v/>
      </c>
      <c r="C210" s="101" t="str">
        <f t="array" ref="C210">IFERROR(INDEX('label approval artwork'!E:E,MATCH(G210,'label approval artwork'!F:F,0),""),"")</f>
        <v/>
      </c>
      <c r="D210" s="102" t="str">
        <f t="shared" si="3"/>
        <v/>
      </c>
      <c r="E210" s="100" t="str">
        <f t="array" ref="E210">IF(ISBLANK(G210),"",INDEX('POR Config List'!K:K,MATCH(G210,'POR Config List'!D:D,0)))</f>
        <v/>
      </c>
      <c r="F210" s="100" t="str">
        <f t="array" ref="F210">IF(ISBLANK(G210),"",INDEX('POR Config List'!J:J,MATCH(G210,'POR Config List'!D:D,0)))</f>
        <v/>
      </c>
      <c r="G210" s="119"/>
      <c r="H210" s="104" t="str">
        <f t="array" ref="H210">IF(ISBLANK(G210),"",INDEX('MP SKUs'!G:G,MATCH(G210,'MP SKUs'!A:A,0)))</f>
        <v/>
      </c>
      <c r="I210" s="105" t="str">
        <f t="array" ref="I210">IF(ISBLANK(G210),"",INDEX('POR Config List'!O:O,MATCH(G210,'POR Config List'!D:D,0)))</f>
        <v/>
      </c>
      <c r="J210" s="104" t="str">
        <f t="array" ref="J210">IF(ISBLANK(G210),"",INDEX('POR Config List'!H:H,MATCH(G210,'POR Config List'!D:D,0)))</f>
        <v/>
      </c>
      <c r="K210" s="105" t="str">
        <f t="array" ref="K210">IF(ISBLANK(G210),"",INDEX('POR Config List'!G:G,MATCH(G210,'POR Config List'!D:D,0)))</f>
        <v/>
      </c>
      <c r="L210" s="105"/>
      <c r="M210" s="105" t="str">
        <f t="array" ref="M210">IF(ISBLANK(G210),"",INDEX('label approval artwork'!Q:Q,MATCH( G210,'label approval artwork'!F:F,0)))</f>
        <v/>
      </c>
      <c r="N210" s="169" t="str">
        <f t="shared" si="5"/>
        <v/>
      </c>
      <c r="O210" s="102" t="str">
        <f t="array" ref="O210">IF(ISBLANK(G210),"",INDEX('POR Config List'!C:C,MATCH(G210,'POR Config List'!D:D,0)))</f>
        <v/>
      </c>
      <c r="P210" s="105" t="str">
        <f t="shared" si="4"/>
        <v/>
      </c>
      <c r="Q210" s="105" t="str">
        <f t="array" ref="Q210">IF(ISBLANK(G210),"",INDEX('label approval artwork'!J:J,MATCH( G210,'label approval artwork'!F:F,0)))</f>
        <v/>
      </c>
      <c r="R210" s="105" t="str">
        <f t="array" ref="R210">IFERROR( IF(P210&lt;&gt;"EMA",INDEX('label approval artwork'!H:H,MATCH(G210,'label approval artwork'!F:F,0),"")),"")</f>
        <v/>
      </c>
      <c r="S210" s="105"/>
      <c r="T210" s="105" t="str">
        <f t="array" ref="T210">IF(ISBLANK(G210),"",INDEX('POR Config List'!I:I,MATCH(G210,'POR Config List'!D:D,0)))</f>
        <v/>
      </c>
      <c r="AA210" s="100" t="str">
        <f t="array" ref="AA210">IF(ISBLANK(G210),"",INDEX('POR Config List'!E:E,MATCH(G210,'POR Config List'!D:D,0)))</f>
        <v/>
      </c>
      <c r="AC210" s="105"/>
      <c r="AD210" s="100"/>
      <c r="AE210" s="100"/>
      <c r="AF210" s="100"/>
      <c r="AG210" s="100"/>
      <c r="AM210" s="102"/>
      <c r="AN210" s="102"/>
      <c r="AR210" s="119"/>
      <c r="AS210" s="103"/>
    </row>
    <row r="211">
      <c r="A211" s="168"/>
      <c r="B211" s="100" t="str">
        <f t="array" ref="B211">IFERROR( INDEX('POR Config List'!A:A,MATCH(G211,'POR Config List'!D:D,0)),"")</f>
        <v/>
      </c>
      <c r="C211" s="101" t="str">
        <f t="array" ref="C211">IFERROR(INDEX('label approval artwork'!E:E,MATCH(G211,'label approval artwork'!F:F,0),""),"")</f>
        <v/>
      </c>
      <c r="D211" s="102" t="str">
        <f t="shared" si="3"/>
        <v/>
      </c>
      <c r="E211" s="100" t="str">
        <f t="array" ref="E211">IF(ISBLANK(G211),"",INDEX('POR Config List'!K:K,MATCH(G211,'POR Config List'!D:D,0)))</f>
        <v/>
      </c>
      <c r="F211" s="100" t="str">
        <f t="array" ref="F211">IF(ISBLANK(G211),"",INDEX('POR Config List'!J:J,MATCH(G211,'POR Config List'!D:D,0)))</f>
        <v/>
      </c>
      <c r="G211" s="119"/>
      <c r="H211" s="104" t="str">
        <f t="array" ref="H211">IF(ISBLANK(G211),"",INDEX('MP SKUs'!G:G,MATCH(G211,'MP SKUs'!A:A,0)))</f>
        <v/>
      </c>
      <c r="I211" s="105" t="str">
        <f t="array" ref="I211">IF(ISBLANK(G211),"",INDEX('POR Config List'!O:O,MATCH(G211,'POR Config List'!D:D,0)))</f>
        <v/>
      </c>
      <c r="J211" s="104" t="str">
        <f t="array" ref="J211">IF(ISBLANK(G211),"",INDEX('POR Config List'!H:H,MATCH(G211,'POR Config List'!D:D,0)))</f>
        <v/>
      </c>
      <c r="K211" s="105" t="str">
        <f t="array" ref="K211">IF(ISBLANK(G211),"",INDEX('POR Config List'!G:G,MATCH(G211,'POR Config List'!D:D,0)))</f>
        <v/>
      </c>
      <c r="L211" s="105"/>
      <c r="M211" s="105" t="str">
        <f t="array" ref="M211">IF(ISBLANK(G211),"",INDEX('label approval artwork'!Q:Q,MATCH( G211,'label approval artwork'!F:F,0)))</f>
        <v/>
      </c>
      <c r="N211" s="169" t="str">
        <f t="shared" si="5"/>
        <v/>
      </c>
      <c r="O211" s="102" t="str">
        <f t="array" ref="O211">IF(ISBLANK(G211),"",INDEX('POR Config List'!C:C,MATCH(G211,'POR Config List'!D:D,0)))</f>
        <v/>
      </c>
      <c r="P211" s="105" t="str">
        <f t="shared" si="4"/>
        <v/>
      </c>
      <c r="Q211" s="105" t="str">
        <f t="array" ref="Q211">IF(ISBLANK(G211),"",INDEX('label approval artwork'!J:J,MATCH( G211,'label approval artwork'!F:F,0)))</f>
        <v/>
      </c>
      <c r="R211" s="105" t="str">
        <f t="array" ref="R211">IFERROR( IF(P211&lt;&gt;"EMA",INDEX('label approval artwork'!H:H,MATCH(G211,'label approval artwork'!F:F,0),"")),"")</f>
        <v/>
      </c>
      <c r="S211" s="105"/>
      <c r="T211" s="105" t="str">
        <f t="array" ref="T211">IF(ISBLANK(G211),"",INDEX('POR Config List'!I:I,MATCH(G211,'POR Config List'!D:D,0)))</f>
        <v/>
      </c>
      <c r="AA211" s="100" t="str">
        <f t="array" ref="AA211">IF(ISBLANK(G211),"",INDEX('POR Config List'!E:E,MATCH(G211,'POR Config List'!D:D,0)))</f>
        <v/>
      </c>
      <c r="AC211" s="105"/>
      <c r="AD211" s="100"/>
      <c r="AE211" s="100"/>
      <c r="AF211" s="100"/>
      <c r="AG211" s="100"/>
      <c r="AM211" s="102"/>
      <c r="AN211" s="102"/>
      <c r="AR211" s="119"/>
      <c r="AS211" s="103"/>
    </row>
    <row r="212">
      <c r="A212" s="168"/>
      <c r="B212" s="100" t="str">
        <f t="array" ref="B212">IFERROR( INDEX('POR Config List'!A:A,MATCH(G212,'POR Config List'!D:D,0)),"")</f>
        <v/>
      </c>
      <c r="C212" s="101" t="str">
        <f t="array" ref="C212">IFERROR(INDEX('label approval artwork'!E:E,MATCH(G212,'label approval artwork'!F:F,0),""),"")</f>
        <v/>
      </c>
      <c r="D212" s="102" t="str">
        <f t="shared" si="3"/>
        <v/>
      </c>
      <c r="E212" s="100" t="str">
        <f t="array" ref="E212">IF(ISBLANK(G212),"",INDEX('POR Config List'!K:K,MATCH(G212,'POR Config List'!D:D,0)))</f>
        <v/>
      </c>
      <c r="F212" s="100" t="str">
        <f t="array" ref="F212">IF(ISBLANK(G212),"",INDEX('POR Config List'!J:J,MATCH(G212,'POR Config List'!D:D,0)))</f>
        <v/>
      </c>
      <c r="G212" s="119"/>
      <c r="H212" s="104" t="str">
        <f t="array" ref="H212">IF(ISBLANK(G212),"",INDEX('MP SKUs'!G:G,MATCH(G212,'MP SKUs'!A:A,0)))</f>
        <v/>
      </c>
      <c r="I212" s="105" t="str">
        <f t="array" ref="I212">IF(ISBLANK(G212),"",INDEX('POR Config List'!O:O,MATCH(G212,'POR Config List'!D:D,0)))</f>
        <v/>
      </c>
      <c r="J212" s="104" t="str">
        <f t="array" ref="J212">IF(ISBLANK(G212),"",INDEX('POR Config List'!H:H,MATCH(G212,'POR Config List'!D:D,0)))</f>
        <v/>
      </c>
      <c r="K212" s="105" t="str">
        <f t="array" ref="K212">IF(ISBLANK(G212),"",INDEX('POR Config List'!G:G,MATCH(G212,'POR Config List'!D:D,0)))</f>
        <v/>
      </c>
      <c r="L212" s="105"/>
      <c r="M212" s="105" t="str">
        <f t="array" ref="M212">IF(ISBLANK(G212),"",INDEX('label approval artwork'!Q:Q,MATCH( G212,'label approval artwork'!F:F,0)))</f>
        <v/>
      </c>
      <c r="N212" s="169" t="str">
        <f t="shared" si="5"/>
        <v/>
      </c>
      <c r="O212" s="102" t="str">
        <f t="array" ref="O212">IF(ISBLANK(G212),"",INDEX('POR Config List'!C:C,MATCH(G212,'POR Config List'!D:D,0)))</f>
        <v/>
      </c>
      <c r="P212" s="105" t="str">
        <f t="shared" si="4"/>
        <v/>
      </c>
      <c r="Q212" s="105" t="str">
        <f t="array" ref="Q212">IF(ISBLANK(G212),"",INDEX('label approval artwork'!J:J,MATCH( G212,'label approval artwork'!F:F,0)))</f>
        <v/>
      </c>
      <c r="R212" s="105" t="str">
        <f t="array" ref="R212">IFERROR( IF(P212&lt;&gt;"EMA",INDEX('label approval artwork'!H:H,MATCH(G212,'label approval artwork'!F:F,0),"")),"")</f>
        <v/>
      </c>
      <c r="S212" s="105"/>
      <c r="T212" s="105" t="str">
        <f t="array" ref="T212">IF(ISBLANK(G212),"",INDEX('POR Config List'!I:I,MATCH(G212,'POR Config List'!D:D,0)))</f>
        <v/>
      </c>
      <c r="AA212" s="100" t="str">
        <f t="array" ref="AA212">IF(ISBLANK(G212),"",INDEX('POR Config List'!E:E,MATCH(G212,'POR Config List'!D:D,0)))</f>
        <v/>
      </c>
      <c r="AC212" s="105"/>
      <c r="AD212" s="100"/>
      <c r="AE212" s="100"/>
      <c r="AF212" s="100"/>
      <c r="AG212" s="100"/>
      <c r="AM212" s="102"/>
      <c r="AN212" s="102"/>
      <c r="AR212" s="119"/>
      <c r="AS212" s="103"/>
    </row>
    <row r="213">
      <c r="A213" s="168"/>
      <c r="B213" s="100" t="str">
        <f t="array" ref="B213">IFERROR( INDEX('POR Config List'!A:A,MATCH(G213,'POR Config List'!D:D,0)),"")</f>
        <v/>
      </c>
      <c r="C213" s="101" t="str">
        <f t="array" ref="C213">IFERROR(INDEX('label approval artwork'!E:E,MATCH(G213,'label approval artwork'!F:F,0),""),"")</f>
        <v/>
      </c>
      <c r="D213" s="102" t="str">
        <f t="shared" si="3"/>
        <v/>
      </c>
      <c r="E213" s="100" t="str">
        <f t="array" ref="E213">IF(ISBLANK(G213),"",INDEX('POR Config List'!K:K,MATCH(G213,'POR Config List'!D:D,0)))</f>
        <v/>
      </c>
      <c r="F213" s="100" t="str">
        <f t="array" ref="F213">IF(ISBLANK(G213),"",INDEX('POR Config List'!J:J,MATCH(G213,'POR Config List'!D:D,0)))</f>
        <v/>
      </c>
      <c r="G213" s="119"/>
      <c r="H213" s="104" t="str">
        <f t="array" ref="H213">IF(ISBLANK(G213),"",INDEX('MP SKUs'!G:G,MATCH(G213,'MP SKUs'!A:A,0)))</f>
        <v/>
      </c>
      <c r="I213" s="105" t="str">
        <f t="array" ref="I213">IF(ISBLANK(G213),"",INDEX('POR Config List'!O:O,MATCH(G213,'POR Config List'!D:D,0)))</f>
        <v/>
      </c>
      <c r="J213" s="104" t="str">
        <f t="array" ref="J213">IF(ISBLANK(G213),"",INDEX('POR Config List'!H:H,MATCH(G213,'POR Config List'!D:D,0)))</f>
        <v/>
      </c>
      <c r="K213" s="105" t="str">
        <f t="array" ref="K213">IF(ISBLANK(G213),"",INDEX('POR Config List'!G:G,MATCH(G213,'POR Config List'!D:D,0)))</f>
        <v/>
      </c>
      <c r="L213" s="105"/>
      <c r="M213" s="105" t="str">
        <f t="array" ref="M213">IF(ISBLANK(G213),"",INDEX('label approval artwork'!Q:Q,MATCH( G213,'label approval artwork'!F:F,0)))</f>
        <v/>
      </c>
      <c r="N213" s="169" t="str">
        <f t="shared" si="5"/>
        <v/>
      </c>
      <c r="O213" s="102" t="str">
        <f t="array" ref="O213">IF(ISBLANK(G213),"",INDEX('POR Config List'!C:C,MATCH(G213,'POR Config List'!D:D,0)))</f>
        <v/>
      </c>
      <c r="P213" s="105" t="str">
        <f t="shared" si="4"/>
        <v/>
      </c>
      <c r="Q213" s="105" t="str">
        <f t="array" ref="Q213">IF(ISBLANK(G213),"",INDEX('label approval artwork'!J:J,MATCH( G213,'label approval artwork'!F:F,0)))</f>
        <v/>
      </c>
      <c r="R213" s="105" t="str">
        <f t="array" ref="R213">IFERROR( IF(P213&lt;&gt;"EMA",INDEX('label approval artwork'!H:H,MATCH(G213,'label approval artwork'!F:F,0),"")),"")</f>
        <v/>
      </c>
      <c r="S213" s="105"/>
      <c r="T213" s="105" t="str">
        <f t="array" ref="T213">IF(ISBLANK(G213),"",INDEX('POR Config List'!I:I,MATCH(G213,'POR Config List'!D:D,0)))</f>
        <v/>
      </c>
      <c r="AA213" s="100" t="str">
        <f t="array" ref="AA213">IF(ISBLANK(G213),"",INDEX('POR Config List'!E:E,MATCH(G213,'POR Config List'!D:D,0)))</f>
        <v/>
      </c>
      <c r="AC213" s="105"/>
      <c r="AD213" s="100"/>
      <c r="AE213" s="100"/>
      <c r="AF213" s="100"/>
      <c r="AG213" s="100"/>
      <c r="AM213" s="102"/>
      <c r="AN213" s="102"/>
      <c r="AR213" s="119"/>
      <c r="AS213" s="103"/>
    </row>
    <row r="214">
      <c r="A214" s="168"/>
      <c r="B214" s="100" t="str">
        <f t="array" ref="B214">IFERROR( INDEX('POR Config List'!A:A,MATCH(G214,'POR Config List'!D:D,0)),"")</f>
        <v/>
      </c>
      <c r="C214" s="101" t="str">
        <f t="array" ref="C214">IFERROR(INDEX('label approval artwork'!E:E,MATCH(G214,'label approval artwork'!F:F,0),""),"")</f>
        <v/>
      </c>
      <c r="D214" s="102" t="str">
        <f t="shared" si="3"/>
        <v/>
      </c>
      <c r="E214" s="100" t="str">
        <f t="array" ref="E214">IF(ISBLANK(G214),"",INDEX('POR Config List'!K:K,MATCH(G214,'POR Config List'!D:D,0)))</f>
        <v/>
      </c>
      <c r="F214" s="100" t="str">
        <f t="array" ref="F214">IF(ISBLANK(G214),"",INDEX('POR Config List'!J:J,MATCH(G214,'POR Config List'!D:D,0)))</f>
        <v/>
      </c>
      <c r="G214" s="119"/>
      <c r="H214" s="104" t="str">
        <f t="array" ref="H214">IF(ISBLANK(G214),"",INDEX('MP SKUs'!G:G,MATCH(G214,'MP SKUs'!A:A,0)))</f>
        <v/>
      </c>
      <c r="I214" s="105" t="str">
        <f t="array" ref="I214">IF(ISBLANK(G214),"",INDEX('POR Config List'!O:O,MATCH(G214,'POR Config List'!D:D,0)))</f>
        <v/>
      </c>
      <c r="J214" s="104" t="str">
        <f t="array" ref="J214">IF(ISBLANK(G214),"",INDEX('POR Config List'!H:H,MATCH(G214,'POR Config List'!D:D,0)))</f>
        <v/>
      </c>
      <c r="K214" s="105" t="str">
        <f t="array" ref="K214">IF(ISBLANK(G214),"",INDEX('POR Config List'!G:G,MATCH(G214,'POR Config List'!D:D,0)))</f>
        <v/>
      </c>
      <c r="L214" s="105"/>
      <c r="M214" s="105" t="str">
        <f t="array" ref="M214">IF(ISBLANK(G214),"",INDEX('label approval artwork'!Q:Q,MATCH( G214,'label approval artwork'!F:F,0)))</f>
        <v/>
      </c>
      <c r="N214" s="169" t="str">
        <f t="shared" si="5"/>
        <v/>
      </c>
      <c r="O214" s="102" t="str">
        <f t="array" ref="O214">IF(ISBLANK(G214),"",INDEX('POR Config List'!C:C,MATCH(G214,'POR Config List'!D:D,0)))</f>
        <v/>
      </c>
      <c r="P214" s="105" t="str">
        <f t="shared" si="4"/>
        <v/>
      </c>
      <c r="Q214" s="105" t="str">
        <f t="array" ref="Q214">IF(ISBLANK(G214),"",INDEX('label approval artwork'!J:J,MATCH( G214,'label approval artwork'!F:F,0)))</f>
        <v/>
      </c>
      <c r="R214" s="105" t="str">
        <f t="array" ref="R214">IFERROR( IF(P214&lt;&gt;"EMA",INDEX('label approval artwork'!H:H,MATCH(G214,'label approval artwork'!F:F,0),"")),"")</f>
        <v/>
      </c>
      <c r="S214" s="105"/>
      <c r="T214" s="105" t="str">
        <f t="array" ref="T214">IF(ISBLANK(G214),"",INDEX('POR Config List'!I:I,MATCH(G214,'POR Config List'!D:D,0)))</f>
        <v/>
      </c>
      <c r="AA214" s="100" t="str">
        <f t="array" ref="AA214">IF(ISBLANK(G214),"",INDEX('POR Config List'!E:E,MATCH(G214,'POR Config List'!D:D,0)))</f>
        <v/>
      </c>
      <c r="AC214" s="105"/>
      <c r="AD214" s="100"/>
      <c r="AE214" s="100"/>
      <c r="AF214" s="100"/>
      <c r="AG214" s="100"/>
      <c r="AM214" s="102"/>
      <c r="AN214" s="102"/>
      <c r="AR214" s="119"/>
      <c r="AS214" s="103"/>
    </row>
    <row r="215">
      <c r="A215" s="168"/>
      <c r="B215" s="100" t="str">
        <f t="array" ref="B215">IFERROR( INDEX('POR Config List'!A:A,MATCH(G215,'POR Config List'!D:D,0)),"")</f>
        <v/>
      </c>
      <c r="C215" s="101" t="str">
        <f t="array" ref="C215">IFERROR(INDEX('label approval artwork'!E:E,MATCH(G215,'label approval artwork'!F:F,0),""),"")</f>
        <v/>
      </c>
      <c r="D215" s="102" t="str">
        <f t="shared" si="3"/>
        <v/>
      </c>
      <c r="E215" s="100" t="str">
        <f t="array" ref="E215">IF(ISBLANK(G215),"",INDEX('POR Config List'!K:K,MATCH(G215,'POR Config List'!D:D,0)))</f>
        <v/>
      </c>
      <c r="F215" s="100" t="str">
        <f t="array" ref="F215">IF(ISBLANK(G215),"",INDEX('POR Config List'!J:J,MATCH(G215,'POR Config List'!D:D,0)))</f>
        <v/>
      </c>
      <c r="G215" s="119"/>
      <c r="H215" s="104" t="str">
        <f t="array" ref="H215">IF(ISBLANK(G215),"",INDEX('MP SKUs'!G:G,MATCH(G215,'MP SKUs'!A:A,0)))</f>
        <v/>
      </c>
      <c r="I215" s="105" t="str">
        <f t="array" ref="I215">IF(ISBLANK(G215),"",INDEX('POR Config List'!O:O,MATCH(G215,'POR Config List'!D:D,0)))</f>
        <v/>
      </c>
      <c r="J215" s="104" t="str">
        <f t="array" ref="J215">IF(ISBLANK(G215),"",INDEX('POR Config List'!H:H,MATCH(G215,'POR Config List'!D:D,0)))</f>
        <v/>
      </c>
      <c r="K215" s="105" t="str">
        <f t="array" ref="K215">IF(ISBLANK(G215),"",INDEX('POR Config List'!G:G,MATCH(G215,'POR Config List'!D:D,0)))</f>
        <v/>
      </c>
      <c r="L215" s="105"/>
      <c r="M215" s="105" t="str">
        <f t="array" ref="M215">IF(ISBLANK(G215),"",INDEX('label approval artwork'!Q:Q,MATCH( G215,'label approval artwork'!F:F,0)))</f>
        <v/>
      </c>
      <c r="N215" s="169" t="str">
        <f t="shared" si="5"/>
        <v/>
      </c>
      <c r="O215" s="102" t="str">
        <f t="array" ref="O215">IF(ISBLANK(G215),"",INDEX('POR Config List'!C:C,MATCH(G215,'POR Config List'!D:D,0)))</f>
        <v/>
      </c>
      <c r="P215" s="105" t="str">
        <f t="shared" si="4"/>
        <v/>
      </c>
      <c r="Q215" s="105" t="str">
        <f t="array" ref="Q215">IF(ISBLANK(G215),"",INDEX('label approval artwork'!J:J,MATCH( G215,'label approval artwork'!F:F,0)))</f>
        <v/>
      </c>
      <c r="R215" s="105" t="str">
        <f t="array" ref="R215">IFERROR( IF(P215&lt;&gt;"EMA",INDEX('label approval artwork'!H:H,MATCH(G215,'label approval artwork'!F:F,0),"")),"")</f>
        <v/>
      </c>
      <c r="S215" s="105"/>
      <c r="T215" s="105" t="str">
        <f t="array" ref="T215">IF(ISBLANK(G215),"",INDEX('POR Config List'!I:I,MATCH(G215,'POR Config List'!D:D,0)))</f>
        <v/>
      </c>
      <c r="AA215" s="100" t="str">
        <f t="array" ref="AA215">IF(ISBLANK(G215),"",INDEX('POR Config List'!E:E,MATCH(G215,'POR Config List'!D:D,0)))</f>
        <v/>
      </c>
      <c r="AC215" s="105"/>
      <c r="AD215" s="100"/>
      <c r="AE215" s="100"/>
      <c r="AF215" s="100"/>
      <c r="AG215" s="100"/>
      <c r="AM215" s="102"/>
      <c r="AN215" s="102"/>
      <c r="AR215" s="119"/>
      <c r="AS215" s="103"/>
    </row>
    <row r="216">
      <c r="A216" s="168"/>
      <c r="B216" s="100" t="str">
        <f t="array" ref="B216">IFERROR( INDEX('POR Config List'!A:A,MATCH(G216,'POR Config List'!D:D,0)),"")</f>
        <v/>
      </c>
      <c r="C216" s="101" t="str">
        <f t="array" ref="C216">IFERROR(INDEX('label approval artwork'!E:E,MATCH(G216,'label approval artwork'!F:F,0),""),"")</f>
        <v/>
      </c>
      <c r="D216" s="102" t="str">
        <f t="shared" si="3"/>
        <v/>
      </c>
      <c r="E216" s="100" t="str">
        <f t="array" ref="E216">IF(ISBLANK(G216),"",INDEX('POR Config List'!K:K,MATCH(G216,'POR Config List'!D:D,0)))</f>
        <v/>
      </c>
      <c r="F216" s="100" t="str">
        <f t="array" ref="F216">IF(ISBLANK(G216),"",INDEX('POR Config List'!J:J,MATCH(G216,'POR Config List'!D:D,0)))</f>
        <v/>
      </c>
      <c r="G216" s="119"/>
      <c r="H216" s="104" t="str">
        <f t="array" ref="H216">IF(ISBLANK(G216),"",INDEX('MP SKUs'!G:G,MATCH(G216,'MP SKUs'!A:A,0)))</f>
        <v/>
      </c>
      <c r="I216" s="105" t="str">
        <f t="array" ref="I216">IF(ISBLANK(G216),"",INDEX('POR Config List'!O:O,MATCH(G216,'POR Config List'!D:D,0)))</f>
        <v/>
      </c>
      <c r="J216" s="104" t="str">
        <f t="array" ref="J216">IF(ISBLANK(G216),"",INDEX('POR Config List'!H:H,MATCH(G216,'POR Config List'!D:D,0)))</f>
        <v/>
      </c>
      <c r="K216" s="105" t="str">
        <f t="array" ref="K216">IF(ISBLANK(G216),"",INDEX('POR Config List'!G:G,MATCH(G216,'POR Config List'!D:D,0)))</f>
        <v/>
      </c>
      <c r="L216" s="105"/>
      <c r="M216" s="105" t="str">
        <f t="array" ref="M216">IF(ISBLANK(G216),"",INDEX('label approval artwork'!Q:Q,MATCH( G216,'label approval artwork'!F:F,0)))</f>
        <v/>
      </c>
      <c r="N216" s="169" t="str">
        <f t="shared" si="5"/>
        <v/>
      </c>
      <c r="O216" s="102" t="str">
        <f t="array" ref="O216">IF(ISBLANK(G216),"",INDEX('POR Config List'!C:C,MATCH(G216,'POR Config List'!D:D,0)))</f>
        <v/>
      </c>
      <c r="P216" s="105" t="str">
        <f t="shared" si="4"/>
        <v/>
      </c>
      <c r="Q216" s="105" t="str">
        <f t="array" ref="Q216">IF(ISBLANK(G216),"",INDEX('label approval artwork'!J:J,MATCH( G216,'label approval artwork'!F:F,0)))</f>
        <v/>
      </c>
      <c r="R216" s="105" t="str">
        <f t="array" ref="R216">IFERROR( IF(P216&lt;&gt;"EMA",INDEX('label approval artwork'!H:H,MATCH(G216,'label approval artwork'!F:F,0),"")),"")</f>
        <v/>
      </c>
      <c r="S216" s="105"/>
      <c r="T216" s="105" t="str">
        <f t="array" ref="T216">IF(ISBLANK(G216),"",INDEX('POR Config List'!I:I,MATCH(G216,'POR Config List'!D:D,0)))</f>
        <v/>
      </c>
      <c r="AA216" s="100" t="str">
        <f t="array" ref="AA216">IF(ISBLANK(G216),"",INDEX('POR Config List'!E:E,MATCH(G216,'POR Config List'!D:D,0)))</f>
        <v/>
      </c>
      <c r="AC216" s="105"/>
      <c r="AD216" s="100"/>
      <c r="AE216" s="100"/>
      <c r="AF216" s="100"/>
      <c r="AG216" s="100"/>
      <c r="AM216" s="102"/>
      <c r="AN216" s="102"/>
      <c r="AR216" s="119"/>
      <c r="AS216" s="103"/>
    </row>
    <row r="217">
      <c r="A217" s="168"/>
      <c r="B217" s="100" t="str">
        <f t="array" ref="B217">IFERROR( INDEX('POR Config List'!A:A,MATCH(G217,'POR Config List'!D:D,0)),"")</f>
        <v/>
      </c>
      <c r="C217" s="101" t="str">
        <f t="array" ref="C217">IFERROR(INDEX('label approval artwork'!E:E,MATCH(G217,'label approval artwork'!F:F,0),""),"")</f>
        <v/>
      </c>
      <c r="D217" s="102" t="str">
        <f t="shared" si="3"/>
        <v/>
      </c>
      <c r="E217" s="100" t="str">
        <f t="array" ref="E217">IF(ISBLANK(G217),"",INDEX('POR Config List'!K:K,MATCH(G217,'POR Config List'!D:D,0)))</f>
        <v/>
      </c>
      <c r="F217" s="100" t="str">
        <f t="array" ref="F217">IF(ISBLANK(G217),"",INDEX('POR Config List'!J:J,MATCH(G217,'POR Config List'!D:D,0)))</f>
        <v/>
      </c>
      <c r="G217" s="119"/>
      <c r="H217" s="104" t="str">
        <f t="array" ref="H217">IF(ISBLANK(G217),"",INDEX('MP SKUs'!G:G,MATCH(G217,'MP SKUs'!A:A,0)))</f>
        <v/>
      </c>
      <c r="I217" s="105" t="str">
        <f t="array" ref="I217">IF(ISBLANK(G217),"",INDEX('POR Config List'!O:O,MATCH(G217,'POR Config List'!D:D,0)))</f>
        <v/>
      </c>
      <c r="J217" s="104" t="str">
        <f t="array" ref="J217">IF(ISBLANK(G217),"",INDEX('POR Config List'!H:H,MATCH(G217,'POR Config List'!D:D,0)))</f>
        <v/>
      </c>
      <c r="K217" s="105" t="str">
        <f t="array" ref="K217">IF(ISBLANK(G217),"",INDEX('POR Config List'!G:G,MATCH(G217,'POR Config List'!D:D,0)))</f>
        <v/>
      </c>
      <c r="L217" s="105"/>
      <c r="M217" s="105" t="str">
        <f t="array" ref="M217">IF(ISBLANK(G217),"",INDEX('label approval artwork'!Q:Q,MATCH( G217,'label approval artwork'!F:F,0)))</f>
        <v/>
      </c>
      <c r="N217" s="169" t="str">
        <f t="shared" si="5"/>
        <v/>
      </c>
      <c r="O217" s="102" t="str">
        <f t="array" ref="O217">IF(ISBLANK(G217),"",INDEX('POR Config List'!C:C,MATCH(G217,'POR Config List'!D:D,0)))</f>
        <v/>
      </c>
      <c r="P217" s="105" t="str">
        <f t="shared" si="4"/>
        <v/>
      </c>
      <c r="Q217" s="105" t="str">
        <f t="array" ref="Q217">IF(ISBLANK(G217),"",INDEX('label approval artwork'!J:J,MATCH( G217,'label approval artwork'!F:F,0)))</f>
        <v/>
      </c>
      <c r="R217" s="105" t="str">
        <f t="array" ref="R217">IFERROR( IF(P217&lt;&gt;"EMA",INDEX('label approval artwork'!H:H,MATCH(G217,'label approval artwork'!F:F,0),"")),"")</f>
        <v/>
      </c>
      <c r="S217" s="105"/>
      <c r="T217" s="105" t="str">
        <f t="array" ref="T217">IF(ISBLANK(G217),"",INDEX('POR Config List'!I:I,MATCH(G217,'POR Config List'!D:D,0)))</f>
        <v/>
      </c>
      <c r="AA217" s="100" t="str">
        <f t="array" ref="AA217">IF(ISBLANK(G217),"",INDEX('POR Config List'!E:E,MATCH(G217,'POR Config List'!D:D,0)))</f>
        <v/>
      </c>
      <c r="AC217" s="105"/>
      <c r="AD217" s="100"/>
      <c r="AE217" s="100"/>
      <c r="AF217" s="100"/>
      <c r="AG217" s="100"/>
      <c r="AM217" s="102"/>
      <c r="AN217" s="102"/>
      <c r="AR217" s="119"/>
      <c r="AS217" s="103"/>
    </row>
    <row r="218">
      <c r="A218" s="168"/>
      <c r="B218" s="100" t="str">
        <f t="array" ref="B218">IFERROR( INDEX('POR Config List'!A:A,MATCH(G218,'POR Config List'!D:D,0)),"")</f>
        <v/>
      </c>
      <c r="C218" s="101" t="str">
        <f t="array" ref="C218">IFERROR(INDEX('label approval artwork'!E:E,MATCH(G218,'label approval artwork'!F:F,0),""),"")</f>
        <v/>
      </c>
      <c r="D218" s="102" t="str">
        <f t="shared" si="3"/>
        <v/>
      </c>
      <c r="E218" s="100" t="str">
        <f t="array" ref="E218">IF(ISBLANK(G218),"",INDEX('POR Config List'!K:K,MATCH(G218,'POR Config List'!D:D,0)))</f>
        <v/>
      </c>
      <c r="F218" s="100" t="str">
        <f t="array" ref="F218">IF(ISBLANK(G218),"",INDEX('POR Config List'!J:J,MATCH(G218,'POR Config List'!D:D,0)))</f>
        <v/>
      </c>
      <c r="G218" s="119"/>
      <c r="H218" s="104" t="str">
        <f t="array" ref="H218">IF(ISBLANK(G218),"",INDEX('MP SKUs'!G:G,MATCH(G218,'MP SKUs'!A:A,0)))</f>
        <v/>
      </c>
      <c r="I218" s="105" t="str">
        <f t="array" ref="I218">IF(ISBLANK(G218),"",INDEX('POR Config List'!O:O,MATCH(G218,'POR Config List'!D:D,0)))</f>
        <v/>
      </c>
      <c r="J218" s="104" t="str">
        <f t="array" ref="J218">IF(ISBLANK(G218),"",INDEX('POR Config List'!H:H,MATCH(G218,'POR Config List'!D:D,0)))</f>
        <v/>
      </c>
      <c r="K218" s="105" t="str">
        <f t="array" ref="K218">IF(ISBLANK(G218),"",INDEX('POR Config List'!G:G,MATCH(G218,'POR Config List'!D:D,0)))</f>
        <v/>
      </c>
      <c r="L218" s="105"/>
      <c r="M218" s="105" t="str">
        <f t="array" ref="M218">IF(ISBLANK(G218),"",INDEX('label approval artwork'!Q:Q,MATCH( G218,'label approval artwork'!F:F,0)))</f>
        <v/>
      </c>
      <c r="N218" s="169" t="str">
        <f t="shared" si="5"/>
        <v/>
      </c>
      <c r="O218" s="102" t="str">
        <f t="array" ref="O218">IF(ISBLANK(G218),"",INDEX('POR Config List'!C:C,MATCH(G218,'POR Config List'!D:D,0)))</f>
        <v/>
      </c>
      <c r="P218" s="105" t="str">
        <f t="shared" si="4"/>
        <v/>
      </c>
      <c r="Q218" s="105" t="str">
        <f t="array" ref="Q218">IF(ISBLANK(G218),"",INDEX('label approval artwork'!J:J,MATCH( G218,'label approval artwork'!F:F,0)))</f>
        <v/>
      </c>
      <c r="R218" s="105" t="str">
        <f t="array" ref="R218">IFERROR( IF(P218&lt;&gt;"EMA",INDEX('label approval artwork'!H:H,MATCH(G218,'label approval artwork'!F:F,0),"")),"")</f>
        <v/>
      </c>
      <c r="S218" s="105"/>
      <c r="T218" s="105" t="str">
        <f t="array" ref="T218">IF(ISBLANK(G218),"",INDEX('POR Config List'!I:I,MATCH(G218,'POR Config List'!D:D,0)))</f>
        <v/>
      </c>
      <c r="AA218" s="100" t="str">
        <f t="array" ref="AA218">IF(ISBLANK(G218),"",INDEX('POR Config List'!E:E,MATCH(G218,'POR Config List'!D:D,0)))</f>
        <v/>
      </c>
      <c r="AC218" s="105"/>
      <c r="AD218" s="100"/>
      <c r="AE218" s="100"/>
      <c r="AF218" s="100"/>
      <c r="AG218" s="100"/>
      <c r="AM218" s="102"/>
      <c r="AN218" s="102"/>
      <c r="AR218" s="119"/>
      <c r="AS218" s="103"/>
    </row>
    <row r="219">
      <c r="A219" s="168"/>
      <c r="B219" s="100" t="str">
        <f t="array" ref="B219">IFERROR( INDEX('POR Config List'!A:A,MATCH(G219,'POR Config List'!D:D,0)),"")</f>
        <v/>
      </c>
      <c r="C219" s="101" t="str">
        <f t="array" ref="C219">IFERROR(INDEX('label approval artwork'!E:E,MATCH(G219,'label approval artwork'!F:F,0),""),"")</f>
        <v/>
      </c>
      <c r="D219" s="102" t="str">
        <f t="shared" si="3"/>
        <v/>
      </c>
      <c r="E219" s="100" t="str">
        <f t="array" ref="E219">IF(ISBLANK(G219),"",INDEX('POR Config List'!K:K,MATCH(G219,'POR Config List'!D:D,0)))</f>
        <v/>
      </c>
      <c r="F219" s="100" t="str">
        <f t="array" ref="F219">IF(ISBLANK(G219),"",INDEX('POR Config List'!J:J,MATCH(G219,'POR Config List'!D:D,0)))</f>
        <v/>
      </c>
      <c r="G219" s="119"/>
      <c r="H219" s="104" t="str">
        <f t="array" ref="H219">IF(ISBLANK(G219),"",INDEX('MP SKUs'!G:G,MATCH(G219,'MP SKUs'!A:A,0)))</f>
        <v/>
      </c>
      <c r="I219" s="105" t="str">
        <f t="array" ref="I219">IF(ISBLANK(G219),"",INDEX('POR Config List'!O:O,MATCH(G219,'POR Config List'!D:D,0)))</f>
        <v/>
      </c>
      <c r="J219" s="104" t="str">
        <f t="array" ref="J219">IF(ISBLANK(G219),"",INDEX('POR Config List'!H:H,MATCH(G219,'POR Config List'!D:D,0)))</f>
        <v/>
      </c>
      <c r="K219" s="105" t="str">
        <f t="array" ref="K219">IF(ISBLANK(G219),"",INDEX('POR Config List'!G:G,MATCH(G219,'POR Config List'!D:D,0)))</f>
        <v/>
      </c>
      <c r="L219" s="105"/>
      <c r="M219" s="105" t="str">
        <f t="array" ref="M219">IF(ISBLANK(G219),"",INDEX('label approval artwork'!Q:Q,MATCH( G219,'label approval artwork'!F:F,0)))</f>
        <v/>
      </c>
      <c r="N219" s="169" t="str">
        <f t="shared" si="5"/>
        <v/>
      </c>
      <c r="O219" s="102" t="str">
        <f t="array" ref="O219">IF(ISBLANK(G219),"",INDEX('POR Config List'!C:C,MATCH(G219,'POR Config List'!D:D,0)))</f>
        <v/>
      </c>
      <c r="P219" s="105" t="str">
        <f t="shared" si="4"/>
        <v/>
      </c>
      <c r="Q219" s="105" t="str">
        <f t="array" ref="Q219">IF(ISBLANK(G219),"",INDEX('label approval artwork'!J:J,MATCH( G219,'label approval artwork'!F:F,0)))</f>
        <v/>
      </c>
      <c r="R219" s="105" t="str">
        <f t="array" ref="R219">IFERROR( IF(P219&lt;&gt;"EMA",INDEX('label approval artwork'!H:H,MATCH(G219,'label approval artwork'!F:F,0),"")),"")</f>
        <v/>
      </c>
      <c r="S219" s="105"/>
      <c r="T219" s="105" t="str">
        <f t="array" ref="T219">IF(ISBLANK(G219),"",INDEX('POR Config List'!I:I,MATCH(G219,'POR Config List'!D:D,0)))</f>
        <v/>
      </c>
      <c r="AA219" s="100" t="str">
        <f t="array" ref="AA219">IF(ISBLANK(G219),"",INDEX('POR Config List'!E:E,MATCH(G219,'POR Config List'!D:D,0)))</f>
        <v/>
      </c>
      <c r="AC219" s="105"/>
      <c r="AD219" s="100"/>
      <c r="AE219" s="100"/>
      <c r="AF219" s="100"/>
      <c r="AG219" s="100"/>
      <c r="AM219" s="102"/>
      <c r="AN219" s="102"/>
      <c r="AR219" s="119"/>
      <c r="AS219" s="103"/>
    </row>
    <row r="220">
      <c r="A220" s="168"/>
      <c r="B220" s="100" t="str">
        <f t="array" ref="B220">IFERROR( INDEX('POR Config List'!A:A,MATCH(G220,'POR Config List'!D:D,0)),"")</f>
        <v/>
      </c>
      <c r="C220" s="101" t="str">
        <f t="array" ref="C220">IFERROR(INDEX('label approval artwork'!E:E,MATCH(G220,'label approval artwork'!F:F,0),""),"")</f>
        <v/>
      </c>
      <c r="D220" s="102" t="str">
        <f t="shared" si="3"/>
        <v/>
      </c>
      <c r="E220" s="100" t="str">
        <f t="array" ref="E220">IF(ISBLANK(G220),"",INDEX('POR Config List'!K:K,MATCH(G220,'POR Config List'!D:D,0)))</f>
        <v/>
      </c>
      <c r="F220" s="100" t="str">
        <f t="array" ref="F220">IF(ISBLANK(G220),"",INDEX('POR Config List'!J:J,MATCH(G220,'POR Config List'!D:D,0)))</f>
        <v/>
      </c>
      <c r="G220" s="119"/>
      <c r="H220" s="104" t="str">
        <f t="array" ref="H220">IF(ISBLANK(G220),"",INDEX('MP SKUs'!G:G,MATCH(G220,'MP SKUs'!A:A,0)))</f>
        <v/>
      </c>
      <c r="I220" s="105" t="str">
        <f t="array" ref="I220">IF(ISBLANK(G220),"",INDEX('POR Config List'!O:O,MATCH(G220,'POR Config List'!D:D,0)))</f>
        <v/>
      </c>
      <c r="J220" s="104" t="str">
        <f t="array" ref="J220">IF(ISBLANK(G220),"",INDEX('POR Config List'!H:H,MATCH(G220,'POR Config List'!D:D,0)))</f>
        <v/>
      </c>
      <c r="K220" s="105" t="str">
        <f t="array" ref="K220">IF(ISBLANK(G220),"",INDEX('POR Config List'!G:G,MATCH(G220,'POR Config List'!D:D,0)))</f>
        <v/>
      </c>
      <c r="L220" s="105"/>
      <c r="M220" s="105" t="str">
        <f t="array" ref="M220">IF(ISBLANK(G220),"",INDEX('label approval artwork'!Q:Q,MATCH( G220,'label approval artwork'!F:F,0)))</f>
        <v/>
      </c>
      <c r="N220" s="169" t="str">
        <f t="shared" si="5"/>
        <v/>
      </c>
      <c r="O220" s="102" t="str">
        <f t="array" ref="O220">IF(ISBLANK(G220),"",INDEX('POR Config List'!C:C,MATCH(G220,'POR Config List'!D:D,0)))</f>
        <v/>
      </c>
      <c r="P220" s="105" t="str">
        <f t="shared" si="4"/>
        <v/>
      </c>
      <c r="Q220" s="105" t="str">
        <f t="array" ref="Q220">IF(ISBLANK(G220),"",INDEX('label approval artwork'!J:J,MATCH( G220,'label approval artwork'!F:F,0)))</f>
        <v/>
      </c>
      <c r="R220" s="105" t="str">
        <f t="array" ref="R220">IFERROR( IF(P220&lt;&gt;"EMA",INDEX('label approval artwork'!H:H,MATCH(G220,'label approval artwork'!F:F,0),"")),"")</f>
        <v/>
      </c>
      <c r="S220" s="105"/>
      <c r="T220" s="105" t="str">
        <f t="array" ref="T220">IF(ISBLANK(G220),"",INDEX('POR Config List'!I:I,MATCH(G220,'POR Config List'!D:D,0)))</f>
        <v/>
      </c>
      <c r="AA220" s="100" t="str">
        <f t="array" ref="AA220">IF(ISBLANK(G220),"",INDEX('POR Config List'!E:E,MATCH(G220,'POR Config List'!D:D,0)))</f>
        <v/>
      </c>
      <c r="AC220" s="105"/>
      <c r="AD220" s="100"/>
      <c r="AE220" s="100"/>
      <c r="AF220" s="100"/>
      <c r="AG220" s="100"/>
      <c r="AM220" s="102"/>
      <c r="AN220" s="102"/>
      <c r="AR220" s="119"/>
      <c r="AS220" s="103"/>
    </row>
    <row r="221">
      <c r="A221" s="168"/>
      <c r="B221" s="100" t="str">
        <f t="array" ref="B221">IFERROR( INDEX('POR Config List'!A:A,MATCH(G221,'POR Config List'!D:D,0)),"")</f>
        <v/>
      </c>
      <c r="C221" s="101" t="str">
        <f t="array" ref="C221">IFERROR(INDEX('label approval artwork'!E:E,MATCH(G221,'label approval artwork'!F:F,0),""),"")</f>
        <v/>
      </c>
      <c r="D221" s="102" t="str">
        <f t="shared" si="3"/>
        <v/>
      </c>
      <c r="E221" s="100" t="str">
        <f t="array" ref="E221">IF(ISBLANK(G221),"",INDEX('POR Config List'!K:K,MATCH(G221,'POR Config List'!D:D,0)))</f>
        <v/>
      </c>
      <c r="F221" s="100" t="str">
        <f t="array" ref="F221">IF(ISBLANK(G221),"",INDEX('POR Config List'!J:J,MATCH(G221,'POR Config List'!D:D,0)))</f>
        <v/>
      </c>
      <c r="G221" s="119"/>
      <c r="H221" s="104" t="str">
        <f t="array" ref="H221">IF(ISBLANK(G221),"",INDEX('MP SKUs'!G:G,MATCH(G221,'MP SKUs'!A:A,0)))</f>
        <v/>
      </c>
      <c r="I221" s="105" t="str">
        <f t="array" ref="I221">IF(ISBLANK(G221),"",INDEX('POR Config List'!O:O,MATCH(G221,'POR Config List'!D:D,0)))</f>
        <v/>
      </c>
      <c r="J221" s="104" t="str">
        <f t="array" ref="J221">IF(ISBLANK(G221),"",INDEX('POR Config List'!H:H,MATCH(G221,'POR Config List'!D:D,0)))</f>
        <v/>
      </c>
      <c r="K221" s="105" t="str">
        <f t="array" ref="K221">IF(ISBLANK(G221),"",INDEX('POR Config List'!G:G,MATCH(G221,'POR Config List'!D:D,0)))</f>
        <v/>
      </c>
      <c r="L221" s="105"/>
      <c r="M221" s="105" t="str">
        <f t="array" ref="M221">IF(ISBLANK(G221),"",INDEX('label approval artwork'!Q:Q,MATCH( G221,'label approval artwork'!F:F,0)))</f>
        <v/>
      </c>
      <c r="N221" s="169" t="str">
        <f t="shared" si="5"/>
        <v/>
      </c>
      <c r="O221" s="102" t="str">
        <f t="array" ref="O221">IF(ISBLANK(G221),"",INDEX('POR Config List'!C:C,MATCH(G221,'POR Config List'!D:D,0)))</f>
        <v/>
      </c>
      <c r="P221" s="105" t="str">
        <f t="shared" si="4"/>
        <v/>
      </c>
      <c r="Q221" s="105" t="str">
        <f t="array" ref="Q221">IF(ISBLANK(G221),"",INDEX('label approval artwork'!J:J,MATCH( G221,'label approval artwork'!F:F,0)))</f>
        <v/>
      </c>
      <c r="R221" s="105" t="str">
        <f t="array" ref="R221">IFERROR( IF(P221&lt;&gt;"EMA",INDEX('label approval artwork'!H:H,MATCH(G221,'label approval artwork'!F:F,0),"")),"")</f>
        <v/>
      </c>
      <c r="S221" s="105"/>
      <c r="T221" s="105" t="str">
        <f t="array" ref="T221">IF(ISBLANK(G221),"",INDEX('POR Config List'!I:I,MATCH(G221,'POR Config List'!D:D,0)))</f>
        <v/>
      </c>
      <c r="AA221" s="100" t="str">
        <f t="array" ref="AA221">IF(ISBLANK(G221),"",INDEX('POR Config List'!E:E,MATCH(G221,'POR Config List'!D:D,0)))</f>
        <v/>
      </c>
      <c r="AC221" s="105"/>
      <c r="AD221" s="100"/>
      <c r="AE221" s="100"/>
      <c r="AF221" s="100"/>
      <c r="AG221" s="100"/>
      <c r="AM221" s="102"/>
      <c r="AN221" s="102"/>
      <c r="AR221" s="119"/>
      <c r="AS221" s="103"/>
    </row>
    <row r="222">
      <c r="A222" s="168"/>
      <c r="B222" s="100" t="str">
        <f t="array" ref="B222">IFERROR( INDEX('POR Config List'!A:A,MATCH(G222,'POR Config List'!D:D,0)),"")</f>
        <v/>
      </c>
      <c r="C222" s="101" t="str">
        <f t="array" ref="C222">IFERROR(INDEX('label approval artwork'!E:E,MATCH(G222,'label approval artwork'!F:F,0),""),"")</f>
        <v/>
      </c>
      <c r="D222" s="102" t="str">
        <f t="shared" si="3"/>
        <v/>
      </c>
      <c r="E222" s="100" t="str">
        <f t="array" ref="E222">IF(ISBLANK(G222),"",INDEX('POR Config List'!K:K,MATCH(G222,'POR Config List'!D:D,0)))</f>
        <v/>
      </c>
      <c r="F222" s="100" t="str">
        <f t="array" ref="F222">IF(ISBLANK(G222),"",INDEX('POR Config List'!J:J,MATCH(G222,'POR Config List'!D:D,0)))</f>
        <v/>
      </c>
      <c r="G222" s="119"/>
      <c r="H222" s="104" t="str">
        <f t="array" ref="H222">IF(ISBLANK(G222),"",INDEX('MP SKUs'!G:G,MATCH(G222,'MP SKUs'!A:A,0)))</f>
        <v/>
      </c>
      <c r="I222" s="105" t="str">
        <f t="array" ref="I222">IF(ISBLANK(G222),"",INDEX('POR Config List'!O:O,MATCH(G222,'POR Config List'!D:D,0)))</f>
        <v/>
      </c>
      <c r="J222" s="104" t="str">
        <f t="array" ref="J222">IF(ISBLANK(G222),"",INDEX('POR Config List'!H:H,MATCH(G222,'POR Config List'!D:D,0)))</f>
        <v/>
      </c>
      <c r="K222" s="105" t="str">
        <f t="array" ref="K222">IF(ISBLANK(G222),"",INDEX('POR Config List'!G:G,MATCH(G222,'POR Config List'!D:D,0)))</f>
        <v/>
      </c>
      <c r="L222" s="105"/>
      <c r="M222" s="105" t="str">
        <f t="array" ref="M222">IF(ISBLANK(G222),"",INDEX('label approval artwork'!Q:Q,MATCH( G222,'label approval artwork'!F:F,0)))</f>
        <v/>
      </c>
      <c r="N222" s="169" t="str">
        <f t="shared" si="5"/>
        <v/>
      </c>
      <c r="O222" s="102" t="str">
        <f t="array" ref="O222">IF(ISBLANK(G222),"",INDEX('POR Config List'!C:C,MATCH(G222,'POR Config List'!D:D,0)))</f>
        <v/>
      </c>
      <c r="P222" s="105" t="str">
        <f t="shared" si="4"/>
        <v/>
      </c>
      <c r="Q222" s="105" t="str">
        <f t="array" ref="Q222">IF(ISBLANK(G222),"",INDEX('label approval artwork'!J:J,MATCH( G222,'label approval artwork'!F:F,0)))</f>
        <v/>
      </c>
      <c r="R222" s="105" t="str">
        <f t="array" ref="R222">IFERROR( IF(P222&lt;&gt;"EMA",INDEX('label approval artwork'!H:H,MATCH(G222,'label approval artwork'!F:F,0),"")),"")</f>
        <v/>
      </c>
      <c r="S222" s="105"/>
      <c r="T222" s="105" t="str">
        <f t="array" ref="T222">IF(ISBLANK(G222),"",INDEX('POR Config List'!I:I,MATCH(G222,'POR Config List'!D:D,0)))</f>
        <v/>
      </c>
      <c r="AA222" s="100" t="str">
        <f t="array" ref="AA222">IF(ISBLANK(G222),"",INDEX('POR Config List'!E:E,MATCH(G222,'POR Config List'!D:D,0)))</f>
        <v/>
      </c>
      <c r="AC222" s="105"/>
      <c r="AD222" s="100"/>
      <c r="AE222" s="100"/>
      <c r="AF222" s="100"/>
      <c r="AG222" s="100"/>
      <c r="AM222" s="102"/>
      <c r="AN222" s="102"/>
      <c r="AR222" s="119"/>
      <c r="AS222" s="103"/>
    </row>
    <row r="223">
      <c r="A223" s="168"/>
      <c r="B223" s="100" t="str">
        <f t="array" ref="B223">IFERROR( INDEX('POR Config List'!A:A,MATCH(G223,'POR Config List'!D:D,0)),"")</f>
        <v/>
      </c>
      <c r="C223" s="101" t="str">
        <f t="array" ref="C223">IFERROR(INDEX('label approval artwork'!E:E,MATCH(G223,'label approval artwork'!F:F,0),""),"")</f>
        <v/>
      </c>
      <c r="D223" s="102" t="str">
        <f t="shared" si="3"/>
        <v/>
      </c>
      <c r="E223" s="100" t="str">
        <f t="array" ref="E223">IF(ISBLANK(G223),"",INDEX('POR Config List'!K:K,MATCH(G223,'POR Config List'!D:D,0)))</f>
        <v/>
      </c>
      <c r="F223" s="100" t="str">
        <f t="array" ref="F223">IF(ISBLANK(G223),"",INDEX('POR Config List'!J:J,MATCH(G223,'POR Config List'!D:D,0)))</f>
        <v/>
      </c>
      <c r="G223" s="119"/>
      <c r="H223" s="104" t="str">
        <f t="array" ref="H223">IF(ISBLANK(G223),"",INDEX('MP SKUs'!G:G,MATCH(G223,'MP SKUs'!A:A,0)))</f>
        <v/>
      </c>
      <c r="I223" s="105" t="str">
        <f t="array" ref="I223">IF(ISBLANK(G223),"",INDEX('POR Config List'!O:O,MATCH(G223,'POR Config List'!D:D,0)))</f>
        <v/>
      </c>
      <c r="J223" s="104" t="str">
        <f t="array" ref="J223">IF(ISBLANK(G223),"",INDEX('POR Config List'!H:H,MATCH(G223,'POR Config List'!D:D,0)))</f>
        <v/>
      </c>
      <c r="K223" s="105" t="str">
        <f t="array" ref="K223">IF(ISBLANK(G223),"",INDEX('POR Config List'!G:G,MATCH(G223,'POR Config List'!D:D,0)))</f>
        <v/>
      </c>
      <c r="L223" s="105"/>
      <c r="M223" s="105" t="str">
        <f t="array" ref="M223">IF(ISBLANK(G223),"",INDEX('label approval artwork'!Q:Q,MATCH( G223,'label approval artwork'!F:F,0)))</f>
        <v/>
      </c>
      <c r="N223" s="169" t="str">
        <f t="shared" si="5"/>
        <v/>
      </c>
      <c r="O223" s="102" t="str">
        <f t="array" ref="O223">IF(ISBLANK(G223),"",INDEX('POR Config List'!C:C,MATCH(G223,'POR Config List'!D:D,0)))</f>
        <v/>
      </c>
      <c r="P223" s="105" t="str">
        <f t="shared" si="4"/>
        <v/>
      </c>
      <c r="Q223" s="105" t="str">
        <f t="array" ref="Q223">IF(ISBLANK(G223),"",INDEX('label approval artwork'!J:J,MATCH( G223,'label approval artwork'!F:F,0)))</f>
        <v/>
      </c>
      <c r="R223" s="105" t="str">
        <f t="array" ref="R223">IFERROR( IF(P223&lt;&gt;"EMA",INDEX('label approval artwork'!H:H,MATCH(G223,'label approval artwork'!F:F,0),"")),"")</f>
        <v/>
      </c>
      <c r="S223" s="105"/>
      <c r="T223" s="105" t="str">
        <f t="array" ref="T223">IF(ISBLANK(G223),"",INDEX('POR Config List'!I:I,MATCH(G223,'POR Config List'!D:D,0)))</f>
        <v/>
      </c>
      <c r="AA223" s="100" t="str">
        <f t="array" ref="AA223">IF(ISBLANK(G223),"",INDEX('POR Config List'!E:E,MATCH(G223,'POR Config List'!D:D,0)))</f>
        <v/>
      </c>
      <c r="AC223" s="105"/>
      <c r="AD223" s="100"/>
      <c r="AE223" s="100"/>
      <c r="AF223" s="100"/>
      <c r="AG223" s="100"/>
      <c r="AM223" s="102"/>
      <c r="AN223" s="102"/>
      <c r="AR223" s="119"/>
      <c r="AS223" s="103"/>
    </row>
    <row r="224">
      <c r="A224" s="168"/>
      <c r="B224" s="100" t="str">
        <f t="array" ref="B224">IFERROR( INDEX('POR Config List'!A:A,MATCH(G224,'POR Config List'!D:D,0)),"")</f>
        <v/>
      </c>
      <c r="C224" s="101" t="str">
        <f t="array" ref="C224">IFERROR(INDEX('label approval artwork'!E:E,MATCH(G224,'label approval artwork'!F:F,0),""),"")</f>
        <v/>
      </c>
      <c r="D224" s="102" t="str">
        <f t="shared" si="3"/>
        <v/>
      </c>
      <c r="E224" s="100" t="str">
        <f t="array" ref="E224">IF(ISBLANK(G224),"",INDEX('POR Config List'!K:K,MATCH(G224,'POR Config List'!D:D,0)))</f>
        <v/>
      </c>
      <c r="F224" s="100" t="str">
        <f t="array" ref="F224">IF(ISBLANK(G224),"",INDEX('POR Config List'!J:J,MATCH(G224,'POR Config List'!D:D,0)))</f>
        <v/>
      </c>
      <c r="G224" s="119"/>
      <c r="H224" s="104" t="str">
        <f t="array" ref="H224">IF(ISBLANK(G224),"",INDEX('MP SKUs'!G:G,MATCH(G224,'MP SKUs'!A:A,0)))</f>
        <v/>
      </c>
      <c r="I224" s="105" t="str">
        <f t="array" ref="I224">IF(ISBLANK(G224),"",INDEX('POR Config List'!O:O,MATCH(G224,'POR Config List'!D:D,0)))</f>
        <v/>
      </c>
      <c r="J224" s="104" t="str">
        <f t="array" ref="J224">IF(ISBLANK(G224),"",INDEX('POR Config List'!H:H,MATCH(G224,'POR Config List'!D:D,0)))</f>
        <v/>
      </c>
      <c r="K224" s="105" t="str">
        <f t="array" ref="K224">IF(ISBLANK(G224),"",INDEX('POR Config List'!G:G,MATCH(G224,'POR Config List'!D:D,0)))</f>
        <v/>
      </c>
      <c r="L224" s="105"/>
      <c r="M224" s="105" t="str">
        <f t="array" ref="M224">IF(ISBLANK(G224),"",INDEX('label approval artwork'!Q:Q,MATCH( G224,'label approval artwork'!F:F,0)))</f>
        <v/>
      </c>
      <c r="N224" s="169" t="str">
        <f t="shared" si="5"/>
        <v/>
      </c>
      <c r="O224" s="102" t="str">
        <f t="array" ref="O224">IF(ISBLANK(G224),"",INDEX('POR Config List'!C:C,MATCH(G224,'POR Config List'!D:D,0)))</f>
        <v/>
      </c>
      <c r="P224" s="105" t="str">
        <f t="shared" si="4"/>
        <v/>
      </c>
      <c r="Q224" s="105" t="str">
        <f t="array" ref="Q224">IF(ISBLANK(G224),"",INDEX('label approval artwork'!J:J,MATCH( G224,'label approval artwork'!F:F,0)))</f>
        <v/>
      </c>
      <c r="R224" s="105" t="str">
        <f t="array" ref="R224">IFERROR( IF(P224&lt;&gt;"EMA",INDEX('label approval artwork'!H:H,MATCH(G224,'label approval artwork'!F:F,0),"")),"")</f>
        <v/>
      </c>
      <c r="S224" s="105"/>
      <c r="T224" s="105" t="str">
        <f t="array" ref="T224">IF(ISBLANK(G224),"",INDEX('POR Config List'!I:I,MATCH(G224,'POR Config List'!D:D,0)))</f>
        <v/>
      </c>
      <c r="AA224" s="100" t="str">
        <f t="array" ref="AA224">IF(ISBLANK(G224),"",INDEX('POR Config List'!E:E,MATCH(G224,'POR Config List'!D:D,0)))</f>
        <v/>
      </c>
      <c r="AC224" s="105"/>
      <c r="AD224" s="100"/>
      <c r="AE224" s="100"/>
      <c r="AF224" s="100"/>
      <c r="AG224" s="100"/>
      <c r="AM224" s="102"/>
      <c r="AN224" s="102"/>
      <c r="AR224" s="119"/>
      <c r="AS224" s="103"/>
    </row>
    <row r="225">
      <c r="A225" s="168"/>
      <c r="B225" s="100" t="str">
        <f t="array" ref="B225">IFERROR( INDEX('POR Config List'!A:A,MATCH(G225,'POR Config List'!D:D,0)),"")</f>
        <v/>
      </c>
      <c r="C225" s="101" t="str">
        <f t="array" ref="C225">IFERROR(INDEX('label approval artwork'!E:E,MATCH(G225,'label approval artwork'!F:F,0),""),"")</f>
        <v/>
      </c>
      <c r="D225" s="102" t="str">
        <f t="shared" si="3"/>
        <v/>
      </c>
      <c r="E225" s="100" t="str">
        <f t="array" ref="E225">IF(ISBLANK(G225),"",INDEX('POR Config List'!K:K,MATCH(G225,'POR Config List'!D:D,0)))</f>
        <v/>
      </c>
      <c r="F225" s="100" t="str">
        <f t="array" ref="F225">IF(ISBLANK(G225),"",INDEX('POR Config List'!J:J,MATCH(G225,'POR Config List'!D:D,0)))</f>
        <v/>
      </c>
      <c r="G225" s="119"/>
      <c r="H225" s="104" t="str">
        <f t="array" ref="H225">IF(ISBLANK(G225),"",INDEX('MP SKUs'!G:G,MATCH(G225,'MP SKUs'!A:A,0)))</f>
        <v/>
      </c>
      <c r="I225" s="105" t="str">
        <f t="array" ref="I225">IF(ISBLANK(G225),"",INDEX('POR Config List'!O:O,MATCH(G225,'POR Config List'!D:D,0)))</f>
        <v/>
      </c>
      <c r="J225" s="104" t="str">
        <f t="array" ref="J225">IF(ISBLANK(G225),"",INDEX('POR Config List'!H:H,MATCH(G225,'POR Config List'!D:D,0)))</f>
        <v/>
      </c>
      <c r="K225" s="105" t="str">
        <f t="array" ref="K225">IF(ISBLANK(G225),"",INDEX('POR Config List'!G:G,MATCH(G225,'POR Config List'!D:D,0)))</f>
        <v/>
      </c>
      <c r="L225" s="105"/>
      <c r="M225" s="105" t="str">
        <f t="array" ref="M225">IF(ISBLANK(G225),"",INDEX('label approval artwork'!Q:Q,MATCH( G225,'label approval artwork'!F:F,0)))</f>
        <v/>
      </c>
      <c r="N225" s="169" t="str">
        <f t="shared" si="5"/>
        <v/>
      </c>
      <c r="O225" s="102" t="str">
        <f t="array" ref="O225">IF(ISBLANK(G225),"",INDEX('POR Config List'!C:C,MATCH(G225,'POR Config List'!D:D,0)))</f>
        <v/>
      </c>
      <c r="P225" s="105" t="str">
        <f t="shared" si="4"/>
        <v/>
      </c>
      <c r="Q225" s="105" t="str">
        <f t="array" ref="Q225">IF(ISBLANK(G225),"",INDEX('label approval artwork'!J:J,MATCH( G225,'label approval artwork'!F:F,0)))</f>
        <v/>
      </c>
      <c r="R225" s="105" t="str">
        <f t="array" ref="R225">IFERROR( IF(P225&lt;&gt;"EMA",INDEX('label approval artwork'!H:H,MATCH(G225,'label approval artwork'!F:F,0),"")),"")</f>
        <v/>
      </c>
      <c r="S225" s="105"/>
      <c r="T225" s="105" t="str">
        <f t="array" ref="T225">IF(ISBLANK(G225),"",INDEX('POR Config List'!I:I,MATCH(G225,'POR Config List'!D:D,0)))</f>
        <v/>
      </c>
      <c r="AA225" s="100" t="str">
        <f t="array" ref="AA225">IF(ISBLANK(G225),"",INDEX('POR Config List'!E:E,MATCH(G225,'POR Config List'!D:D,0)))</f>
        <v/>
      </c>
      <c r="AC225" s="105"/>
      <c r="AD225" s="100"/>
      <c r="AE225" s="100"/>
      <c r="AF225" s="100"/>
      <c r="AG225" s="100"/>
      <c r="AM225" s="102"/>
      <c r="AN225" s="102"/>
      <c r="AR225" s="119"/>
      <c r="AS225" s="103"/>
    </row>
    <row r="226">
      <c r="A226" s="168"/>
      <c r="B226" s="100" t="str">
        <f t="array" ref="B226">IFERROR( INDEX('POR Config List'!A:A,MATCH(G226,'POR Config List'!D:D,0)),"")</f>
        <v/>
      </c>
      <c r="C226" s="101" t="str">
        <f t="array" ref="C226">IFERROR(INDEX('label approval artwork'!E:E,MATCH(G226,'label approval artwork'!F:F,0),""),"")</f>
        <v/>
      </c>
      <c r="D226" s="102" t="str">
        <f t="shared" si="3"/>
        <v/>
      </c>
      <c r="E226" s="100" t="str">
        <f t="array" ref="E226">IF(ISBLANK(G226),"",INDEX('POR Config List'!K:K,MATCH(G226,'POR Config List'!D:D,0)))</f>
        <v/>
      </c>
      <c r="F226" s="100" t="str">
        <f t="array" ref="F226">IF(ISBLANK(G226),"",INDEX('POR Config List'!J:J,MATCH(G226,'POR Config List'!D:D,0)))</f>
        <v/>
      </c>
      <c r="G226" s="119"/>
      <c r="H226" s="104" t="str">
        <f t="array" ref="H226">IF(ISBLANK(G226),"",INDEX('MP SKUs'!G:G,MATCH(G226,'MP SKUs'!A:A,0)))</f>
        <v/>
      </c>
      <c r="I226" s="105" t="str">
        <f t="array" ref="I226">IF(ISBLANK(G226),"",INDEX('POR Config List'!O:O,MATCH(G226,'POR Config List'!D:D,0)))</f>
        <v/>
      </c>
      <c r="J226" s="104" t="str">
        <f t="array" ref="J226">IF(ISBLANK(G226),"",INDEX('POR Config List'!H:H,MATCH(G226,'POR Config List'!D:D,0)))</f>
        <v/>
      </c>
      <c r="K226" s="105" t="str">
        <f t="array" ref="K226">IF(ISBLANK(G226),"",INDEX('POR Config List'!G:G,MATCH(G226,'POR Config List'!D:D,0)))</f>
        <v/>
      </c>
      <c r="L226" s="105"/>
      <c r="M226" s="105" t="str">
        <f t="array" ref="M226">IF(ISBLANK(G226),"",INDEX('label approval artwork'!Q:Q,MATCH( G226,'label approval artwork'!F:F,0)))</f>
        <v/>
      </c>
      <c r="N226" s="169" t="str">
        <f t="shared" si="5"/>
        <v/>
      </c>
      <c r="O226" s="102" t="str">
        <f t="array" ref="O226">IF(ISBLANK(G226),"",INDEX('POR Config List'!C:C,MATCH(G226,'POR Config List'!D:D,0)))</f>
        <v/>
      </c>
      <c r="P226" s="105" t="str">
        <f t="shared" si="4"/>
        <v/>
      </c>
      <c r="Q226" s="105" t="str">
        <f t="array" ref="Q226">IF(ISBLANK(G226),"",INDEX('label approval artwork'!J:J,MATCH( G226,'label approval artwork'!F:F,0)))</f>
        <v/>
      </c>
      <c r="R226" s="105" t="str">
        <f t="array" ref="R226">IFERROR( IF(P226&lt;&gt;"EMA",INDEX('label approval artwork'!H:H,MATCH(G226,'label approval artwork'!F:F,0),"")),"")</f>
        <v/>
      </c>
      <c r="S226" s="105"/>
      <c r="T226" s="105" t="str">
        <f t="array" ref="T226">IF(ISBLANK(G226),"",INDEX('POR Config List'!I:I,MATCH(G226,'POR Config List'!D:D,0)))</f>
        <v/>
      </c>
      <c r="AA226" s="100" t="str">
        <f t="array" ref="AA226">IF(ISBLANK(G226),"",INDEX('POR Config List'!E:E,MATCH(G226,'POR Config List'!D:D,0)))</f>
        <v/>
      </c>
      <c r="AC226" s="105"/>
      <c r="AD226" s="100"/>
      <c r="AE226" s="100"/>
      <c r="AF226" s="100"/>
      <c r="AG226" s="100"/>
      <c r="AM226" s="102"/>
      <c r="AN226" s="102"/>
      <c r="AR226" s="119"/>
      <c r="AS226" s="103"/>
    </row>
    <row r="227">
      <c r="A227" s="168"/>
      <c r="B227" s="100" t="str">
        <f t="array" ref="B227">IFERROR( INDEX('POR Config List'!A:A,MATCH(G227,'POR Config List'!D:D,0)),"")</f>
        <v/>
      </c>
      <c r="C227" s="101" t="str">
        <f t="array" ref="C227">IFERROR(INDEX('label approval artwork'!E:E,MATCH(G227,'label approval artwork'!F:F,0),""),"")</f>
        <v/>
      </c>
      <c r="D227" s="102" t="str">
        <f t="shared" si="3"/>
        <v/>
      </c>
      <c r="E227" s="100" t="str">
        <f t="array" ref="E227">IF(ISBLANK(G227),"",INDEX('POR Config List'!K:K,MATCH(G227,'POR Config List'!D:D,0)))</f>
        <v/>
      </c>
      <c r="F227" s="100" t="str">
        <f t="array" ref="F227">IF(ISBLANK(G227),"",INDEX('POR Config List'!J:J,MATCH(G227,'POR Config List'!D:D,0)))</f>
        <v/>
      </c>
      <c r="G227" s="119"/>
      <c r="H227" s="104" t="str">
        <f t="array" ref="H227">IF(ISBLANK(G227),"",INDEX('MP SKUs'!G:G,MATCH(G227,'MP SKUs'!A:A,0)))</f>
        <v/>
      </c>
      <c r="I227" s="105" t="str">
        <f t="array" ref="I227">IF(ISBLANK(G227),"",INDEX('POR Config List'!O:O,MATCH(G227,'POR Config List'!D:D,0)))</f>
        <v/>
      </c>
      <c r="J227" s="104" t="str">
        <f t="array" ref="J227">IF(ISBLANK(G227),"",INDEX('POR Config List'!H:H,MATCH(G227,'POR Config List'!D:D,0)))</f>
        <v/>
      </c>
      <c r="K227" s="105" t="str">
        <f t="array" ref="K227">IF(ISBLANK(G227),"",INDEX('POR Config List'!G:G,MATCH(G227,'POR Config List'!D:D,0)))</f>
        <v/>
      </c>
      <c r="L227" s="105"/>
      <c r="M227" s="105" t="str">
        <f t="array" ref="M227">IF(ISBLANK(G227),"",INDEX('label approval artwork'!Q:Q,MATCH( G227,'label approval artwork'!F:F,0)))</f>
        <v/>
      </c>
      <c r="N227" s="169" t="str">
        <f t="shared" si="5"/>
        <v/>
      </c>
      <c r="O227" s="102" t="str">
        <f t="array" ref="O227">IF(ISBLANK(G227),"",INDEX('POR Config List'!C:C,MATCH(G227,'POR Config List'!D:D,0)))</f>
        <v/>
      </c>
      <c r="P227" s="105" t="str">
        <f t="shared" si="4"/>
        <v/>
      </c>
      <c r="Q227" s="105" t="str">
        <f t="array" ref="Q227">IF(ISBLANK(G227),"",INDEX('label approval artwork'!J:J,MATCH( G227,'label approval artwork'!F:F,0)))</f>
        <v/>
      </c>
      <c r="R227" s="105" t="str">
        <f t="array" ref="R227">IFERROR( IF(P227&lt;&gt;"EMA",INDEX('label approval artwork'!H:H,MATCH(G227,'label approval artwork'!F:F,0),"")),"")</f>
        <v/>
      </c>
      <c r="S227" s="105"/>
      <c r="T227" s="105" t="str">
        <f t="array" ref="T227">IF(ISBLANK(G227),"",INDEX('POR Config List'!I:I,MATCH(G227,'POR Config List'!D:D,0)))</f>
        <v/>
      </c>
      <c r="AA227" s="100" t="str">
        <f t="array" ref="AA227">IF(ISBLANK(G227),"",INDEX('POR Config List'!E:E,MATCH(G227,'POR Config List'!D:D,0)))</f>
        <v/>
      </c>
      <c r="AC227" s="105"/>
      <c r="AD227" s="100"/>
      <c r="AE227" s="100"/>
      <c r="AF227" s="100"/>
      <c r="AG227" s="100"/>
      <c r="AM227" s="102"/>
      <c r="AN227" s="102"/>
      <c r="AR227" s="119"/>
      <c r="AS227" s="103"/>
    </row>
    <row r="228">
      <c r="A228" s="168"/>
      <c r="B228" s="100" t="str">
        <f t="array" ref="B228">IFERROR( INDEX('POR Config List'!A:A,MATCH(G228,'POR Config List'!D:D,0)),"")</f>
        <v/>
      </c>
      <c r="C228" s="101" t="str">
        <f t="array" ref="C228">IFERROR(INDEX('label approval artwork'!E:E,MATCH(G228,'label approval artwork'!F:F,0),""),"")</f>
        <v/>
      </c>
      <c r="D228" s="102" t="str">
        <f t="shared" si="3"/>
        <v/>
      </c>
      <c r="E228" s="100" t="str">
        <f t="array" ref="E228">IF(ISBLANK(G228),"",INDEX('POR Config List'!K:K,MATCH(G228,'POR Config List'!D:D,0)))</f>
        <v/>
      </c>
      <c r="F228" s="100" t="str">
        <f t="array" ref="F228">IF(ISBLANK(G228),"",INDEX('POR Config List'!J:J,MATCH(G228,'POR Config List'!D:D,0)))</f>
        <v/>
      </c>
      <c r="G228" s="119"/>
      <c r="H228" s="104" t="str">
        <f t="array" ref="H228">IF(ISBLANK(G228),"",INDEX('MP SKUs'!G:G,MATCH(G228,'MP SKUs'!A:A,0)))</f>
        <v/>
      </c>
      <c r="I228" s="105" t="str">
        <f t="array" ref="I228">IF(ISBLANK(G228),"",INDEX('POR Config List'!O:O,MATCH(G228,'POR Config List'!D:D,0)))</f>
        <v/>
      </c>
      <c r="J228" s="104" t="str">
        <f t="array" ref="J228">IF(ISBLANK(G228),"",INDEX('POR Config List'!H:H,MATCH(G228,'POR Config List'!D:D,0)))</f>
        <v/>
      </c>
      <c r="K228" s="105" t="str">
        <f t="array" ref="K228">IF(ISBLANK(G228),"",INDEX('POR Config List'!G:G,MATCH(G228,'POR Config List'!D:D,0)))</f>
        <v/>
      </c>
      <c r="L228" s="105"/>
      <c r="M228" s="105" t="str">
        <f t="array" ref="M228">IF(ISBLANK(G228),"",INDEX('label approval artwork'!Q:Q,MATCH( G228,'label approval artwork'!F:F,0)))</f>
        <v/>
      </c>
      <c r="N228" s="169" t="str">
        <f t="shared" si="5"/>
        <v/>
      </c>
      <c r="O228" s="102" t="str">
        <f t="array" ref="O228">IF(ISBLANK(G228),"",INDEX('POR Config List'!C:C,MATCH(G228,'POR Config List'!D:D,0)))</f>
        <v/>
      </c>
      <c r="P228" s="105" t="str">
        <f t="shared" si="4"/>
        <v/>
      </c>
      <c r="Q228" s="105" t="str">
        <f t="array" ref="Q228">IF(ISBLANK(G228),"",INDEX('label approval artwork'!J:J,MATCH( G228,'label approval artwork'!F:F,0)))</f>
        <v/>
      </c>
      <c r="R228" s="105" t="str">
        <f t="array" ref="R228">IFERROR( IF(P228&lt;&gt;"EMA",INDEX('label approval artwork'!H:H,MATCH(G228,'label approval artwork'!F:F,0),"")),"")</f>
        <v/>
      </c>
      <c r="S228" s="105"/>
      <c r="T228" s="105" t="str">
        <f t="array" ref="T228">IF(ISBLANK(G228),"",INDEX('POR Config List'!I:I,MATCH(G228,'POR Config List'!D:D,0)))</f>
        <v/>
      </c>
      <c r="AA228" s="100" t="str">
        <f t="array" ref="AA228">IF(ISBLANK(G228),"",INDEX('POR Config List'!E:E,MATCH(G228,'POR Config List'!D:D,0)))</f>
        <v/>
      </c>
      <c r="AC228" s="105"/>
      <c r="AD228" s="100"/>
      <c r="AE228" s="100"/>
      <c r="AF228" s="100"/>
      <c r="AG228" s="100"/>
      <c r="AM228" s="102"/>
      <c r="AN228" s="102"/>
      <c r="AR228" s="119"/>
      <c r="AS228" s="103"/>
    </row>
    <row r="229">
      <c r="A229" s="168"/>
      <c r="B229" s="100" t="str">
        <f t="array" ref="B229">IFERROR( INDEX('POR Config List'!A:A,MATCH(G229,'POR Config List'!D:D,0)),"")</f>
        <v/>
      </c>
      <c r="C229" s="101" t="str">
        <f t="array" ref="C229">IFERROR(INDEX('label approval artwork'!E:E,MATCH(G229,'label approval artwork'!F:F,0),""),"")</f>
        <v/>
      </c>
      <c r="D229" s="102" t="str">
        <f t="shared" si="3"/>
        <v/>
      </c>
      <c r="E229" s="100" t="str">
        <f t="array" ref="E229">IF(ISBLANK(G229),"",INDEX('POR Config List'!K:K,MATCH(G229,'POR Config List'!D:D,0)))</f>
        <v/>
      </c>
      <c r="F229" s="100" t="str">
        <f t="array" ref="F229">IF(ISBLANK(G229),"",INDEX('POR Config List'!J:J,MATCH(G229,'POR Config List'!D:D,0)))</f>
        <v/>
      </c>
      <c r="G229" s="119"/>
      <c r="H229" s="104" t="str">
        <f t="array" ref="H229">IF(ISBLANK(G229),"",INDEX('MP SKUs'!G:G,MATCH(G229,'MP SKUs'!A:A,0)))</f>
        <v/>
      </c>
      <c r="I229" s="105" t="str">
        <f t="array" ref="I229">IF(ISBLANK(G229),"",INDEX('POR Config List'!O:O,MATCH(G229,'POR Config List'!D:D,0)))</f>
        <v/>
      </c>
      <c r="J229" s="104" t="str">
        <f t="array" ref="J229">IF(ISBLANK(G229),"",INDEX('POR Config List'!H:H,MATCH(G229,'POR Config List'!D:D,0)))</f>
        <v/>
      </c>
      <c r="K229" s="105" t="str">
        <f t="array" ref="K229">IF(ISBLANK(G229),"",INDEX('POR Config List'!G:G,MATCH(G229,'POR Config List'!D:D,0)))</f>
        <v/>
      </c>
      <c r="L229" s="105"/>
      <c r="M229" s="105" t="str">
        <f t="array" ref="M229">IF(ISBLANK(G229),"",INDEX('label approval artwork'!Q:Q,MATCH( G229,'label approval artwork'!F:F,0)))</f>
        <v/>
      </c>
      <c r="N229" s="169" t="str">
        <f t="shared" si="5"/>
        <v/>
      </c>
      <c r="O229" s="102" t="str">
        <f t="array" ref="O229">IF(ISBLANK(G229),"",INDEX('POR Config List'!C:C,MATCH(G229,'POR Config List'!D:D,0)))</f>
        <v/>
      </c>
      <c r="P229" s="105" t="str">
        <f t="shared" si="4"/>
        <v/>
      </c>
      <c r="Q229" s="105" t="str">
        <f t="array" ref="Q229">IF(ISBLANK(G229),"",INDEX('label approval artwork'!J:J,MATCH( G229,'label approval artwork'!F:F,0)))</f>
        <v/>
      </c>
      <c r="R229" s="105" t="str">
        <f t="array" ref="R229">IFERROR( IF(P229&lt;&gt;"EMA",INDEX('label approval artwork'!H:H,MATCH(G229,'label approval artwork'!F:F,0),"")),"")</f>
        <v/>
      </c>
      <c r="S229" s="105"/>
      <c r="T229" s="105" t="str">
        <f t="array" ref="T229">IF(ISBLANK(G229),"",INDEX('POR Config List'!I:I,MATCH(G229,'POR Config List'!D:D,0)))</f>
        <v/>
      </c>
      <c r="AA229" s="100" t="str">
        <f t="array" ref="AA229">IF(ISBLANK(G229),"",INDEX('POR Config List'!E:E,MATCH(G229,'POR Config List'!D:D,0)))</f>
        <v/>
      </c>
      <c r="AC229" s="105"/>
      <c r="AD229" s="100"/>
      <c r="AE229" s="100"/>
      <c r="AF229" s="100"/>
      <c r="AG229" s="100"/>
      <c r="AM229" s="102"/>
      <c r="AN229" s="102"/>
      <c r="AR229" s="119"/>
      <c r="AS229" s="103"/>
    </row>
    <row r="230">
      <c r="A230" s="168"/>
      <c r="B230" s="100" t="str">
        <f t="array" ref="B230">IFERROR( INDEX('POR Config List'!A:A,MATCH(G230,'POR Config List'!D:D,0)),"")</f>
        <v/>
      </c>
      <c r="C230" s="101" t="str">
        <f t="array" ref="C230">IFERROR(INDEX('label approval artwork'!E:E,MATCH(G230,'label approval artwork'!F:F,0),""),"")</f>
        <v/>
      </c>
      <c r="D230" s="102" t="str">
        <f t="shared" si="3"/>
        <v/>
      </c>
      <c r="E230" s="100" t="str">
        <f t="array" ref="E230">IF(ISBLANK(G230),"",INDEX('POR Config List'!K:K,MATCH(G230,'POR Config List'!D:D,0)))</f>
        <v/>
      </c>
      <c r="F230" s="100" t="str">
        <f t="array" ref="F230">IF(ISBLANK(G230),"",INDEX('POR Config List'!J:J,MATCH(G230,'POR Config List'!D:D,0)))</f>
        <v/>
      </c>
      <c r="G230" s="119"/>
      <c r="H230" s="104" t="str">
        <f t="array" ref="H230">IF(ISBLANK(G230),"",INDEX('MP SKUs'!G:G,MATCH(G230,'MP SKUs'!A:A,0)))</f>
        <v/>
      </c>
      <c r="I230" s="105" t="str">
        <f t="array" ref="I230">IF(ISBLANK(G230),"",INDEX('POR Config List'!O:O,MATCH(G230,'POR Config List'!D:D,0)))</f>
        <v/>
      </c>
      <c r="J230" s="104" t="str">
        <f t="array" ref="J230">IF(ISBLANK(G230),"",INDEX('POR Config List'!H:H,MATCH(G230,'POR Config List'!D:D,0)))</f>
        <v/>
      </c>
      <c r="K230" s="105" t="str">
        <f t="array" ref="K230">IF(ISBLANK(G230),"",INDEX('POR Config List'!G:G,MATCH(G230,'POR Config List'!D:D,0)))</f>
        <v/>
      </c>
      <c r="L230" s="105"/>
      <c r="M230" s="105" t="str">
        <f t="array" ref="M230">IF(ISBLANK(G230),"",INDEX('label approval artwork'!Q:Q,MATCH( G230,'label approval artwork'!F:F,0)))</f>
        <v/>
      </c>
      <c r="N230" s="169" t="str">
        <f t="shared" si="5"/>
        <v/>
      </c>
      <c r="O230" s="102" t="str">
        <f t="array" ref="O230">IF(ISBLANK(G230),"",INDEX('POR Config List'!C:C,MATCH(G230,'POR Config List'!D:D,0)))</f>
        <v/>
      </c>
      <c r="P230" s="105" t="str">
        <f t="shared" si="4"/>
        <v/>
      </c>
      <c r="Q230" s="105" t="str">
        <f t="array" ref="Q230">IF(ISBLANK(G230),"",INDEX('label approval artwork'!J:J,MATCH( G230,'label approval artwork'!F:F,0)))</f>
        <v/>
      </c>
      <c r="R230" s="105" t="str">
        <f t="array" ref="R230">IFERROR( IF(P230&lt;&gt;"EMA",INDEX('label approval artwork'!H:H,MATCH(G230,'label approval artwork'!F:F,0),"")),"")</f>
        <v/>
      </c>
      <c r="S230" s="105"/>
      <c r="T230" s="105" t="str">
        <f t="array" ref="T230">IF(ISBLANK(G230),"",INDEX('POR Config List'!I:I,MATCH(G230,'POR Config List'!D:D,0)))</f>
        <v/>
      </c>
      <c r="AA230" s="100" t="str">
        <f t="array" ref="AA230">IF(ISBLANK(G230),"",INDEX('POR Config List'!E:E,MATCH(G230,'POR Config List'!D:D,0)))</f>
        <v/>
      </c>
      <c r="AC230" s="105"/>
      <c r="AD230" s="100"/>
      <c r="AE230" s="100"/>
      <c r="AF230" s="100"/>
      <c r="AG230" s="100"/>
      <c r="AM230" s="102"/>
      <c r="AN230" s="102"/>
      <c r="AR230" s="119"/>
      <c r="AS230" s="103"/>
    </row>
    <row r="231">
      <c r="A231" s="168"/>
      <c r="B231" s="100" t="str">
        <f t="array" ref="B231">IFERROR( INDEX('POR Config List'!A:A,MATCH(G231,'POR Config List'!D:D,0)),"")</f>
        <v/>
      </c>
      <c r="C231" s="101" t="str">
        <f t="array" ref="C231">IFERROR(INDEX('label approval artwork'!E:E,MATCH(G231,'label approval artwork'!F:F,0),""),"")</f>
        <v/>
      </c>
      <c r="D231" s="102" t="str">
        <f t="shared" si="3"/>
        <v/>
      </c>
      <c r="E231" s="100" t="str">
        <f t="array" ref="E231">IF(ISBLANK(G231),"",INDEX('POR Config List'!K:K,MATCH(G231,'POR Config List'!D:D,0)))</f>
        <v/>
      </c>
      <c r="F231" s="100" t="str">
        <f t="array" ref="F231">IF(ISBLANK(G231),"",INDEX('POR Config List'!J:J,MATCH(G231,'POR Config List'!D:D,0)))</f>
        <v/>
      </c>
      <c r="G231" s="119"/>
      <c r="H231" s="104" t="str">
        <f t="array" ref="H231">IF(ISBLANK(G231),"",INDEX('MP SKUs'!G:G,MATCH(G231,'MP SKUs'!A:A,0)))</f>
        <v/>
      </c>
      <c r="I231" s="105" t="str">
        <f t="array" ref="I231">IF(ISBLANK(G231),"",INDEX('POR Config List'!O:O,MATCH(G231,'POR Config List'!D:D,0)))</f>
        <v/>
      </c>
      <c r="J231" s="104" t="str">
        <f t="array" ref="J231">IF(ISBLANK(G231),"",INDEX('POR Config List'!H:H,MATCH(G231,'POR Config List'!D:D,0)))</f>
        <v/>
      </c>
      <c r="K231" s="105" t="str">
        <f t="array" ref="K231">IF(ISBLANK(G231),"",INDEX('POR Config List'!G:G,MATCH(G231,'POR Config List'!D:D,0)))</f>
        <v/>
      </c>
      <c r="L231" s="105"/>
      <c r="M231" s="105" t="str">
        <f t="array" ref="M231">IF(ISBLANK(G231),"",INDEX('label approval artwork'!Q:Q,MATCH( G231,'label approval artwork'!F:F,0)))</f>
        <v/>
      </c>
      <c r="N231" s="169" t="str">
        <f t="shared" si="5"/>
        <v/>
      </c>
      <c r="O231" s="102" t="str">
        <f t="array" ref="O231">IF(ISBLANK(G231),"",INDEX('POR Config List'!C:C,MATCH(G231,'POR Config List'!D:D,0)))</f>
        <v/>
      </c>
      <c r="P231" s="105" t="str">
        <f t="shared" si="4"/>
        <v/>
      </c>
      <c r="Q231" s="105" t="str">
        <f t="array" ref="Q231">IF(ISBLANK(G231),"",INDEX('label approval artwork'!J:J,MATCH( G231,'label approval artwork'!F:F,0)))</f>
        <v/>
      </c>
      <c r="R231" s="105" t="str">
        <f t="array" ref="R231">IFERROR( IF(P231&lt;&gt;"EMA",INDEX('label approval artwork'!H:H,MATCH(G231,'label approval artwork'!F:F,0),"")),"")</f>
        <v/>
      </c>
      <c r="S231" s="105"/>
      <c r="T231" s="105" t="str">
        <f t="array" ref="T231">IF(ISBLANK(G231),"",INDEX('POR Config List'!I:I,MATCH(G231,'POR Config List'!D:D,0)))</f>
        <v/>
      </c>
      <c r="AA231" s="100" t="str">
        <f t="array" ref="AA231">IF(ISBLANK(G231),"",INDEX('POR Config List'!E:E,MATCH(G231,'POR Config List'!D:D,0)))</f>
        <v/>
      </c>
      <c r="AC231" s="105"/>
      <c r="AD231" s="100"/>
      <c r="AE231" s="100"/>
      <c r="AF231" s="100"/>
      <c r="AG231" s="100"/>
      <c r="AM231" s="102"/>
      <c r="AN231" s="102"/>
      <c r="AR231" s="119"/>
      <c r="AS231" s="103"/>
    </row>
    <row r="232">
      <c r="A232" s="168"/>
      <c r="B232" s="100" t="str">
        <f t="array" ref="B232">IFERROR( INDEX('POR Config List'!A:A,MATCH(G232,'POR Config List'!D:D,0)),"")</f>
        <v/>
      </c>
      <c r="C232" s="101" t="str">
        <f t="array" ref="C232">IFERROR(INDEX('label approval artwork'!E:E,MATCH(G232,'label approval artwork'!F:F,0),""),"")</f>
        <v/>
      </c>
      <c r="D232" s="102" t="str">
        <f t="shared" si="3"/>
        <v/>
      </c>
      <c r="E232" s="100" t="str">
        <f t="array" ref="E232">IF(ISBLANK(G232),"",INDEX('POR Config List'!K:K,MATCH(G232,'POR Config List'!D:D,0)))</f>
        <v/>
      </c>
      <c r="F232" s="100" t="str">
        <f t="array" ref="F232">IF(ISBLANK(G232),"",INDEX('POR Config List'!J:J,MATCH(G232,'POR Config List'!D:D,0)))</f>
        <v/>
      </c>
      <c r="G232" s="119"/>
      <c r="H232" s="104" t="str">
        <f t="array" ref="H232">IF(ISBLANK(G232),"",INDEX('MP SKUs'!G:G,MATCH(G232,'MP SKUs'!A:A,0)))</f>
        <v/>
      </c>
      <c r="I232" s="105" t="str">
        <f t="array" ref="I232">IF(ISBLANK(G232),"",INDEX('POR Config List'!O:O,MATCH(G232,'POR Config List'!D:D,0)))</f>
        <v/>
      </c>
      <c r="J232" s="104" t="str">
        <f t="array" ref="J232">IF(ISBLANK(G232),"",INDEX('POR Config List'!H:H,MATCH(G232,'POR Config List'!D:D,0)))</f>
        <v/>
      </c>
      <c r="K232" s="105" t="str">
        <f t="array" ref="K232">IF(ISBLANK(G232),"",INDEX('POR Config List'!G:G,MATCH(G232,'POR Config List'!D:D,0)))</f>
        <v/>
      </c>
      <c r="L232" s="105"/>
      <c r="M232" s="105" t="str">
        <f t="array" ref="M232">IF(ISBLANK(G232),"",INDEX('label approval artwork'!Q:Q,MATCH( G232,'label approval artwork'!F:F,0)))</f>
        <v/>
      </c>
      <c r="N232" s="169" t="str">
        <f t="shared" si="5"/>
        <v/>
      </c>
      <c r="O232" s="102" t="str">
        <f t="array" ref="O232">IF(ISBLANK(G232),"",INDEX('POR Config List'!C:C,MATCH(G232,'POR Config List'!D:D,0)))</f>
        <v/>
      </c>
      <c r="P232" s="105" t="str">
        <f t="shared" si="4"/>
        <v/>
      </c>
      <c r="Q232" s="105" t="str">
        <f t="array" ref="Q232">IF(ISBLANK(G232),"",INDEX('label approval artwork'!J:J,MATCH( G232,'label approval artwork'!F:F,0)))</f>
        <v/>
      </c>
      <c r="R232" s="105" t="str">
        <f t="array" ref="R232">IFERROR( IF(P232&lt;&gt;"EMA",INDEX('label approval artwork'!H:H,MATCH(G232,'label approval artwork'!F:F,0),"")),"")</f>
        <v/>
      </c>
      <c r="S232" s="105"/>
      <c r="T232" s="105" t="str">
        <f t="array" ref="T232">IF(ISBLANK(G232),"",INDEX('POR Config List'!I:I,MATCH(G232,'POR Config List'!D:D,0)))</f>
        <v/>
      </c>
      <c r="AA232" s="100" t="str">
        <f t="array" ref="AA232">IF(ISBLANK(G232),"",INDEX('POR Config List'!E:E,MATCH(G232,'POR Config List'!D:D,0)))</f>
        <v/>
      </c>
      <c r="AC232" s="105"/>
      <c r="AD232" s="100"/>
      <c r="AE232" s="100"/>
      <c r="AF232" s="100"/>
      <c r="AG232" s="100"/>
      <c r="AM232" s="102"/>
      <c r="AN232" s="102"/>
      <c r="AR232" s="119"/>
      <c r="AS232" s="103"/>
    </row>
    <row r="233">
      <c r="A233" s="168"/>
      <c r="B233" s="100" t="str">
        <f t="array" ref="B233">IFERROR( INDEX('POR Config List'!A:A,MATCH(G233,'POR Config List'!D:D,0)),"")</f>
        <v/>
      </c>
      <c r="C233" s="101" t="str">
        <f t="array" ref="C233">IFERROR(INDEX('label approval artwork'!E:E,MATCH(G233,'label approval artwork'!F:F,0),""),"")</f>
        <v/>
      </c>
      <c r="D233" s="102" t="str">
        <f t="shared" si="3"/>
        <v/>
      </c>
      <c r="E233" s="100" t="str">
        <f t="array" ref="E233">IF(ISBLANK(G233),"",INDEX('POR Config List'!K:K,MATCH(G233,'POR Config List'!D:D,0)))</f>
        <v/>
      </c>
      <c r="F233" s="100" t="str">
        <f t="array" ref="F233">IF(ISBLANK(G233),"",INDEX('POR Config List'!J:J,MATCH(G233,'POR Config List'!D:D,0)))</f>
        <v/>
      </c>
      <c r="G233" s="119"/>
      <c r="H233" s="104" t="str">
        <f t="array" ref="H233">IF(ISBLANK(G233),"",INDEX('MP SKUs'!G:G,MATCH(G233,'MP SKUs'!A:A,0)))</f>
        <v/>
      </c>
      <c r="I233" s="105" t="str">
        <f t="array" ref="I233">IF(ISBLANK(G233),"",INDEX('POR Config List'!O:O,MATCH(G233,'POR Config List'!D:D,0)))</f>
        <v/>
      </c>
      <c r="J233" s="104" t="str">
        <f t="array" ref="J233">IF(ISBLANK(G233),"",INDEX('POR Config List'!H:H,MATCH(G233,'POR Config List'!D:D,0)))</f>
        <v/>
      </c>
      <c r="K233" s="105" t="str">
        <f t="array" ref="K233">IF(ISBLANK(G233),"",INDEX('POR Config List'!G:G,MATCH(G233,'POR Config List'!D:D,0)))</f>
        <v/>
      </c>
      <c r="L233" s="105"/>
      <c r="M233" s="105" t="str">
        <f t="array" ref="M233">IF(ISBLANK(G233),"",INDEX('label approval artwork'!Q:Q,MATCH( G233,'label approval artwork'!F:F,0)))</f>
        <v/>
      </c>
      <c r="N233" s="169" t="str">
        <f t="shared" si="5"/>
        <v/>
      </c>
      <c r="O233" s="102" t="str">
        <f t="array" ref="O233">IF(ISBLANK(G233),"",INDEX('POR Config List'!C:C,MATCH(G233,'POR Config List'!D:D,0)))</f>
        <v/>
      </c>
      <c r="P233" s="105" t="str">
        <f t="shared" si="4"/>
        <v/>
      </c>
      <c r="Q233" s="105" t="str">
        <f t="array" ref="Q233">IF(ISBLANK(G233),"",INDEX('label approval artwork'!J:J,MATCH( G233,'label approval artwork'!F:F,0)))</f>
        <v/>
      </c>
      <c r="R233" s="105" t="str">
        <f t="array" ref="R233">IFERROR( IF(P233&lt;&gt;"EMA",INDEX('label approval artwork'!H:H,MATCH(G233,'label approval artwork'!F:F,0),"")),"")</f>
        <v/>
      </c>
      <c r="S233" s="105"/>
      <c r="T233" s="105" t="str">
        <f t="array" ref="T233">IF(ISBLANK(G233),"",INDEX('POR Config List'!I:I,MATCH(G233,'POR Config List'!D:D,0)))</f>
        <v/>
      </c>
      <c r="AA233" s="100" t="str">
        <f t="array" ref="AA233">IF(ISBLANK(G233),"",INDEX('POR Config List'!E:E,MATCH(G233,'POR Config List'!D:D,0)))</f>
        <v/>
      </c>
      <c r="AC233" s="105"/>
      <c r="AD233" s="100"/>
      <c r="AE233" s="100"/>
      <c r="AF233" s="100"/>
      <c r="AG233" s="100"/>
      <c r="AM233" s="102"/>
      <c r="AN233" s="102"/>
      <c r="AR233" s="119"/>
      <c r="AS233" s="103"/>
    </row>
    <row r="234">
      <c r="A234" s="168"/>
      <c r="B234" s="100" t="str">
        <f t="array" ref="B234">IFERROR( INDEX('POR Config List'!A:A,MATCH(G234,'POR Config List'!D:D,0)),"")</f>
        <v/>
      </c>
      <c r="C234" s="101" t="str">
        <f t="array" ref="C234">IFERROR(INDEX('label approval artwork'!E:E,MATCH(G234,'label approval artwork'!F:F,0),""),"")</f>
        <v/>
      </c>
      <c r="D234" s="102" t="str">
        <f t="shared" si="3"/>
        <v/>
      </c>
      <c r="E234" s="100" t="str">
        <f t="array" ref="E234">IF(ISBLANK(G234),"",INDEX('POR Config List'!K:K,MATCH(G234,'POR Config List'!D:D,0)))</f>
        <v/>
      </c>
      <c r="F234" s="100" t="str">
        <f t="array" ref="F234">IF(ISBLANK(G234),"",INDEX('POR Config List'!J:J,MATCH(G234,'POR Config List'!D:D,0)))</f>
        <v/>
      </c>
      <c r="G234" s="119"/>
      <c r="H234" s="104" t="str">
        <f t="array" ref="H234">IF(ISBLANK(G234),"",INDEX('MP SKUs'!G:G,MATCH(G234,'MP SKUs'!A:A,0)))</f>
        <v/>
      </c>
      <c r="I234" s="105" t="str">
        <f t="array" ref="I234">IF(ISBLANK(G234),"",INDEX('POR Config List'!O:O,MATCH(G234,'POR Config List'!D:D,0)))</f>
        <v/>
      </c>
      <c r="J234" s="104" t="str">
        <f t="array" ref="J234">IF(ISBLANK(G234),"",INDEX('POR Config List'!H:H,MATCH(G234,'POR Config List'!D:D,0)))</f>
        <v/>
      </c>
      <c r="K234" s="105" t="str">
        <f t="array" ref="K234">IF(ISBLANK(G234),"",INDEX('POR Config List'!G:G,MATCH(G234,'POR Config List'!D:D,0)))</f>
        <v/>
      </c>
      <c r="L234" s="105"/>
      <c r="M234" s="105" t="str">
        <f t="array" ref="M234">IF(ISBLANK(G234),"",INDEX('label approval artwork'!Q:Q,MATCH( G234,'label approval artwork'!F:F,0)))</f>
        <v/>
      </c>
      <c r="N234" s="169" t="str">
        <f t="shared" si="5"/>
        <v/>
      </c>
      <c r="O234" s="102" t="str">
        <f t="array" ref="O234">IF(ISBLANK(G234),"",INDEX('POR Config List'!C:C,MATCH(G234,'POR Config List'!D:D,0)))</f>
        <v/>
      </c>
      <c r="P234" s="105" t="str">
        <f t="shared" si="4"/>
        <v/>
      </c>
      <c r="Q234" s="105" t="str">
        <f t="array" ref="Q234">IF(ISBLANK(G234),"",INDEX('label approval artwork'!J:J,MATCH( G234,'label approval artwork'!F:F,0)))</f>
        <v/>
      </c>
      <c r="R234" s="105" t="str">
        <f t="array" ref="R234">IFERROR( IF(P234&lt;&gt;"EMA",INDEX('label approval artwork'!H:H,MATCH(G234,'label approval artwork'!F:F,0),"")),"")</f>
        <v/>
      </c>
      <c r="S234" s="105"/>
      <c r="T234" s="105" t="str">
        <f t="array" ref="T234">IF(ISBLANK(G234),"",INDEX('POR Config List'!I:I,MATCH(G234,'POR Config List'!D:D,0)))</f>
        <v/>
      </c>
      <c r="AA234" s="100" t="str">
        <f t="array" ref="AA234">IF(ISBLANK(G234),"",INDEX('POR Config List'!E:E,MATCH(G234,'POR Config List'!D:D,0)))</f>
        <v/>
      </c>
      <c r="AC234" s="105"/>
      <c r="AD234" s="100"/>
      <c r="AE234" s="100"/>
      <c r="AF234" s="100"/>
      <c r="AG234" s="100"/>
      <c r="AM234" s="102"/>
      <c r="AN234" s="102"/>
      <c r="AR234" s="119"/>
      <c r="AS234" s="103"/>
    </row>
    <row r="235">
      <c r="A235" s="168"/>
      <c r="B235" s="100" t="str">
        <f t="array" ref="B235">IFERROR( INDEX('POR Config List'!A:A,MATCH(G235,'POR Config List'!D:D,0)),"")</f>
        <v/>
      </c>
      <c r="C235" s="101" t="str">
        <f t="array" ref="C235">IFERROR(INDEX('label approval artwork'!E:E,MATCH(G235,'label approval artwork'!F:F,0),""),"")</f>
        <v/>
      </c>
      <c r="D235" s="102" t="str">
        <f t="shared" si="3"/>
        <v/>
      </c>
      <c r="E235" s="100" t="str">
        <f t="array" ref="E235">IF(ISBLANK(G235),"",INDEX('POR Config List'!K:K,MATCH(G235,'POR Config List'!D:D,0)))</f>
        <v/>
      </c>
      <c r="F235" s="100" t="str">
        <f t="array" ref="F235">IF(ISBLANK(G235),"",INDEX('POR Config List'!J:J,MATCH(G235,'POR Config List'!D:D,0)))</f>
        <v/>
      </c>
      <c r="G235" s="119"/>
      <c r="H235" s="104" t="str">
        <f t="array" ref="H235">IF(ISBLANK(G235),"",INDEX('MP SKUs'!G:G,MATCH(G235,'MP SKUs'!A:A,0)))</f>
        <v/>
      </c>
      <c r="I235" s="105" t="str">
        <f t="array" ref="I235">IF(ISBLANK(G235),"",INDEX('POR Config List'!O:O,MATCH(G235,'POR Config List'!D:D,0)))</f>
        <v/>
      </c>
      <c r="J235" s="104" t="str">
        <f t="array" ref="J235">IF(ISBLANK(G235),"",INDEX('POR Config List'!H:H,MATCH(G235,'POR Config List'!D:D,0)))</f>
        <v/>
      </c>
      <c r="K235" s="105" t="str">
        <f t="array" ref="K235">IF(ISBLANK(G235),"",INDEX('POR Config List'!G:G,MATCH(G235,'POR Config List'!D:D,0)))</f>
        <v/>
      </c>
      <c r="L235" s="105"/>
      <c r="M235" s="105" t="str">
        <f t="array" ref="M235">IF(ISBLANK(G235),"",INDEX('label approval artwork'!Q:Q,MATCH( G235,'label approval artwork'!F:F,0)))</f>
        <v/>
      </c>
      <c r="N235" s="169" t="str">
        <f t="shared" si="5"/>
        <v/>
      </c>
      <c r="O235" s="102" t="str">
        <f t="array" ref="O235">IF(ISBLANK(G235),"",INDEX('POR Config List'!C:C,MATCH(G235,'POR Config List'!D:D,0)))</f>
        <v/>
      </c>
      <c r="P235" s="105" t="str">
        <f t="shared" si="4"/>
        <v/>
      </c>
      <c r="Q235" s="105" t="str">
        <f t="array" ref="Q235">IF(ISBLANK(G235),"",INDEX('label approval artwork'!J:J,MATCH( G235,'label approval artwork'!F:F,0)))</f>
        <v/>
      </c>
      <c r="R235" s="105" t="str">
        <f t="array" ref="R235">IFERROR( IF(P235&lt;&gt;"EMA",INDEX('label approval artwork'!H:H,MATCH(G235,'label approval artwork'!F:F,0),"")),"")</f>
        <v/>
      </c>
      <c r="S235" s="105"/>
      <c r="T235" s="105" t="str">
        <f t="array" ref="T235">IF(ISBLANK(G235),"",INDEX('POR Config List'!I:I,MATCH(G235,'POR Config List'!D:D,0)))</f>
        <v/>
      </c>
      <c r="AA235" s="100" t="str">
        <f t="array" ref="AA235">IF(ISBLANK(G235),"",INDEX('POR Config List'!E:E,MATCH(G235,'POR Config List'!D:D,0)))</f>
        <v/>
      </c>
      <c r="AC235" s="105"/>
      <c r="AD235" s="100"/>
      <c r="AE235" s="100"/>
      <c r="AF235" s="100"/>
      <c r="AG235" s="100"/>
      <c r="AM235" s="102"/>
      <c r="AN235" s="102"/>
      <c r="AR235" s="119"/>
      <c r="AS235" s="103"/>
    </row>
    <row r="236">
      <c r="A236" s="168"/>
      <c r="B236" s="100" t="str">
        <f t="array" ref="B236">IFERROR( INDEX('POR Config List'!A:A,MATCH(G236,'POR Config List'!D:D,0)),"")</f>
        <v/>
      </c>
      <c r="C236" s="101" t="str">
        <f t="array" ref="C236">IFERROR(INDEX('label approval artwork'!E:E,MATCH(G236,'label approval artwork'!F:F,0),""),"")</f>
        <v/>
      </c>
      <c r="D236" s="102" t="str">
        <f t="shared" si="3"/>
        <v/>
      </c>
      <c r="E236" s="100" t="str">
        <f t="array" ref="E236">IF(ISBLANK(G236),"",INDEX('POR Config List'!K:K,MATCH(G236,'POR Config List'!D:D,0)))</f>
        <v/>
      </c>
      <c r="F236" s="100" t="str">
        <f t="array" ref="F236">IF(ISBLANK(G236),"",INDEX('POR Config List'!J:J,MATCH(G236,'POR Config List'!D:D,0)))</f>
        <v/>
      </c>
      <c r="G236" s="119"/>
      <c r="H236" s="104" t="str">
        <f t="array" ref="H236">IF(ISBLANK(G236),"",INDEX('MP SKUs'!G:G,MATCH(G236,'MP SKUs'!A:A,0)))</f>
        <v/>
      </c>
      <c r="I236" s="105" t="str">
        <f t="array" ref="I236">IF(ISBLANK(G236),"",INDEX('POR Config List'!O:O,MATCH(G236,'POR Config List'!D:D,0)))</f>
        <v/>
      </c>
      <c r="J236" s="104" t="str">
        <f t="array" ref="J236">IF(ISBLANK(G236),"",INDEX('POR Config List'!H:H,MATCH(G236,'POR Config List'!D:D,0)))</f>
        <v/>
      </c>
      <c r="K236" s="105" t="str">
        <f t="array" ref="K236">IF(ISBLANK(G236),"",INDEX('POR Config List'!G:G,MATCH(G236,'POR Config List'!D:D,0)))</f>
        <v/>
      </c>
      <c r="L236" s="105"/>
      <c r="M236" s="105" t="str">
        <f t="array" ref="M236">IF(ISBLANK(G236),"",INDEX('label approval artwork'!Q:Q,MATCH( G236,'label approval artwork'!F:F,0)))</f>
        <v/>
      </c>
      <c r="N236" s="169" t="str">
        <f t="shared" si="5"/>
        <v/>
      </c>
      <c r="O236" s="102" t="str">
        <f t="array" ref="O236">IF(ISBLANK(G236),"",INDEX('POR Config List'!C:C,MATCH(G236,'POR Config List'!D:D,0)))</f>
        <v/>
      </c>
      <c r="P236" s="105" t="str">
        <f t="shared" si="4"/>
        <v/>
      </c>
      <c r="Q236" s="105" t="str">
        <f t="array" ref="Q236">IF(ISBLANK(G236),"",INDEX('label approval artwork'!J:J,MATCH( G236,'label approval artwork'!F:F,0)))</f>
        <v/>
      </c>
      <c r="R236" s="105" t="str">
        <f t="array" ref="R236">IFERROR( IF(P236&lt;&gt;"EMA",INDEX('label approval artwork'!H:H,MATCH(G236,'label approval artwork'!F:F,0),"")),"")</f>
        <v/>
      </c>
      <c r="S236" s="105"/>
      <c r="T236" s="105" t="str">
        <f t="array" ref="T236">IF(ISBLANK(G236),"",INDEX('POR Config List'!I:I,MATCH(G236,'POR Config List'!D:D,0)))</f>
        <v/>
      </c>
      <c r="AA236" s="100" t="str">
        <f t="array" ref="AA236">IF(ISBLANK(G236),"",INDEX('POR Config List'!E:E,MATCH(G236,'POR Config List'!D:D,0)))</f>
        <v/>
      </c>
      <c r="AC236" s="105"/>
      <c r="AD236" s="100"/>
      <c r="AE236" s="100"/>
      <c r="AF236" s="100"/>
      <c r="AG236" s="100"/>
      <c r="AM236" s="102"/>
      <c r="AN236" s="102"/>
      <c r="AR236" s="119"/>
      <c r="AS236" s="103"/>
    </row>
    <row r="237">
      <c r="A237" s="168"/>
      <c r="B237" s="100" t="str">
        <f t="array" ref="B237">IFERROR( INDEX('POR Config List'!A:A,MATCH(G237,'POR Config List'!D:D,0)),"")</f>
        <v/>
      </c>
      <c r="C237" s="101" t="str">
        <f t="array" ref="C237">IFERROR(INDEX('label approval artwork'!E:E,MATCH(G237,'label approval artwork'!F:F,0),""),"")</f>
        <v/>
      </c>
      <c r="D237" s="102" t="str">
        <f t="shared" si="3"/>
        <v/>
      </c>
      <c r="E237" s="100" t="str">
        <f t="array" ref="E237">IF(ISBLANK(G237),"",INDEX('POR Config List'!K:K,MATCH(G237,'POR Config List'!D:D,0)))</f>
        <v/>
      </c>
      <c r="F237" s="100" t="str">
        <f t="array" ref="F237">IF(ISBLANK(G237),"",INDEX('POR Config List'!J:J,MATCH(G237,'POR Config List'!D:D,0)))</f>
        <v/>
      </c>
      <c r="G237" s="119"/>
      <c r="H237" s="104" t="str">
        <f t="array" ref="H237">IF(ISBLANK(G237),"",INDEX('MP SKUs'!G:G,MATCH(G237,'MP SKUs'!A:A,0)))</f>
        <v/>
      </c>
      <c r="I237" s="105" t="str">
        <f t="array" ref="I237">IF(ISBLANK(G237),"",INDEX('POR Config List'!O:O,MATCH(G237,'POR Config List'!D:D,0)))</f>
        <v/>
      </c>
      <c r="J237" s="104" t="str">
        <f t="array" ref="J237">IF(ISBLANK(G237),"",INDEX('POR Config List'!H:H,MATCH(G237,'POR Config List'!D:D,0)))</f>
        <v/>
      </c>
      <c r="K237" s="105" t="str">
        <f t="array" ref="K237">IF(ISBLANK(G237),"",INDEX('POR Config List'!G:G,MATCH(G237,'POR Config List'!D:D,0)))</f>
        <v/>
      </c>
      <c r="L237" s="105"/>
      <c r="M237" s="105" t="str">
        <f t="array" ref="M237">IF(ISBLANK(G237),"",INDEX('label approval artwork'!Q:Q,MATCH( G237,'label approval artwork'!F:F,0)))</f>
        <v/>
      </c>
      <c r="N237" s="169" t="str">
        <f t="shared" si="5"/>
        <v/>
      </c>
      <c r="O237" s="102" t="str">
        <f t="array" ref="O237">IF(ISBLANK(G237),"",INDEX('POR Config List'!C:C,MATCH(G237,'POR Config List'!D:D,0)))</f>
        <v/>
      </c>
      <c r="P237" s="105" t="str">
        <f t="shared" si="4"/>
        <v/>
      </c>
      <c r="Q237" s="105" t="str">
        <f t="array" ref="Q237">IF(ISBLANK(G237),"",INDEX('label approval artwork'!J:J,MATCH( G237,'label approval artwork'!F:F,0)))</f>
        <v/>
      </c>
      <c r="R237" s="105" t="str">
        <f t="array" ref="R237">IFERROR( IF(P237&lt;&gt;"EMA",INDEX('label approval artwork'!H:H,MATCH(G237,'label approval artwork'!F:F,0),"")),"")</f>
        <v/>
      </c>
      <c r="S237" s="105"/>
      <c r="T237" s="105" t="str">
        <f t="array" ref="T237">IF(ISBLANK(G237),"",INDEX('POR Config List'!I:I,MATCH(G237,'POR Config List'!D:D,0)))</f>
        <v/>
      </c>
      <c r="AA237" s="100" t="str">
        <f t="array" ref="AA237">IF(ISBLANK(G237),"",INDEX('POR Config List'!E:E,MATCH(G237,'POR Config List'!D:D,0)))</f>
        <v/>
      </c>
      <c r="AC237" s="105"/>
      <c r="AD237" s="100"/>
      <c r="AE237" s="100"/>
      <c r="AF237" s="100"/>
      <c r="AG237" s="100"/>
      <c r="AM237" s="102"/>
      <c r="AN237" s="102"/>
      <c r="AR237" s="119"/>
      <c r="AS237" s="103"/>
    </row>
    <row r="238">
      <c r="A238" s="168"/>
      <c r="B238" s="100" t="str">
        <f t="array" ref="B238">IFERROR( INDEX('POR Config List'!A:A,MATCH(G238,'POR Config List'!D:D,0)),"")</f>
        <v/>
      </c>
      <c r="C238" s="101" t="str">
        <f t="array" ref="C238">IFERROR(INDEX('label approval artwork'!E:E,MATCH(G238,'label approval artwork'!F:F,0),""),"")</f>
        <v/>
      </c>
      <c r="D238" s="102" t="str">
        <f t="shared" si="3"/>
        <v/>
      </c>
      <c r="E238" s="100" t="str">
        <f t="array" ref="E238">IF(ISBLANK(G238),"",INDEX('POR Config List'!K:K,MATCH(G238,'POR Config List'!D:D,0)))</f>
        <v/>
      </c>
      <c r="F238" s="100" t="str">
        <f t="array" ref="F238">IF(ISBLANK(G238),"",INDEX('POR Config List'!J:J,MATCH(G238,'POR Config List'!D:D,0)))</f>
        <v/>
      </c>
      <c r="G238" s="119"/>
      <c r="H238" s="104" t="str">
        <f t="array" ref="H238">IF(ISBLANK(G238),"",INDEX('MP SKUs'!G:G,MATCH(G238,'MP SKUs'!A:A,0)))</f>
        <v/>
      </c>
      <c r="I238" s="105" t="str">
        <f t="array" ref="I238">IF(ISBLANK(G238),"",INDEX('POR Config List'!O:O,MATCH(G238,'POR Config List'!D:D,0)))</f>
        <v/>
      </c>
      <c r="J238" s="104" t="str">
        <f t="array" ref="J238">IF(ISBLANK(G238),"",INDEX('POR Config List'!H:H,MATCH(G238,'POR Config List'!D:D,0)))</f>
        <v/>
      </c>
      <c r="K238" s="105" t="str">
        <f t="array" ref="K238">IF(ISBLANK(G238),"",INDEX('POR Config List'!G:G,MATCH(G238,'POR Config List'!D:D,0)))</f>
        <v/>
      </c>
      <c r="L238" s="105"/>
      <c r="M238" s="105" t="str">
        <f t="array" ref="M238">IF(ISBLANK(G238),"",INDEX('label approval artwork'!Q:Q,MATCH( G238,'label approval artwork'!F:F,0)))</f>
        <v/>
      </c>
      <c r="N238" s="169" t="str">
        <f t="shared" si="5"/>
        <v/>
      </c>
      <c r="O238" s="102" t="str">
        <f t="array" ref="O238">IF(ISBLANK(G238),"",INDEX('POR Config List'!C:C,MATCH(G238,'POR Config List'!D:D,0)))</f>
        <v/>
      </c>
      <c r="P238" s="105" t="str">
        <f t="shared" si="4"/>
        <v/>
      </c>
      <c r="Q238" s="105" t="str">
        <f t="array" ref="Q238">IF(ISBLANK(G238),"",INDEX('label approval artwork'!J:J,MATCH( G238,'label approval artwork'!F:F,0)))</f>
        <v/>
      </c>
      <c r="R238" s="105" t="str">
        <f t="array" ref="R238">IFERROR( IF(P238&lt;&gt;"EMA",INDEX('label approval artwork'!H:H,MATCH(G238,'label approval artwork'!F:F,0),"")),"")</f>
        <v/>
      </c>
      <c r="S238" s="105"/>
      <c r="T238" s="105" t="str">
        <f t="array" ref="T238">IF(ISBLANK(G238),"",INDEX('POR Config List'!I:I,MATCH(G238,'POR Config List'!D:D,0)))</f>
        <v/>
      </c>
      <c r="AA238" s="100" t="str">
        <f t="array" ref="AA238">IF(ISBLANK(G238),"",INDEX('POR Config List'!E:E,MATCH(G238,'POR Config List'!D:D,0)))</f>
        <v/>
      </c>
      <c r="AC238" s="105"/>
      <c r="AD238" s="100"/>
      <c r="AE238" s="100"/>
      <c r="AF238" s="100"/>
      <c r="AG238" s="100"/>
      <c r="AM238" s="102"/>
      <c r="AN238" s="102"/>
      <c r="AR238" s="119"/>
      <c r="AS238" s="103"/>
    </row>
    <row r="239">
      <c r="A239" s="168"/>
      <c r="B239" s="100" t="str">
        <f t="array" ref="B239">IFERROR( INDEX('POR Config List'!A:A,MATCH(G239,'POR Config List'!D:D,0)),"")</f>
        <v/>
      </c>
      <c r="C239" s="101" t="str">
        <f t="array" ref="C239">IFERROR(INDEX('label approval artwork'!E:E,MATCH(G239,'label approval artwork'!F:F,0),""),"")</f>
        <v/>
      </c>
      <c r="D239" s="102" t="str">
        <f t="shared" si="3"/>
        <v/>
      </c>
      <c r="E239" s="100" t="str">
        <f t="array" ref="E239">IF(ISBLANK(G239),"",INDEX('POR Config List'!K:K,MATCH(G239,'POR Config List'!D:D,0)))</f>
        <v/>
      </c>
      <c r="F239" s="100" t="str">
        <f t="array" ref="F239">IF(ISBLANK(G239),"",INDEX('POR Config List'!J:J,MATCH(G239,'POR Config List'!D:D,0)))</f>
        <v/>
      </c>
      <c r="G239" s="119"/>
      <c r="H239" s="104" t="str">
        <f t="array" ref="H239">IF(ISBLANK(G239),"",INDEX('MP SKUs'!G:G,MATCH(G239,'MP SKUs'!A:A,0)))</f>
        <v/>
      </c>
      <c r="I239" s="105" t="str">
        <f t="array" ref="I239">IF(ISBLANK(G239),"",INDEX('POR Config List'!O:O,MATCH(G239,'POR Config List'!D:D,0)))</f>
        <v/>
      </c>
      <c r="J239" s="104" t="str">
        <f t="array" ref="J239">IF(ISBLANK(G239),"",INDEX('POR Config List'!H:H,MATCH(G239,'POR Config List'!D:D,0)))</f>
        <v/>
      </c>
      <c r="K239" s="105" t="str">
        <f t="array" ref="K239">IF(ISBLANK(G239),"",INDEX('POR Config List'!G:G,MATCH(G239,'POR Config List'!D:D,0)))</f>
        <v/>
      </c>
      <c r="L239" s="105"/>
      <c r="M239" s="105" t="str">
        <f t="array" ref="M239">IF(ISBLANK(G239),"",INDEX('label approval artwork'!Q:Q,MATCH( G239,'label approval artwork'!F:F,0)))</f>
        <v/>
      </c>
      <c r="N239" s="169" t="str">
        <f t="shared" si="5"/>
        <v/>
      </c>
      <c r="O239" s="102" t="str">
        <f t="array" ref="O239">IF(ISBLANK(G239),"",INDEX('POR Config List'!C:C,MATCH(G239,'POR Config List'!D:D,0)))</f>
        <v/>
      </c>
      <c r="P239" s="105" t="str">
        <f t="shared" si="4"/>
        <v/>
      </c>
      <c r="Q239" s="105" t="str">
        <f t="array" ref="Q239">IF(ISBLANK(G239),"",INDEX('label approval artwork'!J:J,MATCH( G239,'label approval artwork'!F:F,0)))</f>
        <v/>
      </c>
      <c r="R239" s="105" t="str">
        <f t="array" ref="R239">IFERROR( IF(P239&lt;&gt;"EMA",INDEX('label approval artwork'!H:H,MATCH(G239,'label approval artwork'!F:F,0),"")),"")</f>
        <v/>
      </c>
      <c r="S239" s="105"/>
      <c r="T239" s="105" t="str">
        <f t="array" ref="T239">IF(ISBLANK(G239),"",INDEX('POR Config List'!I:I,MATCH(G239,'POR Config List'!D:D,0)))</f>
        <v/>
      </c>
      <c r="AA239" s="100" t="str">
        <f t="array" ref="AA239">IF(ISBLANK(G239),"",INDEX('POR Config List'!E:E,MATCH(G239,'POR Config List'!D:D,0)))</f>
        <v/>
      </c>
      <c r="AC239" s="105"/>
      <c r="AD239" s="100"/>
      <c r="AE239" s="100"/>
      <c r="AF239" s="100"/>
      <c r="AG239" s="100"/>
      <c r="AM239" s="102"/>
      <c r="AN239" s="102"/>
      <c r="AR239" s="119"/>
      <c r="AS239" s="103"/>
    </row>
    <row r="240">
      <c r="A240" s="168"/>
      <c r="B240" s="100" t="str">
        <f t="array" ref="B240">IFERROR( INDEX('POR Config List'!A:A,MATCH(G240,'POR Config List'!D:D,0)),"")</f>
        <v/>
      </c>
      <c r="C240" s="101" t="str">
        <f t="array" ref="C240">IFERROR(INDEX('label approval artwork'!E:E,MATCH(G240,'label approval artwork'!F:F,0),""),"")</f>
        <v/>
      </c>
      <c r="D240" s="102" t="str">
        <f t="shared" si="3"/>
        <v/>
      </c>
      <c r="E240" s="100" t="str">
        <f t="array" ref="E240">IF(ISBLANK(G240),"",INDEX('POR Config List'!K:K,MATCH(G240,'POR Config List'!D:D,0)))</f>
        <v/>
      </c>
      <c r="F240" s="100" t="str">
        <f t="array" ref="F240">IF(ISBLANK(G240),"",INDEX('POR Config List'!J:J,MATCH(G240,'POR Config List'!D:D,0)))</f>
        <v/>
      </c>
      <c r="G240" s="119"/>
      <c r="H240" s="104" t="str">
        <f t="array" ref="H240">IF(ISBLANK(G240),"",INDEX('MP SKUs'!G:G,MATCH(G240,'MP SKUs'!A:A,0)))</f>
        <v/>
      </c>
      <c r="I240" s="105" t="str">
        <f t="array" ref="I240">IF(ISBLANK(G240),"",INDEX('POR Config List'!O:O,MATCH(G240,'POR Config List'!D:D,0)))</f>
        <v/>
      </c>
      <c r="J240" s="104" t="str">
        <f t="array" ref="J240">IF(ISBLANK(G240),"",INDEX('POR Config List'!H:H,MATCH(G240,'POR Config List'!D:D,0)))</f>
        <v/>
      </c>
      <c r="K240" s="105" t="str">
        <f t="array" ref="K240">IF(ISBLANK(G240),"",INDEX('POR Config List'!G:G,MATCH(G240,'POR Config List'!D:D,0)))</f>
        <v/>
      </c>
      <c r="L240" s="105"/>
      <c r="M240" s="105" t="str">
        <f t="array" ref="M240">IF(ISBLANK(G240),"",INDEX('label approval artwork'!Q:Q,MATCH( G240,'label approval artwork'!F:F,0)))</f>
        <v/>
      </c>
      <c r="N240" s="169" t="str">
        <f t="shared" si="5"/>
        <v/>
      </c>
      <c r="O240" s="102" t="str">
        <f t="array" ref="O240">IF(ISBLANK(G240),"",INDEX('POR Config List'!C:C,MATCH(G240,'POR Config List'!D:D,0)))</f>
        <v/>
      </c>
      <c r="P240" s="105" t="str">
        <f t="shared" si="4"/>
        <v/>
      </c>
      <c r="Q240" s="105" t="str">
        <f t="array" ref="Q240">IF(ISBLANK(G240),"",INDEX('label approval artwork'!J:J,MATCH( G240,'label approval artwork'!F:F,0)))</f>
        <v/>
      </c>
      <c r="R240" s="105" t="str">
        <f t="array" ref="R240">IFERROR( IF(P240&lt;&gt;"EMA",INDEX('label approval artwork'!H:H,MATCH(G240,'label approval artwork'!F:F,0),"")),"")</f>
        <v/>
      </c>
      <c r="S240" s="105"/>
      <c r="T240" s="105" t="str">
        <f t="array" ref="T240">IF(ISBLANK(G240),"",INDEX('POR Config List'!I:I,MATCH(G240,'POR Config List'!D:D,0)))</f>
        <v/>
      </c>
      <c r="AA240" s="100" t="str">
        <f t="array" ref="AA240">IF(ISBLANK(G240),"",INDEX('POR Config List'!E:E,MATCH(G240,'POR Config List'!D:D,0)))</f>
        <v/>
      </c>
      <c r="AC240" s="105"/>
      <c r="AD240" s="100"/>
      <c r="AE240" s="100"/>
      <c r="AF240" s="100"/>
      <c r="AG240" s="100"/>
      <c r="AM240" s="102"/>
      <c r="AN240" s="102"/>
      <c r="AR240" s="119"/>
      <c r="AS240" s="103"/>
    </row>
    <row r="241">
      <c r="A241" s="168"/>
      <c r="B241" s="100" t="str">
        <f t="array" ref="B241">IFERROR( INDEX('POR Config List'!A:A,MATCH(G241,'POR Config List'!D:D,0)),"")</f>
        <v/>
      </c>
      <c r="C241" s="101" t="str">
        <f t="array" ref="C241">IFERROR(INDEX('label approval artwork'!E:E,MATCH(G241,'label approval artwork'!F:F,0),""),"")</f>
        <v/>
      </c>
      <c r="D241" s="102" t="str">
        <f t="shared" si="3"/>
        <v/>
      </c>
      <c r="E241" s="100" t="str">
        <f t="array" ref="E241">IF(ISBLANK(G241),"",INDEX('POR Config List'!K:K,MATCH(G241,'POR Config List'!D:D,0)))</f>
        <v/>
      </c>
      <c r="F241" s="100" t="str">
        <f t="array" ref="F241">IF(ISBLANK(G241),"",INDEX('POR Config List'!J:J,MATCH(G241,'POR Config List'!D:D,0)))</f>
        <v/>
      </c>
      <c r="G241" s="119"/>
      <c r="H241" s="104" t="str">
        <f t="array" ref="H241">IF(ISBLANK(G241),"",INDEX('MP SKUs'!G:G,MATCH(G241,'MP SKUs'!A:A,0)))</f>
        <v/>
      </c>
      <c r="I241" s="105" t="str">
        <f t="array" ref="I241">IF(ISBLANK(G241),"",INDEX('POR Config List'!O:O,MATCH(G241,'POR Config List'!D:D,0)))</f>
        <v/>
      </c>
      <c r="J241" s="104" t="str">
        <f t="array" ref="J241">IF(ISBLANK(G241),"",INDEX('POR Config List'!H:H,MATCH(G241,'POR Config List'!D:D,0)))</f>
        <v/>
      </c>
      <c r="K241" s="105" t="str">
        <f t="array" ref="K241">IF(ISBLANK(G241),"",INDEX('POR Config List'!G:G,MATCH(G241,'POR Config List'!D:D,0)))</f>
        <v/>
      </c>
      <c r="L241" s="105"/>
      <c r="M241" s="105" t="str">
        <f t="array" ref="M241">IF(ISBLANK(G241),"",INDEX('label approval artwork'!Q:Q,MATCH( G241,'label approval artwork'!F:F,0)))</f>
        <v/>
      </c>
      <c r="N241" s="169" t="str">
        <f t="shared" si="5"/>
        <v/>
      </c>
      <c r="O241" s="102" t="str">
        <f t="array" ref="O241">IF(ISBLANK(G241),"",INDEX('POR Config List'!C:C,MATCH(G241,'POR Config List'!D:D,0)))</f>
        <v/>
      </c>
      <c r="P241" s="105" t="str">
        <f t="shared" si="4"/>
        <v/>
      </c>
      <c r="Q241" s="105" t="str">
        <f t="array" ref="Q241">IF(ISBLANK(G241),"",INDEX('label approval artwork'!J:J,MATCH( G241,'label approval artwork'!F:F,0)))</f>
        <v/>
      </c>
      <c r="R241" s="105" t="str">
        <f t="array" ref="R241">IFERROR( IF(P241&lt;&gt;"EMA",INDEX('label approval artwork'!H:H,MATCH(G241,'label approval artwork'!F:F,0),"")),"")</f>
        <v/>
      </c>
      <c r="S241" s="105"/>
      <c r="T241" s="105" t="str">
        <f t="array" ref="T241">IF(ISBLANK(G241),"",INDEX('POR Config List'!I:I,MATCH(G241,'POR Config List'!D:D,0)))</f>
        <v/>
      </c>
      <c r="AA241" s="100" t="str">
        <f t="array" ref="AA241">IF(ISBLANK(G241),"",INDEX('POR Config List'!E:E,MATCH(G241,'POR Config List'!D:D,0)))</f>
        <v/>
      </c>
      <c r="AC241" s="105"/>
      <c r="AD241" s="100"/>
      <c r="AE241" s="100"/>
      <c r="AF241" s="100"/>
      <c r="AG241" s="100"/>
      <c r="AM241" s="102"/>
      <c r="AN241" s="102"/>
      <c r="AR241" s="119"/>
      <c r="AS241" s="103"/>
    </row>
    <row r="242">
      <c r="A242" s="168"/>
      <c r="B242" s="100" t="str">
        <f t="array" ref="B242">IFERROR( INDEX('POR Config List'!A:A,MATCH(G242,'POR Config List'!D:D,0)),"")</f>
        <v/>
      </c>
      <c r="C242" s="101" t="str">
        <f t="array" ref="C242">IFERROR(INDEX('label approval artwork'!E:E,MATCH(G242,'label approval artwork'!F:F,0),""),"")</f>
        <v/>
      </c>
      <c r="D242" s="102" t="str">
        <f t="shared" si="3"/>
        <v/>
      </c>
      <c r="E242" s="100" t="str">
        <f t="array" ref="E242">IF(ISBLANK(G242),"",INDEX('POR Config List'!K:K,MATCH(G242,'POR Config List'!D:D,0)))</f>
        <v/>
      </c>
      <c r="F242" s="100" t="str">
        <f t="array" ref="F242">IF(ISBLANK(G242),"",INDEX('POR Config List'!J:J,MATCH(G242,'POR Config List'!D:D,0)))</f>
        <v/>
      </c>
      <c r="G242" s="119"/>
      <c r="H242" s="104" t="str">
        <f t="array" ref="H242">IF(ISBLANK(G242),"",INDEX('MP SKUs'!G:G,MATCH(G242,'MP SKUs'!A:A,0)))</f>
        <v/>
      </c>
      <c r="I242" s="105" t="str">
        <f t="array" ref="I242">IF(ISBLANK(G242),"",INDEX('POR Config List'!O:O,MATCH(G242,'POR Config List'!D:D,0)))</f>
        <v/>
      </c>
      <c r="J242" s="104" t="str">
        <f t="array" ref="J242">IF(ISBLANK(G242),"",INDEX('POR Config List'!H:H,MATCH(G242,'POR Config List'!D:D,0)))</f>
        <v/>
      </c>
      <c r="K242" s="105" t="str">
        <f t="array" ref="K242">IF(ISBLANK(G242),"",INDEX('POR Config List'!G:G,MATCH(G242,'POR Config List'!D:D,0)))</f>
        <v/>
      </c>
      <c r="L242" s="105"/>
      <c r="M242" s="105" t="str">
        <f t="array" ref="M242">IF(ISBLANK(G242),"",INDEX('label approval artwork'!Q:Q,MATCH( G242,'label approval artwork'!F:F,0)))</f>
        <v/>
      </c>
      <c r="N242" s="169" t="str">
        <f t="shared" si="5"/>
        <v/>
      </c>
      <c r="O242" s="102" t="str">
        <f t="array" ref="O242">IF(ISBLANK(G242),"",INDEX('POR Config List'!C:C,MATCH(G242,'POR Config List'!D:D,0)))</f>
        <v/>
      </c>
      <c r="P242" s="105" t="str">
        <f t="shared" si="4"/>
        <v/>
      </c>
      <c r="Q242" s="105" t="str">
        <f t="array" ref="Q242">IF(ISBLANK(G242),"",INDEX('label approval artwork'!J:J,MATCH( G242,'label approval artwork'!F:F,0)))</f>
        <v/>
      </c>
      <c r="R242" s="105" t="str">
        <f t="array" ref="R242">IFERROR( IF(P242&lt;&gt;"EMA",INDEX('label approval artwork'!H:H,MATCH(G242,'label approval artwork'!F:F,0),"")),"")</f>
        <v/>
      </c>
      <c r="S242" s="105"/>
      <c r="T242" s="105" t="str">
        <f t="array" ref="T242">IF(ISBLANK(G242),"",INDEX('POR Config List'!I:I,MATCH(G242,'POR Config List'!D:D,0)))</f>
        <v/>
      </c>
      <c r="AA242" s="100" t="str">
        <f t="array" ref="AA242">IF(ISBLANK(G242),"",INDEX('POR Config List'!E:E,MATCH(G242,'POR Config List'!D:D,0)))</f>
        <v/>
      </c>
      <c r="AC242" s="105"/>
      <c r="AD242" s="100"/>
      <c r="AE242" s="100"/>
      <c r="AF242" s="100"/>
      <c r="AG242" s="100"/>
      <c r="AM242" s="102"/>
      <c r="AN242" s="102"/>
      <c r="AR242" s="119"/>
      <c r="AS242" s="103"/>
    </row>
    <row r="243">
      <c r="A243" s="168"/>
      <c r="B243" s="100" t="str">
        <f t="array" ref="B243">IFERROR( INDEX('POR Config List'!A:A,MATCH(G243,'POR Config List'!D:D,0)),"")</f>
        <v/>
      </c>
      <c r="C243" s="101" t="str">
        <f t="array" ref="C243">IFERROR(INDEX('label approval artwork'!E:E,MATCH(G243,'label approval artwork'!F:F,0),""),"")</f>
        <v/>
      </c>
      <c r="D243" s="102" t="str">
        <f t="shared" si="3"/>
        <v/>
      </c>
      <c r="E243" s="100" t="str">
        <f t="array" ref="E243">IF(ISBLANK(G243),"",INDEX('POR Config List'!K:K,MATCH(G243,'POR Config List'!D:D,0)))</f>
        <v/>
      </c>
      <c r="F243" s="100" t="str">
        <f t="array" ref="F243">IF(ISBLANK(G243),"",INDEX('POR Config List'!J:J,MATCH(G243,'POR Config List'!D:D,0)))</f>
        <v/>
      </c>
      <c r="G243" s="119"/>
      <c r="H243" s="104" t="str">
        <f t="array" ref="H243">IF(ISBLANK(G243),"",INDEX('MP SKUs'!G:G,MATCH(G243,'MP SKUs'!A:A,0)))</f>
        <v/>
      </c>
      <c r="I243" s="105" t="str">
        <f t="array" ref="I243">IF(ISBLANK(G243),"",INDEX('POR Config List'!O:O,MATCH(G243,'POR Config List'!D:D,0)))</f>
        <v/>
      </c>
      <c r="J243" s="104" t="str">
        <f t="array" ref="J243">IF(ISBLANK(G243),"",INDEX('POR Config List'!H:H,MATCH(G243,'POR Config List'!D:D,0)))</f>
        <v/>
      </c>
      <c r="K243" s="105" t="str">
        <f t="array" ref="K243">IF(ISBLANK(G243),"",INDEX('POR Config List'!G:G,MATCH(G243,'POR Config List'!D:D,0)))</f>
        <v/>
      </c>
      <c r="L243" s="105"/>
      <c r="M243" s="105" t="str">
        <f t="array" ref="M243">IF(ISBLANK(G243),"",INDEX('label approval artwork'!Q:Q,MATCH( G243,'label approval artwork'!F:F,0)))</f>
        <v/>
      </c>
      <c r="N243" s="169" t="str">
        <f t="shared" si="5"/>
        <v/>
      </c>
      <c r="O243" s="102" t="str">
        <f t="array" ref="O243">IF(ISBLANK(G243),"",INDEX('POR Config List'!C:C,MATCH(G243,'POR Config List'!D:D,0)))</f>
        <v/>
      </c>
      <c r="P243" s="105" t="str">
        <f t="shared" si="4"/>
        <v/>
      </c>
      <c r="Q243" s="105" t="str">
        <f t="array" ref="Q243">IF(ISBLANK(G243),"",INDEX('label approval artwork'!J:J,MATCH( G243,'label approval artwork'!F:F,0)))</f>
        <v/>
      </c>
      <c r="R243" s="105" t="str">
        <f t="array" ref="R243">IFERROR( IF(P243&lt;&gt;"EMA",INDEX('label approval artwork'!H:H,MATCH(G243,'label approval artwork'!F:F,0),"")),"")</f>
        <v/>
      </c>
      <c r="S243" s="105"/>
      <c r="T243" s="105" t="str">
        <f t="array" ref="T243">IF(ISBLANK(G243),"",INDEX('POR Config List'!I:I,MATCH(G243,'POR Config List'!D:D,0)))</f>
        <v/>
      </c>
      <c r="AA243" s="100" t="str">
        <f t="array" ref="AA243">IF(ISBLANK(G243),"",INDEX('POR Config List'!E:E,MATCH(G243,'POR Config List'!D:D,0)))</f>
        <v/>
      </c>
      <c r="AC243" s="105"/>
      <c r="AD243" s="100"/>
      <c r="AE243" s="100"/>
      <c r="AF243" s="100"/>
      <c r="AG243" s="100"/>
      <c r="AM243" s="102"/>
      <c r="AN243" s="102"/>
      <c r="AR243" s="119"/>
      <c r="AS243" s="103"/>
    </row>
    <row r="244">
      <c r="A244" s="168"/>
      <c r="B244" s="100" t="str">
        <f t="array" ref="B244">IFERROR( INDEX('POR Config List'!A:A,MATCH(G244,'POR Config List'!D:D,0)),"")</f>
        <v/>
      </c>
      <c r="C244" s="101" t="str">
        <f t="array" ref="C244">IFERROR(INDEX('label approval artwork'!E:E,MATCH(G244,'label approval artwork'!F:F,0),""),"")</f>
        <v/>
      </c>
      <c r="D244" s="102" t="str">
        <f t="shared" si="3"/>
        <v/>
      </c>
      <c r="E244" s="100" t="str">
        <f t="array" ref="E244">IF(ISBLANK(G244),"",INDEX('POR Config List'!K:K,MATCH(G244,'POR Config List'!D:D,0)))</f>
        <v/>
      </c>
      <c r="F244" s="100" t="str">
        <f t="array" ref="F244">IF(ISBLANK(G244),"",INDEX('POR Config List'!J:J,MATCH(G244,'POR Config List'!D:D,0)))</f>
        <v/>
      </c>
      <c r="G244" s="119"/>
      <c r="H244" s="104" t="str">
        <f t="array" ref="H244">IF(ISBLANK(G244),"",INDEX('MP SKUs'!G:G,MATCH(G244,'MP SKUs'!A:A,0)))</f>
        <v/>
      </c>
      <c r="I244" s="105" t="str">
        <f t="array" ref="I244">IF(ISBLANK(G244),"",INDEX('POR Config List'!O:O,MATCH(G244,'POR Config List'!D:D,0)))</f>
        <v/>
      </c>
      <c r="J244" s="104" t="str">
        <f t="array" ref="J244">IF(ISBLANK(G244),"",INDEX('POR Config List'!H:H,MATCH(G244,'POR Config List'!D:D,0)))</f>
        <v/>
      </c>
      <c r="K244" s="105" t="str">
        <f t="array" ref="K244">IF(ISBLANK(G244),"",INDEX('POR Config List'!G:G,MATCH(G244,'POR Config List'!D:D,0)))</f>
        <v/>
      </c>
      <c r="L244" s="105"/>
      <c r="M244" s="105" t="str">
        <f t="array" ref="M244">IF(ISBLANK(G244),"",INDEX('label approval artwork'!Q:Q,MATCH( G244,'label approval artwork'!F:F,0)))</f>
        <v/>
      </c>
      <c r="N244" s="169" t="str">
        <f t="shared" si="5"/>
        <v/>
      </c>
      <c r="O244" s="102" t="str">
        <f t="array" ref="O244">IF(ISBLANK(G244),"",INDEX('POR Config List'!C:C,MATCH(G244,'POR Config List'!D:D,0)))</f>
        <v/>
      </c>
      <c r="P244" s="105" t="str">
        <f t="shared" si="4"/>
        <v/>
      </c>
      <c r="Q244" s="105" t="str">
        <f t="array" ref="Q244">IF(ISBLANK(G244),"",INDEX('label approval artwork'!J:J,MATCH( G244,'label approval artwork'!F:F,0)))</f>
        <v/>
      </c>
      <c r="R244" s="105" t="str">
        <f t="array" ref="R244">IFERROR( IF(P244&lt;&gt;"EMA",INDEX('label approval artwork'!H:H,MATCH(G244,'label approval artwork'!F:F,0),"")),"")</f>
        <v/>
      </c>
      <c r="S244" s="105"/>
      <c r="T244" s="105" t="str">
        <f t="array" ref="T244">IF(ISBLANK(G244),"",INDEX('POR Config List'!I:I,MATCH(G244,'POR Config List'!D:D,0)))</f>
        <v/>
      </c>
      <c r="AA244" s="100" t="str">
        <f t="array" ref="AA244">IF(ISBLANK(G244),"",INDEX('POR Config List'!E:E,MATCH(G244,'POR Config List'!D:D,0)))</f>
        <v/>
      </c>
      <c r="AC244" s="105"/>
      <c r="AD244" s="100"/>
      <c r="AE244" s="100"/>
      <c r="AF244" s="100"/>
      <c r="AG244" s="100"/>
      <c r="AM244" s="102"/>
      <c r="AN244" s="102"/>
      <c r="AR244" s="119"/>
      <c r="AS244" s="103"/>
    </row>
    <row r="245">
      <c r="A245" s="168"/>
      <c r="B245" s="100" t="str">
        <f t="array" ref="B245">IFERROR( INDEX('POR Config List'!A:A,MATCH(G245,'POR Config List'!D:D,0)),"")</f>
        <v/>
      </c>
      <c r="C245" s="101" t="str">
        <f t="array" ref="C245">IFERROR(INDEX('label approval artwork'!E:E,MATCH(G245,'label approval artwork'!F:F,0),""),"")</f>
        <v/>
      </c>
      <c r="D245" s="102" t="str">
        <f t="shared" si="3"/>
        <v/>
      </c>
      <c r="E245" s="100" t="str">
        <f t="array" ref="E245">IF(ISBLANK(G245),"",INDEX('POR Config List'!K:K,MATCH(G245,'POR Config List'!D:D,0)))</f>
        <v/>
      </c>
      <c r="F245" s="100" t="str">
        <f t="array" ref="F245">IF(ISBLANK(G245),"",INDEX('POR Config List'!J:J,MATCH(G245,'POR Config List'!D:D,0)))</f>
        <v/>
      </c>
      <c r="G245" s="119"/>
      <c r="H245" s="104" t="str">
        <f t="array" ref="H245">IF(ISBLANK(G245),"",INDEX('MP SKUs'!G:G,MATCH(G245,'MP SKUs'!A:A,0)))</f>
        <v/>
      </c>
      <c r="I245" s="105" t="str">
        <f t="array" ref="I245">IF(ISBLANK(G245),"",INDEX('POR Config List'!O:O,MATCH(G245,'POR Config List'!D:D,0)))</f>
        <v/>
      </c>
      <c r="J245" s="104" t="str">
        <f t="array" ref="J245">IF(ISBLANK(G245),"",INDEX('POR Config List'!H:H,MATCH(G245,'POR Config List'!D:D,0)))</f>
        <v/>
      </c>
      <c r="K245" s="105" t="str">
        <f t="array" ref="K245">IF(ISBLANK(G245),"",INDEX('POR Config List'!G:G,MATCH(G245,'POR Config List'!D:D,0)))</f>
        <v/>
      </c>
      <c r="L245" s="105"/>
      <c r="M245" s="105" t="str">
        <f t="array" ref="M245">IF(ISBLANK(G245),"",INDEX('label approval artwork'!Q:Q,MATCH( G245,'label approval artwork'!F:F,0)))</f>
        <v/>
      </c>
      <c r="N245" s="169" t="str">
        <f t="shared" si="5"/>
        <v/>
      </c>
      <c r="O245" s="102" t="str">
        <f t="array" ref="O245">IF(ISBLANK(G245),"",INDEX('POR Config List'!C:C,MATCH(G245,'POR Config List'!D:D,0)))</f>
        <v/>
      </c>
      <c r="P245" s="105" t="str">
        <f t="shared" si="4"/>
        <v/>
      </c>
      <c r="Q245" s="105" t="str">
        <f t="array" ref="Q245">IF(ISBLANK(G245),"",INDEX('label approval artwork'!J:J,MATCH( G245,'label approval artwork'!F:F,0)))</f>
        <v/>
      </c>
      <c r="R245" s="105" t="str">
        <f t="array" ref="R245">IFERROR( IF(P245&lt;&gt;"EMA",INDEX('label approval artwork'!H:H,MATCH(G245,'label approval artwork'!F:F,0),"")),"")</f>
        <v/>
      </c>
      <c r="S245" s="105"/>
      <c r="T245" s="105" t="str">
        <f t="array" ref="T245">IF(ISBLANK(G245),"",INDEX('POR Config List'!I:I,MATCH(G245,'POR Config List'!D:D,0)))</f>
        <v/>
      </c>
      <c r="AA245" s="100" t="str">
        <f t="array" ref="AA245">IF(ISBLANK(G245),"",INDEX('POR Config List'!E:E,MATCH(G245,'POR Config List'!D:D,0)))</f>
        <v/>
      </c>
      <c r="AC245" s="105"/>
      <c r="AD245" s="100"/>
      <c r="AE245" s="100"/>
      <c r="AF245" s="100"/>
      <c r="AG245" s="100"/>
      <c r="AM245" s="102"/>
      <c r="AN245" s="102"/>
      <c r="AR245" s="119"/>
      <c r="AS245" s="103"/>
    </row>
    <row r="246">
      <c r="A246" s="168"/>
      <c r="B246" s="100" t="str">
        <f t="array" ref="B246">IFERROR( INDEX('POR Config List'!A:A,MATCH(G246,'POR Config List'!D:D,0)),"")</f>
        <v/>
      </c>
      <c r="C246" s="101" t="str">
        <f t="array" ref="C246">IFERROR(INDEX('label approval artwork'!E:E,MATCH(G246,'label approval artwork'!F:F,0),""),"")</f>
        <v/>
      </c>
      <c r="D246" s="102" t="str">
        <f t="shared" si="3"/>
        <v/>
      </c>
      <c r="E246" s="100" t="str">
        <f t="array" ref="E246">IF(ISBLANK(G246),"",INDEX('POR Config List'!K:K,MATCH(G246,'POR Config List'!D:D,0)))</f>
        <v/>
      </c>
      <c r="F246" s="100" t="str">
        <f t="array" ref="F246">IF(ISBLANK(G246),"",INDEX('POR Config List'!J:J,MATCH(G246,'POR Config List'!D:D,0)))</f>
        <v/>
      </c>
      <c r="G246" s="119"/>
      <c r="H246" s="104" t="str">
        <f t="array" ref="H246">IF(ISBLANK(G246),"",INDEX('MP SKUs'!G:G,MATCH(G246,'MP SKUs'!A:A,0)))</f>
        <v/>
      </c>
      <c r="I246" s="105" t="str">
        <f t="array" ref="I246">IF(ISBLANK(G246),"",INDEX('POR Config List'!O:O,MATCH(G246,'POR Config List'!D:D,0)))</f>
        <v/>
      </c>
      <c r="J246" s="104" t="str">
        <f t="array" ref="J246">IF(ISBLANK(G246),"",INDEX('POR Config List'!H:H,MATCH(G246,'POR Config List'!D:D,0)))</f>
        <v/>
      </c>
      <c r="K246" s="105" t="str">
        <f t="array" ref="K246">IF(ISBLANK(G246),"",INDEX('POR Config List'!G:G,MATCH(G246,'POR Config List'!D:D,0)))</f>
        <v/>
      </c>
      <c r="L246" s="105"/>
      <c r="M246" s="105" t="str">
        <f t="array" ref="M246">IF(ISBLANK(G246),"",INDEX('label approval artwork'!Q:Q,MATCH( G246,'label approval artwork'!F:F,0)))</f>
        <v/>
      </c>
      <c r="N246" s="169" t="str">
        <f t="shared" si="5"/>
        <v/>
      </c>
      <c r="O246" s="102" t="str">
        <f t="array" ref="O246">IF(ISBLANK(G246),"",INDEX('POR Config List'!C:C,MATCH(G246,'POR Config List'!D:D,0)))</f>
        <v/>
      </c>
      <c r="P246" s="105" t="str">
        <f t="shared" si="4"/>
        <v/>
      </c>
      <c r="Q246" s="105" t="str">
        <f t="array" ref="Q246">IF(ISBLANK(G246),"",INDEX('label approval artwork'!J:J,MATCH( G246,'label approval artwork'!F:F,0)))</f>
        <v/>
      </c>
      <c r="R246" s="105" t="str">
        <f t="array" ref="R246">IFERROR( IF(P246&lt;&gt;"EMA",INDEX('label approval artwork'!H:H,MATCH(G246,'label approval artwork'!F:F,0),"")),"")</f>
        <v/>
      </c>
      <c r="S246" s="105"/>
      <c r="T246" s="105" t="str">
        <f t="array" ref="T246">IF(ISBLANK(G246),"",INDEX('POR Config List'!I:I,MATCH(G246,'POR Config List'!D:D,0)))</f>
        <v/>
      </c>
      <c r="AA246" s="100" t="str">
        <f t="array" ref="AA246">IF(ISBLANK(G246),"",INDEX('POR Config List'!E:E,MATCH(G246,'POR Config List'!D:D,0)))</f>
        <v/>
      </c>
      <c r="AC246" s="105"/>
      <c r="AD246" s="100"/>
      <c r="AE246" s="100"/>
      <c r="AF246" s="100"/>
      <c r="AG246" s="100"/>
      <c r="AM246" s="102"/>
      <c r="AN246" s="102"/>
      <c r="AR246" s="119"/>
      <c r="AS246" s="103"/>
    </row>
    <row r="247">
      <c r="A247" s="168"/>
      <c r="B247" s="100" t="str">
        <f t="array" ref="B247">IFERROR( INDEX('POR Config List'!A:A,MATCH(G247,'POR Config List'!D:D,0)),"")</f>
        <v/>
      </c>
      <c r="C247" s="101" t="str">
        <f t="array" ref="C247">IFERROR(INDEX('label approval artwork'!E:E,MATCH(G247,'label approval artwork'!F:F,0),""),"")</f>
        <v/>
      </c>
      <c r="D247" s="102" t="str">
        <f t="shared" si="3"/>
        <v/>
      </c>
      <c r="E247" s="100" t="str">
        <f t="array" ref="E247">IF(ISBLANK(G247),"",INDEX('POR Config List'!K:K,MATCH(G247,'POR Config List'!D:D,0)))</f>
        <v/>
      </c>
      <c r="F247" s="100" t="str">
        <f t="array" ref="F247">IF(ISBLANK(G247),"",INDEX('POR Config List'!J:J,MATCH(G247,'POR Config List'!D:D,0)))</f>
        <v/>
      </c>
      <c r="G247" s="119"/>
      <c r="H247" s="104" t="str">
        <f t="array" ref="H247">IF(ISBLANK(G247),"",INDEX('MP SKUs'!G:G,MATCH(G247,'MP SKUs'!A:A,0)))</f>
        <v/>
      </c>
      <c r="I247" s="105" t="str">
        <f t="array" ref="I247">IF(ISBLANK(G247),"",INDEX('POR Config List'!O:O,MATCH(G247,'POR Config List'!D:D,0)))</f>
        <v/>
      </c>
      <c r="J247" s="104" t="str">
        <f t="array" ref="J247">IF(ISBLANK(G247),"",INDEX('POR Config List'!H:H,MATCH(G247,'POR Config List'!D:D,0)))</f>
        <v/>
      </c>
      <c r="K247" s="105" t="str">
        <f t="array" ref="K247">IF(ISBLANK(G247),"",INDEX('POR Config List'!G:G,MATCH(G247,'POR Config List'!D:D,0)))</f>
        <v/>
      </c>
      <c r="L247" s="105"/>
      <c r="M247" s="105" t="str">
        <f t="array" ref="M247">IF(ISBLANK(G247),"",INDEX('label approval artwork'!Q:Q,MATCH( G247,'label approval artwork'!F:F,0)))</f>
        <v/>
      </c>
      <c r="N247" s="169" t="str">
        <f t="shared" si="5"/>
        <v/>
      </c>
      <c r="O247" s="102" t="str">
        <f t="array" ref="O247">IF(ISBLANK(G247),"",INDEX('POR Config List'!C:C,MATCH(G247,'POR Config List'!D:D,0)))</f>
        <v/>
      </c>
      <c r="P247" s="105" t="str">
        <f t="shared" si="4"/>
        <v/>
      </c>
      <c r="Q247" s="105" t="str">
        <f t="array" ref="Q247">IF(ISBLANK(G247),"",INDEX('label approval artwork'!J:J,MATCH( G247,'label approval artwork'!F:F,0)))</f>
        <v/>
      </c>
      <c r="R247" s="105" t="str">
        <f t="array" ref="R247">IFERROR( IF(P247&lt;&gt;"EMA",INDEX('label approval artwork'!H:H,MATCH(G247,'label approval artwork'!F:F,0),"")),"")</f>
        <v/>
      </c>
      <c r="S247" s="105"/>
      <c r="T247" s="105" t="str">
        <f t="array" ref="T247">IF(ISBLANK(G247),"",INDEX('POR Config List'!I:I,MATCH(G247,'POR Config List'!D:D,0)))</f>
        <v/>
      </c>
      <c r="AA247" s="100" t="str">
        <f t="array" ref="AA247">IF(ISBLANK(G247),"",INDEX('POR Config List'!E:E,MATCH(G247,'POR Config List'!D:D,0)))</f>
        <v/>
      </c>
      <c r="AC247" s="105"/>
      <c r="AD247" s="100"/>
      <c r="AE247" s="100"/>
      <c r="AF247" s="100"/>
      <c r="AG247" s="100"/>
      <c r="AM247" s="102"/>
      <c r="AN247" s="102"/>
      <c r="AR247" s="119"/>
      <c r="AS247" s="103"/>
    </row>
    <row r="248">
      <c r="A248" s="168"/>
      <c r="B248" s="100" t="str">
        <f t="array" ref="B248">IFERROR( INDEX('POR Config List'!A:A,MATCH(G248,'POR Config List'!D:D,0)),"")</f>
        <v/>
      </c>
      <c r="C248" s="101" t="str">
        <f t="array" ref="C248">IFERROR(INDEX('label approval artwork'!E:E,MATCH(G248,'label approval artwork'!F:F,0),""),"")</f>
        <v/>
      </c>
      <c r="D248" s="102" t="str">
        <f t="shared" si="3"/>
        <v/>
      </c>
      <c r="E248" s="100" t="str">
        <f t="array" ref="E248">IF(ISBLANK(G248),"",INDEX('POR Config List'!K:K,MATCH(G248,'POR Config List'!D:D,0)))</f>
        <v/>
      </c>
      <c r="F248" s="100" t="str">
        <f t="array" ref="F248">IF(ISBLANK(G248),"",INDEX('POR Config List'!J:J,MATCH(G248,'POR Config List'!D:D,0)))</f>
        <v/>
      </c>
      <c r="G248" s="119"/>
      <c r="H248" s="104" t="str">
        <f t="array" ref="H248">IF(ISBLANK(G248),"",INDEX('MP SKUs'!G:G,MATCH(G248,'MP SKUs'!A:A,0)))</f>
        <v/>
      </c>
      <c r="I248" s="105" t="str">
        <f t="array" ref="I248">IF(ISBLANK(G248),"",INDEX('POR Config List'!O:O,MATCH(G248,'POR Config List'!D:D,0)))</f>
        <v/>
      </c>
      <c r="J248" s="104" t="str">
        <f t="array" ref="J248">IF(ISBLANK(G248),"",INDEX('POR Config List'!H:H,MATCH(G248,'POR Config List'!D:D,0)))</f>
        <v/>
      </c>
      <c r="K248" s="105" t="str">
        <f t="array" ref="K248">IF(ISBLANK(G248),"",INDEX('POR Config List'!G:G,MATCH(G248,'POR Config List'!D:D,0)))</f>
        <v/>
      </c>
      <c r="L248" s="105"/>
      <c r="M248" s="105" t="str">
        <f t="array" ref="M248">IF(ISBLANK(G248),"",INDEX('label approval artwork'!Q:Q,MATCH( G248,'label approval artwork'!F:F,0)))</f>
        <v/>
      </c>
      <c r="N248" s="169" t="str">
        <f t="shared" si="5"/>
        <v/>
      </c>
      <c r="O248" s="102" t="str">
        <f t="array" ref="O248">IF(ISBLANK(G248),"",INDEX('POR Config List'!C:C,MATCH(G248,'POR Config List'!D:D,0)))</f>
        <v/>
      </c>
      <c r="P248" s="105" t="str">
        <f t="shared" si="4"/>
        <v/>
      </c>
      <c r="Q248" s="105" t="str">
        <f t="array" ref="Q248">IF(ISBLANK(G248),"",INDEX('label approval artwork'!J:J,MATCH( G248,'label approval artwork'!F:F,0)))</f>
        <v/>
      </c>
      <c r="R248" s="105" t="str">
        <f t="array" ref="R248">IFERROR( IF(P248&lt;&gt;"EMA",INDEX('label approval artwork'!H:H,MATCH(G248,'label approval artwork'!F:F,0),"")),"")</f>
        <v/>
      </c>
      <c r="S248" s="105"/>
      <c r="T248" s="105" t="str">
        <f t="array" ref="T248">IF(ISBLANK(G248),"",INDEX('POR Config List'!I:I,MATCH(G248,'POR Config List'!D:D,0)))</f>
        <v/>
      </c>
      <c r="AA248" s="100" t="str">
        <f t="array" ref="AA248">IF(ISBLANK(G248),"",INDEX('POR Config List'!E:E,MATCH(G248,'POR Config List'!D:D,0)))</f>
        <v/>
      </c>
      <c r="AC248" s="105"/>
      <c r="AD248" s="100"/>
      <c r="AE248" s="100"/>
      <c r="AF248" s="100"/>
      <c r="AG248" s="100"/>
      <c r="AM248" s="102"/>
      <c r="AN248" s="102"/>
      <c r="AR248" s="119"/>
      <c r="AS248" s="103"/>
    </row>
    <row r="249">
      <c r="A249" s="168"/>
      <c r="B249" s="100" t="str">
        <f t="array" ref="B249">IFERROR( INDEX('POR Config List'!A:A,MATCH(G249,'POR Config List'!D:D,0)),"")</f>
        <v/>
      </c>
      <c r="C249" s="101" t="str">
        <f t="array" ref="C249">IFERROR(INDEX('label approval artwork'!E:E,MATCH(G249,'label approval artwork'!F:F,0),""),"")</f>
        <v/>
      </c>
      <c r="D249" s="102" t="str">
        <f t="shared" si="3"/>
        <v/>
      </c>
      <c r="E249" s="100" t="str">
        <f t="array" ref="E249">IF(ISBLANK(G249),"",INDEX('POR Config List'!K:K,MATCH(G249,'POR Config List'!D:D,0)))</f>
        <v/>
      </c>
      <c r="F249" s="100" t="str">
        <f t="array" ref="F249">IF(ISBLANK(G249),"",INDEX('POR Config List'!J:J,MATCH(G249,'POR Config List'!D:D,0)))</f>
        <v/>
      </c>
      <c r="G249" s="119"/>
      <c r="H249" s="104" t="str">
        <f t="array" ref="H249">IF(ISBLANK(G249),"",INDEX('MP SKUs'!G:G,MATCH(G249,'MP SKUs'!A:A,0)))</f>
        <v/>
      </c>
      <c r="I249" s="105" t="str">
        <f t="array" ref="I249">IF(ISBLANK(G249),"",INDEX('POR Config List'!O:O,MATCH(G249,'POR Config List'!D:D,0)))</f>
        <v/>
      </c>
      <c r="J249" s="104" t="str">
        <f t="array" ref="J249">IF(ISBLANK(G249),"",INDEX('POR Config List'!H:H,MATCH(G249,'POR Config List'!D:D,0)))</f>
        <v/>
      </c>
      <c r="K249" s="105" t="str">
        <f t="array" ref="K249">IF(ISBLANK(G249),"",INDEX('POR Config List'!G:G,MATCH(G249,'POR Config List'!D:D,0)))</f>
        <v/>
      </c>
      <c r="L249" s="105"/>
      <c r="M249" s="105" t="str">
        <f t="array" ref="M249">IF(ISBLANK(G249),"",INDEX('label approval artwork'!Q:Q,MATCH( G249,'label approval artwork'!F:F,0)))</f>
        <v/>
      </c>
      <c r="N249" s="169" t="str">
        <f t="shared" si="5"/>
        <v/>
      </c>
      <c r="O249" s="102" t="str">
        <f t="array" ref="O249">IF(ISBLANK(G249),"",INDEX('POR Config List'!C:C,MATCH(G249,'POR Config List'!D:D,0)))</f>
        <v/>
      </c>
      <c r="P249" s="105" t="str">
        <f t="shared" si="4"/>
        <v/>
      </c>
      <c r="Q249" s="105" t="str">
        <f t="array" ref="Q249">IF(ISBLANK(G249),"",INDEX('label approval artwork'!J:J,MATCH( G249,'label approval artwork'!F:F,0)))</f>
        <v/>
      </c>
      <c r="R249" s="105" t="str">
        <f t="array" ref="R249">IFERROR( IF(P249&lt;&gt;"EMA",INDEX('label approval artwork'!H:H,MATCH(G249,'label approval artwork'!F:F,0),"")),"")</f>
        <v/>
      </c>
      <c r="S249" s="105"/>
      <c r="T249" s="105" t="str">
        <f t="array" ref="T249">IF(ISBLANK(G249),"",INDEX('POR Config List'!I:I,MATCH(G249,'POR Config List'!D:D,0)))</f>
        <v/>
      </c>
      <c r="AA249" s="100" t="str">
        <f t="array" ref="AA249">IF(ISBLANK(G249),"",INDEX('POR Config List'!E:E,MATCH(G249,'POR Config List'!D:D,0)))</f>
        <v/>
      </c>
      <c r="AC249" s="105"/>
      <c r="AD249" s="100"/>
      <c r="AE249" s="100"/>
      <c r="AF249" s="100"/>
      <c r="AG249" s="100"/>
      <c r="AM249" s="102"/>
      <c r="AN249" s="102"/>
      <c r="AR249" s="119"/>
      <c r="AS249" s="103"/>
    </row>
    <row r="250">
      <c r="A250" s="168"/>
      <c r="B250" s="100" t="str">
        <f t="array" ref="B250">IFERROR( INDEX('POR Config List'!A:A,MATCH(G250,'POR Config List'!D:D,0)),"")</f>
        <v/>
      </c>
      <c r="C250" s="101" t="str">
        <f t="array" ref="C250">IFERROR(INDEX('label approval artwork'!E:E,MATCH(G250,'label approval artwork'!F:F,0),""),"")</f>
        <v/>
      </c>
      <c r="D250" s="102" t="str">
        <f t="shared" si="3"/>
        <v/>
      </c>
      <c r="E250" s="100" t="str">
        <f t="array" ref="E250">IF(ISBLANK(G250),"",INDEX('POR Config List'!K:K,MATCH(G250,'POR Config List'!D:D,0)))</f>
        <v/>
      </c>
      <c r="F250" s="100" t="str">
        <f t="array" ref="F250">IF(ISBLANK(G250),"",INDEX('POR Config List'!J:J,MATCH(G250,'POR Config List'!D:D,0)))</f>
        <v/>
      </c>
      <c r="G250" s="119"/>
      <c r="H250" s="104" t="str">
        <f t="array" ref="H250">IF(ISBLANK(G250),"",INDEX('MP SKUs'!G:G,MATCH(G250,'MP SKUs'!A:A,0)))</f>
        <v/>
      </c>
      <c r="I250" s="105" t="str">
        <f t="array" ref="I250">IF(ISBLANK(G250),"",INDEX('POR Config List'!O:O,MATCH(G250,'POR Config List'!D:D,0)))</f>
        <v/>
      </c>
      <c r="J250" s="104" t="str">
        <f t="array" ref="J250">IF(ISBLANK(G250),"",INDEX('POR Config List'!H:H,MATCH(G250,'POR Config List'!D:D,0)))</f>
        <v/>
      </c>
      <c r="K250" s="105" t="str">
        <f t="array" ref="K250">IF(ISBLANK(G250),"",INDEX('POR Config List'!G:G,MATCH(G250,'POR Config List'!D:D,0)))</f>
        <v/>
      </c>
      <c r="L250" s="105"/>
      <c r="M250" s="105" t="str">
        <f t="array" ref="M250">IF(ISBLANK(G250),"",INDEX('label approval artwork'!Q:Q,MATCH( G250,'label approval artwork'!F:F,0)))</f>
        <v/>
      </c>
      <c r="N250" s="169" t="str">
        <f t="shared" si="5"/>
        <v/>
      </c>
      <c r="O250" s="102" t="str">
        <f t="array" ref="O250">IF(ISBLANK(G250),"",INDEX('POR Config List'!C:C,MATCH(G250,'POR Config List'!D:D,0)))</f>
        <v/>
      </c>
      <c r="P250" s="105" t="str">
        <f t="shared" si="4"/>
        <v/>
      </c>
      <c r="Q250" s="105" t="str">
        <f t="array" ref="Q250">IF(ISBLANK(G250),"",INDEX('label approval artwork'!J:J,MATCH( G250,'label approval artwork'!F:F,0)))</f>
        <v/>
      </c>
      <c r="R250" s="105" t="str">
        <f t="array" ref="R250">IFERROR( IF(P250&lt;&gt;"EMA",INDEX('label approval artwork'!H:H,MATCH(G250,'label approval artwork'!F:F,0),"")),"")</f>
        <v/>
      </c>
      <c r="S250" s="105"/>
      <c r="T250" s="105" t="str">
        <f t="array" ref="T250">IF(ISBLANK(G250),"",INDEX('POR Config List'!I:I,MATCH(G250,'POR Config List'!D:D,0)))</f>
        <v/>
      </c>
      <c r="AA250" s="100" t="str">
        <f t="array" ref="AA250">IF(ISBLANK(G250),"",INDEX('POR Config List'!E:E,MATCH(G250,'POR Config List'!D:D,0)))</f>
        <v/>
      </c>
      <c r="AC250" s="105"/>
      <c r="AD250" s="100"/>
      <c r="AE250" s="100"/>
      <c r="AF250" s="100"/>
      <c r="AG250" s="100"/>
      <c r="AM250" s="102"/>
      <c r="AN250" s="102"/>
      <c r="AR250" s="119"/>
      <c r="AS250" s="103"/>
    </row>
    <row r="251">
      <c r="A251" s="168"/>
      <c r="B251" s="100" t="str">
        <f t="array" ref="B251">IFERROR( INDEX('POR Config List'!A:A,MATCH(G251,'POR Config List'!D:D,0)),"")</f>
        <v/>
      </c>
      <c r="C251" s="101" t="str">
        <f t="array" ref="C251">IFERROR(INDEX('label approval artwork'!E:E,MATCH(G251,'label approval artwork'!F:F,0),""),"")</f>
        <v/>
      </c>
      <c r="D251" s="102" t="str">
        <f t="shared" si="3"/>
        <v/>
      </c>
      <c r="E251" s="100" t="str">
        <f t="array" ref="E251">IF(ISBLANK(G251),"",INDEX('POR Config List'!K:K,MATCH(G251,'POR Config List'!D:D,0)))</f>
        <v/>
      </c>
      <c r="F251" s="100" t="str">
        <f t="array" ref="F251">IF(ISBLANK(G251),"",INDEX('POR Config List'!J:J,MATCH(G251,'POR Config List'!D:D,0)))</f>
        <v/>
      </c>
      <c r="G251" s="119"/>
      <c r="H251" s="104" t="str">
        <f t="array" ref="H251">IF(ISBLANK(G251),"",INDEX('MP SKUs'!G:G,MATCH(G251,'MP SKUs'!A:A,0)))</f>
        <v/>
      </c>
      <c r="I251" s="105" t="str">
        <f t="array" ref="I251">IF(ISBLANK(G251),"",INDEX('POR Config List'!O:O,MATCH(G251,'POR Config List'!D:D,0)))</f>
        <v/>
      </c>
      <c r="J251" s="104" t="str">
        <f t="array" ref="J251">IF(ISBLANK(G251),"",INDEX('POR Config List'!H:H,MATCH(G251,'POR Config List'!D:D,0)))</f>
        <v/>
      </c>
      <c r="K251" s="105" t="str">
        <f t="array" ref="K251">IF(ISBLANK(G251),"",INDEX('POR Config List'!G:G,MATCH(G251,'POR Config List'!D:D,0)))</f>
        <v/>
      </c>
      <c r="L251" s="105"/>
      <c r="M251" s="105" t="str">
        <f t="array" ref="M251">IF(ISBLANK(G251),"",INDEX('label approval artwork'!Q:Q,MATCH( G251,'label approval artwork'!F:F,0)))</f>
        <v/>
      </c>
      <c r="N251" s="169" t="str">
        <f t="shared" si="5"/>
        <v/>
      </c>
      <c r="O251" s="102" t="str">
        <f t="array" ref="O251">IF(ISBLANK(G251),"",INDEX('POR Config List'!C:C,MATCH(G251,'POR Config List'!D:D,0)))</f>
        <v/>
      </c>
      <c r="P251" s="105" t="str">
        <f t="shared" si="4"/>
        <v/>
      </c>
      <c r="Q251" s="105" t="str">
        <f t="array" ref="Q251">IF(ISBLANK(G251),"",INDEX('label approval artwork'!J:J,MATCH( G251,'label approval artwork'!F:F,0)))</f>
        <v/>
      </c>
      <c r="R251" s="105" t="str">
        <f t="array" ref="R251">IFERROR( IF(P251&lt;&gt;"EMA",INDEX('label approval artwork'!H:H,MATCH(G251,'label approval artwork'!F:F,0),"")),"")</f>
        <v/>
      </c>
      <c r="S251" s="105"/>
      <c r="T251" s="105" t="str">
        <f t="array" ref="T251">IF(ISBLANK(G251),"",INDEX('POR Config List'!I:I,MATCH(G251,'POR Config List'!D:D,0)))</f>
        <v/>
      </c>
      <c r="AA251" s="100" t="str">
        <f t="array" ref="AA251">IF(ISBLANK(G251),"",INDEX('POR Config List'!E:E,MATCH(G251,'POR Config List'!D:D,0)))</f>
        <v/>
      </c>
      <c r="AC251" s="105"/>
      <c r="AD251" s="100"/>
      <c r="AE251" s="100"/>
      <c r="AF251" s="100"/>
      <c r="AG251" s="100"/>
      <c r="AM251" s="102"/>
      <c r="AN251" s="102"/>
      <c r="AR251" s="119"/>
      <c r="AS251" s="103"/>
    </row>
    <row r="252">
      <c r="A252" s="168"/>
      <c r="B252" s="100" t="str">
        <f t="array" ref="B252">IFERROR( INDEX('POR Config List'!A:A,MATCH(G252,'POR Config List'!D:D,0)),"")</f>
        <v/>
      </c>
      <c r="C252" s="101" t="str">
        <f t="array" ref="C252">IFERROR(INDEX('label approval artwork'!E:E,MATCH(G252,'label approval artwork'!F:F,0),""),"")</f>
        <v/>
      </c>
      <c r="D252" s="102" t="str">
        <f t="shared" si="3"/>
        <v/>
      </c>
      <c r="E252" s="100" t="str">
        <f t="array" ref="E252">IF(ISBLANK(G252),"",INDEX('POR Config List'!K:K,MATCH(G252,'POR Config List'!D:D,0)))</f>
        <v/>
      </c>
      <c r="F252" s="100" t="str">
        <f t="array" ref="F252">IF(ISBLANK(G252),"",INDEX('POR Config List'!J:J,MATCH(G252,'POR Config List'!D:D,0)))</f>
        <v/>
      </c>
      <c r="G252" s="119"/>
      <c r="H252" s="104" t="str">
        <f t="array" ref="H252">IF(ISBLANK(G252),"",INDEX('MP SKUs'!G:G,MATCH(G252,'MP SKUs'!A:A,0)))</f>
        <v/>
      </c>
      <c r="I252" s="105" t="str">
        <f t="array" ref="I252">IF(ISBLANK(G252),"",INDEX('POR Config List'!O:O,MATCH(G252,'POR Config List'!D:D,0)))</f>
        <v/>
      </c>
      <c r="J252" s="104" t="str">
        <f t="array" ref="J252">IF(ISBLANK(G252),"",INDEX('POR Config List'!H:H,MATCH(G252,'POR Config List'!D:D,0)))</f>
        <v/>
      </c>
      <c r="K252" s="105" t="str">
        <f t="array" ref="K252">IF(ISBLANK(G252),"",INDEX('POR Config List'!G:G,MATCH(G252,'POR Config List'!D:D,0)))</f>
        <v/>
      </c>
      <c r="L252" s="105"/>
      <c r="M252" s="105" t="str">
        <f t="array" ref="M252">IF(ISBLANK(G252),"",INDEX('label approval artwork'!Q:Q,MATCH( G252,'label approval artwork'!F:F,0)))</f>
        <v/>
      </c>
      <c r="N252" s="169" t="str">
        <f t="shared" si="5"/>
        <v/>
      </c>
      <c r="O252" s="102" t="str">
        <f t="array" ref="O252">IF(ISBLANK(G252),"",INDEX('POR Config List'!C:C,MATCH(G252,'POR Config List'!D:D,0)))</f>
        <v/>
      </c>
      <c r="P252" s="105" t="str">
        <f t="shared" si="4"/>
        <v/>
      </c>
      <c r="Q252" s="105" t="str">
        <f t="array" ref="Q252">IF(ISBLANK(G252),"",INDEX('label approval artwork'!J:J,MATCH( G252,'label approval artwork'!F:F,0)))</f>
        <v/>
      </c>
      <c r="R252" s="105" t="str">
        <f t="array" ref="R252">IFERROR( IF(P252&lt;&gt;"EMA",INDEX('label approval artwork'!H:H,MATCH(G252,'label approval artwork'!F:F,0),"")),"")</f>
        <v/>
      </c>
      <c r="S252" s="105"/>
      <c r="T252" s="105" t="str">
        <f t="array" ref="T252">IF(ISBLANK(G252),"",INDEX('POR Config List'!I:I,MATCH(G252,'POR Config List'!D:D,0)))</f>
        <v/>
      </c>
      <c r="AA252" s="100" t="str">
        <f t="array" ref="AA252">IF(ISBLANK(G252),"",INDEX('POR Config List'!E:E,MATCH(G252,'POR Config List'!D:D,0)))</f>
        <v/>
      </c>
      <c r="AC252" s="105"/>
      <c r="AD252" s="100"/>
      <c r="AE252" s="100"/>
      <c r="AF252" s="100"/>
      <c r="AG252" s="100"/>
      <c r="AM252" s="102"/>
      <c r="AN252" s="102"/>
      <c r="AR252" s="119"/>
      <c r="AS252" s="103"/>
    </row>
    <row r="253">
      <c r="A253" s="168"/>
      <c r="B253" s="100" t="str">
        <f t="array" ref="B253">IFERROR( INDEX('POR Config List'!A:A,MATCH(G253,'POR Config List'!D:D,0)),"")</f>
        <v/>
      </c>
      <c r="C253" s="101" t="str">
        <f t="array" ref="C253">IFERROR(INDEX('label approval artwork'!E:E,MATCH(G253,'label approval artwork'!F:F,0),""),"")</f>
        <v/>
      </c>
      <c r="D253" s="102" t="str">
        <f t="shared" si="3"/>
        <v/>
      </c>
      <c r="E253" s="100" t="str">
        <f t="array" ref="E253">IF(ISBLANK(G253),"",INDEX('POR Config List'!K:K,MATCH(G253,'POR Config List'!D:D,0)))</f>
        <v/>
      </c>
      <c r="F253" s="100" t="str">
        <f t="array" ref="F253">IF(ISBLANK(G253),"",INDEX('POR Config List'!J:J,MATCH(G253,'POR Config List'!D:D,0)))</f>
        <v/>
      </c>
      <c r="G253" s="119"/>
      <c r="H253" s="104" t="str">
        <f t="array" ref="H253">IF(ISBLANK(G253),"",INDEX('MP SKUs'!G:G,MATCH(G253,'MP SKUs'!A:A,0)))</f>
        <v/>
      </c>
      <c r="I253" s="105" t="str">
        <f t="array" ref="I253">IF(ISBLANK(G253),"",INDEX('POR Config List'!O:O,MATCH(G253,'POR Config List'!D:D,0)))</f>
        <v/>
      </c>
      <c r="J253" s="104" t="str">
        <f t="array" ref="J253">IF(ISBLANK(G253),"",INDEX('POR Config List'!H:H,MATCH(G253,'POR Config List'!D:D,0)))</f>
        <v/>
      </c>
      <c r="K253" s="105" t="str">
        <f t="array" ref="K253">IF(ISBLANK(G253),"",INDEX('POR Config List'!G:G,MATCH(G253,'POR Config List'!D:D,0)))</f>
        <v/>
      </c>
      <c r="L253" s="105"/>
      <c r="M253" s="105" t="str">
        <f t="array" ref="M253">IF(ISBLANK(G253),"",INDEX('label approval artwork'!Q:Q,MATCH( G253,'label approval artwork'!F:F,0)))</f>
        <v/>
      </c>
      <c r="N253" s="169" t="str">
        <f t="shared" si="5"/>
        <v/>
      </c>
      <c r="O253" s="102" t="str">
        <f t="array" ref="O253">IF(ISBLANK(G253),"",INDEX('POR Config List'!C:C,MATCH(G253,'POR Config List'!D:D,0)))</f>
        <v/>
      </c>
      <c r="P253" s="105" t="str">
        <f t="shared" si="4"/>
        <v/>
      </c>
      <c r="Q253" s="105" t="str">
        <f t="array" ref="Q253">IF(ISBLANK(G253),"",INDEX('label approval artwork'!J:J,MATCH( G253,'label approval artwork'!F:F,0)))</f>
        <v/>
      </c>
      <c r="R253" s="105" t="str">
        <f t="array" ref="R253">IFERROR( IF(P253&lt;&gt;"EMA",INDEX('label approval artwork'!H:H,MATCH(G253,'label approval artwork'!F:F,0),"")),"")</f>
        <v/>
      </c>
      <c r="S253" s="105"/>
      <c r="T253" s="105" t="str">
        <f t="array" ref="T253">IF(ISBLANK(G253),"",INDEX('POR Config List'!I:I,MATCH(G253,'POR Config List'!D:D,0)))</f>
        <v/>
      </c>
      <c r="AA253" s="100" t="str">
        <f t="array" ref="AA253">IF(ISBLANK(G253),"",INDEX('POR Config List'!E:E,MATCH(G253,'POR Config List'!D:D,0)))</f>
        <v/>
      </c>
      <c r="AC253" s="105"/>
      <c r="AD253" s="100"/>
      <c r="AE253" s="100"/>
      <c r="AF253" s="100"/>
      <c r="AG253" s="100"/>
      <c r="AM253" s="102"/>
      <c r="AN253" s="102"/>
      <c r="AR253" s="119"/>
      <c r="AS253" s="103"/>
    </row>
    <row r="254">
      <c r="A254" s="168"/>
      <c r="B254" s="100" t="str">
        <f t="array" ref="B254">IFERROR( INDEX('POR Config List'!A:A,MATCH(G254,'POR Config List'!D:D,0)),"")</f>
        <v/>
      </c>
      <c r="C254" s="101" t="str">
        <f t="array" ref="C254">IFERROR(INDEX('label approval artwork'!E:E,MATCH(G254,'label approval artwork'!F:F,0),""),"")</f>
        <v/>
      </c>
      <c r="D254" s="102" t="str">
        <f t="shared" si="3"/>
        <v/>
      </c>
      <c r="E254" s="100" t="str">
        <f t="array" ref="E254">IF(ISBLANK(G254),"",INDEX('POR Config List'!K:K,MATCH(G254,'POR Config List'!D:D,0)))</f>
        <v/>
      </c>
      <c r="F254" s="100" t="str">
        <f t="array" ref="F254">IF(ISBLANK(G254),"",INDEX('POR Config List'!J:J,MATCH(G254,'POR Config List'!D:D,0)))</f>
        <v/>
      </c>
      <c r="G254" s="119"/>
      <c r="H254" s="104" t="str">
        <f t="array" ref="H254">IF(ISBLANK(G254),"",INDEX('MP SKUs'!G:G,MATCH(G254,'MP SKUs'!A:A,0)))</f>
        <v/>
      </c>
      <c r="I254" s="105" t="str">
        <f t="array" ref="I254">IF(ISBLANK(G254),"",INDEX('POR Config List'!O:O,MATCH(G254,'POR Config List'!D:D,0)))</f>
        <v/>
      </c>
      <c r="J254" s="104" t="str">
        <f t="array" ref="J254">IF(ISBLANK(G254),"",INDEX('POR Config List'!H:H,MATCH(G254,'POR Config List'!D:D,0)))</f>
        <v/>
      </c>
      <c r="K254" s="105" t="str">
        <f t="array" ref="K254">IF(ISBLANK(G254),"",INDEX('POR Config List'!G:G,MATCH(G254,'POR Config List'!D:D,0)))</f>
        <v/>
      </c>
      <c r="L254" s="105"/>
      <c r="M254" s="105" t="str">
        <f t="array" ref="M254">IF(ISBLANK(G254),"",INDEX('label approval artwork'!Q:Q,MATCH( G254,'label approval artwork'!F:F,0)))</f>
        <v/>
      </c>
      <c r="N254" s="169" t="str">
        <f t="shared" si="5"/>
        <v/>
      </c>
      <c r="O254" s="102" t="str">
        <f t="array" ref="O254">IF(ISBLANK(G254),"",INDEX('POR Config List'!C:C,MATCH(G254,'POR Config List'!D:D,0)))</f>
        <v/>
      </c>
      <c r="P254" s="105" t="str">
        <f t="shared" si="4"/>
        <v/>
      </c>
      <c r="Q254" s="105" t="str">
        <f t="array" ref="Q254">IF(ISBLANK(G254),"",INDEX('label approval artwork'!J:J,MATCH( G254,'label approval artwork'!F:F,0)))</f>
        <v/>
      </c>
      <c r="R254" s="105" t="str">
        <f t="array" ref="R254">IFERROR( IF(P254&lt;&gt;"EMA",INDEX('label approval artwork'!H:H,MATCH(G254,'label approval artwork'!F:F,0),"")),"")</f>
        <v/>
      </c>
      <c r="S254" s="105"/>
      <c r="T254" s="105" t="str">
        <f t="array" ref="T254">IF(ISBLANK(G254),"",INDEX('POR Config List'!I:I,MATCH(G254,'POR Config List'!D:D,0)))</f>
        <v/>
      </c>
      <c r="AA254" s="100" t="str">
        <f t="array" ref="AA254">IF(ISBLANK(G254),"",INDEX('POR Config List'!E:E,MATCH(G254,'POR Config List'!D:D,0)))</f>
        <v/>
      </c>
      <c r="AC254" s="105"/>
      <c r="AD254" s="100"/>
      <c r="AE254" s="100"/>
      <c r="AF254" s="100"/>
      <c r="AG254" s="100"/>
      <c r="AM254" s="102"/>
      <c r="AN254" s="102"/>
      <c r="AR254" s="119"/>
      <c r="AS254" s="103"/>
    </row>
    <row r="255">
      <c r="A255" s="168"/>
      <c r="B255" s="100" t="str">
        <f t="array" ref="B255">IFERROR( INDEX('POR Config List'!A:A,MATCH(G255,'POR Config List'!D:D,0)),"")</f>
        <v/>
      </c>
      <c r="C255" s="101" t="str">
        <f t="array" ref="C255">IFERROR(INDEX('label approval artwork'!E:E,MATCH(G255,'label approval artwork'!F:F,0),""),"")</f>
        <v/>
      </c>
      <c r="D255" s="102" t="str">
        <f t="shared" si="3"/>
        <v/>
      </c>
      <c r="E255" s="100" t="str">
        <f t="array" ref="E255">IF(ISBLANK(G255),"",INDEX('POR Config List'!K:K,MATCH(G255,'POR Config List'!D:D,0)))</f>
        <v/>
      </c>
      <c r="F255" s="100" t="str">
        <f t="array" ref="F255">IF(ISBLANK(G255),"",INDEX('POR Config List'!J:J,MATCH(G255,'POR Config List'!D:D,0)))</f>
        <v/>
      </c>
      <c r="G255" s="119"/>
      <c r="H255" s="104" t="str">
        <f t="array" ref="H255">IF(ISBLANK(G255),"",INDEX('MP SKUs'!G:G,MATCH(G255,'MP SKUs'!A:A,0)))</f>
        <v/>
      </c>
      <c r="I255" s="105" t="str">
        <f t="array" ref="I255">IF(ISBLANK(G255),"",INDEX('POR Config List'!O:O,MATCH(G255,'POR Config List'!D:D,0)))</f>
        <v/>
      </c>
      <c r="J255" s="104" t="str">
        <f t="array" ref="J255">IF(ISBLANK(G255),"",INDEX('POR Config List'!H:H,MATCH(G255,'POR Config List'!D:D,0)))</f>
        <v/>
      </c>
      <c r="K255" s="105" t="str">
        <f t="array" ref="K255">IF(ISBLANK(G255),"",INDEX('POR Config List'!G:G,MATCH(G255,'POR Config List'!D:D,0)))</f>
        <v/>
      </c>
      <c r="L255" s="105"/>
      <c r="M255" s="105" t="str">
        <f t="array" ref="M255">IF(ISBLANK(G255),"",INDEX('label approval artwork'!Q:Q,MATCH( G255,'label approval artwork'!F:F,0)))</f>
        <v/>
      </c>
      <c r="N255" s="169" t="str">
        <f t="shared" si="5"/>
        <v/>
      </c>
      <c r="O255" s="102" t="str">
        <f t="array" ref="O255">IF(ISBLANK(G255),"",INDEX('POR Config List'!C:C,MATCH(G255,'POR Config List'!D:D,0)))</f>
        <v/>
      </c>
      <c r="P255" s="105" t="str">
        <f t="shared" si="4"/>
        <v/>
      </c>
      <c r="Q255" s="105" t="str">
        <f t="array" ref="Q255">IF(ISBLANK(G255),"",INDEX('label approval artwork'!J:J,MATCH( G255,'label approval artwork'!F:F,0)))</f>
        <v/>
      </c>
      <c r="R255" s="105" t="str">
        <f t="array" ref="R255">IFERROR( IF(P255&lt;&gt;"EMA",INDEX('label approval artwork'!H:H,MATCH(G255,'label approval artwork'!F:F,0),"")),"")</f>
        <v/>
      </c>
      <c r="S255" s="105"/>
      <c r="T255" s="105" t="str">
        <f t="array" ref="T255">IF(ISBLANK(G255),"",INDEX('POR Config List'!I:I,MATCH(G255,'POR Config List'!D:D,0)))</f>
        <v/>
      </c>
      <c r="AA255" s="100" t="str">
        <f t="array" ref="AA255">IF(ISBLANK(G255),"",INDEX('POR Config List'!E:E,MATCH(G255,'POR Config List'!D:D,0)))</f>
        <v/>
      </c>
      <c r="AC255" s="105"/>
      <c r="AD255" s="100"/>
      <c r="AE255" s="100"/>
      <c r="AF255" s="100"/>
      <c r="AG255" s="100"/>
      <c r="AM255" s="102"/>
      <c r="AN255" s="102"/>
      <c r="AR255" s="119"/>
      <c r="AS255" s="103"/>
    </row>
    <row r="256">
      <c r="A256" s="168"/>
      <c r="B256" s="100" t="str">
        <f t="array" ref="B256">IFERROR( INDEX('POR Config List'!A:A,MATCH(G256,'POR Config List'!D:D,0)),"")</f>
        <v/>
      </c>
      <c r="C256" s="101" t="str">
        <f t="array" ref="C256">IFERROR(INDEX('label approval artwork'!E:E,MATCH(G256,'label approval artwork'!F:F,0),""),"")</f>
        <v/>
      </c>
      <c r="D256" s="102" t="str">
        <f t="shared" si="3"/>
        <v/>
      </c>
      <c r="E256" s="100" t="str">
        <f t="array" ref="E256">IF(ISBLANK(G256),"",INDEX('POR Config List'!K:K,MATCH(G256,'POR Config List'!D:D,0)))</f>
        <v/>
      </c>
      <c r="F256" s="100" t="str">
        <f t="array" ref="F256">IF(ISBLANK(G256),"",INDEX('POR Config List'!J:J,MATCH(G256,'POR Config List'!D:D,0)))</f>
        <v/>
      </c>
      <c r="G256" s="119"/>
      <c r="H256" s="104" t="str">
        <f t="array" ref="H256">IF(ISBLANK(G256),"",INDEX('MP SKUs'!G:G,MATCH(G256,'MP SKUs'!A:A,0)))</f>
        <v/>
      </c>
      <c r="I256" s="105" t="str">
        <f t="array" ref="I256">IF(ISBLANK(G256),"",INDEX('POR Config List'!O:O,MATCH(G256,'POR Config List'!D:D,0)))</f>
        <v/>
      </c>
      <c r="J256" s="104" t="str">
        <f t="array" ref="J256">IF(ISBLANK(G256),"",INDEX('POR Config List'!H:H,MATCH(G256,'POR Config List'!D:D,0)))</f>
        <v/>
      </c>
      <c r="K256" s="105" t="str">
        <f t="array" ref="K256">IF(ISBLANK(G256),"",INDEX('POR Config List'!G:G,MATCH(G256,'POR Config List'!D:D,0)))</f>
        <v/>
      </c>
      <c r="L256" s="105"/>
      <c r="M256" s="105" t="str">
        <f t="array" ref="M256">IF(ISBLANK(G256),"",INDEX('label approval artwork'!Q:Q,MATCH( G256,'label approval artwork'!F:F,0)))</f>
        <v/>
      </c>
      <c r="N256" s="169" t="str">
        <f t="shared" si="5"/>
        <v/>
      </c>
      <c r="O256" s="102" t="str">
        <f t="array" ref="O256">IF(ISBLANK(G256),"",INDEX('POR Config List'!C:C,MATCH(G256,'POR Config List'!D:D,0)))</f>
        <v/>
      </c>
      <c r="P256" s="105" t="str">
        <f t="shared" si="4"/>
        <v/>
      </c>
      <c r="Q256" s="105" t="str">
        <f t="array" ref="Q256">IF(ISBLANK(G256),"",INDEX('label approval artwork'!J:J,MATCH( G256,'label approval artwork'!F:F,0)))</f>
        <v/>
      </c>
      <c r="R256" s="105" t="str">
        <f t="array" ref="R256">IFERROR( IF(P256&lt;&gt;"EMA",INDEX('label approval artwork'!H:H,MATCH(G256,'label approval artwork'!F:F,0),"")),"")</f>
        <v/>
      </c>
      <c r="S256" s="105"/>
      <c r="T256" s="105" t="str">
        <f t="array" ref="T256">IF(ISBLANK(G256),"",INDEX('POR Config List'!I:I,MATCH(G256,'POR Config List'!D:D,0)))</f>
        <v/>
      </c>
      <c r="AA256" s="100" t="str">
        <f t="array" ref="AA256">IF(ISBLANK(G256),"",INDEX('POR Config List'!E:E,MATCH(G256,'POR Config List'!D:D,0)))</f>
        <v/>
      </c>
      <c r="AC256" s="105"/>
      <c r="AD256" s="100"/>
      <c r="AE256" s="100"/>
      <c r="AF256" s="100"/>
      <c r="AG256" s="100"/>
      <c r="AM256" s="102"/>
      <c r="AN256" s="102"/>
      <c r="AR256" s="119"/>
      <c r="AS256" s="103"/>
    </row>
    <row r="257">
      <c r="A257" s="168"/>
      <c r="B257" s="100" t="str">
        <f t="array" ref="B257">IFERROR( INDEX('POR Config List'!A:A,MATCH(G257,'POR Config List'!D:D,0)),"")</f>
        <v/>
      </c>
      <c r="C257" s="101" t="str">
        <f t="array" ref="C257">IFERROR(INDEX('label approval artwork'!E:E,MATCH(G257,'label approval artwork'!F:F,0),""),"")</f>
        <v/>
      </c>
      <c r="D257" s="102" t="str">
        <f t="shared" si="3"/>
        <v/>
      </c>
      <c r="E257" s="100" t="str">
        <f t="array" ref="E257">IF(ISBLANK(G257),"",INDEX('POR Config List'!K:K,MATCH(G257,'POR Config List'!D:D,0)))</f>
        <v/>
      </c>
      <c r="F257" s="100" t="str">
        <f t="array" ref="F257">IF(ISBLANK(G257),"",INDEX('POR Config List'!J:J,MATCH(G257,'POR Config List'!D:D,0)))</f>
        <v/>
      </c>
      <c r="G257" s="119"/>
      <c r="H257" s="104" t="str">
        <f t="array" ref="H257">IF(ISBLANK(G257),"",INDEX('MP SKUs'!G:G,MATCH(G257,'MP SKUs'!A:A,0)))</f>
        <v/>
      </c>
      <c r="I257" s="105" t="str">
        <f t="array" ref="I257">IF(ISBLANK(G257),"",INDEX('POR Config List'!O:O,MATCH(G257,'POR Config List'!D:D,0)))</f>
        <v/>
      </c>
      <c r="J257" s="104" t="str">
        <f t="array" ref="J257">IF(ISBLANK(G257),"",INDEX('POR Config List'!H:H,MATCH(G257,'POR Config List'!D:D,0)))</f>
        <v/>
      </c>
      <c r="K257" s="105" t="str">
        <f t="array" ref="K257">IF(ISBLANK(G257),"",INDEX('POR Config List'!G:G,MATCH(G257,'POR Config List'!D:D,0)))</f>
        <v/>
      </c>
      <c r="L257" s="105"/>
      <c r="M257" s="105" t="str">
        <f t="array" ref="M257">IF(ISBLANK(G257),"",INDEX('label approval artwork'!Q:Q,MATCH( G257,'label approval artwork'!F:F,0)))</f>
        <v/>
      </c>
      <c r="N257" s="169" t="str">
        <f t="shared" si="5"/>
        <v/>
      </c>
      <c r="O257" s="102" t="str">
        <f t="array" ref="O257">IF(ISBLANK(G257),"",INDEX('POR Config List'!C:C,MATCH(G257,'POR Config List'!D:D,0)))</f>
        <v/>
      </c>
      <c r="P257" s="105" t="str">
        <f t="shared" si="4"/>
        <v/>
      </c>
      <c r="Q257" s="105" t="str">
        <f t="array" ref="Q257">IF(ISBLANK(G257),"",INDEX('label approval artwork'!J:J,MATCH( G257,'label approval artwork'!F:F,0)))</f>
        <v/>
      </c>
      <c r="R257" s="105" t="str">
        <f t="array" ref="R257">IFERROR( IF(P257&lt;&gt;"EMA",INDEX('label approval artwork'!H:H,MATCH(G257,'label approval artwork'!F:F,0),"")),"")</f>
        <v/>
      </c>
      <c r="S257" s="105"/>
      <c r="T257" s="105" t="str">
        <f t="array" ref="T257">IF(ISBLANK(G257),"",INDEX('POR Config List'!I:I,MATCH(G257,'POR Config List'!D:D,0)))</f>
        <v/>
      </c>
      <c r="AA257" s="100" t="str">
        <f t="array" ref="AA257">IF(ISBLANK(G257),"",INDEX('POR Config List'!E:E,MATCH(G257,'POR Config List'!D:D,0)))</f>
        <v/>
      </c>
      <c r="AC257" s="105"/>
      <c r="AD257" s="100"/>
      <c r="AE257" s="100"/>
      <c r="AF257" s="100"/>
      <c r="AG257" s="100"/>
      <c r="AM257" s="102"/>
      <c r="AN257" s="102"/>
      <c r="AR257" s="119"/>
      <c r="AS257" s="103"/>
    </row>
    <row r="258">
      <c r="A258" s="168"/>
      <c r="B258" s="100" t="str">
        <f t="array" ref="B258">IFERROR( INDEX('POR Config List'!A:A,MATCH(G258,'POR Config List'!D:D,0)),"")</f>
        <v/>
      </c>
      <c r="C258" s="101" t="str">
        <f t="array" ref="C258">IFERROR(INDEX('label approval artwork'!E:E,MATCH(G258,'label approval artwork'!F:F,0),""),"")</f>
        <v/>
      </c>
      <c r="D258" s="102" t="str">
        <f t="shared" si="3"/>
        <v/>
      </c>
      <c r="E258" s="100" t="str">
        <f t="array" ref="E258">IF(ISBLANK(G258),"",INDEX('POR Config List'!K:K,MATCH(G258,'POR Config List'!D:D,0)))</f>
        <v/>
      </c>
      <c r="F258" s="100" t="str">
        <f t="array" ref="F258">IF(ISBLANK(G258),"",INDEX('POR Config List'!J:J,MATCH(G258,'POR Config List'!D:D,0)))</f>
        <v/>
      </c>
      <c r="G258" s="119"/>
      <c r="H258" s="104" t="str">
        <f t="array" ref="H258">IF(ISBLANK(G258),"",INDEX('MP SKUs'!G:G,MATCH(G258,'MP SKUs'!A:A,0)))</f>
        <v/>
      </c>
      <c r="I258" s="105" t="str">
        <f t="array" ref="I258">IF(ISBLANK(G258),"",INDEX('POR Config List'!O:O,MATCH(G258,'POR Config List'!D:D,0)))</f>
        <v/>
      </c>
      <c r="J258" s="104" t="str">
        <f t="array" ref="J258">IF(ISBLANK(G258),"",INDEX('POR Config List'!H:H,MATCH(G258,'POR Config List'!D:D,0)))</f>
        <v/>
      </c>
      <c r="K258" s="105" t="str">
        <f t="array" ref="K258">IF(ISBLANK(G258),"",INDEX('POR Config List'!G:G,MATCH(G258,'POR Config List'!D:D,0)))</f>
        <v/>
      </c>
      <c r="L258" s="105"/>
      <c r="M258" s="105" t="str">
        <f t="array" ref="M258">IF(ISBLANK(G258),"",INDEX('label approval artwork'!Q:Q,MATCH( G258,'label approval artwork'!F:F,0)))</f>
        <v/>
      </c>
      <c r="N258" s="169" t="str">
        <f t="shared" si="5"/>
        <v/>
      </c>
      <c r="O258" s="102" t="str">
        <f t="array" ref="O258">IF(ISBLANK(G258),"",INDEX('POR Config List'!C:C,MATCH(G258,'POR Config List'!D:D,0)))</f>
        <v/>
      </c>
      <c r="P258" s="105" t="str">
        <f t="shared" si="4"/>
        <v/>
      </c>
      <c r="Q258" s="105" t="str">
        <f t="array" ref="Q258">IF(ISBLANK(G258),"",INDEX('label approval artwork'!J:J,MATCH( G258,'label approval artwork'!F:F,0)))</f>
        <v/>
      </c>
      <c r="R258" s="105" t="str">
        <f t="array" ref="R258">IFERROR( IF(P258&lt;&gt;"EMA",INDEX('label approval artwork'!H:H,MATCH(G258,'label approval artwork'!F:F,0),"")),"")</f>
        <v/>
      </c>
      <c r="S258" s="105"/>
      <c r="T258" s="105" t="str">
        <f t="array" ref="T258">IF(ISBLANK(G258),"",INDEX('POR Config List'!I:I,MATCH(G258,'POR Config List'!D:D,0)))</f>
        <v/>
      </c>
      <c r="AA258" s="100" t="str">
        <f t="array" ref="AA258">IF(ISBLANK(G258),"",INDEX('POR Config List'!E:E,MATCH(G258,'POR Config List'!D:D,0)))</f>
        <v/>
      </c>
      <c r="AC258" s="105"/>
      <c r="AD258" s="100"/>
      <c r="AE258" s="100"/>
      <c r="AF258" s="100"/>
      <c r="AG258" s="100"/>
      <c r="AM258" s="102"/>
      <c r="AN258" s="102"/>
      <c r="AR258" s="119"/>
      <c r="AS258" s="103"/>
    </row>
    <row r="259">
      <c r="A259" s="168"/>
      <c r="B259" s="100" t="str">
        <f t="array" ref="B259">IFERROR( INDEX('POR Config List'!A:A,MATCH(G259,'POR Config List'!D:D,0)),"")</f>
        <v/>
      </c>
      <c r="C259" s="101" t="str">
        <f t="array" ref="C259">IFERROR(INDEX('label approval artwork'!E:E,MATCH(G259,'label approval artwork'!F:F,0),""),"")</f>
        <v/>
      </c>
      <c r="D259" s="102" t="str">
        <f t="shared" si="3"/>
        <v/>
      </c>
      <c r="E259" s="100" t="str">
        <f t="array" ref="E259">IF(ISBLANK(G259),"",INDEX('POR Config List'!K:K,MATCH(G259,'POR Config List'!D:D,0)))</f>
        <v/>
      </c>
      <c r="F259" s="100" t="str">
        <f t="array" ref="F259">IF(ISBLANK(G259),"",INDEX('POR Config List'!J:J,MATCH(G259,'POR Config List'!D:D,0)))</f>
        <v/>
      </c>
      <c r="G259" s="119"/>
      <c r="H259" s="104" t="str">
        <f t="array" ref="H259">IF(ISBLANK(G259),"",INDEX('MP SKUs'!G:G,MATCH(G259,'MP SKUs'!A:A,0)))</f>
        <v/>
      </c>
      <c r="I259" s="105" t="str">
        <f t="array" ref="I259">IF(ISBLANK(G259),"",INDEX('POR Config List'!O:O,MATCH(G259,'POR Config List'!D:D,0)))</f>
        <v/>
      </c>
      <c r="J259" s="104" t="str">
        <f t="array" ref="J259">IF(ISBLANK(G259),"",INDEX('POR Config List'!H:H,MATCH(G259,'POR Config List'!D:D,0)))</f>
        <v/>
      </c>
      <c r="K259" s="105" t="str">
        <f t="array" ref="K259">IF(ISBLANK(G259),"",INDEX('POR Config List'!G:G,MATCH(G259,'POR Config List'!D:D,0)))</f>
        <v/>
      </c>
      <c r="L259" s="105"/>
      <c r="M259" s="105" t="str">
        <f t="array" ref="M259">IF(ISBLANK(G259),"",INDEX('label approval artwork'!Q:Q,MATCH( G259,'label approval artwork'!F:F,0)))</f>
        <v/>
      </c>
      <c r="N259" s="169" t="str">
        <f t="shared" si="5"/>
        <v/>
      </c>
      <c r="O259" s="102" t="str">
        <f t="array" ref="O259">IF(ISBLANK(G259),"",INDEX('POR Config List'!C:C,MATCH(G259,'POR Config List'!D:D,0)))</f>
        <v/>
      </c>
      <c r="P259" s="105" t="str">
        <f t="shared" si="4"/>
        <v/>
      </c>
      <c r="Q259" s="105" t="str">
        <f t="array" ref="Q259">IF(ISBLANK(G259),"",INDEX('label approval artwork'!J:J,MATCH( G259,'label approval artwork'!F:F,0)))</f>
        <v/>
      </c>
      <c r="R259" s="105" t="str">
        <f t="array" ref="R259">IFERROR( IF(P259&lt;&gt;"EMA",INDEX('label approval artwork'!H:H,MATCH(G259,'label approval artwork'!F:F,0),"")),"")</f>
        <v/>
      </c>
      <c r="S259" s="105"/>
      <c r="T259" s="105" t="str">
        <f t="array" ref="T259">IF(ISBLANK(G259),"",INDEX('POR Config List'!I:I,MATCH(G259,'POR Config List'!D:D,0)))</f>
        <v/>
      </c>
      <c r="AA259" s="100" t="str">
        <f t="array" ref="AA259">IF(ISBLANK(G259),"",INDEX('POR Config List'!E:E,MATCH(G259,'POR Config List'!D:D,0)))</f>
        <v/>
      </c>
      <c r="AC259" s="105"/>
      <c r="AD259" s="100"/>
      <c r="AE259" s="100"/>
      <c r="AF259" s="100"/>
      <c r="AG259" s="100"/>
      <c r="AM259" s="102"/>
      <c r="AN259" s="102"/>
      <c r="AR259" s="119"/>
      <c r="AS259" s="103"/>
    </row>
    <row r="260">
      <c r="A260" s="168"/>
      <c r="B260" s="100" t="str">
        <f t="array" ref="B260">IFERROR( INDEX('POR Config List'!A:A,MATCH(G260,'POR Config List'!D:D,0)),"")</f>
        <v/>
      </c>
      <c r="C260" s="101" t="str">
        <f t="array" ref="C260">IFERROR(INDEX('label approval artwork'!E:E,MATCH(G260,'label approval artwork'!F:F,0),""),"")</f>
        <v/>
      </c>
      <c r="D260" s="102" t="str">
        <f t="shared" si="3"/>
        <v/>
      </c>
      <c r="E260" s="100" t="str">
        <f t="array" ref="E260">IF(ISBLANK(G260),"",INDEX('POR Config List'!K:K,MATCH(G260,'POR Config List'!D:D,0)))</f>
        <v/>
      </c>
      <c r="F260" s="100" t="str">
        <f t="array" ref="F260">IF(ISBLANK(G260),"",INDEX('POR Config List'!J:J,MATCH(G260,'POR Config List'!D:D,0)))</f>
        <v/>
      </c>
      <c r="G260" s="119"/>
      <c r="H260" s="104" t="str">
        <f t="array" ref="H260">IF(ISBLANK(G260),"",INDEX('MP SKUs'!G:G,MATCH(G260,'MP SKUs'!A:A,0)))</f>
        <v/>
      </c>
      <c r="I260" s="105" t="str">
        <f t="array" ref="I260">IF(ISBLANK(G260),"",INDEX('POR Config List'!O:O,MATCH(G260,'POR Config List'!D:D,0)))</f>
        <v/>
      </c>
      <c r="J260" s="104" t="str">
        <f t="array" ref="J260">IF(ISBLANK(G260),"",INDEX('POR Config List'!H:H,MATCH(G260,'POR Config List'!D:D,0)))</f>
        <v/>
      </c>
      <c r="K260" s="105" t="str">
        <f t="array" ref="K260">IF(ISBLANK(G260),"",INDEX('POR Config List'!G:G,MATCH(G260,'POR Config List'!D:D,0)))</f>
        <v/>
      </c>
      <c r="L260" s="105"/>
      <c r="M260" s="105" t="str">
        <f t="array" ref="M260">IF(ISBLANK(G260),"",INDEX('label approval artwork'!Q:Q,MATCH( G260,'label approval artwork'!F:F,0)))</f>
        <v/>
      </c>
      <c r="N260" s="169" t="str">
        <f t="shared" si="5"/>
        <v/>
      </c>
      <c r="O260" s="102" t="str">
        <f t="array" ref="O260">IF(ISBLANK(G260),"",INDEX('POR Config List'!C:C,MATCH(G260,'POR Config List'!D:D,0)))</f>
        <v/>
      </c>
      <c r="P260" s="105" t="str">
        <f t="shared" si="4"/>
        <v/>
      </c>
      <c r="Q260" s="105" t="str">
        <f t="array" ref="Q260">IF(ISBLANK(G260),"",INDEX('label approval artwork'!J:J,MATCH( G260,'label approval artwork'!F:F,0)))</f>
        <v/>
      </c>
      <c r="R260" s="105" t="str">
        <f t="array" ref="R260">IFERROR( IF(P260&lt;&gt;"EMA",INDEX('label approval artwork'!H:H,MATCH(G260,'label approval artwork'!F:F,0),"")),"")</f>
        <v/>
      </c>
      <c r="S260" s="105"/>
      <c r="T260" s="105" t="str">
        <f t="array" ref="T260">IF(ISBLANK(G260),"",INDEX('POR Config List'!I:I,MATCH(G260,'POR Config List'!D:D,0)))</f>
        <v/>
      </c>
      <c r="AA260" s="100" t="str">
        <f t="array" ref="AA260">IF(ISBLANK(G260),"",INDEX('POR Config List'!E:E,MATCH(G260,'POR Config List'!D:D,0)))</f>
        <v/>
      </c>
      <c r="AC260" s="105"/>
      <c r="AD260" s="100"/>
      <c r="AE260" s="100"/>
      <c r="AF260" s="100"/>
      <c r="AG260" s="100"/>
      <c r="AM260" s="102"/>
      <c r="AN260" s="102"/>
      <c r="AR260" s="119"/>
      <c r="AS260" s="103"/>
    </row>
    <row r="261">
      <c r="A261" s="168"/>
      <c r="B261" s="100" t="str">
        <f t="array" ref="B261">IFERROR( INDEX('POR Config List'!A:A,MATCH(G261,'POR Config List'!D:D,0)),"")</f>
        <v/>
      </c>
      <c r="C261" s="101" t="str">
        <f t="array" ref="C261">IFERROR(INDEX('label approval artwork'!E:E,MATCH(G261,'label approval artwork'!F:F,0),""),"")</f>
        <v/>
      </c>
      <c r="D261" s="102" t="str">
        <f t="shared" si="3"/>
        <v/>
      </c>
      <c r="E261" s="100" t="str">
        <f t="array" ref="E261">IF(ISBLANK(G261),"",INDEX('POR Config List'!K:K,MATCH(G261,'POR Config List'!D:D,0)))</f>
        <v/>
      </c>
      <c r="F261" s="100" t="str">
        <f t="array" ref="F261">IF(ISBLANK(G261),"",INDEX('POR Config List'!J:J,MATCH(G261,'POR Config List'!D:D,0)))</f>
        <v/>
      </c>
      <c r="G261" s="119"/>
      <c r="H261" s="104" t="str">
        <f t="array" ref="H261">IF(ISBLANK(G261),"",INDEX('MP SKUs'!G:G,MATCH(G261,'MP SKUs'!A:A,0)))</f>
        <v/>
      </c>
      <c r="I261" s="105" t="str">
        <f t="array" ref="I261">IF(ISBLANK(G261),"",INDEX('POR Config List'!O:O,MATCH(G261,'POR Config List'!D:D,0)))</f>
        <v/>
      </c>
      <c r="J261" s="104" t="str">
        <f t="array" ref="J261">IF(ISBLANK(G261),"",INDEX('POR Config List'!H:H,MATCH(G261,'POR Config List'!D:D,0)))</f>
        <v/>
      </c>
      <c r="K261" s="105" t="str">
        <f t="array" ref="K261">IF(ISBLANK(G261),"",INDEX('POR Config List'!G:G,MATCH(G261,'POR Config List'!D:D,0)))</f>
        <v/>
      </c>
      <c r="L261" s="105"/>
      <c r="M261" s="105" t="str">
        <f t="array" ref="M261">IF(ISBLANK(G261),"",INDEX('label approval artwork'!Q:Q,MATCH( G261,'label approval artwork'!F:F,0)))</f>
        <v/>
      </c>
      <c r="N261" s="169" t="str">
        <f t="shared" si="5"/>
        <v/>
      </c>
      <c r="O261" s="102" t="str">
        <f t="array" ref="O261">IF(ISBLANK(G261),"",INDEX('POR Config List'!C:C,MATCH(G261,'POR Config List'!D:D,0)))</f>
        <v/>
      </c>
      <c r="P261" s="105" t="str">
        <f t="shared" si="4"/>
        <v/>
      </c>
      <c r="Q261" s="105" t="str">
        <f t="array" ref="Q261">IF(ISBLANK(G261),"",INDEX('label approval artwork'!J:J,MATCH( G261,'label approval artwork'!F:F,0)))</f>
        <v/>
      </c>
      <c r="R261" s="105" t="str">
        <f t="array" ref="R261">IFERROR( IF(P261&lt;&gt;"EMA",INDEX('label approval artwork'!H:H,MATCH(G261,'label approval artwork'!F:F,0),"")),"")</f>
        <v/>
      </c>
      <c r="S261" s="105"/>
      <c r="T261" s="105" t="str">
        <f t="array" ref="T261">IF(ISBLANK(G261),"",INDEX('POR Config List'!I:I,MATCH(G261,'POR Config List'!D:D,0)))</f>
        <v/>
      </c>
      <c r="AA261" s="100" t="str">
        <f t="array" ref="AA261">IF(ISBLANK(G261),"",INDEX('POR Config List'!E:E,MATCH(G261,'POR Config List'!D:D,0)))</f>
        <v/>
      </c>
      <c r="AC261" s="105"/>
      <c r="AD261" s="100"/>
      <c r="AE261" s="100"/>
      <c r="AF261" s="100"/>
      <c r="AG261" s="100"/>
      <c r="AM261" s="102"/>
      <c r="AN261" s="102"/>
      <c r="AR261" s="119"/>
      <c r="AS261" s="103"/>
    </row>
    <row r="262">
      <c r="A262" s="168"/>
      <c r="B262" s="100" t="str">
        <f t="array" ref="B262">IFERROR( INDEX('POR Config List'!A:A,MATCH(G262,'POR Config List'!D:D,0)),"")</f>
        <v/>
      </c>
      <c r="C262" s="101" t="str">
        <f t="array" ref="C262">IFERROR(INDEX('label approval artwork'!E:E,MATCH(G262,'label approval artwork'!F:F,0),""),"")</f>
        <v/>
      </c>
      <c r="D262" s="102" t="str">
        <f t="shared" si="3"/>
        <v/>
      </c>
      <c r="E262" s="100" t="str">
        <f t="array" ref="E262">IF(ISBLANK(G262),"",INDEX('POR Config List'!K:K,MATCH(G262,'POR Config List'!D:D,0)))</f>
        <v/>
      </c>
      <c r="F262" s="100" t="str">
        <f t="array" ref="F262">IF(ISBLANK(G262),"",INDEX('POR Config List'!J:J,MATCH(G262,'POR Config List'!D:D,0)))</f>
        <v/>
      </c>
      <c r="G262" s="119"/>
      <c r="H262" s="104" t="str">
        <f t="array" ref="H262">IF(ISBLANK(G262),"",INDEX('MP SKUs'!G:G,MATCH(G262,'MP SKUs'!A:A,0)))</f>
        <v/>
      </c>
      <c r="I262" s="105" t="str">
        <f t="array" ref="I262">IF(ISBLANK(G262),"",INDEX('POR Config List'!O:O,MATCH(G262,'POR Config List'!D:D,0)))</f>
        <v/>
      </c>
      <c r="J262" s="104" t="str">
        <f t="array" ref="J262">IF(ISBLANK(G262),"",INDEX('POR Config List'!H:H,MATCH(G262,'POR Config List'!D:D,0)))</f>
        <v/>
      </c>
      <c r="K262" s="105" t="str">
        <f t="array" ref="K262">IF(ISBLANK(G262),"",INDEX('POR Config List'!G:G,MATCH(G262,'POR Config List'!D:D,0)))</f>
        <v/>
      </c>
      <c r="L262" s="105"/>
      <c r="M262" s="105" t="str">
        <f t="array" ref="M262">IF(ISBLANK(G262),"",INDEX('label approval artwork'!Q:Q,MATCH( G262,'label approval artwork'!F:F,0)))</f>
        <v/>
      </c>
      <c r="N262" s="169" t="str">
        <f t="shared" si="5"/>
        <v/>
      </c>
      <c r="O262" s="102" t="str">
        <f t="array" ref="O262">IF(ISBLANK(G262),"",INDEX('POR Config List'!C:C,MATCH(G262,'POR Config List'!D:D,0)))</f>
        <v/>
      </c>
      <c r="P262" s="105" t="str">
        <f t="shared" si="4"/>
        <v/>
      </c>
      <c r="Q262" s="105" t="str">
        <f t="array" ref="Q262">IF(ISBLANK(G262),"",INDEX('label approval artwork'!J:J,MATCH( G262,'label approval artwork'!F:F,0)))</f>
        <v/>
      </c>
      <c r="R262" s="105" t="str">
        <f t="array" ref="R262">IFERROR( IF(P262&lt;&gt;"EMA",INDEX('label approval artwork'!H:H,MATCH(G262,'label approval artwork'!F:F,0),"")),"")</f>
        <v/>
      </c>
      <c r="S262" s="105"/>
      <c r="T262" s="105" t="str">
        <f t="array" ref="T262">IF(ISBLANK(G262),"",INDEX('POR Config List'!I:I,MATCH(G262,'POR Config List'!D:D,0)))</f>
        <v/>
      </c>
      <c r="AA262" s="100" t="str">
        <f t="array" ref="AA262">IF(ISBLANK(G262),"",INDEX('POR Config List'!E:E,MATCH(G262,'POR Config List'!D:D,0)))</f>
        <v/>
      </c>
      <c r="AC262" s="105"/>
      <c r="AD262" s="100"/>
      <c r="AE262" s="100"/>
      <c r="AF262" s="100"/>
      <c r="AG262" s="100"/>
      <c r="AM262" s="102"/>
      <c r="AN262" s="102"/>
      <c r="AR262" s="119"/>
      <c r="AS262" s="103"/>
    </row>
    <row r="263">
      <c r="A263" s="168"/>
      <c r="B263" s="100" t="str">
        <f t="array" ref="B263">IFERROR( INDEX('POR Config List'!A:A,MATCH(G263,'POR Config List'!D:D,0)),"")</f>
        <v/>
      </c>
      <c r="C263" s="101" t="str">
        <f t="array" ref="C263">IFERROR(INDEX('label approval artwork'!E:E,MATCH(G263,'label approval artwork'!F:F,0),""),"")</f>
        <v/>
      </c>
      <c r="D263" s="102" t="str">
        <f t="shared" si="3"/>
        <v/>
      </c>
      <c r="E263" s="100" t="str">
        <f t="array" ref="E263">IF(ISBLANK(G263),"",INDEX('POR Config List'!K:K,MATCH(G263,'POR Config List'!D:D,0)))</f>
        <v/>
      </c>
      <c r="F263" s="100" t="str">
        <f t="array" ref="F263">IF(ISBLANK(G263),"",INDEX('POR Config List'!J:J,MATCH(G263,'POR Config List'!D:D,0)))</f>
        <v/>
      </c>
      <c r="G263" s="119"/>
      <c r="H263" s="104" t="str">
        <f t="array" ref="H263">IF(ISBLANK(G263),"",INDEX('MP SKUs'!G:G,MATCH(G263,'MP SKUs'!A:A,0)))</f>
        <v/>
      </c>
      <c r="I263" s="105" t="str">
        <f t="array" ref="I263">IF(ISBLANK(G263),"",INDEX('POR Config List'!O:O,MATCH(G263,'POR Config List'!D:D,0)))</f>
        <v/>
      </c>
      <c r="J263" s="104" t="str">
        <f t="array" ref="J263">IF(ISBLANK(G263),"",INDEX('POR Config List'!H:H,MATCH(G263,'POR Config List'!D:D,0)))</f>
        <v/>
      </c>
      <c r="K263" s="105" t="str">
        <f t="array" ref="K263">IF(ISBLANK(G263),"",INDEX('POR Config List'!G:G,MATCH(G263,'POR Config List'!D:D,0)))</f>
        <v/>
      </c>
      <c r="L263" s="105"/>
      <c r="M263" s="105" t="str">
        <f t="array" ref="M263">IF(ISBLANK(G263),"",INDEX('label approval artwork'!Q:Q,MATCH( G263,'label approval artwork'!F:F,0)))</f>
        <v/>
      </c>
      <c r="N263" s="169" t="str">
        <f t="shared" si="5"/>
        <v/>
      </c>
      <c r="O263" s="102" t="str">
        <f t="array" ref="O263">IF(ISBLANK(G263),"",INDEX('POR Config List'!C:C,MATCH(G263,'POR Config List'!D:D,0)))</f>
        <v/>
      </c>
      <c r="P263" s="105" t="str">
        <f t="shared" si="4"/>
        <v/>
      </c>
      <c r="Q263" s="105" t="str">
        <f t="array" ref="Q263">IF(ISBLANK(G263),"",INDEX('label approval artwork'!J:J,MATCH( G263,'label approval artwork'!F:F,0)))</f>
        <v/>
      </c>
      <c r="R263" s="105" t="str">
        <f t="array" ref="R263">IFERROR( IF(P263&lt;&gt;"EMA",INDEX('label approval artwork'!H:H,MATCH(G263,'label approval artwork'!F:F,0),"")),"")</f>
        <v/>
      </c>
      <c r="S263" s="105"/>
      <c r="T263" s="105" t="str">
        <f t="array" ref="T263">IF(ISBLANK(G263),"",INDEX('POR Config List'!I:I,MATCH(G263,'POR Config List'!D:D,0)))</f>
        <v/>
      </c>
      <c r="AA263" s="100" t="str">
        <f t="array" ref="AA263">IF(ISBLANK(G263),"",INDEX('POR Config List'!E:E,MATCH(G263,'POR Config List'!D:D,0)))</f>
        <v/>
      </c>
      <c r="AC263" s="105"/>
      <c r="AD263" s="100"/>
      <c r="AE263" s="100"/>
      <c r="AF263" s="100"/>
      <c r="AG263" s="100"/>
      <c r="AM263" s="102"/>
      <c r="AN263" s="102"/>
      <c r="AR263" s="119"/>
      <c r="AS263" s="103"/>
    </row>
    <row r="264">
      <c r="A264" s="168"/>
      <c r="B264" s="100" t="str">
        <f t="array" ref="B264">IFERROR( INDEX('POR Config List'!A:A,MATCH(G264,'POR Config List'!D:D,0)),"")</f>
        <v/>
      </c>
      <c r="C264" s="101" t="str">
        <f t="array" ref="C264">IFERROR(INDEX('label approval artwork'!E:E,MATCH(G264,'label approval artwork'!F:F,0),""),"")</f>
        <v/>
      </c>
      <c r="D264" s="102" t="str">
        <f t="shared" si="3"/>
        <v/>
      </c>
      <c r="E264" s="100" t="str">
        <f t="array" ref="E264">IF(ISBLANK(G264),"",INDEX('POR Config List'!K:K,MATCH(G264,'POR Config List'!D:D,0)))</f>
        <v/>
      </c>
      <c r="F264" s="100" t="str">
        <f t="array" ref="F264">IF(ISBLANK(G264),"",INDEX('POR Config List'!J:J,MATCH(G264,'POR Config List'!D:D,0)))</f>
        <v/>
      </c>
      <c r="G264" s="119"/>
      <c r="H264" s="104" t="str">
        <f t="array" ref="H264">IF(ISBLANK(G264),"",INDEX('MP SKUs'!G:G,MATCH(G264,'MP SKUs'!A:A,0)))</f>
        <v/>
      </c>
      <c r="I264" s="105" t="str">
        <f t="array" ref="I264">IF(ISBLANK(G264),"",INDEX('POR Config List'!O:O,MATCH(G264,'POR Config List'!D:D,0)))</f>
        <v/>
      </c>
      <c r="J264" s="104" t="str">
        <f t="array" ref="J264">IF(ISBLANK(G264),"",INDEX('POR Config List'!H:H,MATCH(G264,'POR Config List'!D:D,0)))</f>
        <v/>
      </c>
      <c r="K264" s="105" t="str">
        <f t="array" ref="K264">IF(ISBLANK(G264),"",INDEX('POR Config List'!G:G,MATCH(G264,'POR Config List'!D:D,0)))</f>
        <v/>
      </c>
      <c r="L264" s="105"/>
      <c r="M264" s="105" t="str">
        <f t="array" ref="M264">IF(ISBLANK(G264),"",INDEX('label approval artwork'!Q:Q,MATCH( G264,'label approval artwork'!F:F,0)))</f>
        <v/>
      </c>
      <c r="N264" s="169" t="str">
        <f t="shared" si="5"/>
        <v/>
      </c>
      <c r="O264" s="102" t="str">
        <f t="array" ref="O264">IF(ISBLANK(G264),"",INDEX('POR Config List'!C:C,MATCH(G264,'POR Config List'!D:D,0)))</f>
        <v/>
      </c>
      <c r="P264" s="105" t="str">
        <f t="shared" si="4"/>
        <v/>
      </c>
      <c r="Q264" s="105" t="str">
        <f t="array" ref="Q264">IF(ISBLANK(G264),"",INDEX('label approval artwork'!J:J,MATCH( G264,'label approval artwork'!F:F,0)))</f>
        <v/>
      </c>
      <c r="R264" s="105" t="str">
        <f t="array" ref="R264">IFERROR( IF(P264&lt;&gt;"EMA",INDEX('label approval artwork'!H:H,MATCH(G264,'label approval artwork'!F:F,0),"")),"")</f>
        <v/>
      </c>
      <c r="S264" s="105"/>
      <c r="T264" s="105" t="str">
        <f t="array" ref="T264">IF(ISBLANK(G264),"",INDEX('POR Config List'!I:I,MATCH(G264,'POR Config List'!D:D,0)))</f>
        <v/>
      </c>
      <c r="AA264" s="100" t="str">
        <f t="array" ref="AA264">IF(ISBLANK(G264),"",INDEX('POR Config List'!E:E,MATCH(G264,'POR Config List'!D:D,0)))</f>
        <v/>
      </c>
      <c r="AC264" s="105"/>
      <c r="AD264" s="100"/>
      <c r="AE264" s="100"/>
      <c r="AF264" s="100"/>
      <c r="AG264" s="100"/>
      <c r="AM264" s="102"/>
      <c r="AN264" s="102"/>
      <c r="AR264" s="119"/>
      <c r="AS264" s="103"/>
    </row>
    <row r="265">
      <c r="A265" s="168"/>
      <c r="B265" s="100" t="str">
        <f t="array" ref="B265">IFERROR( INDEX('POR Config List'!A:A,MATCH(G265,'POR Config List'!D:D,0)),"")</f>
        <v/>
      </c>
      <c r="C265" s="101" t="str">
        <f t="array" ref="C265">IFERROR(INDEX('label approval artwork'!E:E,MATCH(G265,'label approval artwork'!F:F,0),""),"")</f>
        <v/>
      </c>
      <c r="D265" s="102" t="str">
        <f t="shared" si="3"/>
        <v/>
      </c>
      <c r="E265" s="100" t="str">
        <f t="array" ref="E265">IF(ISBLANK(G265),"",INDEX('POR Config List'!K:K,MATCH(G265,'POR Config List'!D:D,0)))</f>
        <v/>
      </c>
      <c r="F265" s="100" t="str">
        <f t="array" ref="F265">IF(ISBLANK(G265),"",INDEX('POR Config List'!J:J,MATCH(G265,'POR Config List'!D:D,0)))</f>
        <v/>
      </c>
      <c r="G265" s="119"/>
      <c r="H265" s="104" t="str">
        <f t="array" ref="H265">IF(ISBLANK(G265),"",INDEX('MP SKUs'!G:G,MATCH(G265,'MP SKUs'!A:A,0)))</f>
        <v/>
      </c>
      <c r="I265" s="105" t="str">
        <f t="array" ref="I265">IF(ISBLANK(G265),"",INDEX('POR Config List'!O:O,MATCH(G265,'POR Config List'!D:D,0)))</f>
        <v/>
      </c>
      <c r="J265" s="104" t="str">
        <f t="array" ref="J265">IF(ISBLANK(G265),"",INDEX('POR Config List'!H:H,MATCH(G265,'POR Config List'!D:D,0)))</f>
        <v/>
      </c>
      <c r="K265" s="105" t="str">
        <f t="array" ref="K265">IF(ISBLANK(G265),"",INDEX('POR Config List'!G:G,MATCH(G265,'POR Config List'!D:D,0)))</f>
        <v/>
      </c>
      <c r="L265" s="105"/>
      <c r="M265" s="105" t="str">
        <f t="array" ref="M265">IF(ISBLANK(G265),"",INDEX('label approval artwork'!Q:Q,MATCH( G265,'label approval artwork'!F:F,0)))</f>
        <v/>
      </c>
      <c r="N265" s="169" t="str">
        <f t="shared" si="5"/>
        <v/>
      </c>
      <c r="O265" s="102" t="str">
        <f t="array" ref="O265">IF(ISBLANK(G265),"",INDEX('POR Config List'!C:C,MATCH(G265,'POR Config List'!D:D,0)))</f>
        <v/>
      </c>
      <c r="P265" s="105" t="str">
        <f t="shared" si="4"/>
        <v/>
      </c>
      <c r="Q265" s="105" t="str">
        <f t="array" ref="Q265">IF(ISBLANK(G265),"",INDEX('label approval artwork'!J:J,MATCH( G265,'label approval artwork'!F:F,0)))</f>
        <v/>
      </c>
      <c r="R265" s="105" t="str">
        <f t="array" ref="R265">IFERROR( IF(P265&lt;&gt;"EMA",INDEX('label approval artwork'!H:H,MATCH(G265,'label approval artwork'!F:F,0),"")),"")</f>
        <v/>
      </c>
      <c r="S265" s="105"/>
      <c r="T265" s="105" t="str">
        <f t="array" ref="T265">IF(ISBLANK(G265),"",INDEX('POR Config List'!I:I,MATCH(G265,'POR Config List'!D:D,0)))</f>
        <v/>
      </c>
      <c r="AA265" s="100" t="str">
        <f t="array" ref="AA265">IF(ISBLANK(G265),"",INDEX('POR Config List'!E:E,MATCH(G265,'POR Config List'!D:D,0)))</f>
        <v/>
      </c>
      <c r="AC265" s="105"/>
      <c r="AD265" s="100"/>
      <c r="AE265" s="100"/>
      <c r="AF265" s="100"/>
      <c r="AG265" s="100"/>
      <c r="AM265" s="102"/>
      <c r="AN265" s="102"/>
      <c r="AR265" s="119"/>
      <c r="AS265" s="103"/>
    </row>
    <row r="266">
      <c r="A266" s="168"/>
      <c r="B266" s="100" t="str">
        <f t="array" ref="B266">IFERROR( INDEX('POR Config List'!A:A,MATCH(G266,'POR Config List'!D:D,0)),"")</f>
        <v/>
      </c>
      <c r="C266" s="101" t="str">
        <f t="array" ref="C266">IFERROR(INDEX('label approval artwork'!E:E,MATCH(G266,'label approval artwork'!F:F,0),""),"")</f>
        <v/>
      </c>
      <c r="D266" s="102" t="str">
        <f t="shared" si="3"/>
        <v/>
      </c>
      <c r="E266" s="100" t="str">
        <f t="array" ref="E266">IF(ISBLANK(G266),"",INDEX('POR Config List'!K:K,MATCH(G266,'POR Config List'!D:D,0)))</f>
        <v/>
      </c>
      <c r="F266" s="100" t="str">
        <f t="array" ref="F266">IF(ISBLANK(G266),"",INDEX('POR Config List'!J:J,MATCH(G266,'POR Config List'!D:D,0)))</f>
        <v/>
      </c>
      <c r="G266" s="119"/>
      <c r="H266" s="104" t="str">
        <f t="array" ref="H266">IF(ISBLANK(G266),"",INDEX('MP SKUs'!G:G,MATCH(G266,'MP SKUs'!A:A,0)))</f>
        <v/>
      </c>
      <c r="I266" s="105" t="str">
        <f t="array" ref="I266">IF(ISBLANK(G266),"",INDEX('POR Config List'!O:O,MATCH(G266,'POR Config List'!D:D,0)))</f>
        <v/>
      </c>
      <c r="J266" s="104" t="str">
        <f t="array" ref="J266">IF(ISBLANK(G266),"",INDEX('POR Config List'!H:H,MATCH(G266,'POR Config List'!D:D,0)))</f>
        <v/>
      </c>
      <c r="K266" s="105" t="str">
        <f t="array" ref="K266">IF(ISBLANK(G266),"",INDEX('POR Config List'!G:G,MATCH(G266,'POR Config List'!D:D,0)))</f>
        <v/>
      </c>
      <c r="L266" s="105"/>
      <c r="M266" s="105" t="str">
        <f t="array" ref="M266">IF(ISBLANK(G266),"",INDEX('label approval artwork'!Q:Q,MATCH( G266,'label approval artwork'!F:F,0)))</f>
        <v/>
      </c>
      <c r="N266" s="169" t="str">
        <f t="shared" si="5"/>
        <v/>
      </c>
      <c r="O266" s="102" t="str">
        <f t="array" ref="O266">IF(ISBLANK(G266),"",INDEX('POR Config List'!C:C,MATCH(G266,'POR Config List'!D:D,0)))</f>
        <v/>
      </c>
      <c r="P266" s="105" t="str">
        <f t="shared" si="4"/>
        <v/>
      </c>
      <c r="Q266" s="105" t="str">
        <f t="array" ref="Q266">IF(ISBLANK(G266),"",INDEX('label approval artwork'!J:J,MATCH( G266,'label approval artwork'!F:F,0)))</f>
        <v/>
      </c>
      <c r="R266" s="105" t="str">
        <f t="array" ref="R266">IFERROR( IF(P266&lt;&gt;"EMA",INDEX('label approval artwork'!H:H,MATCH(G266,'label approval artwork'!F:F,0),"")),"")</f>
        <v/>
      </c>
      <c r="S266" s="105"/>
      <c r="T266" s="105" t="str">
        <f t="array" ref="T266">IF(ISBLANK(G266),"",INDEX('POR Config List'!I:I,MATCH(G266,'POR Config List'!D:D,0)))</f>
        <v/>
      </c>
      <c r="AA266" s="100" t="str">
        <f t="array" ref="AA266">IF(ISBLANK(G266),"",INDEX('POR Config List'!E:E,MATCH(G266,'POR Config List'!D:D,0)))</f>
        <v/>
      </c>
      <c r="AC266" s="105"/>
      <c r="AD266" s="100"/>
      <c r="AE266" s="100"/>
      <c r="AF266" s="100"/>
      <c r="AG266" s="100"/>
      <c r="AM266" s="102"/>
      <c r="AN266" s="102"/>
      <c r="AR266" s="119"/>
      <c r="AS266" s="103"/>
    </row>
    <row r="267">
      <c r="A267" s="168"/>
      <c r="B267" s="100" t="str">
        <f t="array" ref="B267">IFERROR( INDEX('POR Config List'!A:A,MATCH(G267,'POR Config List'!D:D,0)),"")</f>
        <v/>
      </c>
      <c r="C267" s="101" t="str">
        <f t="array" ref="C267">IFERROR(INDEX('label approval artwork'!E:E,MATCH(G267,'label approval artwork'!F:F,0),""),"")</f>
        <v/>
      </c>
      <c r="D267" s="102" t="str">
        <f t="shared" si="3"/>
        <v/>
      </c>
      <c r="E267" s="100" t="str">
        <f t="array" ref="E267">IF(ISBLANK(G267),"",INDEX('POR Config List'!K:K,MATCH(G267,'POR Config List'!D:D,0)))</f>
        <v/>
      </c>
      <c r="F267" s="100" t="str">
        <f t="array" ref="F267">IF(ISBLANK(G267),"",INDEX('POR Config List'!J:J,MATCH(G267,'POR Config List'!D:D,0)))</f>
        <v/>
      </c>
      <c r="G267" s="119"/>
      <c r="H267" s="104" t="str">
        <f t="array" ref="H267">IF(ISBLANK(G267),"",INDEX('MP SKUs'!G:G,MATCH(G267,'MP SKUs'!A:A,0)))</f>
        <v/>
      </c>
      <c r="I267" s="105" t="str">
        <f t="array" ref="I267">IF(ISBLANK(G267),"",INDEX('POR Config List'!O:O,MATCH(G267,'POR Config List'!D:D,0)))</f>
        <v/>
      </c>
      <c r="J267" s="104" t="str">
        <f t="array" ref="J267">IF(ISBLANK(G267),"",INDEX('POR Config List'!H:H,MATCH(G267,'POR Config List'!D:D,0)))</f>
        <v/>
      </c>
      <c r="K267" s="105" t="str">
        <f t="array" ref="K267">IF(ISBLANK(G267),"",INDEX('POR Config List'!G:G,MATCH(G267,'POR Config List'!D:D,0)))</f>
        <v/>
      </c>
      <c r="L267" s="105"/>
      <c r="M267" s="105" t="str">
        <f t="array" ref="M267">IF(ISBLANK(G267),"",INDEX('label approval artwork'!Q:Q,MATCH( G267,'label approval artwork'!F:F,0)))</f>
        <v/>
      </c>
      <c r="N267" s="169" t="str">
        <f t="shared" si="5"/>
        <v/>
      </c>
      <c r="O267" s="102" t="str">
        <f t="array" ref="O267">IF(ISBLANK(G267),"",INDEX('POR Config List'!C:C,MATCH(G267,'POR Config List'!D:D,0)))</f>
        <v/>
      </c>
      <c r="P267" s="105" t="str">
        <f t="shared" si="4"/>
        <v/>
      </c>
      <c r="Q267" s="105" t="str">
        <f t="array" ref="Q267">IF(ISBLANK(G267),"",INDEX('label approval artwork'!J:J,MATCH( G267,'label approval artwork'!F:F,0)))</f>
        <v/>
      </c>
      <c r="R267" s="105" t="str">
        <f t="array" ref="R267">IFERROR( IF(P267&lt;&gt;"EMA",INDEX('label approval artwork'!H:H,MATCH(G267,'label approval artwork'!F:F,0),"")),"")</f>
        <v/>
      </c>
      <c r="S267" s="105"/>
      <c r="T267" s="105" t="str">
        <f t="array" ref="T267">IF(ISBLANK(G267),"",INDEX('POR Config List'!I:I,MATCH(G267,'POR Config List'!D:D,0)))</f>
        <v/>
      </c>
      <c r="AA267" s="100" t="str">
        <f t="array" ref="AA267">IF(ISBLANK(G267),"",INDEX('POR Config List'!E:E,MATCH(G267,'POR Config List'!D:D,0)))</f>
        <v/>
      </c>
      <c r="AC267" s="105"/>
      <c r="AD267" s="100"/>
      <c r="AE267" s="100"/>
      <c r="AF267" s="100"/>
      <c r="AG267" s="100"/>
      <c r="AM267" s="102"/>
      <c r="AN267" s="102"/>
      <c r="AR267" s="119"/>
      <c r="AS267" s="103"/>
    </row>
    <row r="268">
      <c r="A268" s="168"/>
      <c r="B268" s="100" t="str">
        <f t="array" ref="B268">IFERROR( INDEX('POR Config List'!A:A,MATCH(G268,'POR Config List'!D:D,0)),"")</f>
        <v/>
      </c>
      <c r="C268" s="101" t="str">
        <f t="array" ref="C268">IFERROR(INDEX('label approval artwork'!E:E,MATCH(G268,'label approval artwork'!F:F,0),""),"")</f>
        <v/>
      </c>
      <c r="D268" s="102" t="str">
        <f t="shared" si="3"/>
        <v/>
      </c>
      <c r="E268" s="100" t="str">
        <f t="array" ref="E268">IF(ISBLANK(G268),"",INDEX('POR Config List'!K:K,MATCH(G268,'POR Config List'!D:D,0)))</f>
        <v/>
      </c>
      <c r="F268" s="100" t="str">
        <f t="array" ref="F268">IF(ISBLANK(G268),"",INDEX('POR Config List'!J:J,MATCH(G268,'POR Config List'!D:D,0)))</f>
        <v/>
      </c>
      <c r="G268" s="119"/>
      <c r="H268" s="104" t="str">
        <f t="array" ref="H268">IF(ISBLANK(G268),"",INDEX('MP SKUs'!G:G,MATCH(G268,'MP SKUs'!A:A,0)))</f>
        <v/>
      </c>
      <c r="I268" s="105" t="str">
        <f t="array" ref="I268">IF(ISBLANK(G268),"",INDEX('POR Config List'!O:O,MATCH(G268,'POR Config List'!D:D,0)))</f>
        <v/>
      </c>
      <c r="J268" s="104" t="str">
        <f t="array" ref="J268">IF(ISBLANK(G268),"",INDEX('POR Config List'!H:H,MATCH(G268,'POR Config List'!D:D,0)))</f>
        <v/>
      </c>
      <c r="K268" s="105" t="str">
        <f t="array" ref="K268">IF(ISBLANK(G268),"",INDEX('POR Config List'!G:G,MATCH(G268,'POR Config List'!D:D,0)))</f>
        <v/>
      </c>
      <c r="L268" s="105"/>
      <c r="M268" s="105" t="str">
        <f t="array" ref="M268">IF(ISBLANK(G268),"",INDEX('label approval artwork'!Q:Q,MATCH( G268,'label approval artwork'!F:F,0)))</f>
        <v/>
      </c>
      <c r="N268" s="169" t="str">
        <f t="shared" si="5"/>
        <v/>
      </c>
      <c r="O268" s="102" t="str">
        <f t="array" ref="O268">IF(ISBLANK(G268),"",INDEX('POR Config List'!C:C,MATCH(G268,'POR Config List'!D:D,0)))</f>
        <v/>
      </c>
      <c r="P268" s="105" t="str">
        <f t="shared" si="4"/>
        <v/>
      </c>
      <c r="Q268" s="105" t="str">
        <f t="array" ref="Q268">IF(ISBLANK(G268),"",INDEX('label approval artwork'!J:J,MATCH( G268,'label approval artwork'!F:F,0)))</f>
        <v/>
      </c>
      <c r="R268" s="105" t="str">
        <f t="array" ref="R268">IFERROR( IF(P268&lt;&gt;"EMA",INDEX('label approval artwork'!H:H,MATCH(G268,'label approval artwork'!F:F,0),"")),"")</f>
        <v/>
      </c>
      <c r="S268" s="105"/>
      <c r="T268" s="105" t="str">
        <f t="array" ref="T268">IF(ISBLANK(G268),"",INDEX('POR Config List'!I:I,MATCH(G268,'POR Config List'!D:D,0)))</f>
        <v/>
      </c>
      <c r="AA268" s="100" t="str">
        <f t="array" ref="AA268">IF(ISBLANK(G268),"",INDEX('POR Config List'!E:E,MATCH(G268,'POR Config List'!D:D,0)))</f>
        <v/>
      </c>
      <c r="AC268" s="105"/>
      <c r="AD268" s="100"/>
      <c r="AE268" s="100"/>
      <c r="AF268" s="100"/>
      <c r="AG268" s="100"/>
      <c r="AM268" s="102"/>
      <c r="AN268" s="102"/>
      <c r="AR268" s="119"/>
      <c r="AS268" s="103"/>
    </row>
    <row r="269">
      <c r="A269" s="168"/>
      <c r="B269" s="100" t="str">
        <f t="array" ref="B269">IFERROR( INDEX('POR Config List'!A:A,MATCH(G269,'POR Config List'!D:D,0)),"")</f>
        <v/>
      </c>
      <c r="C269" s="101" t="str">
        <f t="array" ref="C269">IFERROR(INDEX('label approval artwork'!E:E,MATCH(G269,'label approval artwork'!F:F,0),""),"")</f>
        <v/>
      </c>
      <c r="D269" s="102" t="str">
        <f t="shared" si="3"/>
        <v/>
      </c>
      <c r="E269" s="100" t="str">
        <f t="array" ref="E269">IF(ISBLANK(G269),"",INDEX('POR Config List'!K:K,MATCH(G269,'POR Config List'!D:D,0)))</f>
        <v/>
      </c>
      <c r="F269" s="100" t="str">
        <f t="array" ref="F269">IF(ISBLANK(G269),"",INDEX('POR Config List'!J:J,MATCH(G269,'POR Config List'!D:D,0)))</f>
        <v/>
      </c>
      <c r="G269" s="119"/>
      <c r="H269" s="104" t="str">
        <f t="array" ref="H269">IF(ISBLANK(G269),"",INDEX('MP SKUs'!G:G,MATCH(G269,'MP SKUs'!A:A,0)))</f>
        <v/>
      </c>
      <c r="I269" s="105" t="str">
        <f t="array" ref="I269">IF(ISBLANK(G269),"",INDEX('POR Config List'!O:O,MATCH(G269,'POR Config List'!D:D,0)))</f>
        <v/>
      </c>
      <c r="J269" s="104" t="str">
        <f t="array" ref="J269">IF(ISBLANK(G269),"",INDEX('POR Config List'!H:H,MATCH(G269,'POR Config List'!D:D,0)))</f>
        <v/>
      </c>
      <c r="K269" s="105" t="str">
        <f t="array" ref="K269">IF(ISBLANK(G269),"",INDEX('POR Config List'!G:G,MATCH(G269,'POR Config List'!D:D,0)))</f>
        <v/>
      </c>
      <c r="L269" s="105"/>
      <c r="M269" s="105" t="str">
        <f t="array" ref="M269">IF(ISBLANK(G269),"",INDEX('label approval artwork'!Q:Q,MATCH( G269,'label approval artwork'!F:F,0)))</f>
        <v/>
      </c>
      <c r="N269" s="169" t="str">
        <f t="shared" si="5"/>
        <v/>
      </c>
      <c r="O269" s="102" t="str">
        <f t="array" ref="O269">IF(ISBLANK(G269),"",INDEX('POR Config List'!C:C,MATCH(G269,'POR Config List'!D:D,0)))</f>
        <v/>
      </c>
      <c r="P269" s="105" t="str">
        <f t="shared" si="4"/>
        <v/>
      </c>
      <c r="Q269" s="105" t="str">
        <f t="array" ref="Q269">IF(ISBLANK(G269),"",INDEX('label approval artwork'!J:J,MATCH( G269,'label approval artwork'!F:F,0)))</f>
        <v/>
      </c>
      <c r="R269" s="105" t="str">
        <f t="array" ref="R269">IFERROR( IF(P269&lt;&gt;"EMA",INDEX('label approval artwork'!H:H,MATCH(G269,'label approval artwork'!F:F,0),"")),"")</f>
        <v/>
      </c>
      <c r="S269" s="105"/>
      <c r="T269" s="105" t="str">
        <f t="array" ref="T269">IF(ISBLANK(G269),"",INDEX('POR Config List'!I:I,MATCH(G269,'POR Config List'!D:D,0)))</f>
        <v/>
      </c>
      <c r="AA269" s="100" t="str">
        <f t="array" ref="AA269">IF(ISBLANK(G269),"",INDEX('POR Config List'!E:E,MATCH(G269,'POR Config List'!D:D,0)))</f>
        <v/>
      </c>
      <c r="AC269" s="105"/>
      <c r="AD269" s="100"/>
      <c r="AE269" s="100"/>
      <c r="AF269" s="100"/>
      <c r="AG269" s="100"/>
      <c r="AM269" s="102"/>
      <c r="AN269" s="102"/>
      <c r="AR269" s="119"/>
      <c r="AS269" s="103"/>
    </row>
    <row r="270">
      <c r="A270" s="168"/>
      <c r="B270" s="100" t="str">
        <f t="array" ref="B270">IFERROR( INDEX('POR Config List'!A:A,MATCH(G270,'POR Config List'!D:D,0)),"")</f>
        <v/>
      </c>
      <c r="C270" s="101" t="str">
        <f t="array" ref="C270">IFERROR(INDEX('label approval artwork'!E:E,MATCH(G270,'label approval artwork'!F:F,0),""),"")</f>
        <v/>
      </c>
      <c r="D270" s="102" t="str">
        <f t="shared" si="3"/>
        <v/>
      </c>
      <c r="E270" s="100" t="str">
        <f t="array" ref="E270">IF(ISBLANK(G270),"",INDEX('POR Config List'!K:K,MATCH(G270,'POR Config List'!D:D,0)))</f>
        <v/>
      </c>
      <c r="F270" s="100" t="str">
        <f t="array" ref="F270">IF(ISBLANK(G270),"",INDEX('POR Config List'!J:J,MATCH(G270,'POR Config List'!D:D,0)))</f>
        <v/>
      </c>
      <c r="G270" s="119"/>
      <c r="H270" s="104" t="str">
        <f t="array" ref="H270">IF(ISBLANK(G270),"",INDEX('MP SKUs'!G:G,MATCH(G270,'MP SKUs'!A:A,0)))</f>
        <v/>
      </c>
      <c r="I270" s="105" t="str">
        <f t="array" ref="I270">IF(ISBLANK(G270),"",INDEX('POR Config List'!O:O,MATCH(G270,'POR Config List'!D:D,0)))</f>
        <v/>
      </c>
      <c r="J270" s="104" t="str">
        <f t="array" ref="J270">IF(ISBLANK(G270),"",INDEX('POR Config List'!H:H,MATCH(G270,'POR Config List'!D:D,0)))</f>
        <v/>
      </c>
      <c r="K270" s="105" t="str">
        <f t="array" ref="K270">IF(ISBLANK(G270),"",INDEX('POR Config List'!G:G,MATCH(G270,'POR Config List'!D:D,0)))</f>
        <v/>
      </c>
      <c r="L270" s="105"/>
      <c r="M270" s="105" t="str">
        <f t="array" ref="M270">IF(ISBLANK(G270),"",INDEX('label approval artwork'!Q:Q,MATCH( G270,'label approval artwork'!F:F,0)))</f>
        <v/>
      </c>
      <c r="N270" s="169" t="str">
        <f t="shared" si="5"/>
        <v/>
      </c>
      <c r="O270" s="102" t="str">
        <f t="array" ref="O270">IF(ISBLANK(G270),"",INDEX('POR Config List'!C:C,MATCH(G270,'POR Config List'!D:D,0)))</f>
        <v/>
      </c>
      <c r="P270" s="105" t="str">
        <f t="shared" si="4"/>
        <v/>
      </c>
      <c r="Q270" s="105" t="str">
        <f t="array" ref="Q270">IF(ISBLANK(G270),"",INDEX('label approval artwork'!J:J,MATCH( G270,'label approval artwork'!F:F,0)))</f>
        <v/>
      </c>
      <c r="R270" s="105" t="str">
        <f t="array" ref="R270">IFERROR( IF(P270&lt;&gt;"EMA",INDEX('label approval artwork'!H:H,MATCH(G270,'label approval artwork'!F:F,0),"")),"")</f>
        <v/>
      </c>
      <c r="S270" s="105"/>
      <c r="T270" s="105" t="str">
        <f t="array" ref="T270">IF(ISBLANK(G270),"",INDEX('POR Config List'!I:I,MATCH(G270,'POR Config List'!D:D,0)))</f>
        <v/>
      </c>
      <c r="AA270" s="100" t="str">
        <f t="array" ref="AA270">IF(ISBLANK(G270),"",INDEX('POR Config List'!E:E,MATCH(G270,'POR Config List'!D:D,0)))</f>
        <v/>
      </c>
      <c r="AC270" s="105"/>
      <c r="AD270" s="100"/>
      <c r="AE270" s="100"/>
      <c r="AF270" s="100"/>
      <c r="AG270" s="100"/>
      <c r="AM270" s="102"/>
      <c r="AN270" s="102"/>
      <c r="AR270" s="119"/>
      <c r="AS270" s="103"/>
    </row>
    <row r="271">
      <c r="A271" s="168"/>
      <c r="B271" s="100" t="str">
        <f t="array" ref="B271">IFERROR( INDEX('POR Config List'!A:A,MATCH(G271,'POR Config List'!D:D,0)),"")</f>
        <v/>
      </c>
      <c r="C271" s="101" t="str">
        <f t="array" ref="C271">IFERROR(INDEX('label approval artwork'!E:E,MATCH(G271,'label approval artwork'!F:F,0),""),"")</f>
        <v/>
      </c>
      <c r="D271" s="102" t="str">
        <f t="shared" si="3"/>
        <v/>
      </c>
      <c r="E271" s="100" t="str">
        <f t="array" ref="E271">IF(ISBLANK(G271),"",INDEX('POR Config List'!K:K,MATCH(G271,'POR Config List'!D:D,0)))</f>
        <v/>
      </c>
      <c r="F271" s="100" t="str">
        <f t="array" ref="F271">IF(ISBLANK(G271),"",INDEX('POR Config List'!J:J,MATCH(G271,'POR Config List'!D:D,0)))</f>
        <v/>
      </c>
      <c r="G271" s="119"/>
      <c r="H271" s="104" t="str">
        <f t="array" ref="H271">IF(ISBLANK(G271),"",INDEX('MP SKUs'!G:G,MATCH(G271,'MP SKUs'!A:A,0)))</f>
        <v/>
      </c>
      <c r="I271" s="105" t="str">
        <f t="array" ref="I271">IF(ISBLANK(G271),"",INDEX('POR Config List'!O:O,MATCH(G271,'POR Config List'!D:D,0)))</f>
        <v/>
      </c>
      <c r="J271" s="104" t="str">
        <f t="array" ref="J271">IF(ISBLANK(G271),"",INDEX('POR Config List'!H:H,MATCH(G271,'POR Config List'!D:D,0)))</f>
        <v/>
      </c>
      <c r="K271" s="105" t="str">
        <f t="array" ref="K271">IF(ISBLANK(G271),"",INDEX('POR Config List'!G:G,MATCH(G271,'POR Config List'!D:D,0)))</f>
        <v/>
      </c>
      <c r="L271" s="105"/>
      <c r="M271" s="105" t="str">
        <f t="array" ref="M271">IF(ISBLANK(G271),"",INDEX('label approval artwork'!Q:Q,MATCH( G271,'label approval artwork'!F:F,0)))</f>
        <v/>
      </c>
      <c r="N271" s="169" t="str">
        <f t="shared" si="5"/>
        <v/>
      </c>
      <c r="O271" s="102" t="str">
        <f t="array" ref="O271">IF(ISBLANK(G271),"",INDEX('POR Config List'!C:C,MATCH(G271,'POR Config List'!D:D,0)))</f>
        <v/>
      </c>
      <c r="P271" s="105" t="str">
        <f t="shared" si="4"/>
        <v/>
      </c>
      <c r="Q271" s="105" t="str">
        <f t="array" ref="Q271">IF(ISBLANK(G271),"",INDEX('label approval artwork'!J:J,MATCH( G271,'label approval artwork'!F:F,0)))</f>
        <v/>
      </c>
      <c r="R271" s="105" t="str">
        <f t="array" ref="R271">IFERROR( IF(P271&lt;&gt;"EMA",INDEX('label approval artwork'!H:H,MATCH(G271,'label approval artwork'!F:F,0),"")),"")</f>
        <v/>
      </c>
      <c r="S271" s="105"/>
      <c r="T271" s="105" t="str">
        <f t="array" ref="T271">IF(ISBLANK(G271),"",INDEX('POR Config List'!I:I,MATCH(G271,'POR Config List'!D:D,0)))</f>
        <v/>
      </c>
      <c r="AA271" s="100" t="str">
        <f t="array" ref="AA271">IF(ISBLANK(G271),"",INDEX('POR Config List'!E:E,MATCH(G271,'POR Config List'!D:D,0)))</f>
        <v/>
      </c>
      <c r="AC271" s="105"/>
      <c r="AD271" s="100"/>
      <c r="AE271" s="100"/>
      <c r="AF271" s="100"/>
      <c r="AG271" s="100"/>
      <c r="AM271" s="102"/>
      <c r="AN271" s="102"/>
      <c r="AR271" s="119"/>
      <c r="AS271" s="103"/>
    </row>
    <row r="272">
      <c r="A272" s="168"/>
      <c r="B272" s="100" t="str">
        <f t="array" ref="B272">IFERROR( INDEX('POR Config List'!A:A,MATCH(G272,'POR Config List'!D:D,0)),"")</f>
        <v/>
      </c>
      <c r="C272" s="101" t="str">
        <f t="array" ref="C272">IFERROR(INDEX('label approval artwork'!E:E,MATCH(G272,'label approval artwork'!F:F,0),""),"")</f>
        <v/>
      </c>
      <c r="D272" s="102" t="str">
        <f t="shared" si="3"/>
        <v/>
      </c>
      <c r="E272" s="100" t="str">
        <f t="array" ref="E272">IF(ISBLANK(G272),"",INDEX('POR Config List'!K:K,MATCH(G272,'POR Config List'!D:D,0)))</f>
        <v/>
      </c>
      <c r="F272" s="100" t="str">
        <f t="array" ref="F272">IF(ISBLANK(G272),"",INDEX('POR Config List'!J:J,MATCH(G272,'POR Config List'!D:D,0)))</f>
        <v/>
      </c>
      <c r="G272" s="119"/>
      <c r="H272" s="104" t="str">
        <f t="array" ref="H272">IF(ISBLANK(G272),"",INDEX('MP SKUs'!G:G,MATCH(G272,'MP SKUs'!A:A,0)))</f>
        <v/>
      </c>
      <c r="I272" s="105" t="str">
        <f t="array" ref="I272">IF(ISBLANK(G272),"",INDEX('POR Config List'!O:O,MATCH(G272,'POR Config List'!D:D,0)))</f>
        <v/>
      </c>
      <c r="J272" s="104" t="str">
        <f t="array" ref="J272">IF(ISBLANK(G272),"",INDEX('POR Config List'!H:H,MATCH(G272,'POR Config List'!D:D,0)))</f>
        <v/>
      </c>
      <c r="K272" s="105" t="str">
        <f t="array" ref="K272">IF(ISBLANK(G272),"",INDEX('POR Config List'!G:G,MATCH(G272,'POR Config List'!D:D,0)))</f>
        <v/>
      </c>
      <c r="L272" s="105"/>
      <c r="M272" s="105" t="str">
        <f t="array" ref="M272">IF(ISBLANK(G272),"",INDEX('label approval artwork'!Q:Q,MATCH( G272,'label approval artwork'!F:F,0)))</f>
        <v/>
      </c>
      <c r="N272" s="169" t="str">
        <f t="shared" si="5"/>
        <v/>
      </c>
      <c r="O272" s="102" t="str">
        <f t="array" ref="O272">IF(ISBLANK(G272),"",INDEX('POR Config List'!C:C,MATCH(G272,'POR Config List'!D:D,0)))</f>
        <v/>
      </c>
      <c r="P272" s="105" t="str">
        <f t="shared" si="4"/>
        <v/>
      </c>
      <c r="Q272" s="105" t="str">
        <f t="array" ref="Q272">IF(ISBLANK(G272),"",INDEX('label approval artwork'!J:J,MATCH( G272,'label approval artwork'!F:F,0)))</f>
        <v/>
      </c>
      <c r="R272" s="105" t="str">
        <f t="array" ref="R272">IFERROR( IF(P272&lt;&gt;"EMA",INDEX('label approval artwork'!H:H,MATCH(G272,'label approval artwork'!F:F,0),"")),"")</f>
        <v/>
      </c>
      <c r="S272" s="105"/>
      <c r="T272" s="105" t="str">
        <f t="array" ref="T272">IF(ISBLANK(G272),"",INDEX('POR Config List'!I:I,MATCH(G272,'POR Config List'!D:D,0)))</f>
        <v/>
      </c>
      <c r="AA272" s="100" t="str">
        <f t="array" ref="AA272">IF(ISBLANK(G272),"",INDEX('POR Config List'!E:E,MATCH(G272,'POR Config List'!D:D,0)))</f>
        <v/>
      </c>
      <c r="AC272" s="105"/>
      <c r="AD272" s="100"/>
      <c r="AE272" s="100"/>
      <c r="AF272" s="100"/>
      <c r="AG272" s="100"/>
      <c r="AM272" s="102"/>
      <c r="AN272" s="102"/>
      <c r="AR272" s="119"/>
      <c r="AS272" s="103"/>
    </row>
    <row r="273">
      <c r="A273" s="168"/>
      <c r="B273" s="100" t="str">
        <f t="array" ref="B273">IFERROR( INDEX('POR Config List'!A:A,MATCH(G273,'POR Config List'!D:D,0)),"")</f>
        <v/>
      </c>
      <c r="C273" s="101" t="str">
        <f t="array" ref="C273">IFERROR(INDEX('label approval artwork'!E:E,MATCH(G273,'label approval artwork'!F:F,0),""),"")</f>
        <v/>
      </c>
      <c r="D273" s="102" t="str">
        <f t="shared" si="3"/>
        <v/>
      </c>
      <c r="E273" s="100" t="str">
        <f t="array" ref="E273">IF(ISBLANK(G273),"",INDEX('POR Config List'!K:K,MATCH(G273,'POR Config List'!D:D,0)))</f>
        <v/>
      </c>
      <c r="F273" s="100" t="str">
        <f t="array" ref="F273">IF(ISBLANK(G273),"",INDEX('POR Config List'!J:J,MATCH(G273,'POR Config List'!D:D,0)))</f>
        <v/>
      </c>
      <c r="G273" s="119"/>
      <c r="H273" s="104" t="str">
        <f t="array" ref="H273">IF(ISBLANK(G273),"",INDEX('MP SKUs'!G:G,MATCH(G273,'MP SKUs'!A:A,0)))</f>
        <v/>
      </c>
      <c r="I273" s="105" t="str">
        <f t="array" ref="I273">IF(ISBLANK(G273),"",INDEX('POR Config List'!O:O,MATCH(G273,'POR Config List'!D:D,0)))</f>
        <v/>
      </c>
      <c r="J273" s="104" t="str">
        <f t="array" ref="J273">IF(ISBLANK(G273),"",INDEX('POR Config List'!H:H,MATCH(G273,'POR Config List'!D:D,0)))</f>
        <v/>
      </c>
      <c r="K273" s="105" t="str">
        <f t="array" ref="K273">IF(ISBLANK(G273),"",INDEX('POR Config List'!G:G,MATCH(G273,'POR Config List'!D:D,0)))</f>
        <v/>
      </c>
      <c r="L273" s="105"/>
      <c r="M273" s="105" t="str">
        <f t="array" ref="M273">IF(ISBLANK(G273),"",INDEX('label approval artwork'!Q:Q,MATCH( G273,'label approval artwork'!F:F,0)))</f>
        <v/>
      </c>
      <c r="N273" s="169" t="str">
        <f t="shared" si="5"/>
        <v/>
      </c>
      <c r="O273" s="102" t="str">
        <f t="array" ref="O273">IF(ISBLANK(G273),"",INDEX('POR Config List'!C:C,MATCH(G273,'POR Config List'!D:D,0)))</f>
        <v/>
      </c>
      <c r="P273" s="105" t="str">
        <f t="shared" si="4"/>
        <v/>
      </c>
      <c r="Q273" s="105" t="str">
        <f t="array" ref="Q273">IF(ISBLANK(G273),"",INDEX('label approval artwork'!J:J,MATCH( G273,'label approval artwork'!F:F,0)))</f>
        <v/>
      </c>
      <c r="R273" s="105" t="str">
        <f t="array" ref="R273">IFERROR( IF(P273&lt;&gt;"EMA",INDEX('label approval artwork'!H:H,MATCH(G273,'label approval artwork'!F:F,0),"")),"")</f>
        <v/>
      </c>
      <c r="S273" s="105"/>
      <c r="T273" s="105" t="str">
        <f t="array" ref="T273">IF(ISBLANK(G273),"",INDEX('POR Config List'!I:I,MATCH(G273,'POR Config List'!D:D,0)))</f>
        <v/>
      </c>
      <c r="AA273" s="100" t="str">
        <f t="array" ref="AA273">IF(ISBLANK(G273),"",INDEX('POR Config List'!E:E,MATCH(G273,'POR Config List'!D:D,0)))</f>
        <v/>
      </c>
      <c r="AC273" s="105"/>
      <c r="AD273" s="100"/>
      <c r="AE273" s="100"/>
      <c r="AF273" s="100"/>
      <c r="AG273" s="100"/>
      <c r="AM273" s="102"/>
      <c r="AN273" s="102"/>
      <c r="AR273" s="119"/>
      <c r="AS273" s="103"/>
    </row>
    <row r="274">
      <c r="A274" s="168"/>
      <c r="B274" s="100" t="str">
        <f t="array" ref="B274">IFERROR( INDEX('POR Config List'!A:A,MATCH(G274,'POR Config List'!D:D,0)),"")</f>
        <v/>
      </c>
      <c r="C274" s="101" t="str">
        <f t="array" ref="C274">IFERROR(INDEX('label approval artwork'!E:E,MATCH(G274,'label approval artwork'!F:F,0),""),"")</f>
        <v/>
      </c>
      <c r="D274" s="102" t="str">
        <f t="shared" si="3"/>
        <v/>
      </c>
      <c r="E274" s="100" t="str">
        <f t="array" ref="E274">IF(ISBLANK(G274),"",INDEX('POR Config List'!K:K,MATCH(G274,'POR Config List'!D:D,0)))</f>
        <v/>
      </c>
      <c r="F274" s="100" t="str">
        <f t="array" ref="F274">IF(ISBLANK(G274),"",INDEX('POR Config List'!J:J,MATCH(G274,'POR Config List'!D:D,0)))</f>
        <v/>
      </c>
      <c r="G274" s="119"/>
      <c r="H274" s="104" t="str">
        <f t="array" ref="H274">IF(ISBLANK(G274),"",INDEX('MP SKUs'!G:G,MATCH(G274,'MP SKUs'!A:A,0)))</f>
        <v/>
      </c>
      <c r="I274" s="105" t="str">
        <f t="array" ref="I274">IF(ISBLANK(G274),"",INDEX('POR Config List'!O:O,MATCH(G274,'POR Config List'!D:D,0)))</f>
        <v/>
      </c>
      <c r="J274" s="104" t="str">
        <f t="array" ref="J274">IF(ISBLANK(G274),"",INDEX('POR Config List'!H:H,MATCH(G274,'POR Config List'!D:D,0)))</f>
        <v/>
      </c>
      <c r="K274" s="105" t="str">
        <f t="array" ref="K274">IF(ISBLANK(G274),"",INDEX('POR Config List'!G:G,MATCH(G274,'POR Config List'!D:D,0)))</f>
        <v/>
      </c>
      <c r="L274" s="105"/>
      <c r="M274" s="105" t="str">
        <f t="array" ref="M274">IF(ISBLANK(G274),"",INDEX('label approval artwork'!Q:Q,MATCH( G274,'label approval artwork'!F:F,0)))</f>
        <v/>
      </c>
      <c r="N274" s="169" t="str">
        <f t="shared" si="5"/>
        <v/>
      </c>
      <c r="O274" s="102" t="str">
        <f t="array" ref="O274">IF(ISBLANK(G274),"",INDEX('POR Config List'!C:C,MATCH(G274,'POR Config List'!D:D,0)))</f>
        <v/>
      </c>
      <c r="P274" s="105" t="str">
        <f t="shared" si="4"/>
        <v/>
      </c>
      <c r="Q274" s="105" t="str">
        <f t="array" ref="Q274">IF(ISBLANK(G274),"",INDEX('label approval artwork'!J:J,MATCH( G274,'label approval artwork'!F:F,0)))</f>
        <v/>
      </c>
      <c r="R274" s="105" t="str">
        <f t="array" ref="R274">IFERROR( IF(P274&lt;&gt;"EMA",INDEX('label approval artwork'!H:H,MATCH(G274,'label approval artwork'!F:F,0),"")),"")</f>
        <v/>
      </c>
      <c r="S274" s="105"/>
      <c r="T274" s="105" t="str">
        <f t="array" ref="T274">IF(ISBLANK(G274),"",INDEX('POR Config List'!I:I,MATCH(G274,'POR Config List'!D:D,0)))</f>
        <v/>
      </c>
      <c r="AA274" s="100" t="str">
        <f t="array" ref="AA274">IF(ISBLANK(G274),"",INDEX('POR Config List'!E:E,MATCH(G274,'POR Config List'!D:D,0)))</f>
        <v/>
      </c>
      <c r="AC274" s="105"/>
      <c r="AD274" s="100"/>
      <c r="AE274" s="100"/>
      <c r="AF274" s="100"/>
      <c r="AG274" s="100"/>
      <c r="AM274" s="102"/>
      <c r="AN274" s="102"/>
      <c r="AR274" s="119"/>
      <c r="AS274" s="103"/>
    </row>
    <row r="275">
      <c r="A275" s="168"/>
      <c r="B275" s="100" t="str">
        <f t="array" ref="B275">IFERROR( INDEX('POR Config List'!A:A,MATCH(G275,'POR Config List'!D:D,0)),"")</f>
        <v/>
      </c>
      <c r="C275" s="101" t="str">
        <f t="array" ref="C275">IFERROR(INDEX('label approval artwork'!E:E,MATCH(G275,'label approval artwork'!F:F,0),""),"")</f>
        <v/>
      </c>
      <c r="D275" s="102" t="str">
        <f t="shared" si="3"/>
        <v/>
      </c>
      <c r="E275" s="100" t="str">
        <f t="array" ref="E275">IF(ISBLANK(G275),"",INDEX('POR Config List'!K:K,MATCH(G275,'POR Config List'!D:D,0)))</f>
        <v/>
      </c>
      <c r="F275" s="100" t="str">
        <f t="array" ref="F275">IF(ISBLANK(G275),"",INDEX('POR Config List'!J:J,MATCH(G275,'POR Config List'!D:D,0)))</f>
        <v/>
      </c>
      <c r="G275" s="119"/>
      <c r="H275" s="104" t="str">
        <f t="array" ref="H275">IF(ISBLANK(G275),"",INDEX('MP SKUs'!G:G,MATCH(G275,'MP SKUs'!A:A,0)))</f>
        <v/>
      </c>
      <c r="I275" s="105" t="str">
        <f t="array" ref="I275">IF(ISBLANK(G275),"",INDEX('POR Config List'!O:O,MATCH(G275,'POR Config List'!D:D,0)))</f>
        <v/>
      </c>
      <c r="J275" s="104" t="str">
        <f t="array" ref="J275">IF(ISBLANK(G275),"",INDEX('POR Config List'!H:H,MATCH(G275,'POR Config List'!D:D,0)))</f>
        <v/>
      </c>
      <c r="K275" s="105" t="str">
        <f t="array" ref="K275">IF(ISBLANK(G275),"",INDEX('POR Config List'!G:G,MATCH(G275,'POR Config List'!D:D,0)))</f>
        <v/>
      </c>
      <c r="L275" s="105"/>
      <c r="M275" s="105" t="str">
        <f t="array" ref="M275">IF(ISBLANK(G275),"",INDEX('label approval artwork'!Q:Q,MATCH( G275,'label approval artwork'!F:F,0)))</f>
        <v/>
      </c>
      <c r="N275" s="169" t="str">
        <f t="shared" si="5"/>
        <v/>
      </c>
      <c r="O275" s="102" t="str">
        <f t="array" ref="O275">IF(ISBLANK(G275),"",INDEX('POR Config List'!C:C,MATCH(G275,'POR Config List'!D:D,0)))</f>
        <v/>
      </c>
      <c r="P275" s="105" t="str">
        <f t="shared" si="4"/>
        <v/>
      </c>
      <c r="Q275" s="105" t="str">
        <f t="array" ref="Q275">IF(ISBLANK(G275),"",INDEX('label approval artwork'!J:J,MATCH( G275,'label approval artwork'!F:F,0)))</f>
        <v/>
      </c>
      <c r="R275" s="105" t="str">
        <f t="array" ref="R275">IFERROR( IF(P275&lt;&gt;"EMA",INDEX('label approval artwork'!H:H,MATCH(G275,'label approval artwork'!F:F,0),"")),"")</f>
        <v/>
      </c>
      <c r="S275" s="105"/>
      <c r="T275" s="105" t="str">
        <f t="array" ref="T275">IF(ISBLANK(G275),"",INDEX('POR Config List'!I:I,MATCH(G275,'POR Config List'!D:D,0)))</f>
        <v/>
      </c>
      <c r="AA275" s="100" t="str">
        <f t="array" ref="AA275">IF(ISBLANK(G275),"",INDEX('POR Config List'!E:E,MATCH(G275,'POR Config List'!D:D,0)))</f>
        <v/>
      </c>
      <c r="AC275" s="105"/>
      <c r="AD275" s="100"/>
      <c r="AE275" s="100"/>
      <c r="AF275" s="100"/>
      <c r="AG275" s="100"/>
      <c r="AM275" s="102"/>
      <c r="AN275" s="102"/>
      <c r="AR275" s="119"/>
      <c r="AS275" s="103"/>
    </row>
    <row r="276">
      <c r="A276" s="168"/>
      <c r="B276" s="100" t="str">
        <f t="array" ref="B276">IFERROR( INDEX('POR Config List'!A:A,MATCH(G276,'POR Config List'!D:D,0)),"")</f>
        <v/>
      </c>
      <c r="C276" s="101" t="str">
        <f t="array" ref="C276">IFERROR(INDEX('label approval artwork'!E:E,MATCH(G276,'label approval artwork'!F:F,0),""),"")</f>
        <v/>
      </c>
      <c r="D276" s="102" t="str">
        <f t="shared" si="3"/>
        <v/>
      </c>
      <c r="E276" s="100" t="str">
        <f t="array" ref="E276">IF(ISBLANK(G276),"",INDEX('POR Config List'!K:K,MATCH(G276,'POR Config List'!D:D,0)))</f>
        <v/>
      </c>
      <c r="F276" s="100" t="str">
        <f t="array" ref="F276">IF(ISBLANK(G276),"",INDEX('POR Config List'!J:J,MATCH(G276,'POR Config List'!D:D,0)))</f>
        <v/>
      </c>
      <c r="G276" s="119"/>
      <c r="H276" s="104" t="str">
        <f t="array" ref="H276">IF(ISBLANK(G276),"",INDEX('MP SKUs'!G:G,MATCH(G276,'MP SKUs'!A:A,0)))</f>
        <v/>
      </c>
      <c r="I276" s="105" t="str">
        <f t="array" ref="I276">IF(ISBLANK(G276),"",INDEX('POR Config List'!O:O,MATCH(G276,'POR Config List'!D:D,0)))</f>
        <v/>
      </c>
      <c r="J276" s="104" t="str">
        <f t="array" ref="J276">IF(ISBLANK(G276),"",INDEX('POR Config List'!H:H,MATCH(G276,'POR Config List'!D:D,0)))</f>
        <v/>
      </c>
      <c r="K276" s="105" t="str">
        <f t="array" ref="K276">IF(ISBLANK(G276),"",INDEX('POR Config List'!G:G,MATCH(G276,'POR Config List'!D:D,0)))</f>
        <v/>
      </c>
      <c r="L276" s="105"/>
      <c r="M276" s="105" t="str">
        <f t="array" ref="M276">IF(ISBLANK(G276),"",INDEX('label approval artwork'!Q:Q,MATCH( G276,'label approval artwork'!F:F,0)))</f>
        <v/>
      </c>
      <c r="N276" s="169" t="str">
        <f t="shared" si="5"/>
        <v/>
      </c>
      <c r="O276" s="102" t="str">
        <f t="array" ref="O276">IF(ISBLANK(G276),"",INDEX('POR Config List'!C:C,MATCH(G276,'POR Config List'!D:D,0)))</f>
        <v/>
      </c>
      <c r="P276" s="105" t="str">
        <f t="shared" si="4"/>
        <v/>
      </c>
      <c r="Q276" s="105" t="str">
        <f t="array" ref="Q276">IF(ISBLANK(G276),"",INDEX('label approval artwork'!J:J,MATCH( G276,'label approval artwork'!F:F,0)))</f>
        <v/>
      </c>
      <c r="R276" s="105" t="str">
        <f t="array" ref="R276">IFERROR( IF(P276&lt;&gt;"EMA",INDEX('label approval artwork'!H:H,MATCH(G276,'label approval artwork'!F:F,0),"")),"")</f>
        <v/>
      </c>
      <c r="S276" s="105"/>
      <c r="T276" s="105" t="str">
        <f t="array" ref="T276">IF(ISBLANK(G276),"",INDEX('POR Config List'!I:I,MATCH(G276,'POR Config List'!D:D,0)))</f>
        <v/>
      </c>
      <c r="AA276" s="100" t="str">
        <f t="array" ref="AA276">IF(ISBLANK(G276),"",INDEX('POR Config List'!E:E,MATCH(G276,'POR Config List'!D:D,0)))</f>
        <v/>
      </c>
      <c r="AC276" s="105"/>
      <c r="AD276" s="100"/>
      <c r="AE276" s="100"/>
      <c r="AF276" s="100"/>
      <c r="AG276" s="100"/>
      <c r="AM276" s="102"/>
      <c r="AN276" s="102"/>
      <c r="AR276" s="119"/>
      <c r="AS276" s="103"/>
    </row>
    <row r="277">
      <c r="A277" s="168"/>
      <c r="B277" s="100" t="str">
        <f t="array" ref="B277">IFERROR( INDEX('POR Config List'!A:A,MATCH(G277,'POR Config List'!D:D,0)),"")</f>
        <v/>
      </c>
      <c r="C277" s="101" t="str">
        <f t="array" ref="C277">IFERROR(INDEX('label approval artwork'!E:E,MATCH(G277,'label approval artwork'!F:F,0),""),"")</f>
        <v/>
      </c>
      <c r="D277" s="102" t="str">
        <f t="shared" si="3"/>
        <v/>
      </c>
      <c r="E277" s="100" t="str">
        <f t="array" ref="E277">IF(ISBLANK(G277),"",INDEX('POR Config List'!K:K,MATCH(G277,'POR Config List'!D:D,0)))</f>
        <v/>
      </c>
      <c r="F277" s="100" t="str">
        <f t="array" ref="F277">IF(ISBLANK(G277),"",INDEX('POR Config List'!J:J,MATCH(G277,'POR Config List'!D:D,0)))</f>
        <v/>
      </c>
      <c r="G277" s="119"/>
      <c r="H277" s="104" t="str">
        <f t="array" ref="H277">IF(ISBLANK(G277),"",INDEX('MP SKUs'!G:G,MATCH(G277,'MP SKUs'!A:A,0)))</f>
        <v/>
      </c>
      <c r="I277" s="105" t="str">
        <f t="array" ref="I277">IF(ISBLANK(G277),"",INDEX('POR Config List'!O:O,MATCH(G277,'POR Config List'!D:D,0)))</f>
        <v/>
      </c>
      <c r="J277" s="104" t="str">
        <f t="array" ref="J277">IF(ISBLANK(G277),"",INDEX('POR Config List'!H:H,MATCH(G277,'POR Config List'!D:D,0)))</f>
        <v/>
      </c>
      <c r="K277" s="105" t="str">
        <f t="array" ref="K277">IF(ISBLANK(G277),"",INDEX('POR Config List'!G:G,MATCH(G277,'POR Config List'!D:D,0)))</f>
        <v/>
      </c>
      <c r="L277" s="105"/>
      <c r="M277" s="105" t="str">
        <f t="array" ref="M277">IF(ISBLANK(G277),"",INDEX('label approval artwork'!Q:Q,MATCH( G277,'label approval artwork'!F:F,0)))</f>
        <v/>
      </c>
      <c r="N277" s="169" t="str">
        <f t="shared" si="5"/>
        <v/>
      </c>
      <c r="O277" s="102" t="str">
        <f t="array" ref="O277">IF(ISBLANK(G277),"",INDEX('POR Config List'!C:C,MATCH(G277,'POR Config List'!D:D,0)))</f>
        <v/>
      </c>
      <c r="P277" s="105" t="str">
        <f t="shared" si="4"/>
        <v/>
      </c>
      <c r="Q277" s="105" t="str">
        <f t="array" ref="Q277">IF(ISBLANK(G277),"",INDEX('label approval artwork'!J:J,MATCH( G277,'label approval artwork'!F:F,0)))</f>
        <v/>
      </c>
      <c r="R277" s="105" t="str">
        <f t="array" ref="R277">IFERROR( IF(P277&lt;&gt;"EMA",INDEX('label approval artwork'!H:H,MATCH(G277,'label approval artwork'!F:F,0),"")),"")</f>
        <v/>
      </c>
      <c r="S277" s="105"/>
      <c r="T277" s="105" t="str">
        <f t="array" ref="T277">IF(ISBLANK(G277),"",INDEX('POR Config List'!I:I,MATCH(G277,'POR Config List'!D:D,0)))</f>
        <v/>
      </c>
      <c r="AA277" s="100" t="str">
        <f t="array" ref="AA277">IF(ISBLANK(G277),"",INDEX('POR Config List'!E:E,MATCH(G277,'POR Config List'!D:D,0)))</f>
        <v/>
      </c>
      <c r="AC277" s="105"/>
      <c r="AD277" s="100"/>
      <c r="AE277" s="100"/>
      <c r="AF277" s="100"/>
      <c r="AG277" s="100"/>
      <c r="AM277" s="102"/>
      <c r="AN277" s="102"/>
      <c r="AR277" s="119"/>
      <c r="AS277" s="103"/>
    </row>
    <row r="278">
      <c r="A278" s="168"/>
      <c r="B278" s="100" t="str">
        <f t="array" ref="B278">IFERROR( INDEX('POR Config List'!A:A,MATCH(G278,'POR Config List'!D:D,0)),"")</f>
        <v/>
      </c>
      <c r="C278" s="101" t="str">
        <f t="array" ref="C278">IFERROR(INDEX('label approval artwork'!E:E,MATCH(G278,'label approval artwork'!F:F,0),""),"")</f>
        <v/>
      </c>
      <c r="D278" s="102" t="str">
        <f t="shared" si="3"/>
        <v/>
      </c>
      <c r="E278" s="100" t="str">
        <f t="array" ref="E278">IF(ISBLANK(G278),"",INDEX('POR Config List'!K:K,MATCH(G278,'POR Config List'!D:D,0)))</f>
        <v/>
      </c>
      <c r="F278" s="100" t="str">
        <f t="array" ref="F278">IF(ISBLANK(G278),"",INDEX('POR Config List'!J:J,MATCH(G278,'POR Config List'!D:D,0)))</f>
        <v/>
      </c>
      <c r="G278" s="119"/>
      <c r="H278" s="104" t="str">
        <f t="array" ref="H278">IF(ISBLANK(G278),"",INDEX('MP SKUs'!G:G,MATCH(G278,'MP SKUs'!A:A,0)))</f>
        <v/>
      </c>
      <c r="I278" s="105" t="str">
        <f t="array" ref="I278">IF(ISBLANK(G278),"",INDEX('POR Config List'!O:O,MATCH(G278,'POR Config List'!D:D,0)))</f>
        <v/>
      </c>
      <c r="J278" s="104" t="str">
        <f t="array" ref="J278">IF(ISBLANK(G278),"",INDEX('POR Config List'!H:H,MATCH(G278,'POR Config List'!D:D,0)))</f>
        <v/>
      </c>
      <c r="K278" s="105" t="str">
        <f t="array" ref="K278">IF(ISBLANK(G278),"",INDEX('POR Config List'!G:G,MATCH(G278,'POR Config List'!D:D,0)))</f>
        <v/>
      </c>
      <c r="L278" s="105"/>
      <c r="M278" s="105" t="str">
        <f t="array" ref="M278">IF(ISBLANK(G278),"",INDEX('label approval artwork'!Q:Q,MATCH( G278,'label approval artwork'!F:F,0)))</f>
        <v/>
      </c>
      <c r="N278" s="169" t="str">
        <f t="shared" si="5"/>
        <v/>
      </c>
      <c r="O278" s="102" t="str">
        <f t="array" ref="O278">IF(ISBLANK(G278),"",INDEX('POR Config List'!C:C,MATCH(G278,'POR Config List'!D:D,0)))</f>
        <v/>
      </c>
      <c r="P278" s="105" t="str">
        <f t="shared" si="4"/>
        <v/>
      </c>
      <c r="Q278" s="105" t="str">
        <f t="array" ref="Q278">IF(ISBLANK(G278),"",INDEX('label approval artwork'!J:J,MATCH( G278,'label approval artwork'!F:F,0)))</f>
        <v/>
      </c>
      <c r="R278" s="105" t="str">
        <f t="array" ref="R278">IFERROR( IF(P278&lt;&gt;"EMA",INDEX('label approval artwork'!H:H,MATCH(G278,'label approval artwork'!F:F,0),"")),"")</f>
        <v/>
      </c>
      <c r="S278" s="105"/>
      <c r="T278" s="105" t="str">
        <f t="array" ref="T278">IF(ISBLANK(G278),"",INDEX('POR Config List'!I:I,MATCH(G278,'POR Config List'!D:D,0)))</f>
        <v/>
      </c>
      <c r="AA278" s="100" t="str">
        <f t="array" ref="AA278">IF(ISBLANK(G278),"",INDEX('POR Config List'!E:E,MATCH(G278,'POR Config List'!D:D,0)))</f>
        <v/>
      </c>
      <c r="AC278" s="105"/>
      <c r="AD278" s="100"/>
      <c r="AE278" s="100"/>
      <c r="AF278" s="100"/>
      <c r="AG278" s="100"/>
      <c r="AM278" s="102"/>
      <c r="AN278" s="102"/>
      <c r="AR278" s="119"/>
      <c r="AS278" s="103"/>
    </row>
    <row r="279">
      <c r="A279" s="168"/>
      <c r="B279" s="100" t="str">
        <f t="array" ref="B279">IFERROR( INDEX('POR Config List'!A:A,MATCH(G279,'POR Config List'!D:D,0)),"")</f>
        <v/>
      </c>
      <c r="C279" s="101" t="str">
        <f t="array" ref="C279">IFERROR(INDEX('label approval artwork'!E:E,MATCH(G279,'label approval artwork'!F:F,0),""),"")</f>
        <v/>
      </c>
      <c r="D279" s="102" t="str">
        <f t="shared" si="3"/>
        <v/>
      </c>
      <c r="E279" s="100" t="str">
        <f t="array" ref="E279">IF(ISBLANK(G279),"",INDEX('POR Config List'!K:K,MATCH(G279,'POR Config List'!D:D,0)))</f>
        <v/>
      </c>
      <c r="F279" s="100" t="str">
        <f t="array" ref="F279">IF(ISBLANK(G279),"",INDEX('POR Config List'!J:J,MATCH(G279,'POR Config List'!D:D,0)))</f>
        <v/>
      </c>
      <c r="G279" s="119"/>
      <c r="H279" s="104" t="str">
        <f t="array" ref="H279">IF(ISBLANK(G279),"",INDEX('MP SKUs'!G:G,MATCH(G279,'MP SKUs'!A:A,0)))</f>
        <v/>
      </c>
      <c r="I279" s="105" t="str">
        <f t="array" ref="I279">IF(ISBLANK(G279),"",INDEX('POR Config List'!O:O,MATCH(G279,'POR Config List'!D:D,0)))</f>
        <v/>
      </c>
      <c r="J279" s="104" t="str">
        <f t="array" ref="J279">IF(ISBLANK(G279),"",INDEX('POR Config List'!H:H,MATCH(G279,'POR Config List'!D:D,0)))</f>
        <v/>
      </c>
      <c r="K279" s="105" t="str">
        <f t="array" ref="K279">IF(ISBLANK(G279),"",INDEX('POR Config List'!G:G,MATCH(G279,'POR Config List'!D:D,0)))</f>
        <v/>
      </c>
      <c r="L279" s="105"/>
      <c r="M279" s="105" t="str">
        <f t="array" ref="M279">IF(ISBLANK(G279),"",INDEX('label approval artwork'!Q:Q,MATCH( G279,'label approval artwork'!F:F,0)))</f>
        <v/>
      </c>
      <c r="N279" s="169" t="str">
        <f t="shared" si="5"/>
        <v/>
      </c>
      <c r="O279" s="102" t="str">
        <f t="array" ref="O279">IF(ISBLANK(G279),"",INDEX('POR Config List'!C:C,MATCH(G279,'POR Config List'!D:D,0)))</f>
        <v/>
      </c>
      <c r="P279" s="105" t="str">
        <f t="shared" si="4"/>
        <v/>
      </c>
      <c r="Q279" s="105" t="str">
        <f t="array" ref="Q279">IF(ISBLANK(G279),"",INDEX('label approval artwork'!J:J,MATCH( G279,'label approval artwork'!F:F,0)))</f>
        <v/>
      </c>
      <c r="R279" s="105" t="str">
        <f t="array" ref="R279">IFERROR( IF(P279&lt;&gt;"EMA",INDEX('label approval artwork'!H:H,MATCH(G279,'label approval artwork'!F:F,0),"")),"")</f>
        <v/>
      </c>
      <c r="S279" s="105"/>
      <c r="T279" s="105" t="str">
        <f t="array" ref="T279">IF(ISBLANK(G279),"",INDEX('POR Config List'!I:I,MATCH(G279,'POR Config List'!D:D,0)))</f>
        <v/>
      </c>
      <c r="AA279" s="100" t="str">
        <f t="array" ref="AA279">IF(ISBLANK(G279),"",INDEX('POR Config List'!E:E,MATCH(G279,'POR Config List'!D:D,0)))</f>
        <v/>
      </c>
      <c r="AC279" s="105"/>
      <c r="AD279" s="100"/>
      <c r="AE279" s="100"/>
      <c r="AF279" s="100"/>
      <c r="AG279" s="100"/>
      <c r="AM279" s="102"/>
      <c r="AN279" s="102"/>
      <c r="AR279" s="119"/>
      <c r="AS279" s="103"/>
    </row>
    <row r="280">
      <c r="A280" s="168"/>
      <c r="B280" s="100" t="str">
        <f t="array" ref="B280">IFERROR( INDEX('POR Config List'!A:A,MATCH(G280,'POR Config List'!D:D,0)),"")</f>
        <v/>
      </c>
      <c r="C280" s="101" t="str">
        <f t="array" ref="C280">IFERROR(INDEX('label approval artwork'!E:E,MATCH(G280,'label approval artwork'!F:F,0),""),"")</f>
        <v/>
      </c>
      <c r="D280" s="102" t="str">
        <f t="shared" si="3"/>
        <v/>
      </c>
      <c r="E280" s="100" t="str">
        <f t="array" ref="E280">IF(ISBLANK(G280),"",INDEX('POR Config List'!K:K,MATCH(G280,'POR Config List'!D:D,0)))</f>
        <v/>
      </c>
      <c r="F280" s="100" t="str">
        <f t="array" ref="F280">IF(ISBLANK(G280),"",INDEX('POR Config List'!J:J,MATCH(G280,'POR Config List'!D:D,0)))</f>
        <v/>
      </c>
      <c r="G280" s="119"/>
      <c r="H280" s="104" t="str">
        <f t="array" ref="H280">IF(ISBLANK(G280),"",INDEX('MP SKUs'!G:G,MATCH(G280,'MP SKUs'!A:A,0)))</f>
        <v/>
      </c>
      <c r="I280" s="105" t="str">
        <f t="array" ref="I280">IF(ISBLANK(G280),"",INDEX('POR Config List'!O:O,MATCH(G280,'POR Config List'!D:D,0)))</f>
        <v/>
      </c>
      <c r="J280" s="104" t="str">
        <f t="array" ref="J280">IF(ISBLANK(G280),"",INDEX('POR Config List'!H:H,MATCH(G280,'POR Config List'!D:D,0)))</f>
        <v/>
      </c>
      <c r="K280" s="105" t="str">
        <f t="array" ref="K280">IF(ISBLANK(G280),"",INDEX('POR Config List'!G:G,MATCH(G280,'POR Config List'!D:D,0)))</f>
        <v/>
      </c>
      <c r="L280" s="105"/>
      <c r="M280" s="105" t="str">
        <f t="array" ref="M280">IF(ISBLANK(G280),"",INDEX('label approval artwork'!Q:Q,MATCH( G280,'label approval artwork'!F:F,0)))</f>
        <v/>
      </c>
      <c r="N280" s="169" t="str">
        <f t="shared" si="5"/>
        <v/>
      </c>
      <c r="O280" s="102" t="str">
        <f t="array" ref="O280">IF(ISBLANK(G280),"",INDEX('POR Config List'!C:C,MATCH(G280,'POR Config List'!D:D,0)))</f>
        <v/>
      </c>
      <c r="P280" s="105" t="str">
        <f t="shared" si="4"/>
        <v/>
      </c>
      <c r="Q280" s="105" t="str">
        <f t="array" ref="Q280">IF(ISBLANK(G280),"",INDEX('label approval artwork'!J:J,MATCH( G280,'label approval artwork'!F:F,0)))</f>
        <v/>
      </c>
      <c r="R280" s="105" t="str">
        <f t="array" ref="R280">IFERROR( IF(P280&lt;&gt;"EMA",INDEX('label approval artwork'!H:H,MATCH(G280,'label approval artwork'!F:F,0),"")),"")</f>
        <v/>
      </c>
      <c r="S280" s="105"/>
      <c r="T280" s="105" t="str">
        <f t="array" ref="T280">IF(ISBLANK(G280),"",INDEX('POR Config List'!I:I,MATCH(G280,'POR Config List'!D:D,0)))</f>
        <v/>
      </c>
      <c r="AA280" s="100" t="str">
        <f t="array" ref="AA280">IF(ISBLANK(G280),"",INDEX('POR Config List'!E:E,MATCH(G280,'POR Config List'!D:D,0)))</f>
        <v/>
      </c>
      <c r="AC280" s="105"/>
      <c r="AD280" s="100"/>
      <c r="AE280" s="100"/>
      <c r="AF280" s="100"/>
      <c r="AG280" s="100"/>
      <c r="AM280" s="102"/>
      <c r="AN280" s="102"/>
      <c r="AR280" s="119"/>
      <c r="AS280" s="103"/>
    </row>
    <row r="281">
      <c r="A281" s="168"/>
      <c r="B281" s="100" t="str">
        <f t="array" ref="B281">IFERROR( INDEX('POR Config List'!A:A,MATCH(G281,'POR Config List'!D:D,0)),"")</f>
        <v/>
      </c>
      <c r="C281" s="101" t="str">
        <f t="array" ref="C281">IFERROR(INDEX('label approval artwork'!E:E,MATCH(G281,'label approval artwork'!F:F,0),""),"")</f>
        <v/>
      </c>
      <c r="D281" s="102" t="str">
        <f t="shared" si="3"/>
        <v/>
      </c>
      <c r="E281" s="100" t="str">
        <f t="array" ref="E281">IF(ISBLANK(G281),"",INDEX('POR Config List'!K:K,MATCH(G281,'POR Config List'!D:D,0)))</f>
        <v/>
      </c>
      <c r="F281" s="100" t="str">
        <f t="array" ref="F281">IF(ISBLANK(G281),"",INDEX('POR Config List'!J:J,MATCH(G281,'POR Config List'!D:D,0)))</f>
        <v/>
      </c>
      <c r="G281" s="119"/>
      <c r="H281" s="104" t="str">
        <f t="array" ref="H281">IF(ISBLANK(G281),"",INDEX('MP SKUs'!G:G,MATCH(G281,'MP SKUs'!A:A,0)))</f>
        <v/>
      </c>
      <c r="I281" s="105" t="str">
        <f t="array" ref="I281">IF(ISBLANK(G281),"",INDEX('POR Config List'!O:O,MATCH(G281,'POR Config List'!D:D,0)))</f>
        <v/>
      </c>
      <c r="J281" s="104" t="str">
        <f t="array" ref="J281">IF(ISBLANK(G281),"",INDEX('POR Config List'!H:H,MATCH(G281,'POR Config List'!D:D,0)))</f>
        <v/>
      </c>
      <c r="K281" s="105" t="str">
        <f t="array" ref="K281">IF(ISBLANK(G281),"",INDEX('POR Config List'!G:G,MATCH(G281,'POR Config List'!D:D,0)))</f>
        <v/>
      </c>
      <c r="L281" s="105"/>
      <c r="M281" s="105" t="str">
        <f t="array" ref="M281">IF(ISBLANK(G281),"",INDEX('label approval artwork'!Q:Q,MATCH( G281,'label approval artwork'!F:F,0)))</f>
        <v/>
      </c>
      <c r="N281" s="169" t="str">
        <f t="shared" si="5"/>
        <v/>
      </c>
      <c r="O281" s="102" t="str">
        <f t="array" ref="O281">IF(ISBLANK(G281),"",INDEX('POR Config List'!C:C,MATCH(G281,'POR Config List'!D:D,0)))</f>
        <v/>
      </c>
      <c r="P281" s="105" t="str">
        <f t="shared" si="4"/>
        <v/>
      </c>
      <c r="Q281" s="105" t="str">
        <f t="array" ref="Q281">IF(ISBLANK(G281),"",INDEX('label approval artwork'!J:J,MATCH( G281,'label approval artwork'!F:F,0)))</f>
        <v/>
      </c>
      <c r="R281" s="105" t="str">
        <f t="array" ref="R281">IFERROR( IF(P281&lt;&gt;"EMA",INDEX('label approval artwork'!H:H,MATCH(G281,'label approval artwork'!F:F,0),"")),"")</f>
        <v/>
      </c>
      <c r="S281" s="105"/>
      <c r="T281" s="105" t="str">
        <f t="array" ref="T281">IF(ISBLANK(G281),"",INDEX('POR Config List'!I:I,MATCH(G281,'POR Config List'!D:D,0)))</f>
        <v/>
      </c>
      <c r="AA281" s="100" t="str">
        <f t="array" ref="AA281">IF(ISBLANK(G281),"",INDEX('POR Config List'!E:E,MATCH(G281,'POR Config List'!D:D,0)))</f>
        <v/>
      </c>
      <c r="AC281" s="105"/>
      <c r="AD281" s="100"/>
      <c r="AE281" s="100"/>
      <c r="AF281" s="100"/>
      <c r="AG281" s="100"/>
      <c r="AM281" s="102"/>
      <c r="AN281" s="102"/>
      <c r="AR281" s="119"/>
      <c r="AS281" s="103"/>
    </row>
    <row r="282">
      <c r="A282" s="168"/>
      <c r="B282" s="100" t="str">
        <f t="array" ref="B282">IFERROR( INDEX('POR Config List'!A:A,MATCH(G282,'POR Config List'!D:D,0)),"")</f>
        <v/>
      </c>
      <c r="C282" s="101" t="str">
        <f t="array" ref="C282">IFERROR(INDEX('label approval artwork'!E:E,MATCH(G282,'label approval artwork'!F:F,0),""),"")</f>
        <v/>
      </c>
      <c r="D282" s="102" t="str">
        <f t="shared" si="3"/>
        <v/>
      </c>
      <c r="E282" s="100" t="str">
        <f t="array" ref="E282">IF(ISBLANK(G282),"",INDEX('POR Config List'!K:K,MATCH(G282,'POR Config List'!D:D,0)))</f>
        <v/>
      </c>
      <c r="F282" s="100" t="str">
        <f t="array" ref="F282">IF(ISBLANK(G282),"",INDEX('POR Config List'!J:J,MATCH(G282,'POR Config List'!D:D,0)))</f>
        <v/>
      </c>
      <c r="G282" s="119"/>
      <c r="H282" s="104" t="str">
        <f t="array" ref="H282">IF(ISBLANK(G282),"",INDEX('MP SKUs'!G:G,MATCH(G282,'MP SKUs'!A:A,0)))</f>
        <v/>
      </c>
      <c r="I282" s="105" t="str">
        <f t="array" ref="I282">IF(ISBLANK(G282),"",INDEX('POR Config List'!O:O,MATCH(G282,'POR Config List'!D:D,0)))</f>
        <v/>
      </c>
      <c r="J282" s="104" t="str">
        <f t="array" ref="J282">IF(ISBLANK(G282),"",INDEX('POR Config List'!H:H,MATCH(G282,'POR Config List'!D:D,0)))</f>
        <v/>
      </c>
      <c r="K282" s="105" t="str">
        <f t="array" ref="K282">IF(ISBLANK(G282),"",INDEX('POR Config List'!G:G,MATCH(G282,'POR Config List'!D:D,0)))</f>
        <v/>
      </c>
      <c r="L282" s="105"/>
      <c r="M282" s="105" t="str">
        <f t="array" ref="M282">IF(ISBLANK(G282),"",INDEX('label approval artwork'!Q:Q,MATCH( G282,'label approval artwork'!F:F,0)))</f>
        <v/>
      </c>
      <c r="N282" s="169" t="str">
        <f t="shared" si="5"/>
        <v/>
      </c>
      <c r="O282" s="102" t="str">
        <f t="array" ref="O282">IF(ISBLANK(G282),"",INDEX('POR Config List'!C:C,MATCH(G282,'POR Config List'!D:D,0)))</f>
        <v/>
      </c>
      <c r="P282" s="105" t="str">
        <f t="shared" si="4"/>
        <v/>
      </c>
      <c r="Q282" s="105" t="str">
        <f t="array" ref="Q282">IF(ISBLANK(G282),"",INDEX('label approval artwork'!J:J,MATCH( G282,'label approval artwork'!F:F,0)))</f>
        <v/>
      </c>
      <c r="R282" s="105" t="str">
        <f t="array" ref="R282">IFERROR( IF(P282&lt;&gt;"EMA",INDEX('label approval artwork'!H:H,MATCH(G282,'label approval artwork'!F:F,0),"")),"")</f>
        <v/>
      </c>
      <c r="S282" s="105"/>
      <c r="T282" s="105" t="str">
        <f t="array" ref="T282">IF(ISBLANK(G282),"",INDEX('POR Config List'!I:I,MATCH(G282,'POR Config List'!D:D,0)))</f>
        <v/>
      </c>
      <c r="AA282" s="100" t="str">
        <f t="array" ref="AA282">IF(ISBLANK(G282),"",INDEX('POR Config List'!E:E,MATCH(G282,'POR Config List'!D:D,0)))</f>
        <v/>
      </c>
      <c r="AC282" s="105"/>
      <c r="AD282" s="100"/>
      <c r="AE282" s="100"/>
      <c r="AF282" s="100"/>
      <c r="AG282" s="100"/>
      <c r="AM282" s="102"/>
      <c r="AN282" s="102"/>
      <c r="AR282" s="119"/>
      <c r="AS282" s="103"/>
    </row>
    <row r="283">
      <c r="A283" s="168"/>
      <c r="B283" s="100" t="str">
        <f t="array" ref="B283">IFERROR( INDEX('POR Config List'!A:A,MATCH(G283,'POR Config List'!D:D,0)),"")</f>
        <v/>
      </c>
      <c r="C283" s="101" t="str">
        <f t="array" ref="C283">IFERROR(INDEX('label approval artwork'!E:E,MATCH(G283,'label approval artwork'!F:F,0),""),"")</f>
        <v/>
      </c>
      <c r="D283" s="102" t="str">
        <f t="shared" si="3"/>
        <v/>
      </c>
      <c r="E283" s="100" t="str">
        <f t="array" ref="E283">IF(ISBLANK(G283),"",INDEX('POR Config List'!K:K,MATCH(G283,'POR Config List'!D:D,0)))</f>
        <v/>
      </c>
      <c r="F283" s="100" t="str">
        <f t="array" ref="F283">IF(ISBLANK(G283),"",INDEX('POR Config List'!J:J,MATCH(G283,'POR Config List'!D:D,0)))</f>
        <v/>
      </c>
      <c r="G283" s="119"/>
      <c r="H283" s="104" t="str">
        <f t="array" ref="H283">IF(ISBLANK(G283),"",INDEX('MP SKUs'!G:G,MATCH(G283,'MP SKUs'!A:A,0)))</f>
        <v/>
      </c>
      <c r="I283" s="105" t="str">
        <f t="array" ref="I283">IF(ISBLANK(G283),"",INDEX('POR Config List'!O:O,MATCH(G283,'POR Config List'!D:D,0)))</f>
        <v/>
      </c>
      <c r="J283" s="104" t="str">
        <f t="array" ref="J283">IF(ISBLANK(G283),"",INDEX('POR Config List'!H:H,MATCH(G283,'POR Config List'!D:D,0)))</f>
        <v/>
      </c>
      <c r="K283" s="105" t="str">
        <f t="array" ref="K283">IF(ISBLANK(G283),"",INDEX('POR Config List'!G:G,MATCH(G283,'POR Config List'!D:D,0)))</f>
        <v/>
      </c>
      <c r="L283" s="105"/>
      <c r="M283" s="105" t="str">
        <f t="array" ref="M283">IF(ISBLANK(G283),"",INDEX('label approval artwork'!Q:Q,MATCH( G283,'label approval artwork'!F:F,0)))</f>
        <v/>
      </c>
      <c r="N283" s="169" t="str">
        <f t="shared" si="5"/>
        <v/>
      </c>
      <c r="O283" s="102" t="str">
        <f t="array" ref="O283">IF(ISBLANK(G283),"",INDEX('POR Config List'!C:C,MATCH(G283,'POR Config List'!D:D,0)))</f>
        <v/>
      </c>
      <c r="P283" s="105" t="str">
        <f t="shared" si="4"/>
        <v/>
      </c>
      <c r="Q283" s="105" t="str">
        <f t="array" ref="Q283">IF(ISBLANK(G283),"",INDEX('label approval artwork'!J:J,MATCH( G283,'label approval artwork'!F:F,0)))</f>
        <v/>
      </c>
      <c r="R283" s="105" t="str">
        <f t="array" ref="R283">IFERROR( IF(P283&lt;&gt;"EMA",INDEX('label approval artwork'!H:H,MATCH(G283,'label approval artwork'!F:F,0),"")),"")</f>
        <v/>
      </c>
      <c r="S283" s="105"/>
      <c r="T283" s="105" t="str">
        <f t="array" ref="T283">IF(ISBLANK(G283),"",INDEX('POR Config List'!I:I,MATCH(G283,'POR Config List'!D:D,0)))</f>
        <v/>
      </c>
      <c r="AA283" s="100" t="str">
        <f t="array" ref="AA283">IF(ISBLANK(G283),"",INDEX('POR Config List'!E:E,MATCH(G283,'POR Config List'!D:D,0)))</f>
        <v/>
      </c>
      <c r="AC283" s="105"/>
      <c r="AD283" s="100"/>
      <c r="AE283" s="100"/>
      <c r="AF283" s="100"/>
      <c r="AG283" s="100"/>
      <c r="AM283" s="102"/>
      <c r="AN283" s="102"/>
      <c r="AR283" s="119"/>
      <c r="AS283" s="103"/>
    </row>
    <row r="284">
      <c r="A284" s="168"/>
      <c r="B284" s="100" t="str">
        <f t="array" ref="B284">IFERROR( INDEX('POR Config List'!A:A,MATCH(G284,'POR Config List'!D:D,0)),"")</f>
        <v/>
      </c>
      <c r="C284" s="101" t="str">
        <f t="array" ref="C284">IFERROR(INDEX('label approval artwork'!E:E,MATCH(G284,'label approval artwork'!F:F,0),""),"")</f>
        <v/>
      </c>
      <c r="D284" s="102" t="str">
        <f t="shared" si="3"/>
        <v/>
      </c>
      <c r="E284" s="100" t="str">
        <f t="array" ref="E284">IF(ISBLANK(G284),"",INDEX('POR Config List'!K:K,MATCH(G284,'POR Config List'!D:D,0)))</f>
        <v/>
      </c>
      <c r="F284" s="100" t="str">
        <f t="array" ref="F284">IF(ISBLANK(G284),"",INDEX('POR Config List'!J:J,MATCH(G284,'POR Config List'!D:D,0)))</f>
        <v/>
      </c>
      <c r="G284" s="119"/>
      <c r="H284" s="104" t="str">
        <f t="array" ref="H284">IF(ISBLANK(G284),"",INDEX('MP SKUs'!G:G,MATCH(G284,'MP SKUs'!A:A,0)))</f>
        <v/>
      </c>
      <c r="I284" s="105" t="str">
        <f t="array" ref="I284">IF(ISBLANK(G284),"",INDEX('POR Config List'!O:O,MATCH(G284,'POR Config List'!D:D,0)))</f>
        <v/>
      </c>
      <c r="J284" s="104" t="str">
        <f t="array" ref="J284">IF(ISBLANK(G284),"",INDEX('POR Config List'!H:H,MATCH(G284,'POR Config List'!D:D,0)))</f>
        <v/>
      </c>
      <c r="K284" s="105" t="str">
        <f t="array" ref="K284">IF(ISBLANK(G284),"",INDEX('POR Config List'!G:G,MATCH(G284,'POR Config List'!D:D,0)))</f>
        <v/>
      </c>
      <c r="L284" s="105"/>
      <c r="M284" s="105" t="str">
        <f t="array" ref="M284">IF(ISBLANK(G284),"",INDEX('label approval artwork'!Q:Q,MATCH( G284,'label approval artwork'!F:F,0)))</f>
        <v/>
      </c>
      <c r="N284" s="169" t="str">
        <f t="shared" si="5"/>
        <v/>
      </c>
      <c r="O284" s="102" t="str">
        <f t="array" ref="O284">IF(ISBLANK(G284),"",INDEX('POR Config List'!C:C,MATCH(G284,'POR Config List'!D:D,0)))</f>
        <v/>
      </c>
      <c r="P284" s="105" t="str">
        <f t="shared" si="4"/>
        <v/>
      </c>
      <c r="Q284" s="105" t="str">
        <f t="array" ref="Q284">IF(ISBLANK(G284),"",INDEX('label approval artwork'!J:J,MATCH( G284,'label approval artwork'!F:F,0)))</f>
        <v/>
      </c>
      <c r="R284" s="105" t="str">
        <f t="array" ref="R284">IFERROR( IF(P284&lt;&gt;"EMA",INDEX('label approval artwork'!H:H,MATCH(G284,'label approval artwork'!F:F,0),"")),"")</f>
        <v/>
      </c>
      <c r="S284" s="105"/>
      <c r="T284" s="105" t="str">
        <f t="array" ref="T284">IF(ISBLANK(G284),"",INDEX('POR Config List'!I:I,MATCH(G284,'POR Config List'!D:D,0)))</f>
        <v/>
      </c>
      <c r="AA284" s="100" t="str">
        <f t="array" ref="AA284">IF(ISBLANK(G284),"",INDEX('POR Config List'!E:E,MATCH(G284,'POR Config List'!D:D,0)))</f>
        <v/>
      </c>
      <c r="AC284" s="105"/>
      <c r="AD284" s="100"/>
      <c r="AE284" s="100"/>
      <c r="AF284" s="100"/>
      <c r="AG284" s="100"/>
      <c r="AM284" s="102"/>
      <c r="AN284" s="102"/>
      <c r="AR284" s="119"/>
      <c r="AS284" s="103"/>
    </row>
    <row r="285">
      <c r="A285" s="168"/>
      <c r="B285" s="100" t="str">
        <f t="array" ref="B285">IFERROR( INDEX('POR Config List'!A:A,MATCH(G285,'POR Config List'!D:D,0)),"")</f>
        <v/>
      </c>
      <c r="C285" s="101" t="str">
        <f t="array" ref="C285">IFERROR(INDEX('label approval artwork'!E:E,MATCH(G285,'label approval artwork'!F:F,0),""),"")</f>
        <v/>
      </c>
      <c r="D285" s="102" t="str">
        <f t="shared" si="3"/>
        <v/>
      </c>
      <c r="E285" s="100" t="str">
        <f t="array" ref="E285">IF(ISBLANK(G285),"",INDEX('POR Config List'!K:K,MATCH(G285,'POR Config List'!D:D,0)))</f>
        <v/>
      </c>
      <c r="F285" s="100" t="str">
        <f t="array" ref="F285">IF(ISBLANK(G285),"",INDEX('POR Config List'!J:J,MATCH(G285,'POR Config List'!D:D,0)))</f>
        <v/>
      </c>
      <c r="G285" s="119"/>
      <c r="H285" s="104" t="str">
        <f t="array" ref="H285">IF(ISBLANK(G285),"",INDEX('MP SKUs'!G:G,MATCH(G285,'MP SKUs'!A:A,0)))</f>
        <v/>
      </c>
      <c r="I285" s="105" t="str">
        <f t="array" ref="I285">IF(ISBLANK(G285),"",INDEX('POR Config List'!O:O,MATCH(G285,'POR Config List'!D:D,0)))</f>
        <v/>
      </c>
      <c r="J285" s="104" t="str">
        <f t="array" ref="J285">IF(ISBLANK(G285),"",INDEX('POR Config List'!H:H,MATCH(G285,'POR Config List'!D:D,0)))</f>
        <v/>
      </c>
      <c r="K285" s="105" t="str">
        <f t="array" ref="K285">IF(ISBLANK(G285),"",INDEX('POR Config List'!G:G,MATCH(G285,'POR Config List'!D:D,0)))</f>
        <v/>
      </c>
      <c r="L285" s="105"/>
      <c r="M285" s="105" t="str">
        <f t="array" ref="M285">IF(ISBLANK(G285),"",INDEX('label approval artwork'!Q:Q,MATCH( G285,'label approval artwork'!F:F,0)))</f>
        <v/>
      </c>
      <c r="N285" s="169" t="str">
        <f t="shared" si="5"/>
        <v/>
      </c>
      <c r="O285" s="102" t="str">
        <f t="array" ref="O285">IF(ISBLANK(G285),"",INDEX('POR Config List'!C:C,MATCH(G285,'POR Config List'!D:D,0)))</f>
        <v/>
      </c>
      <c r="P285" s="105" t="str">
        <f t="shared" si="4"/>
        <v/>
      </c>
      <c r="Q285" s="105" t="str">
        <f t="array" ref="Q285">IF(ISBLANK(G285),"",INDEX('label approval artwork'!J:J,MATCH( G285,'label approval artwork'!F:F,0)))</f>
        <v/>
      </c>
      <c r="R285" s="105" t="str">
        <f t="array" ref="R285">IFERROR( IF(P285&lt;&gt;"EMA",INDEX('label approval artwork'!H:H,MATCH(G285,'label approval artwork'!F:F,0),"")),"")</f>
        <v/>
      </c>
      <c r="S285" s="105"/>
      <c r="T285" s="105" t="str">
        <f t="array" ref="T285">IF(ISBLANK(G285),"",INDEX('POR Config List'!I:I,MATCH(G285,'POR Config List'!D:D,0)))</f>
        <v/>
      </c>
      <c r="AA285" s="100" t="str">
        <f t="array" ref="AA285">IF(ISBLANK(G285),"",INDEX('POR Config List'!E:E,MATCH(G285,'POR Config List'!D:D,0)))</f>
        <v/>
      </c>
      <c r="AC285" s="105"/>
      <c r="AD285" s="100"/>
      <c r="AE285" s="100"/>
      <c r="AF285" s="100"/>
      <c r="AG285" s="100"/>
      <c r="AM285" s="102"/>
      <c r="AN285" s="102"/>
      <c r="AR285" s="119"/>
      <c r="AS285" s="103"/>
    </row>
    <row r="286">
      <c r="A286" s="168"/>
      <c r="B286" s="100" t="str">
        <f t="array" ref="B286">IFERROR( INDEX('POR Config List'!A:A,MATCH(G286,'POR Config List'!D:D,0)),"")</f>
        <v/>
      </c>
      <c r="C286" s="101" t="str">
        <f t="array" ref="C286">IFERROR(INDEX('label approval artwork'!E:E,MATCH(G286,'label approval artwork'!F:F,0),""),"")</f>
        <v/>
      </c>
      <c r="D286" s="102" t="str">
        <f t="shared" si="3"/>
        <v/>
      </c>
      <c r="E286" s="100" t="str">
        <f t="array" ref="E286">IF(ISBLANK(G286),"",INDEX('POR Config List'!K:K,MATCH(G286,'POR Config List'!D:D,0)))</f>
        <v/>
      </c>
      <c r="F286" s="100" t="str">
        <f t="array" ref="F286">IF(ISBLANK(G286),"",INDEX('POR Config List'!J:J,MATCH(G286,'POR Config List'!D:D,0)))</f>
        <v/>
      </c>
      <c r="G286" s="119"/>
      <c r="H286" s="104" t="str">
        <f t="array" ref="H286">IF(ISBLANK(G286),"",INDEX('MP SKUs'!G:G,MATCH(G286,'MP SKUs'!A:A,0)))</f>
        <v/>
      </c>
      <c r="I286" s="105" t="str">
        <f t="array" ref="I286">IF(ISBLANK(G286),"",INDEX('POR Config List'!O:O,MATCH(G286,'POR Config List'!D:D,0)))</f>
        <v/>
      </c>
      <c r="J286" s="104" t="str">
        <f t="array" ref="J286">IF(ISBLANK(G286),"",INDEX('POR Config List'!H:H,MATCH(G286,'POR Config List'!D:D,0)))</f>
        <v/>
      </c>
      <c r="K286" s="105" t="str">
        <f t="array" ref="K286">IF(ISBLANK(G286),"",INDEX('POR Config List'!G:G,MATCH(G286,'POR Config List'!D:D,0)))</f>
        <v/>
      </c>
      <c r="L286" s="105"/>
      <c r="M286" s="105" t="str">
        <f t="array" ref="M286">IF(ISBLANK(G286),"",INDEX('label approval artwork'!Q:Q,MATCH( G286,'label approval artwork'!F:F,0)))</f>
        <v/>
      </c>
      <c r="N286" s="169" t="str">
        <f t="shared" si="5"/>
        <v/>
      </c>
      <c r="O286" s="102" t="str">
        <f t="array" ref="O286">IF(ISBLANK(G286),"",INDEX('POR Config List'!C:C,MATCH(G286,'POR Config List'!D:D,0)))</f>
        <v/>
      </c>
      <c r="P286" s="105" t="str">
        <f t="shared" si="4"/>
        <v/>
      </c>
      <c r="Q286" s="105" t="str">
        <f t="array" ref="Q286">IF(ISBLANK(G286),"",INDEX('label approval artwork'!J:J,MATCH( G286,'label approval artwork'!F:F,0)))</f>
        <v/>
      </c>
      <c r="R286" s="105" t="str">
        <f t="array" ref="R286">IFERROR( IF(P286&lt;&gt;"EMA",INDEX('label approval artwork'!H:H,MATCH(G286,'label approval artwork'!F:F,0),"")),"")</f>
        <v/>
      </c>
      <c r="S286" s="105"/>
      <c r="T286" s="105" t="str">
        <f t="array" ref="T286">IF(ISBLANK(G286),"",INDEX('POR Config List'!I:I,MATCH(G286,'POR Config List'!D:D,0)))</f>
        <v/>
      </c>
      <c r="AA286" s="100" t="str">
        <f t="array" ref="AA286">IF(ISBLANK(G286),"",INDEX('POR Config List'!E:E,MATCH(G286,'POR Config List'!D:D,0)))</f>
        <v/>
      </c>
      <c r="AC286" s="105"/>
      <c r="AD286" s="100"/>
      <c r="AE286" s="100"/>
      <c r="AF286" s="100"/>
      <c r="AG286" s="100"/>
      <c r="AM286" s="102"/>
      <c r="AN286" s="102"/>
      <c r="AR286" s="119"/>
      <c r="AS286" s="103"/>
    </row>
    <row r="287">
      <c r="A287" s="168"/>
      <c r="B287" s="100" t="str">
        <f t="array" ref="B287">IFERROR( INDEX('POR Config List'!A:A,MATCH(G287,'POR Config List'!D:D,0)),"")</f>
        <v/>
      </c>
      <c r="C287" s="101" t="str">
        <f t="array" ref="C287">IFERROR(INDEX('label approval artwork'!E:E,MATCH(G287,'label approval artwork'!F:F,0),""),"")</f>
        <v/>
      </c>
      <c r="D287" s="102" t="str">
        <f t="shared" si="3"/>
        <v/>
      </c>
      <c r="E287" s="100" t="str">
        <f t="array" ref="E287">IF(ISBLANK(G287),"",INDEX('POR Config List'!K:K,MATCH(G287,'POR Config List'!D:D,0)))</f>
        <v/>
      </c>
      <c r="F287" s="100" t="str">
        <f t="array" ref="F287">IF(ISBLANK(G287),"",INDEX('POR Config List'!J:J,MATCH(G287,'POR Config List'!D:D,0)))</f>
        <v/>
      </c>
      <c r="G287" s="119"/>
      <c r="H287" s="104" t="str">
        <f t="array" ref="H287">IF(ISBLANK(G287),"",INDEX('MP SKUs'!G:G,MATCH(G287,'MP SKUs'!A:A,0)))</f>
        <v/>
      </c>
      <c r="I287" s="105" t="str">
        <f t="array" ref="I287">IF(ISBLANK(G287),"",INDEX('POR Config List'!O:O,MATCH(G287,'POR Config List'!D:D,0)))</f>
        <v/>
      </c>
      <c r="J287" s="104" t="str">
        <f t="array" ref="J287">IF(ISBLANK(G287),"",INDEX('POR Config List'!H:H,MATCH(G287,'POR Config List'!D:D,0)))</f>
        <v/>
      </c>
      <c r="K287" s="105" t="str">
        <f t="array" ref="K287">IF(ISBLANK(G287),"",INDEX('POR Config List'!G:G,MATCH(G287,'POR Config List'!D:D,0)))</f>
        <v/>
      </c>
      <c r="L287" s="105"/>
      <c r="M287" s="105" t="str">
        <f t="array" ref="M287">IF(ISBLANK(G287),"",INDEX('label approval artwork'!Q:Q,MATCH( G287,'label approval artwork'!F:F,0)))</f>
        <v/>
      </c>
      <c r="N287" s="169" t="str">
        <f t="shared" si="5"/>
        <v/>
      </c>
      <c r="O287" s="102" t="str">
        <f t="array" ref="O287">IF(ISBLANK(G287),"",INDEX('POR Config List'!C:C,MATCH(G287,'POR Config List'!D:D,0)))</f>
        <v/>
      </c>
      <c r="P287" s="105" t="str">
        <f t="shared" si="4"/>
        <v/>
      </c>
      <c r="Q287" s="105" t="str">
        <f t="array" ref="Q287">IF(ISBLANK(G287),"",INDEX('label approval artwork'!J:J,MATCH( G287,'label approval artwork'!F:F,0)))</f>
        <v/>
      </c>
      <c r="R287" s="105" t="str">
        <f t="array" ref="R287">IFERROR( IF(P287&lt;&gt;"EMA",INDEX('label approval artwork'!H:H,MATCH(G287,'label approval artwork'!F:F,0),"")),"")</f>
        <v/>
      </c>
      <c r="S287" s="105"/>
      <c r="T287" s="105" t="str">
        <f t="array" ref="T287">IF(ISBLANK(G287),"",INDEX('POR Config List'!I:I,MATCH(G287,'POR Config List'!D:D,0)))</f>
        <v/>
      </c>
      <c r="AA287" s="100" t="str">
        <f t="array" ref="AA287">IF(ISBLANK(G287),"",INDEX('POR Config List'!E:E,MATCH(G287,'POR Config List'!D:D,0)))</f>
        <v/>
      </c>
      <c r="AC287" s="105"/>
      <c r="AD287" s="100"/>
      <c r="AE287" s="100"/>
      <c r="AF287" s="100"/>
      <c r="AG287" s="100"/>
      <c r="AM287" s="102"/>
      <c r="AN287" s="102"/>
      <c r="AR287" s="119"/>
      <c r="AS287" s="103"/>
    </row>
    <row r="288">
      <c r="A288" s="168"/>
      <c r="B288" s="100" t="str">
        <f t="array" ref="B288">IFERROR( INDEX('POR Config List'!A:A,MATCH(G288,'POR Config List'!D:D,0)),"")</f>
        <v/>
      </c>
      <c r="C288" s="101" t="str">
        <f t="array" ref="C288">IFERROR(INDEX('label approval artwork'!E:E,MATCH(G288,'label approval artwork'!F:F,0),""),"")</f>
        <v/>
      </c>
      <c r="D288" s="102" t="str">
        <f t="shared" si="3"/>
        <v/>
      </c>
      <c r="E288" s="100" t="str">
        <f t="array" ref="E288">IF(ISBLANK(G288),"",INDEX('POR Config List'!K:K,MATCH(G288,'POR Config List'!D:D,0)))</f>
        <v/>
      </c>
      <c r="F288" s="100" t="str">
        <f t="array" ref="F288">IF(ISBLANK(G288),"",INDEX('POR Config List'!J:J,MATCH(G288,'POR Config List'!D:D,0)))</f>
        <v/>
      </c>
      <c r="G288" s="119"/>
      <c r="H288" s="104" t="str">
        <f t="array" ref="H288">IF(ISBLANK(G288),"",INDEX('MP SKUs'!G:G,MATCH(G288,'MP SKUs'!A:A,0)))</f>
        <v/>
      </c>
      <c r="I288" s="105" t="str">
        <f t="array" ref="I288">IF(ISBLANK(G288),"",INDEX('POR Config List'!O:O,MATCH(G288,'POR Config List'!D:D,0)))</f>
        <v/>
      </c>
      <c r="J288" s="104" t="str">
        <f t="array" ref="J288">IF(ISBLANK(G288),"",INDEX('POR Config List'!H:H,MATCH(G288,'POR Config List'!D:D,0)))</f>
        <v/>
      </c>
      <c r="K288" s="105" t="str">
        <f t="array" ref="K288">IF(ISBLANK(G288),"",INDEX('POR Config List'!G:G,MATCH(G288,'POR Config List'!D:D,0)))</f>
        <v/>
      </c>
      <c r="L288" s="105"/>
      <c r="M288" s="105" t="str">
        <f t="array" ref="M288">IF(ISBLANK(G288),"",INDEX('label approval artwork'!Q:Q,MATCH( G288,'label approval artwork'!F:F,0)))</f>
        <v/>
      </c>
      <c r="N288" s="169" t="str">
        <f t="shared" si="5"/>
        <v/>
      </c>
      <c r="O288" s="102" t="str">
        <f t="array" ref="O288">IF(ISBLANK(G288),"",INDEX('POR Config List'!C:C,MATCH(G288,'POR Config List'!D:D,0)))</f>
        <v/>
      </c>
      <c r="P288" s="105" t="str">
        <f t="shared" si="4"/>
        <v/>
      </c>
      <c r="Q288" s="105" t="str">
        <f t="array" ref="Q288">IF(ISBLANK(G288),"",INDEX('label approval artwork'!J:J,MATCH( G288,'label approval artwork'!F:F,0)))</f>
        <v/>
      </c>
      <c r="R288" s="105" t="str">
        <f t="array" ref="R288">IFERROR( IF(P288&lt;&gt;"EMA",INDEX('label approval artwork'!H:H,MATCH(G288,'label approval artwork'!F:F,0),"")),"")</f>
        <v/>
      </c>
      <c r="S288" s="105"/>
      <c r="T288" s="105" t="str">
        <f t="array" ref="T288">IF(ISBLANK(G288),"",INDEX('POR Config List'!I:I,MATCH(G288,'POR Config List'!D:D,0)))</f>
        <v/>
      </c>
      <c r="AA288" s="100" t="str">
        <f t="array" ref="AA288">IF(ISBLANK(G288),"",INDEX('POR Config List'!E:E,MATCH(G288,'POR Config List'!D:D,0)))</f>
        <v/>
      </c>
      <c r="AC288" s="105"/>
      <c r="AD288" s="100"/>
      <c r="AE288" s="100"/>
      <c r="AF288" s="100"/>
      <c r="AG288" s="100"/>
      <c r="AM288" s="102"/>
      <c r="AN288" s="102"/>
      <c r="AR288" s="119"/>
      <c r="AS288" s="103"/>
    </row>
    <row r="289">
      <c r="A289" s="168"/>
      <c r="B289" s="100" t="str">
        <f t="array" ref="B289">IFERROR( INDEX('POR Config List'!A:A,MATCH(G289,'POR Config List'!D:D,0)),"")</f>
        <v/>
      </c>
      <c r="C289" s="101" t="str">
        <f t="array" ref="C289">IFERROR(INDEX('label approval artwork'!E:E,MATCH(G289,'label approval artwork'!F:F,0),""),"")</f>
        <v/>
      </c>
      <c r="D289" s="102" t="str">
        <f t="shared" si="3"/>
        <v/>
      </c>
      <c r="E289" s="100" t="str">
        <f t="array" ref="E289">IF(ISBLANK(G289),"",INDEX('POR Config List'!K:K,MATCH(G289,'POR Config List'!D:D,0)))</f>
        <v/>
      </c>
      <c r="F289" s="100" t="str">
        <f t="array" ref="F289">IF(ISBLANK(G289),"",INDEX('POR Config List'!J:J,MATCH(G289,'POR Config List'!D:D,0)))</f>
        <v/>
      </c>
      <c r="G289" s="119"/>
      <c r="H289" s="104" t="str">
        <f t="array" ref="H289">IF(ISBLANK(G289),"",INDEX('MP SKUs'!G:G,MATCH(G289,'MP SKUs'!A:A,0)))</f>
        <v/>
      </c>
      <c r="I289" s="105" t="str">
        <f t="array" ref="I289">IF(ISBLANK(G289),"",INDEX('POR Config List'!O:O,MATCH(G289,'POR Config List'!D:D,0)))</f>
        <v/>
      </c>
      <c r="J289" s="104" t="str">
        <f t="array" ref="J289">IF(ISBLANK(G289),"",INDEX('POR Config List'!H:H,MATCH(G289,'POR Config List'!D:D,0)))</f>
        <v/>
      </c>
      <c r="K289" s="105" t="str">
        <f t="array" ref="K289">IF(ISBLANK(G289),"",INDEX('POR Config List'!G:G,MATCH(G289,'POR Config List'!D:D,0)))</f>
        <v/>
      </c>
      <c r="L289" s="105"/>
      <c r="M289" s="105" t="str">
        <f t="array" ref="M289">IF(ISBLANK(G289),"",INDEX('label approval artwork'!Q:Q,MATCH( G289,'label approval artwork'!F:F,0)))</f>
        <v/>
      </c>
      <c r="N289" s="169" t="str">
        <f t="shared" si="5"/>
        <v/>
      </c>
      <c r="O289" s="102" t="str">
        <f t="array" ref="O289">IF(ISBLANK(G289),"",INDEX('POR Config List'!C:C,MATCH(G289,'POR Config List'!D:D,0)))</f>
        <v/>
      </c>
      <c r="P289" s="105" t="str">
        <f t="shared" si="4"/>
        <v/>
      </c>
      <c r="Q289" s="105" t="str">
        <f t="array" ref="Q289">IF(ISBLANK(G289),"",INDEX('label approval artwork'!J:J,MATCH( G289,'label approval artwork'!F:F,0)))</f>
        <v/>
      </c>
      <c r="R289" s="105" t="str">
        <f t="array" ref="R289">IFERROR( IF(P289&lt;&gt;"EMA",INDEX('label approval artwork'!H:H,MATCH(G289,'label approval artwork'!F:F,0),"")),"")</f>
        <v/>
      </c>
      <c r="S289" s="105"/>
      <c r="T289" s="105" t="str">
        <f t="array" ref="T289">IF(ISBLANK(G289),"",INDEX('POR Config List'!I:I,MATCH(G289,'POR Config List'!D:D,0)))</f>
        <v/>
      </c>
      <c r="AA289" s="100" t="str">
        <f t="array" ref="AA289">IF(ISBLANK(G289),"",INDEX('POR Config List'!E:E,MATCH(G289,'POR Config List'!D:D,0)))</f>
        <v/>
      </c>
      <c r="AC289" s="105"/>
      <c r="AD289" s="100"/>
      <c r="AE289" s="100"/>
      <c r="AF289" s="100"/>
      <c r="AG289" s="100"/>
      <c r="AM289" s="102"/>
      <c r="AN289" s="102"/>
      <c r="AR289" s="119"/>
      <c r="AS289" s="103"/>
    </row>
    <row r="290">
      <c r="A290" s="168"/>
      <c r="B290" s="100" t="str">
        <f t="array" ref="B290">IFERROR( INDEX('POR Config List'!A:A,MATCH(G290,'POR Config List'!D:D,0)),"")</f>
        <v/>
      </c>
      <c r="C290" s="101" t="str">
        <f t="array" ref="C290">IFERROR(INDEX('label approval artwork'!E:E,MATCH(G290,'label approval artwork'!F:F,0),""),"")</f>
        <v/>
      </c>
      <c r="D290" s="102" t="str">
        <f t="shared" si="3"/>
        <v/>
      </c>
      <c r="E290" s="100" t="str">
        <f t="array" ref="E290">IF(ISBLANK(G290),"",INDEX('POR Config List'!K:K,MATCH(G290,'POR Config List'!D:D,0)))</f>
        <v/>
      </c>
      <c r="F290" s="100" t="str">
        <f t="array" ref="F290">IF(ISBLANK(G290),"",INDEX('POR Config List'!J:J,MATCH(G290,'POR Config List'!D:D,0)))</f>
        <v/>
      </c>
      <c r="G290" s="119"/>
      <c r="H290" s="104" t="str">
        <f t="array" ref="H290">IF(ISBLANK(G290),"",INDEX('MP SKUs'!G:G,MATCH(G290,'MP SKUs'!A:A,0)))</f>
        <v/>
      </c>
      <c r="I290" s="105" t="str">
        <f t="array" ref="I290">IF(ISBLANK(G290),"",INDEX('POR Config List'!O:O,MATCH(G290,'POR Config List'!D:D,0)))</f>
        <v/>
      </c>
      <c r="J290" s="104" t="str">
        <f t="array" ref="J290">IF(ISBLANK(G290),"",INDEX('POR Config List'!H:H,MATCH(G290,'POR Config List'!D:D,0)))</f>
        <v/>
      </c>
      <c r="K290" s="105" t="str">
        <f t="array" ref="K290">IF(ISBLANK(G290),"",INDEX('POR Config List'!G:G,MATCH(G290,'POR Config List'!D:D,0)))</f>
        <v/>
      </c>
      <c r="L290" s="105"/>
      <c r="M290" s="105" t="str">
        <f t="array" ref="M290">IF(ISBLANK(G290),"",INDEX('label approval artwork'!Q:Q,MATCH( G290,'label approval artwork'!F:F,0)))</f>
        <v/>
      </c>
      <c r="N290" s="169" t="str">
        <f t="shared" si="5"/>
        <v/>
      </c>
      <c r="O290" s="102" t="str">
        <f t="array" ref="O290">IF(ISBLANK(G290),"",INDEX('POR Config List'!C:C,MATCH(G290,'POR Config List'!D:D,0)))</f>
        <v/>
      </c>
      <c r="P290" s="105" t="str">
        <f t="shared" si="4"/>
        <v/>
      </c>
      <c r="Q290" s="105" t="str">
        <f t="array" ref="Q290">IF(ISBLANK(G290),"",INDEX('label approval artwork'!J:J,MATCH( G290,'label approval artwork'!F:F,0)))</f>
        <v/>
      </c>
      <c r="R290" s="105" t="str">
        <f t="array" ref="R290">IFERROR( IF(P290&lt;&gt;"EMA",INDEX('label approval artwork'!H:H,MATCH(G290,'label approval artwork'!F:F,0),"")),"")</f>
        <v/>
      </c>
      <c r="S290" s="105"/>
      <c r="T290" s="105" t="str">
        <f t="array" ref="T290">IF(ISBLANK(G290),"",INDEX('POR Config List'!I:I,MATCH(G290,'POR Config List'!D:D,0)))</f>
        <v/>
      </c>
      <c r="AA290" s="100" t="str">
        <f t="array" ref="AA290">IF(ISBLANK(G290),"",INDEX('POR Config List'!E:E,MATCH(G290,'POR Config List'!D:D,0)))</f>
        <v/>
      </c>
      <c r="AC290" s="105"/>
      <c r="AD290" s="100"/>
      <c r="AE290" s="100"/>
      <c r="AF290" s="100"/>
      <c r="AG290" s="100"/>
      <c r="AM290" s="102"/>
      <c r="AN290" s="102"/>
      <c r="AR290" s="119"/>
      <c r="AS290" s="103"/>
    </row>
    <row r="291">
      <c r="A291" s="168"/>
      <c r="B291" s="100" t="str">
        <f t="array" ref="B291">IFERROR( INDEX('POR Config List'!A:A,MATCH(G291,'POR Config List'!D:D,0)),"")</f>
        <v/>
      </c>
      <c r="C291" s="101" t="str">
        <f t="array" ref="C291">IFERROR(INDEX('label approval artwork'!E:E,MATCH(G291,'label approval artwork'!F:F,0),""),"")</f>
        <v/>
      </c>
      <c r="D291" s="102" t="str">
        <f t="shared" si="3"/>
        <v/>
      </c>
      <c r="E291" s="100" t="str">
        <f t="array" ref="E291">IF(ISBLANK(G291),"",INDEX('POR Config List'!K:K,MATCH(G291,'POR Config List'!D:D,0)))</f>
        <v/>
      </c>
      <c r="F291" s="100" t="str">
        <f t="array" ref="F291">IF(ISBLANK(G291),"",INDEX('POR Config List'!J:J,MATCH(G291,'POR Config List'!D:D,0)))</f>
        <v/>
      </c>
      <c r="G291" s="119"/>
      <c r="H291" s="104" t="str">
        <f t="array" ref="H291">IF(ISBLANK(G291),"",INDEX('MP SKUs'!G:G,MATCH(G291,'MP SKUs'!A:A,0)))</f>
        <v/>
      </c>
      <c r="I291" s="105" t="str">
        <f t="array" ref="I291">IF(ISBLANK(G291),"",INDEX('POR Config List'!O:O,MATCH(G291,'POR Config List'!D:D,0)))</f>
        <v/>
      </c>
      <c r="J291" s="104" t="str">
        <f t="array" ref="J291">IF(ISBLANK(G291),"",INDEX('POR Config List'!H:H,MATCH(G291,'POR Config List'!D:D,0)))</f>
        <v/>
      </c>
      <c r="K291" s="105" t="str">
        <f t="array" ref="K291">IF(ISBLANK(G291),"",INDEX('POR Config List'!G:G,MATCH(G291,'POR Config List'!D:D,0)))</f>
        <v/>
      </c>
      <c r="L291" s="105"/>
      <c r="M291" s="105" t="str">
        <f t="array" ref="M291">IF(ISBLANK(G291),"",INDEX('label approval artwork'!Q:Q,MATCH( G291,'label approval artwork'!F:F,0)))</f>
        <v/>
      </c>
      <c r="N291" s="169" t="str">
        <f t="shared" si="5"/>
        <v/>
      </c>
      <c r="O291" s="102" t="str">
        <f t="array" ref="O291">IF(ISBLANK(G291),"",INDEX('POR Config List'!C:C,MATCH(G291,'POR Config List'!D:D,0)))</f>
        <v/>
      </c>
      <c r="P291" s="105" t="str">
        <f t="shared" si="4"/>
        <v/>
      </c>
      <c r="Q291" s="105" t="str">
        <f t="array" ref="Q291">IF(ISBLANK(G291),"",INDEX('label approval artwork'!J:J,MATCH( G291,'label approval artwork'!F:F,0)))</f>
        <v/>
      </c>
      <c r="R291" s="105" t="str">
        <f t="array" ref="R291">IFERROR( IF(P291&lt;&gt;"EMA",INDEX('label approval artwork'!H:H,MATCH(G291,'label approval artwork'!F:F,0),"")),"")</f>
        <v/>
      </c>
      <c r="S291" s="105"/>
      <c r="T291" s="105" t="str">
        <f t="array" ref="T291">IF(ISBLANK(G291),"",INDEX('POR Config List'!I:I,MATCH(G291,'POR Config List'!D:D,0)))</f>
        <v/>
      </c>
      <c r="AA291" s="100" t="str">
        <f t="array" ref="AA291">IF(ISBLANK(G291),"",INDEX('POR Config List'!E:E,MATCH(G291,'POR Config List'!D:D,0)))</f>
        <v/>
      </c>
      <c r="AC291" s="105"/>
      <c r="AD291" s="100"/>
      <c r="AE291" s="100"/>
      <c r="AF291" s="100"/>
      <c r="AG291" s="100"/>
      <c r="AM291" s="102"/>
      <c r="AN291" s="102"/>
      <c r="AR291" s="119"/>
      <c r="AS291" s="103"/>
    </row>
    <row r="292">
      <c r="A292" s="168"/>
      <c r="B292" s="100" t="str">
        <f t="array" ref="B292">IFERROR( INDEX('POR Config List'!A:A,MATCH(G292,'POR Config List'!D:D,0)),"")</f>
        <v/>
      </c>
      <c r="C292" s="101" t="str">
        <f t="array" ref="C292">IFERROR(INDEX('label approval artwork'!E:E,MATCH(G292,'label approval artwork'!F:F,0),""),"")</f>
        <v/>
      </c>
      <c r="D292" s="102" t="str">
        <f t="shared" si="3"/>
        <v/>
      </c>
      <c r="E292" s="100" t="str">
        <f t="array" ref="E292">IF(ISBLANK(G292),"",INDEX('POR Config List'!K:K,MATCH(G292,'POR Config List'!D:D,0)))</f>
        <v/>
      </c>
      <c r="F292" s="100" t="str">
        <f t="array" ref="F292">IF(ISBLANK(G292),"",INDEX('POR Config List'!J:J,MATCH(G292,'POR Config List'!D:D,0)))</f>
        <v/>
      </c>
      <c r="G292" s="119"/>
      <c r="H292" s="104" t="str">
        <f t="array" ref="H292">IF(ISBLANK(G292),"",INDEX('MP SKUs'!G:G,MATCH(G292,'MP SKUs'!A:A,0)))</f>
        <v/>
      </c>
      <c r="I292" s="105" t="str">
        <f t="array" ref="I292">IF(ISBLANK(G292),"",INDEX('POR Config List'!O:O,MATCH(G292,'POR Config List'!D:D,0)))</f>
        <v/>
      </c>
      <c r="J292" s="104" t="str">
        <f t="array" ref="J292">IF(ISBLANK(G292),"",INDEX('POR Config List'!H:H,MATCH(G292,'POR Config List'!D:D,0)))</f>
        <v/>
      </c>
      <c r="K292" s="105" t="str">
        <f t="array" ref="K292">IF(ISBLANK(G292),"",INDEX('POR Config List'!G:G,MATCH(G292,'POR Config List'!D:D,0)))</f>
        <v/>
      </c>
      <c r="L292" s="105"/>
      <c r="M292" s="105" t="str">
        <f t="array" ref="M292">IF(ISBLANK(G292),"",INDEX('label approval artwork'!Q:Q,MATCH( G292,'label approval artwork'!F:F,0)))</f>
        <v/>
      </c>
      <c r="N292" s="169" t="str">
        <f t="shared" si="5"/>
        <v/>
      </c>
      <c r="O292" s="102" t="str">
        <f t="array" ref="O292">IF(ISBLANK(G292),"",INDEX('POR Config List'!C:C,MATCH(G292,'POR Config List'!D:D,0)))</f>
        <v/>
      </c>
      <c r="P292" s="105" t="str">
        <f t="shared" si="4"/>
        <v/>
      </c>
      <c r="Q292" s="105" t="str">
        <f t="array" ref="Q292">IF(ISBLANK(G292),"",INDEX('label approval artwork'!J:J,MATCH( G292,'label approval artwork'!F:F,0)))</f>
        <v/>
      </c>
      <c r="R292" s="105" t="str">
        <f t="array" ref="R292">IFERROR( IF(P292&lt;&gt;"EMA",INDEX('label approval artwork'!H:H,MATCH(G292,'label approval artwork'!F:F,0),"")),"")</f>
        <v/>
      </c>
      <c r="S292" s="105"/>
      <c r="T292" s="105" t="str">
        <f t="array" ref="T292">IF(ISBLANK(G292),"",INDEX('POR Config List'!I:I,MATCH(G292,'POR Config List'!D:D,0)))</f>
        <v/>
      </c>
      <c r="AA292" s="100" t="str">
        <f t="array" ref="AA292">IF(ISBLANK(G292),"",INDEX('POR Config List'!E:E,MATCH(G292,'POR Config List'!D:D,0)))</f>
        <v/>
      </c>
      <c r="AC292" s="105"/>
      <c r="AD292" s="100"/>
      <c r="AE292" s="100"/>
      <c r="AF292" s="100"/>
      <c r="AG292" s="100"/>
      <c r="AM292" s="102"/>
      <c r="AN292" s="102"/>
      <c r="AR292" s="119"/>
      <c r="AS292" s="103"/>
    </row>
    <row r="293">
      <c r="A293" s="168"/>
      <c r="B293" s="100" t="str">
        <f t="array" ref="B293">IFERROR( INDEX('POR Config List'!A:A,MATCH(G293,'POR Config List'!D:D,0)),"")</f>
        <v/>
      </c>
      <c r="C293" s="101" t="str">
        <f t="array" ref="C293">IFERROR(INDEX('label approval artwork'!E:E,MATCH(G293,'label approval artwork'!F:F,0),""),"")</f>
        <v/>
      </c>
      <c r="D293" s="102" t="str">
        <f t="shared" si="3"/>
        <v/>
      </c>
      <c r="E293" s="100" t="str">
        <f t="array" ref="E293">IF(ISBLANK(G293),"",INDEX('POR Config List'!K:K,MATCH(G293,'POR Config List'!D:D,0)))</f>
        <v/>
      </c>
      <c r="F293" s="100" t="str">
        <f t="array" ref="F293">IF(ISBLANK(G293),"",INDEX('POR Config List'!J:J,MATCH(G293,'POR Config List'!D:D,0)))</f>
        <v/>
      </c>
      <c r="G293" s="119"/>
      <c r="H293" s="104" t="str">
        <f t="array" ref="H293">IF(ISBLANK(G293),"",INDEX('MP SKUs'!G:G,MATCH(G293,'MP SKUs'!A:A,0)))</f>
        <v/>
      </c>
      <c r="I293" s="105" t="str">
        <f t="array" ref="I293">IF(ISBLANK(G293),"",INDEX('POR Config List'!O:O,MATCH(G293,'POR Config List'!D:D,0)))</f>
        <v/>
      </c>
      <c r="J293" s="104" t="str">
        <f t="array" ref="J293">IF(ISBLANK(G293),"",INDEX('POR Config List'!H:H,MATCH(G293,'POR Config List'!D:D,0)))</f>
        <v/>
      </c>
      <c r="K293" s="105" t="str">
        <f t="array" ref="K293">IF(ISBLANK(G293),"",INDEX('POR Config List'!G:G,MATCH(G293,'POR Config List'!D:D,0)))</f>
        <v/>
      </c>
      <c r="L293" s="105"/>
      <c r="M293" s="105" t="str">
        <f t="array" ref="M293">IF(ISBLANK(G293),"",INDEX('label approval artwork'!Q:Q,MATCH( G293,'label approval artwork'!F:F,0)))</f>
        <v/>
      </c>
      <c r="N293" s="169" t="str">
        <f t="shared" si="5"/>
        <v/>
      </c>
      <c r="O293" s="102" t="str">
        <f t="array" ref="O293">IF(ISBLANK(G293),"",INDEX('POR Config List'!C:C,MATCH(G293,'POR Config List'!D:D,0)))</f>
        <v/>
      </c>
      <c r="P293" s="105" t="str">
        <f t="shared" si="4"/>
        <v/>
      </c>
      <c r="Q293" s="105" t="str">
        <f t="array" ref="Q293">IF(ISBLANK(G293),"",INDEX('label approval artwork'!J:J,MATCH( G293,'label approval artwork'!F:F,0)))</f>
        <v/>
      </c>
      <c r="R293" s="105" t="str">
        <f t="array" ref="R293">IFERROR( IF(P293&lt;&gt;"EMA",INDEX('label approval artwork'!H:H,MATCH(G293,'label approval artwork'!F:F,0),"")),"")</f>
        <v/>
      </c>
      <c r="S293" s="105"/>
      <c r="T293" s="105" t="str">
        <f t="array" ref="T293">IF(ISBLANK(G293),"",INDEX('POR Config List'!I:I,MATCH(G293,'POR Config List'!D:D,0)))</f>
        <v/>
      </c>
      <c r="AA293" s="100" t="str">
        <f t="array" ref="AA293">IF(ISBLANK(G293),"",INDEX('POR Config List'!E:E,MATCH(G293,'POR Config List'!D:D,0)))</f>
        <v/>
      </c>
      <c r="AC293" s="105"/>
      <c r="AD293" s="100"/>
      <c r="AE293" s="100"/>
      <c r="AF293" s="100"/>
      <c r="AG293" s="100"/>
      <c r="AM293" s="102"/>
      <c r="AN293" s="102"/>
      <c r="AR293" s="119"/>
      <c r="AS293" s="103"/>
    </row>
    <row r="294">
      <c r="A294" s="168"/>
      <c r="B294" s="100" t="str">
        <f t="array" ref="B294">IFERROR( INDEX('POR Config List'!A:A,MATCH(G294,'POR Config List'!D:D,0)),"")</f>
        <v/>
      </c>
      <c r="C294" s="101" t="str">
        <f t="array" ref="C294">IFERROR(INDEX('label approval artwork'!E:E,MATCH(G294,'label approval artwork'!F:F,0),""),"")</f>
        <v/>
      </c>
      <c r="D294" s="102" t="str">
        <f t="shared" si="3"/>
        <v/>
      </c>
      <c r="E294" s="100" t="str">
        <f t="array" ref="E294">IF(ISBLANK(G294),"",INDEX('POR Config List'!K:K,MATCH(G294,'POR Config List'!D:D,0)))</f>
        <v/>
      </c>
      <c r="F294" s="100" t="str">
        <f t="array" ref="F294">IF(ISBLANK(G294),"",INDEX('POR Config List'!J:J,MATCH(G294,'POR Config List'!D:D,0)))</f>
        <v/>
      </c>
      <c r="G294" s="119"/>
      <c r="H294" s="104" t="str">
        <f t="array" ref="H294">IF(ISBLANK(G294),"",INDEX('MP SKUs'!G:G,MATCH(G294,'MP SKUs'!A:A,0)))</f>
        <v/>
      </c>
      <c r="I294" s="105" t="str">
        <f t="array" ref="I294">IF(ISBLANK(G294),"",INDEX('POR Config List'!O:O,MATCH(G294,'POR Config List'!D:D,0)))</f>
        <v/>
      </c>
      <c r="J294" s="104" t="str">
        <f t="array" ref="J294">IF(ISBLANK(G294),"",INDEX('POR Config List'!H:H,MATCH(G294,'POR Config List'!D:D,0)))</f>
        <v/>
      </c>
      <c r="K294" s="105" t="str">
        <f t="array" ref="K294">IF(ISBLANK(G294),"",INDEX('POR Config List'!G:G,MATCH(G294,'POR Config List'!D:D,0)))</f>
        <v/>
      </c>
      <c r="L294" s="105"/>
      <c r="M294" s="105" t="str">
        <f t="array" ref="M294">IF(ISBLANK(G294),"",INDEX('label approval artwork'!Q:Q,MATCH( G294,'label approval artwork'!F:F,0)))</f>
        <v/>
      </c>
      <c r="N294" s="169" t="str">
        <f t="shared" si="5"/>
        <v/>
      </c>
      <c r="O294" s="102" t="str">
        <f t="array" ref="O294">IF(ISBLANK(G294),"",INDEX('POR Config List'!C:C,MATCH(G294,'POR Config List'!D:D,0)))</f>
        <v/>
      </c>
      <c r="P294" s="105" t="str">
        <f t="shared" si="4"/>
        <v/>
      </c>
      <c r="Q294" s="105" t="str">
        <f t="array" ref="Q294">IF(ISBLANK(G294),"",INDEX('label approval artwork'!J:J,MATCH( G294,'label approval artwork'!F:F,0)))</f>
        <v/>
      </c>
      <c r="R294" s="105" t="str">
        <f t="array" ref="R294">IFERROR( IF(P294&lt;&gt;"EMA",INDEX('label approval artwork'!H:H,MATCH(G294,'label approval artwork'!F:F,0),"")),"")</f>
        <v/>
      </c>
      <c r="S294" s="105"/>
      <c r="T294" s="105" t="str">
        <f t="array" ref="T294">IF(ISBLANK(G294),"",INDEX('POR Config List'!I:I,MATCH(G294,'POR Config List'!D:D,0)))</f>
        <v/>
      </c>
      <c r="AA294" s="100" t="str">
        <f t="array" ref="AA294">IF(ISBLANK(G294),"",INDEX('POR Config List'!E:E,MATCH(G294,'POR Config List'!D:D,0)))</f>
        <v/>
      </c>
      <c r="AC294" s="105"/>
      <c r="AD294" s="100"/>
      <c r="AE294" s="100"/>
      <c r="AF294" s="100"/>
      <c r="AG294" s="100"/>
      <c r="AM294" s="102"/>
      <c r="AN294" s="102"/>
      <c r="AR294" s="119"/>
      <c r="AS294" s="103"/>
    </row>
    <row r="295">
      <c r="A295" s="168"/>
      <c r="B295" s="100" t="str">
        <f t="array" ref="B295">IFERROR( INDEX('POR Config List'!A:A,MATCH(G295,'POR Config List'!D:D,0)),"")</f>
        <v/>
      </c>
      <c r="C295" s="101" t="str">
        <f t="array" ref="C295">IFERROR(INDEX('label approval artwork'!E:E,MATCH(G295,'label approval artwork'!F:F,0),""),"")</f>
        <v/>
      </c>
      <c r="D295" s="102" t="str">
        <f t="shared" si="3"/>
        <v/>
      </c>
      <c r="E295" s="100" t="str">
        <f t="array" ref="E295">IF(ISBLANK(G295),"",INDEX('POR Config List'!K:K,MATCH(G295,'POR Config List'!D:D,0)))</f>
        <v/>
      </c>
      <c r="F295" s="100" t="str">
        <f t="array" ref="F295">IF(ISBLANK(G295),"",INDEX('POR Config List'!J:J,MATCH(G295,'POR Config List'!D:D,0)))</f>
        <v/>
      </c>
      <c r="G295" s="119"/>
      <c r="H295" s="104" t="str">
        <f t="array" ref="H295">IF(ISBLANK(G295),"",INDEX('MP SKUs'!G:G,MATCH(G295,'MP SKUs'!A:A,0)))</f>
        <v/>
      </c>
      <c r="I295" s="105" t="str">
        <f t="array" ref="I295">IF(ISBLANK(G295),"",INDEX('POR Config List'!O:O,MATCH(G295,'POR Config List'!D:D,0)))</f>
        <v/>
      </c>
      <c r="J295" s="104" t="str">
        <f t="array" ref="J295">IF(ISBLANK(G295),"",INDEX('POR Config List'!H:H,MATCH(G295,'POR Config List'!D:D,0)))</f>
        <v/>
      </c>
      <c r="K295" s="105" t="str">
        <f t="array" ref="K295">IF(ISBLANK(G295),"",INDEX('POR Config List'!G:G,MATCH(G295,'POR Config List'!D:D,0)))</f>
        <v/>
      </c>
      <c r="L295" s="105"/>
      <c r="M295" s="105" t="str">
        <f t="array" ref="M295">IF(ISBLANK(G295),"",INDEX('label approval artwork'!Q:Q,MATCH( G295,'label approval artwork'!F:F,0)))</f>
        <v/>
      </c>
      <c r="N295" s="169" t="str">
        <f t="shared" si="5"/>
        <v/>
      </c>
      <c r="O295" s="102" t="str">
        <f t="array" ref="O295">IF(ISBLANK(G295),"",INDEX('POR Config List'!C:C,MATCH(G295,'POR Config List'!D:D,0)))</f>
        <v/>
      </c>
      <c r="P295" s="105" t="str">
        <f t="shared" si="4"/>
        <v/>
      </c>
      <c r="Q295" s="105" t="str">
        <f t="array" ref="Q295">IF(ISBLANK(G295),"",INDEX('label approval artwork'!J:J,MATCH( G295,'label approval artwork'!F:F,0)))</f>
        <v/>
      </c>
      <c r="R295" s="105" t="str">
        <f t="array" ref="R295">IFERROR( IF(P295&lt;&gt;"EMA",INDEX('label approval artwork'!H:H,MATCH(G295,'label approval artwork'!F:F,0),"")),"")</f>
        <v/>
      </c>
      <c r="S295" s="105"/>
      <c r="T295" s="105" t="str">
        <f t="array" ref="T295">IF(ISBLANK(G295),"",INDEX('POR Config List'!I:I,MATCH(G295,'POR Config List'!D:D,0)))</f>
        <v/>
      </c>
      <c r="AA295" s="100" t="str">
        <f t="array" ref="AA295">IF(ISBLANK(G295),"",INDEX('POR Config List'!E:E,MATCH(G295,'POR Config List'!D:D,0)))</f>
        <v/>
      </c>
      <c r="AC295" s="105"/>
      <c r="AD295" s="100"/>
      <c r="AE295" s="100"/>
      <c r="AF295" s="100"/>
      <c r="AG295" s="100"/>
      <c r="AM295" s="102"/>
      <c r="AN295" s="102"/>
      <c r="AR295" s="119"/>
      <c r="AS295" s="103"/>
    </row>
    <row r="296">
      <c r="A296" s="168"/>
      <c r="B296" s="100" t="str">
        <f t="array" ref="B296">IFERROR( INDEX('POR Config List'!A:A,MATCH(G296,'POR Config List'!D:D,0)),"")</f>
        <v/>
      </c>
      <c r="C296" s="101" t="str">
        <f t="array" ref="C296">IFERROR(INDEX('label approval artwork'!E:E,MATCH(G296,'label approval artwork'!F:F,0),""),"")</f>
        <v/>
      </c>
      <c r="D296" s="102" t="str">
        <f t="shared" si="3"/>
        <v/>
      </c>
      <c r="E296" s="100" t="str">
        <f t="array" ref="E296">IF(ISBLANK(G296),"",INDEX('POR Config List'!K:K,MATCH(G296,'POR Config List'!D:D,0)))</f>
        <v/>
      </c>
      <c r="F296" s="100" t="str">
        <f t="array" ref="F296">IF(ISBLANK(G296),"",INDEX('POR Config List'!J:J,MATCH(G296,'POR Config List'!D:D,0)))</f>
        <v/>
      </c>
      <c r="G296" s="119"/>
      <c r="H296" s="104" t="str">
        <f t="array" ref="H296">IF(ISBLANK(G296),"",INDEX('MP SKUs'!G:G,MATCH(G296,'MP SKUs'!A:A,0)))</f>
        <v/>
      </c>
      <c r="I296" s="105" t="str">
        <f t="array" ref="I296">IF(ISBLANK(G296),"",INDEX('POR Config List'!O:O,MATCH(G296,'POR Config List'!D:D,0)))</f>
        <v/>
      </c>
      <c r="J296" s="104" t="str">
        <f t="array" ref="J296">IF(ISBLANK(G296),"",INDEX('POR Config List'!H:H,MATCH(G296,'POR Config List'!D:D,0)))</f>
        <v/>
      </c>
      <c r="K296" s="105" t="str">
        <f t="array" ref="K296">IF(ISBLANK(G296),"",INDEX('POR Config List'!G:G,MATCH(G296,'POR Config List'!D:D,0)))</f>
        <v/>
      </c>
      <c r="L296" s="105"/>
      <c r="M296" s="105" t="str">
        <f t="array" ref="M296">IF(ISBLANK(G296),"",INDEX('label approval artwork'!Q:Q,MATCH( G296,'label approval artwork'!F:F,0)))</f>
        <v/>
      </c>
      <c r="N296" s="169" t="str">
        <f t="shared" si="5"/>
        <v/>
      </c>
      <c r="O296" s="102" t="str">
        <f t="array" ref="O296">IF(ISBLANK(G296),"",INDEX('POR Config List'!C:C,MATCH(G296,'POR Config List'!D:D,0)))</f>
        <v/>
      </c>
      <c r="P296" s="105" t="str">
        <f t="shared" si="4"/>
        <v/>
      </c>
      <c r="Q296" s="105" t="str">
        <f t="array" ref="Q296">IF(ISBLANK(G296),"",INDEX('label approval artwork'!J:J,MATCH( G296,'label approval artwork'!F:F,0)))</f>
        <v/>
      </c>
      <c r="R296" s="105" t="str">
        <f t="array" ref="R296">IFERROR( IF(P296&lt;&gt;"EMA",INDEX('label approval artwork'!H:H,MATCH(G296,'label approval artwork'!F:F,0),"")),"")</f>
        <v/>
      </c>
      <c r="S296" s="105"/>
      <c r="T296" s="105" t="str">
        <f t="array" ref="T296">IF(ISBLANK(G296),"",INDEX('POR Config List'!I:I,MATCH(G296,'POR Config List'!D:D,0)))</f>
        <v/>
      </c>
      <c r="AA296" s="100" t="str">
        <f t="array" ref="AA296">IF(ISBLANK(G296),"",INDEX('POR Config List'!E:E,MATCH(G296,'POR Config List'!D:D,0)))</f>
        <v/>
      </c>
      <c r="AC296" s="105"/>
      <c r="AD296" s="100"/>
      <c r="AE296" s="100"/>
      <c r="AF296" s="100"/>
      <c r="AG296" s="100"/>
      <c r="AM296" s="102"/>
      <c r="AN296" s="102"/>
      <c r="AR296" s="119"/>
      <c r="AS296" s="103"/>
    </row>
    <row r="297">
      <c r="A297" s="168"/>
      <c r="B297" s="100" t="str">
        <f t="array" ref="B297">IFERROR( INDEX('POR Config List'!A:A,MATCH(G297,'POR Config List'!D:D,0)),"")</f>
        <v/>
      </c>
      <c r="C297" s="101" t="str">
        <f t="array" ref="C297">IFERROR(INDEX('label approval artwork'!E:E,MATCH(G297,'label approval artwork'!F:F,0),""),"")</f>
        <v/>
      </c>
      <c r="D297" s="102" t="str">
        <f t="shared" si="3"/>
        <v/>
      </c>
      <c r="E297" s="100" t="str">
        <f t="array" ref="E297">IF(ISBLANK(G297),"",INDEX('POR Config List'!K:K,MATCH(G297,'POR Config List'!D:D,0)))</f>
        <v/>
      </c>
      <c r="F297" s="100" t="str">
        <f t="array" ref="F297">IF(ISBLANK(G297),"",INDEX('POR Config List'!J:J,MATCH(G297,'POR Config List'!D:D,0)))</f>
        <v/>
      </c>
      <c r="G297" s="119"/>
      <c r="H297" s="104" t="str">
        <f t="array" ref="H297">IF(ISBLANK(G297),"",INDEX('MP SKUs'!G:G,MATCH(G297,'MP SKUs'!A:A,0)))</f>
        <v/>
      </c>
      <c r="I297" s="105" t="str">
        <f t="array" ref="I297">IF(ISBLANK(G297),"",INDEX('POR Config List'!O:O,MATCH(G297,'POR Config List'!D:D,0)))</f>
        <v/>
      </c>
      <c r="J297" s="104" t="str">
        <f t="array" ref="J297">IF(ISBLANK(G297),"",INDEX('POR Config List'!H:H,MATCH(G297,'POR Config List'!D:D,0)))</f>
        <v/>
      </c>
      <c r="K297" s="105" t="str">
        <f t="array" ref="K297">IF(ISBLANK(G297),"",INDEX('POR Config List'!G:G,MATCH(G297,'POR Config List'!D:D,0)))</f>
        <v/>
      </c>
      <c r="L297" s="105"/>
      <c r="M297" s="105" t="str">
        <f t="array" ref="M297">IF(ISBLANK(G297),"",INDEX('label approval artwork'!Q:Q,MATCH( G297,'label approval artwork'!F:F,0)))</f>
        <v/>
      </c>
      <c r="N297" s="169" t="str">
        <f t="shared" si="5"/>
        <v/>
      </c>
      <c r="O297" s="102" t="str">
        <f t="array" ref="O297">IF(ISBLANK(G297),"",INDEX('POR Config List'!C:C,MATCH(G297,'POR Config List'!D:D,0)))</f>
        <v/>
      </c>
      <c r="P297" s="105" t="str">
        <f t="shared" si="4"/>
        <v/>
      </c>
      <c r="Q297" s="105" t="str">
        <f t="array" ref="Q297">IF(ISBLANK(G297),"",INDEX('label approval artwork'!J:J,MATCH( G297,'label approval artwork'!F:F,0)))</f>
        <v/>
      </c>
      <c r="R297" s="105" t="str">
        <f t="array" ref="R297">IFERROR( IF(P297&lt;&gt;"EMA",INDEX('label approval artwork'!H:H,MATCH(G297,'label approval artwork'!F:F,0),"")),"")</f>
        <v/>
      </c>
      <c r="S297" s="105"/>
      <c r="T297" s="105" t="str">
        <f t="array" ref="T297">IF(ISBLANK(G297),"",INDEX('POR Config List'!I:I,MATCH(G297,'POR Config List'!D:D,0)))</f>
        <v/>
      </c>
      <c r="AA297" s="100" t="str">
        <f t="array" ref="AA297">IF(ISBLANK(G297),"",INDEX('POR Config List'!E:E,MATCH(G297,'POR Config List'!D:D,0)))</f>
        <v/>
      </c>
      <c r="AC297" s="105"/>
      <c r="AD297" s="100"/>
      <c r="AE297" s="100"/>
      <c r="AF297" s="100"/>
      <c r="AG297" s="100"/>
      <c r="AM297" s="102"/>
      <c r="AN297" s="102"/>
      <c r="AR297" s="119"/>
      <c r="AS297" s="103"/>
    </row>
    <row r="298">
      <c r="A298" s="168"/>
      <c r="B298" s="100" t="str">
        <f t="array" ref="B298">IFERROR( INDEX('POR Config List'!A:A,MATCH(G298,'POR Config List'!D:D,0)),"")</f>
        <v/>
      </c>
      <c r="C298" s="101" t="str">
        <f t="array" ref="C298">IFERROR(INDEX('label approval artwork'!E:E,MATCH(G298,'label approval artwork'!F:F,0),""),"")</f>
        <v/>
      </c>
      <c r="D298" s="102" t="str">
        <f t="shared" si="3"/>
        <v/>
      </c>
      <c r="E298" s="100" t="str">
        <f t="array" ref="E298">IF(ISBLANK(G298),"",INDEX('POR Config List'!K:K,MATCH(G298,'POR Config List'!D:D,0)))</f>
        <v/>
      </c>
      <c r="F298" s="100" t="str">
        <f t="array" ref="F298">IF(ISBLANK(G298),"",INDEX('POR Config List'!J:J,MATCH(G298,'POR Config List'!D:D,0)))</f>
        <v/>
      </c>
      <c r="G298" s="119"/>
      <c r="H298" s="104" t="str">
        <f t="array" ref="H298">IF(ISBLANK(G298),"",INDEX('MP SKUs'!G:G,MATCH(G298,'MP SKUs'!A:A,0)))</f>
        <v/>
      </c>
      <c r="I298" s="105" t="str">
        <f t="array" ref="I298">IF(ISBLANK(G298),"",INDEX('POR Config List'!O:O,MATCH(G298,'POR Config List'!D:D,0)))</f>
        <v/>
      </c>
      <c r="J298" s="104" t="str">
        <f t="array" ref="J298">IF(ISBLANK(G298),"",INDEX('POR Config List'!H:H,MATCH(G298,'POR Config List'!D:D,0)))</f>
        <v/>
      </c>
      <c r="K298" s="105" t="str">
        <f t="array" ref="K298">IF(ISBLANK(G298),"",INDEX('POR Config List'!G:G,MATCH(G298,'POR Config List'!D:D,0)))</f>
        <v/>
      </c>
      <c r="L298" s="105"/>
      <c r="M298" s="105" t="str">
        <f t="array" ref="M298">IF(ISBLANK(G298),"",INDEX('label approval artwork'!Q:Q,MATCH( G298,'label approval artwork'!F:F,0)))</f>
        <v/>
      </c>
      <c r="N298" s="169" t="str">
        <f t="shared" si="5"/>
        <v/>
      </c>
      <c r="O298" s="102" t="str">
        <f t="array" ref="O298">IF(ISBLANK(G298),"",INDEX('POR Config List'!C:C,MATCH(G298,'POR Config List'!D:D,0)))</f>
        <v/>
      </c>
      <c r="P298" s="105" t="str">
        <f t="shared" si="4"/>
        <v/>
      </c>
      <c r="Q298" s="105" t="str">
        <f t="array" ref="Q298">IF(ISBLANK(G298),"",INDEX('label approval artwork'!J:J,MATCH( G298,'label approval artwork'!F:F,0)))</f>
        <v/>
      </c>
      <c r="R298" s="105" t="str">
        <f t="array" ref="R298">IFERROR( IF(P298&lt;&gt;"EMA",INDEX('label approval artwork'!H:H,MATCH(G298,'label approval artwork'!F:F,0),"")),"")</f>
        <v/>
      </c>
      <c r="S298" s="105"/>
      <c r="T298" s="105" t="str">
        <f t="array" ref="T298">IF(ISBLANK(G298),"",INDEX('POR Config List'!I:I,MATCH(G298,'POR Config List'!D:D,0)))</f>
        <v/>
      </c>
      <c r="AA298" s="100" t="str">
        <f t="array" ref="AA298">IF(ISBLANK(G298),"",INDEX('POR Config List'!E:E,MATCH(G298,'POR Config List'!D:D,0)))</f>
        <v/>
      </c>
      <c r="AC298" s="105"/>
      <c r="AD298" s="100"/>
      <c r="AE298" s="100"/>
      <c r="AF298" s="100"/>
      <c r="AG298" s="100"/>
      <c r="AM298" s="102"/>
      <c r="AN298" s="102"/>
      <c r="AR298" s="119"/>
      <c r="AS298" s="103"/>
    </row>
    <row r="299">
      <c r="A299" s="168"/>
      <c r="B299" s="100" t="str">
        <f t="array" ref="B299">IFERROR( INDEX('POR Config List'!A:A,MATCH(G299,'POR Config List'!D:D,0)),"")</f>
        <v/>
      </c>
      <c r="C299" s="101" t="str">
        <f t="array" ref="C299">IFERROR(INDEX('label approval artwork'!E:E,MATCH(G299,'label approval artwork'!F:F,0),""),"")</f>
        <v/>
      </c>
      <c r="D299" s="102" t="str">
        <f t="shared" si="3"/>
        <v/>
      </c>
      <c r="E299" s="100" t="str">
        <f t="array" ref="E299">IF(ISBLANK(G299),"",INDEX('POR Config List'!K:K,MATCH(G299,'POR Config List'!D:D,0)))</f>
        <v/>
      </c>
      <c r="F299" s="100" t="str">
        <f t="array" ref="F299">IF(ISBLANK(G299),"",INDEX('POR Config List'!J:J,MATCH(G299,'POR Config List'!D:D,0)))</f>
        <v/>
      </c>
      <c r="G299" s="119"/>
      <c r="H299" s="104" t="str">
        <f t="array" ref="H299">IF(ISBLANK(G299),"",INDEX('MP SKUs'!G:G,MATCH(G299,'MP SKUs'!A:A,0)))</f>
        <v/>
      </c>
      <c r="I299" s="105" t="str">
        <f t="array" ref="I299">IF(ISBLANK(G299),"",INDEX('POR Config List'!O:O,MATCH(G299,'POR Config List'!D:D,0)))</f>
        <v/>
      </c>
      <c r="J299" s="104" t="str">
        <f t="array" ref="J299">IF(ISBLANK(G299),"",INDEX('POR Config List'!H:H,MATCH(G299,'POR Config List'!D:D,0)))</f>
        <v/>
      </c>
      <c r="K299" s="105" t="str">
        <f t="array" ref="K299">IF(ISBLANK(G299),"",INDEX('POR Config List'!G:G,MATCH(G299,'POR Config List'!D:D,0)))</f>
        <v/>
      </c>
      <c r="L299" s="105"/>
      <c r="M299" s="105" t="str">
        <f t="array" ref="M299">IF(ISBLANK(G299),"",INDEX('label approval artwork'!Q:Q,MATCH( G299,'label approval artwork'!F:F,0)))</f>
        <v/>
      </c>
      <c r="N299" s="169" t="str">
        <f t="shared" si="5"/>
        <v/>
      </c>
      <c r="O299" s="102" t="str">
        <f t="array" ref="O299">IF(ISBLANK(G299),"",INDEX('POR Config List'!C:C,MATCH(G299,'POR Config List'!D:D,0)))</f>
        <v/>
      </c>
      <c r="P299" s="105" t="str">
        <f t="shared" si="4"/>
        <v/>
      </c>
      <c r="Q299" s="105" t="str">
        <f t="array" ref="Q299">IF(ISBLANK(G299),"",INDEX('label approval artwork'!J:J,MATCH( G299,'label approval artwork'!F:F,0)))</f>
        <v/>
      </c>
      <c r="R299" s="105" t="str">
        <f t="array" ref="R299">IFERROR( IF(P299&lt;&gt;"EMA",INDEX('label approval artwork'!H:H,MATCH(G299,'label approval artwork'!F:F,0),"")),"")</f>
        <v/>
      </c>
      <c r="S299" s="105"/>
      <c r="T299" s="105" t="str">
        <f t="array" ref="T299">IF(ISBLANK(G299),"",INDEX('POR Config List'!I:I,MATCH(G299,'POR Config List'!D:D,0)))</f>
        <v/>
      </c>
      <c r="AA299" s="100" t="str">
        <f t="array" ref="AA299">IF(ISBLANK(G299),"",INDEX('POR Config List'!E:E,MATCH(G299,'POR Config List'!D:D,0)))</f>
        <v/>
      </c>
      <c r="AC299" s="105"/>
      <c r="AD299" s="100"/>
      <c r="AE299" s="100"/>
      <c r="AF299" s="100"/>
      <c r="AG299" s="100"/>
      <c r="AM299" s="102"/>
      <c r="AN299" s="102"/>
      <c r="AR299" s="119"/>
      <c r="AS299" s="103"/>
    </row>
    <row r="300">
      <c r="A300" s="168"/>
      <c r="B300" s="100" t="str">
        <f t="array" ref="B300">IFERROR( INDEX('POR Config List'!A:A,MATCH(G300,'POR Config List'!D:D,0)),"")</f>
        <v/>
      </c>
      <c r="C300" s="101" t="str">
        <f t="array" ref="C300">IFERROR(INDEX('label approval artwork'!E:E,MATCH(G300,'label approval artwork'!F:F,0),""),"")</f>
        <v/>
      </c>
      <c r="D300" s="102" t="str">
        <f t="shared" si="3"/>
        <v/>
      </c>
      <c r="E300" s="100" t="str">
        <f t="array" ref="E300">IF(ISBLANK(G300),"",INDEX('POR Config List'!K:K,MATCH(G300,'POR Config List'!D:D,0)))</f>
        <v/>
      </c>
      <c r="F300" s="100" t="str">
        <f t="array" ref="F300">IF(ISBLANK(G300),"",INDEX('POR Config List'!J:J,MATCH(G300,'POR Config List'!D:D,0)))</f>
        <v/>
      </c>
      <c r="G300" s="119"/>
      <c r="H300" s="104" t="str">
        <f t="array" ref="H300">IF(ISBLANK(G300),"",INDEX('MP SKUs'!G:G,MATCH(G300,'MP SKUs'!A:A,0)))</f>
        <v/>
      </c>
      <c r="I300" s="105" t="str">
        <f t="array" ref="I300">IF(ISBLANK(G300),"",INDEX('POR Config List'!O:O,MATCH(G300,'POR Config List'!D:D,0)))</f>
        <v/>
      </c>
      <c r="J300" s="104" t="str">
        <f t="array" ref="J300">IF(ISBLANK(G300),"",INDEX('POR Config List'!H:H,MATCH(G300,'POR Config List'!D:D,0)))</f>
        <v/>
      </c>
      <c r="K300" s="105" t="str">
        <f t="array" ref="K300">IF(ISBLANK(G300),"",INDEX('POR Config List'!G:G,MATCH(G300,'POR Config List'!D:D,0)))</f>
        <v/>
      </c>
      <c r="L300" s="105"/>
      <c r="M300" s="105" t="str">
        <f t="array" ref="M300">IF(ISBLANK(G300),"",INDEX('label approval artwork'!Q:Q,MATCH( G300,'label approval artwork'!F:F,0)))</f>
        <v/>
      </c>
      <c r="N300" s="169" t="str">
        <f t="shared" si="5"/>
        <v/>
      </c>
      <c r="O300" s="102" t="str">
        <f t="array" ref="O300">IF(ISBLANK(G300),"",INDEX('POR Config List'!C:C,MATCH(G300,'POR Config List'!D:D,0)))</f>
        <v/>
      </c>
      <c r="P300" s="105" t="str">
        <f t="shared" si="4"/>
        <v/>
      </c>
      <c r="Q300" s="105" t="str">
        <f t="array" ref="Q300">IF(ISBLANK(G300),"",INDEX('label approval artwork'!J:J,MATCH( G300,'label approval artwork'!F:F,0)))</f>
        <v/>
      </c>
      <c r="R300" s="105" t="str">
        <f t="array" ref="R300">IFERROR( IF(P300&lt;&gt;"EMA",INDEX('label approval artwork'!H:H,MATCH(G300,'label approval artwork'!F:F,0),"")),"")</f>
        <v/>
      </c>
      <c r="S300" s="105"/>
      <c r="T300" s="105" t="str">
        <f t="array" ref="T300">IF(ISBLANK(G300),"",INDEX('POR Config List'!I:I,MATCH(G300,'POR Config List'!D:D,0)))</f>
        <v/>
      </c>
      <c r="AA300" s="100" t="str">
        <f t="array" ref="AA300">IF(ISBLANK(G300),"",INDEX('POR Config List'!E:E,MATCH(G300,'POR Config List'!D:D,0)))</f>
        <v/>
      </c>
      <c r="AC300" s="105"/>
      <c r="AD300" s="100"/>
      <c r="AE300" s="100"/>
      <c r="AF300" s="100"/>
      <c r="AG300" s="100"/>
      <c r="AM300" s="102"/>
      <c r="AN300" s="102"/>
      <c r="AR300" s="119"/>
      <c r="AS300" s="103"/>
    </row>
    <row r="301">
      <c r="A301" s="168"/>
      <c r="B301" s="100" t="str">
        <f t="array" ref="B301">IFERROR( INDEX('POR Config List'!A:A,MATCH(G301,'POR Config List'!D:D,0)),"")</f>
        <v/>
      </c>
      <c r="C301" s="101" t="str">
        <f t="array" ref="C301">IFERROR(INDEX('label approval artwork'!E:E,MATCH(G301,'label approval artwork'!F:F,0),""),"")</f>
        <v/>
      </c>
      <c r="D301" s="102" t="str">
        <f t="shared" si="3"/>
        <v/>
      </c>
      <c r="E301" s="100" t="str">
        <f t="array" ref="E301">IF(ISBLANK(G301),"",INDEX('POR Config List'!K:K,MATCH(G301,'POR Config List'!D:D,0)))</f>
        <v/>
      </c>
      <c r="F301" s="100" t="str">
        <f t="array" ref="F301">IF(ISBLANK(G301),"",INDEX('POR Config List'!J:J,MATCH(G301,'POR Config List'!D:D,0)))</f>
        <v/>
      </c>
      <c r="G301" s="168"/>
      <c r="H301" s="104" t="str">
        <f t="array" ref="H301">IF(ISBLANK(G301),"",INDEX('MP SKUs'!G:G,MATCH(G301,'MP SKUs'!A:A,0)))</f>
        <v/>
      </c>
      <c r="I301" s="105" t="str">
        <f t="array" ref="I301">IF(ISBLANK(G301),"",INDEX('POR Config List'!O:O,MATCH(G301,'POR Config List'!D:D,0)))</f>
        <v/>
      </c>
      <c r="J301" s="104" t="str">
        <f t="array" ref="J301">IF(ISBLANK(G301),"",INDEX('POR Config List'!H:H,MATCH(G301,'POR Config List'!D:D,0)))</f>
        <v/>
      </c>
      <c r="K301" s="105" t="str">
        <f t="array" ref="K301">IF(ISBLANK(G301),"",INDEX('POR Config List'!G:G,MATCH(G301,'POR Config List'!D:D,0)))</f>
        <v/>
      </c>
      <c r="L301" s="105"/>
      <c r="M301" s="105" t="str">
        <f t="array" ref="M301">IF(ISBLANK(G301),"",INDEX('label approval artwork'!Q:Q,MATCH( G301,'label approval artwork'!F:F,0)))</f>
        <v/>
      </c>
      <c r="N301" s="169" t="str">
        <f t="shared" si="5"/>
        <v/>
      </c>
      <c r="O301" s="102" t="str">
        <f t="array" ref="O301">IF(ISBLANK(G301),"",INDEX('POR Config List'!C:C,MATCH(G301,'POR Config List'!D:D,0)))</f>
        <v/>
      </c>
      <c r="P301" s="105" t="str">
        <f t="shared" si="4"/>
        <v/>
      </c>
      <c r="Q301" s="105" t="str">
        <f t="array" ref="Q301">IF(ISBLANK(G301),"",INDEX('label approval artwork'!J:J,MATCH( G301,'label approval artwork'!F:F,0)))</f>
        <v/>
      </c>
      <c r="R301" s="105" t="str">
        <f t="array" ref="R301">IFERROR( IF(P301&lt;&gt;"EMA",INDEX('label approval artwork'!H:H,MATCH(G301,'label approval artwork'!F:F,0),"")),"")</f>
        <v/>
      </c>
      <c r="S301" s="105"/>
      <c r="T301" s="105" t="str">
        <f t="array" ref="T301">IF(ISBLANK(G301),"",INDEX('POR Config List'!I:I,MATCH(G301,'POR Config List'!D:D,0)))</f>
        <v/>
      </c>
      <c r="AA301" s="100" t="str">
        <f t="array" ref="AA301">IF(ISBLANK(G301),"",INDEX('POR Config List'!E:E,MATCH(G301,'POR Config List'!D:D,0)))</f>
        <v/>
      </c>
      <c r="AC301" s="105"/>
      <c r="AD301" s="100"/>
      <c r="AE301" s="100"/>
      <c r="AF301" s="100"/>
      <c r="AG301" s="100"/>
      <c r="AM301" s="102"/>
      <c r="AN301" s="102"/>
      <c r="AR301" s="119"/>
      <c r="AS301" s="103"/>
    </row>
    <row r="302">
      <c r="A302" s="168"/>
      <c r="B302" s="100" t="str">
        <f t="array" ref="B302">IFERROR( INDEX('POR Config List'!A:A,MATCH(G302,'POR Config List'!D:D,0)),"")</f>
        <v/>
      </c>
      <c r="C302" s="101" t="str">
        <f t="array" ref="C302">IFERROR(INDEX('label approval artwork'!E:E,MATCH(G302,'label approval artwork'!F:F,0),""),"")</f>
        <v/>
      </c>
      <c r="D302" s="102" t="str">
        <f t="shared" si="3"/>
        <v/>
      </c>
      <c r="E302" s="100" t="str">
        <f t="array" ref="E302">IF(ISBLANK(G302),"",INDEX('POR Config List'!K:K,MATCH(G302,'POR Config List'!D:D,0)))</f>
        <v/>
      </c>
      <c r="F302" s="100" t="str">
        <f t="array" ref="F302">IF(ISBLANK(G302),"",INDEX('POR Config List'!J:J,MATCH(G302,'POR Config List'!D:D,0)))</f>
        <v/>
      </c>
      <c r="G302" s="168"/>
      <c r="H302" s="104" t="str">
        <f t="array" ref="H302">IF(ISBLANK(G302),"",INDEX('MP SKUs'!G:G,MATCH(G302,'MP SKUs'!A:A,0)))</f>
        <v/>
      </c>
      <c r="I302" s="105" t="str">
        <f t="array" ref="I302">IF(ISBLANK(G302),"",INDEX('POR Config List'!O:O,MATCH(G302,'POR Config List'!D:D,0)))</f>
        <v/>
      </c>
      <c r="J302" s="104" t="str">
        <f t="array" ref="J302">IF(ISBLANK(G302),"",INDEX('POR Config List'!H:H,MATCH(G302,'POR Config List'!D:D,0)))</f>
        <v/>
      </c>
      <c r="K302" s="105" t="str">
        <f t="array" ref="K302">IF(ISBLANK(G302),"",INDEX('POR Config List'!G:G,MATCH(G302,'POR Config List'!D:D,0)))</f>
        <v/>
      </c>
      <c r="L302" s="105"/>
      <c r="M302" s="105" t="str">
        <f t="array" ref="M302">IF(ISBLANK(G302),"",INDEX('label approval artwork'!Q:Q,MATCH( G302,'label approval artwork'!F:F,0)))</f>
        <v/>
      </c>
      <c r="N302" s="169" t="str">
        <f t="shared" si="5"/>
        <v/>
      </c>
      <c r="O302" s="102" t="str">
        <f t="array" ref="O302">IF(ISBLANK(G302),"",INDEX('POR Config List'!C:C,MATCH(G302,'POR Config List'!D:D,0)))</f>
        <v/>
      </c>
      <c r="P302" s="105" t="str">
        <f t="shared" si="4"/>
        <v/>
      </c>
      <c r="Q302" s="105" t="str">
        <f t="array" ref="Q302">IF(ISBLANK(G302),"",INDEX('label approval artwork'!J:J,MATCH( G302,'label approval artwork'!F:F,0)))</f>
        <v/>
      </c>
      <c r="R302" s="105" t="str">
        <f t="array" ref="R302">IFERROR( IF(P302&lt;&gt;"EMA",INDEX('label approval artwork'!H:H,MATCH(G302,'label approval artwork'!F:F,0),"")),"")</f>
        <v/>
      </c>
      <c r="S302" s="105"/>
      <c r="T302" s="105" t="str">
        <f t="array" ref="T302">IF(ISBLANK(G302),"",INDEX('POR Config List'!I:I,MATCH(G302,'POR Config List'!D:D,0)))</f>
        <v/>
      </c>
      <c r="AA302" s="100" t="str">
        <f t="array" ref="AA302">IF(ISBLANK(G302),"",INDEX('POR Config List'!E:E,MATCH(G302,'POR Config List'!D:D,0)))</f>
        <v/>
      </c>
      <c r="AC302" s="105"/>
      <c r="AD302" s="100"/>
      <c r="AE302" s="100"/>
      <c r="AF302" s="100"/>
      <c r="AG302" s="100"/>
      <c r="AM302" s="102"/>
      <c r="AN302" s="102"/>
      <c r="AR302" s="119"/>
      <c r="AS302" s="103"/>
    </row>
    <row r="303">
      <c r="A303" s="168"/>
      <c r="B303" s="100" t="str">
        <f t="array" ref="B303">IFERROR( INDEX('POR Config List'!A:A,MATCH(G303,'POR Config List'!D:D,0)),"")</f>
        <v/>
      </c>
      <c r="C303" s="101" t="str">
        <f t="array" ref="C303">IFERROR(INDEX('label approval artwork'!E:E,MATCH(G303,'label approval artwork'!F:F,0),""),"")</f>
        <v/>
      </c>
      <c r="D303" s="102" t="str">
        <f t="shared" si="3"/>
        <v/>
      </c>
      <c r="E303" s="100" t="str">
        <f t="array" ref="E303">IF(ISBLANK(G303),"",INDEX('POR Config List'!K:K,MATCH(G303,'POR Config List'!D:D,0)))</f>
        <v/>
      </c>
      <c r="F303" s="100" t="str">
        <f t="array" ref="F303">IF(ISBLANK(G303),"",INDEX('POR Config List'!J:J,MATCH(G303,'POR Config List'!D:D,0)))</f>
        <v/>
      </c>
      <c r="G303" s="168"/>
      <c r="H303" s="104" t="str">
        <f t="array" ref="H303">IF(ISBLANK(G303),"",INDEX('MP SKUs'!G:G,MATCH(G303,'MP SKUs'!A:A,0)))</f>
        <v/>
      </c>
      <c r="I303" s="105" t="str">
        <f t="array" ref="I303">IF(ISBLANK(G303),"",INDEX('POR Config List'!O:O,MATCH(G303,'POR Config List'!D:D,0)))</f>
        <v/>
      </c>
      <c r="J303" s="104" t="str">
        <f t="array" ref="J303">IF(ISBLANK(G303),"",INDEX('POR Config List'!H:H,MATCH(G303,'POR Config List'!D:D,0)))</f>
        <v/>
      </c>
      <c r="K303" s="105" t="str">
        <f t="array" ref="K303">IF(ISBLANK(G303),"",INDEX('POR Config List'!G:G,MATCH(G303,'POR Config List'!D:D,0)))</f>
        <v/>
      </c>
      <c r="L303" s="105"/>
      <c r="M303" s="105" t="str">
        <f t="array" ref="M303">IF(ISBLANK(G303),"",INDEX('label approval artwork'!Q:Q,MATCH( G303,'label approval artwork'!F:F,0)))</f>
        <v/>
      </c>
      <c r="N303" s="169" t="str">
        <f t="shared" si="5"/>
        <v/>
      </c>
      <c r="O303" s="102" t="str">
        <f t="array" ref="O303">IF(ISBLANK(G303),"",INDEX('POR Config List'!C:C,MATCH(G303,'POR Config List'!D:D,0)))</f>
        <v/>
      </c>
      <c r="P303" s="105" t="str">
        <f t="shared" si="4"/>
        <v/>
      </c>
      <c r="Q303" s="105" t="str">
        <f t="array" ref="Q303">IF(ISBLANK(G303),"",INDEX('label approval artwork'!J:J,MATCH( G303,'label approval artwork'!F:F,0)))</f>
        <v/>
      </c>
      <c r="R303" s="105" t="str">
        <f t="array" ref="R303">IFERROR( IF(P303&lt;&gt;"EMA",INDEX('label approval artwork'!H:H,MATCH(G303,'label approval artwork'!F:F,0),"")),"")</f>
        <v/>
      </c>
      <c r="S303" s="105"/>
      <c r="T303" s="105" t="str">
        <f t="array" ref="T303">IF(ISBLANK(G303),"",INDEX('POR Config List'!I:I,MATCH(G303,'POR Config List'!D:D,0)))</f>
        <v/>
      </c>
      <c r="AA303" s="100" t="str">
        <f t="array" ref="AA303">IF(ISBLANK(G303),"",INDEX('POR Config List'!E:E,MATCH(G303,'POR Config List'!D:D,0)))</f>
        <v/>
      </c>
      <c r="AC303" s="105"/>
      <c r="AD303" s="100"/>
      <c r="AE303" s="100"/>
      <c r="AF303" s="100"/>
      <c r="AG303" s="100"/>
      <c r="AM303" s="102"/>
      <c r="AN303" s="102"/>
      <c r="AR303" s="119"/>
      <c r="AS303" s="103"/>
    </row>
    <row r="304">
      <c r="A304" s="168"/>
      <c r="B304" s="100" t="str">
        <f t="array" ref="B304">IFERROR( INDEX('POR Config List'!A:A,MATCH(G304,'POR Config List'!D:D,0)),"")</f>
        <v/>
      </c>
      <c r="C304" s="101" t="str">
        <f t="array" ref="C304">IFERROR(INDEX('label approval artwork'!E:E,MATCH(G304,'label approval artwork'!F:F,0),""),"")</f>
        <v/>
      </c>
      <c r="D304" s="102" t="str">
        <f t="shared" si="3"/>
        <v/>
      </c>
      <c r="E304" s="100" t="str">
        <f t="array" ref="E304">IF(ISBLANK(G304),"",INDEX('POR Config List'!K:K,MATCH(G304,'POR Config List'!D:D,0)))</f>
        <v/>
      </c>
      <c r="F304" s="100" t="str">
        <f t="array" ref="F304">IF(ISBLANK(G304),"",INDEX('POR Config List'!J:J,MATCH(G304,'POR Config List'!D:D,0)))</f>
        <v/>
      </c>
      <c r="G304" s="168"/>
      <c r="H304" s="104" t="str">
        <f t="array" ref="H304">IF(ISBLANK(G304),"",INDEX('MP SKUs'!G:G,MATCH(G304,'MP SKUs'!A:A,0)))</f>
        <v/>
      </c>
      <c r="I304" s="105" t="str">
        <f t="array" ref="I304">IF(ISBLANK(G304),"",INDEX('POR Config List'!O:O,MATCH(G304,'POR Config List'!D:D,0)))</f>
        <v/>
      </c>
      <c r="J304" s="104" t="str">
        <f t="array" ref="J304">IF(ISBLANK(G304),"",INDEX('POR Config List'!H:H,MATCH(G304,'POR Config List'!D:D,0)))</f>
        <v/>
      </c>
      <c r="K304" s="105" t="str">
        <f t="array" ref="K304">IF(ISBLANK(G304),"",INDEX('POR Config List'!G:G,MATCH(G304,'POR Config List'!D:D,0)))</f>
        <v/>
      </c>
      <c r="L304" s="105"/>
      <c r="M304" s="105" t="str">
        <f t="array" ref="M304">IF(ISBLANK(G304),"",INDEX('label approval artwork'!Q:Q,MATCH( G304,'label approval artwork'!F:F,0)))</f>
        <v/>
      </c>
      <c r="N304" s="169" t="str">
        <f t="shared" si="5"/>
        <v/>
      </c>
      <c r="O304" s="102" t="str">
        <f t="array" ref="O304">IF(ISBLANK(G304),"",INDEX('POR Config List'!C:C,MATCH(G304,'POR Config List'!D:D,0)))</f>
        <v/>
      </c>
      <c r="P304" s="105" t="str">
        <f t="shared" si="4"/>
        <v/>
      </c>
      <c r="Q304" s="105" t="str">
        <f t="array" ref="Q304">IF(ISBLANK(G304),"",INDEX('label approval artwork'!J:J,MATCH( G304,'label approval artwork'!F:F,0)))</f>
        <v/>
      </c>
      <c r="R304" s="105" t="str">
        <f t="array" ref="R304">IFERROR( IF(P304&lt;&gt;"EMA",INDEX('label approval artwork'!H:H,MATCH(G304,'label approval artwork'!F:F,0),"")),"")</f>
        <v/>
      </c>
      <c r="S304" s="105"/>
      <c r="T304" s="105" t="str">
        <f t="array" ref="T304">IF(ISBLANK(G304),"",INDEX('POR Config List'!I:I,MATCH(G304,'POR Config List'!D:D,0)))</f>
        <v/>
      </c>
      <c r="AA304" s="100" t="str">
        <f t="array" ref="AA304">IF(ISBLANK(G304),"",INDEX('POR Config List'!E:E,MATCH(G304,'POR Config List'!D:D,0)))</f>
        <v/>
      </c>
      <c r="AC304" s="105"/>
      <c r="AD304" s="100"/>
      <c r="AE304" s="100"/>
      <c r="AF304" s="100"/>
      <c r="AG304" s="100"/>
      <c r="AM304" s="102"/>
      <c r="AN304" s="102"/>
      <c r="AR304" s="119"/>
      <c r="AS304" s="103"/>
    </row>
    <row r="305">
      <c r="A305" s="168"/>
      <c r="B305" s="100" t="str">
        <f t="array" ref="B305">IFERROR( INDEX('POR Config List'!A:A,MATCH(G305,'POR Config List'!D:D,0)),"")</f>
        <v/>
      </c>
      <c r="C305" s="101" t="str">
        <f t="array" ref="C305">IFERROR(INDEX('label approval artwork'!E:E,MATCH(G305,'label approval artwork'!F:F,0),""),"")</f>
        <v/>
      </c>
      <c r="D305" s="102" t="str">
        <f t="shared" si="3"/>
        <v/>
      </c>
      <c r="E305" s="100" t="str">
        <f t="array" ref="E305">IF(ISBLANK(G305),"",INDEX('POR Config List'!K:K,MATCH(G305,'POR Config List'!D:D,0)))</f>
        <v/>
      </c>
      <c r="F305" s="100" t="str">
        <f t="array" ref="F305">IF(ISBLANK(G305),"",INDEX('POR Config List'!J:J,MATCH(G305,'POR Config List'!D:D,0)))</f>
        <v/>
      </c>
      <c r="G305" s="168"/>
      <c r="H305" s="104" t="str">
        <f t="array" ref="H305">IF(ISBLANK(G305),"",INDEX('MP SKUs'!G:G,MATCH(G305,'MP SKUs'!A:A,0)))</f>
        <v/>
      </c>
      <c r="I305" s="105" t="str">
        <f t="array" ref="I305">IF(ISBLANK(G305),"",INDEX('POR Config List'!O:O,MATCH(G305,'POR Config List'!D:D,0)))</f>
        <v/>
      </c>
      <c r="J305" s="104" t="str">
        <f t="array" ref="J305">IF(ISBLANK(G305),"",INDEX('POR Config List'!H:H,MATCH(G305,'POR Config List'!D:D,0)))</f>
        <v/>
      </c>
      <c r="K305" s="105" t="str">
        <f t="array" ref="K305">IF(ISBLANK(G305),"",INDEX('POR Config List'!G:G,MATCH(G305,'POR Config List'!D:D,0)))</f>
        <v/>
      </c>
      <c r="L305" s="105"/>
      <c r="M305" s="105" t="str">
        <f t="array" ref="M305">IF(ISBLANK(G305),"",INDEX('label approval artwork'!Q:Q,MATCH( G305,'label approval artwork'!F:F,0)))</f>
        <v/>
      </c>
      <c r="N305" s="169" t="str">
        <f t="shared" si="5"/>
        <v/>
      </c>
      <c r="O305" s="102" t="str">
        <f t="array" ref="O305">IF(ISBLANK(G305),"",INDEX('POR Config List'!C:C,MATCH(G305,'POR Config List'!D:D,0)))</f>
        <v/>
      </c>
      <c r="P305" s="105" t="str">
        <f t="shared" si="4"/>
        <v/>
      </c>
      <c r="Q305" s="105" t="str">
        <f t="array" ref="Q305">IF(ISBLANK(G305),"",INDEX('label approval artwork'!J:J,MATCH( G305,'label approval artwork'!F:F,0)))</f>
        <v/>
      </c>
      <c r="R305" s="105" t="str">
        <f t="array" ref="R305">IFERROR( IF(P305&lt;&gt;"EMA",INDEX('label approval artwork'!H:H,MATCH(G305,'label approval artwork'!F:F,0),"")),"")</f>
        <v/>
      </c>
      <c r="S305" s="105"/>
      <c r="T305" s="105" t="str">
        <f t="array" ref="T305">IF(ISBLANK(G305),"",INDEX('POR Config List'!I:I,MATCH(G305,'POR Config List'!D:D,0)))</f>
        <v/>
      </c>
      <c r="AA305" s="100" t="str">
        <f t="array" ref="AA305">IF(ISBLANK(G305),"",INDEX('POR Config List'!E:E,MATCH(G305,'POR Config List'!D:D,0)))</f>
        <v/>
      </c>
      <c r="AC305" s="105"/>
      <c r="AD305" s="100"/>
      <c r="AE305" s="100"/>
      <c r="AF305" s="100"/>
      <c r="AG305" s="100"/>
      <c r="AM305" s="102"/>
      <c r="AN305" s="102"/>
      <c r="AR305" s="119"/>
      <c r="AS305" s="103"/>
    </row>
    <row r="306">
      <c r="A306" s="168"/>
      <c r="B306" s="100" t="str">
        <f t="array" ref="B306">IFERROR( INDEX('POR Config List'!A:A,MATCH(G306,'POR Config List'!D:D,0)),"")</f>
        <v/>
      </c>
      <c r="C306" s="101" t="str">
        <f t="array" ref="C306">IFERROR(INDEX('label approval artwork'!E:E,MATCH(G306,'label approval artwork'!F:F,0),""),"")</f>
        <v/>
      </c>
      <c r="D306" s="102" t="str">
        <f t="shared" si="3"/>
        <v/>
      </c>
      <c r="E306" s="100" t="str">
        <f t="array" ref="E306">IF(ISBLANK(G306),"",INDEX('POR Config List'!K:K,MATCH(G306,'POR Config List'!D:D,0)))</f>
        <v/>
      </c>
      <c r="F306" s="100" t="str">
        <f t="array" ref="F306">IF(ISBLANK(G306),"",INDEX('POR Config List'!J:J,MATCH(G306,'POR Config List'!D:D,0)))</f>
        <v/>
      </c>
      <c r="G306" s="168"/>
      <c r="H306" s="104" t="str">
        <f t="array" ref="H306">IF(ISBLANK(G306),"",INDEX('MP SKUs'!G:G,MATCH(G306,'MP SKUs'!A:A,0)))</f>
        <v/>
      </c>
      <c r="I306" s="105" t="str">
        <f t="array" ref="I306">IF(ISBLANK(G306),"",INDEX('POR Config List'!O:O,MATCH(G306,'POR Config List'!D:D,0)))</f>
        <v/>
      </c>
      <c r="J306" s="104" t="str">
        <f t="array" ref="J306">IF(ISBLANK(G306),"",INDEX('POR Config List'!H:H,MATCH(G306,'POR Config List'!D:D,0)))</f>
        <v/>
      </c>
      <c r="K306" s="105" t="str">
        <f t="array" ref="K306">IF(ISBLANK(G306),"",INDEX('POR Config List'!G:G,MATCH(G306,'POR Config List'!D:D,0)))</f>
        <v/>
      </c>
      <c r="L306" s="105"/>
      <c r="M306" s="105" t="str">
        <f t="array" ref="M306">IF(ISBLANK(G306),"",INDEX('label approval artwork'!Q:Q,MATCH( G306,'label approval artwork'!F:F,0)))</f>
        <v/>
      </c>
      <c r="N306" s="169" t="str">
        <f t="shared" si="5"/>
        <v/>
      </c>
      <c r="O306" s="102" t="str">
        <f t="array" ref="O306">IF(ISBLANK(G306),"",INDEX('POR Config List'!C:C,MATCH(G306,'POR Config List'!D:D,0)))</f>
        <v/>
      </c>
      <c r="P306" s="105" t="str">
        <f t="shared" si="4"/>
        <v/>
      </c>
      <c r="Q306" s="105" t="str">
        <f t="array" ref="Q306">IF(ISBLANK(G306),"",INDEX('label approval artwork'!J:J,MATCH( G306,'label approval artwork'!F:F,0)))</f>
        <v/>
      </c>
      <c r="R306" s="105" t="str">
        <f t="array" ref="R306">IFERROR( IF(P306&lt;&gt;"EMA",INDEX('label approval artwork'!H:H,MATCH(G306,'label approval artwork'!F:F,0),"")),"")</f>
        <v/>
      </c>
      <c r="S306" s="105"/>
      <c r="T306" s="105" t="str">
        <f t="array" ref="T306">IF(ISBLANK(G306),"",INDEX('POR Config List'!I:I,MATCH(G306,'POR Config List'!D:D,0)))</f>
        <v/>
      </c>
      <c r="AA306" s="100" t="str">
        <f t="array" ref="AA306">IF(ISBLANK(G306),"",INDEX('POR Config List'!E:E,MATCH(G306,'POR Config List'!D:D,0)))</f>
        <v/>
      </c>
      <c r="AC306" s="105"/>
      <c r="AD306" s="100"/>
      <c r="AE306" s="100"/>
      <c r="AF306" s="100"/>
      <c r="AG306" s="100"/>
      <c r="AM306" s="102"/>
      <c r="AN306" s="102"/>
      <c r="AR306" s="119"/>
      <c r="AS306" s="103"/>
    </row>
    <row r="307">
      <c r="A307" s="168"/>
      <c r="B307" s="100" t="str">
        <f t="array" ref="B307">IFERROR( INDEX('POR Config List'!A:A,MATCH(G307,'POR Config List'!D:D,0)),"")</f>
        <v/>
      </c>
      <c r="C307" s="101" t="str">
        <f t="array" ref="C307">IFERROR(INDEX('label approval artwork'!E:E,MATCH(G307,'label approval artwork'!F:F,0),""),"")</f>
        <v/>
      </c>
      <c r="D307" s="102" t="str">
        <f t="shared" si="3"/>
        <v/>
      </c>
      <c r="E307" s="100" t="str">
        <f t="array" ref="E307">IF(ISBLANK(G307),"",INDEX('POR Config List'!K:K,MATCH(G307,'POR Config List'!D:D,0)))</f>
        <v/>
      </c>
      <c r="F307" s="100" t="str">
        <f t="array" ref="F307">IF(ISBLANK(G307),"",INDEX('POR Config List'!J:J,MATCH(G307,'POR Config List'!D:D,0)))</f>
        <v/>
      </c>
      <c r="G307" s="168"/>
      <c r="H307" s="104" t="str">
        <f t="array" ref="H307">IF(ISBLANK(G307),"",INDEX('MP SKUs'!G:G,MATCH(G307,'MP SKUs'!A:A,0)))</f>
        <v/>
      </c>
      <c r="I307" s="105" t="str">
        <f t="array" ref="I307">IF(ISBLANK(G307),"",INDEX('POR Config List'!O:O,MATCH(G307,'POR Config List'!D:D,0)))</f>
        <v/>
      </c>
      <c r="J307" s="104" t="str">
        <f t="array" ref="J307">IF(ISBLANK(G307),"",INDEX('POR Config List'!H:H,MATCH(G307,'POR Config List'!D:D,0)))</f>
        <v/>
      </c>
      <c r="K307" s="105" t="str">
        <f t="array" ref="K307">IF(ISBLANK(G307),"",INDEX('POR Config List'!G:G,MATCH(G307,'POR Config List'!D:D,0)))</f>
        <v/>
      </c>
      <c r="L307" s="105"/>
      <c r="M307" s="105" t="str">
        <f t="array" ref="M307">IF(ISBLANK(G307),"",INDEX('label approval artwork'!Q:Q,MATCH( G307,'label approval artwork'!F:F,0)))</f>
        <v/>
      </c>
      <c r="N307" s="169" t="str">
        <f t="shared" si="5"/>
        <v/>
      </c>
      <c r="O307" s="102" t="str">
        <f t="array" ref="O307">IF(ISBLANK(G307),"",INDEX('POR Config List'!C:C,MATCH(G307,'POR Config List'!D:D,0)))</f>
        <v/>
      </c>
      <c r="P307" s="105" t="str">
        <f t="shared" si="4"/>
        <v/>
      </c>
      <c r="Q307" s="105" t="str">
        <f t="array" ref="Q307">IF(ISBLANK(G307),"",INDEX('label approval artwork'!J:J,MATCH( G307,'label approval artwork'!F:F,0)))</f>
        <v/>
      </c>
      <c r="R307" s="105" t="str">
        <f t="array" ref="R307">IFERROR( IF(P307&lt;&gt;"EMA",INDEX('label approval artwork'!H:H,MATCH(G307,'label approval artwork'!F:F,0),"")),"")</f>
        <v/>
      </c>
      <c r="S307" s="105"/>
      <c r="T307" s="105" t="str">
        <f t="array" ref="T307">IF(ISBLANK(G307),"",INDEX('POR Config List'!I:I,MATCH(G307,'POR Config List'!D:D,0)))</f>
        <v/>
      </c>
      <c r="AA307" s="100" t="str">
        <f t="array" ref="AA307">IF(ISBLANK(G307),"",INDEX('POR Config List'!E:E,MATCH(G307,'POR Config List'!D:D,0)))</f>
        <v/>
      </c>
      <c r="AC307" s="105"/>
      <c r="AD307" s="100"/>
      <c r="AE307" s="100"/>
      <c r="AF307" s="100"/>
      <c r="AG307" s="100"/>
      <c r="AM307" s="102"/>
      <c r="AN307" s="102"/>
      <c r="AR307" s="119"/>
      <c r="AS307" s="103"/>
    </row>
    <row r="308">
      <c r="A308" s="168"/>
      <c r="B308" s="100" t="str">
        <f t="array" ref="B308">IFERROR( INDEX('POR Config List'!A:A,MATCH(G308,'POR Config List'!D:D,0)),"")</f>
        <v/>
      </c>
      <c r="C308" s="101" t="str">
        <f t="array" ref="C308">IFERROR(INDEX('label approval artwork'!E:E,MATCH(G308,'label approval artwork'!F:F,0),""),"")</f>
        <v/>
      </c>
      <c r="D308" s="102" t="str">
        <f t="shared" si="3"/>
        <v/>
      </c>
      <c r="E308" s="100" t="str">
        <f t="array" ref="E308">IF(ISBLANK(G308),"",INDEX('POR Config List'!K:K,MATCH(G308,'POR Config List'!D:D,0)))</f>
        <v/>
      </c>
      <c r="F308" s="100" t="str">
        <f t="array" ref="F308">IF(ISBLANK(G308),"",INDEX('POR Config List'!J:J,MATCH(G308,'POR Config List'!D:D,0)))</f>
        <v/>
      </c>
      <c r="G308" s="168"/>
      <c r="H308" s="104" t="str">
        <f t="array" ref="H308">IF(ISBLANK(G308),"",INDEX('MP SKUs'!G:G,MATCH(G308,'MP SKUs'!A:A,0)))</f>
        <v/>
      </c>
      <c r="I308" s="105" t="str">
        <f t="array" ref="I308">IF(ISBLANK(G308),"",INDEX('POR Config List'!O:O,MATCH(G308,'POR Config List'!D:D,0)))</f>
        <v/>
      </c>
      <c r="J308" s="104" t="str">
        <f t="array" ref="J308">IF(ISBLANK(G308),"",INDEX('POR Config List'!H:H,MATCH(G308,'POR Config List'!D:D,0)))</f>
        <v/>
      </c>
      <c r="K308" s="105" t="str">
        <f t="array" ref="K308">IF(ISBLANK(G308),"",INDEX('POR Config List'!G:G,MATCH(G308,'POR Config List'!D:D,0)))</f>
        <v/>
      </c>
      <c r="L308" s="105"/>
      <c r="M308" s="105" t="str">
        <f t="array" ref="M308">IF(ISBLANK(G308),"",INDEX('label approval artwork'!Q:Q,MATCH( G308,'label approval artwork'!F:F,0)))</f>
        <v/>
      </c>
      <c r="N308" s="169" t="str">
        <f t="shared" si="5"/>
        <v/>
      </c>
      <c r="O308" s="102" t="str">
        <f t="array" ref="O308">IF(ISBLANK(G308),"",INDEX('POR Config List'!C:C,MATCH(G308,'POR Config List'!D:D,0)))</f>
        <v/>
      </c>
      <c r="P308" s="105" t="str">
        <f t="shared" si="4"/>
        <v/>
      </c>
      <c r="Q308" s="105" t="str">
        <f t="array" ref="Q308">IF(ISBLANK(G308),"",INDEX('label approval artwork'!J:J,MATCH( G308,'label approval artwork'!F:F,0)))</f>
        <v/>
      </c>
      <c r="R308" s="105" t="str">
        <f t="array" ref="R308">IFERROR( IF(P308&lt;&gt;"EMA",INDEX('label approval artwork'!H:H,MATCH(G308,'label approval artwork'!F:F,0),"")),"")</f>
        <v/>
      </c>
      <c r="S308" s="105"/>
      <c r="T308" s="105" t="str">
        <f t="array" ref="T308">IF(ISBLANK(G308),"",INDEX('POR Config List'!I:I,MATCH(G308,'POR Config List'!D:D,0)))</f>
        <v/>
      </c>
      <c r="AA308" s="100" t="str">
        <f t="array" ref="AA308">IF(ISBLANK(G308),"",INDEX('POR Config List'!E:E,MATCH(G308,'POR Config List'!D:D,0)))</f>
        <v/>
      </c>
      <c r="AC308" s="105"/>
      <c r="AD308" s="100"/>
      <c r="AE308" s="100"/>
      <c r="AF308" s="100"/>
      <c r="AG308" s="100"/>
      <c r="AM308" s="102"/>
      <c r="AN308" s="102"/>
      <c r="AR308" s="119"/>
      <c r="AS308" s="103"/>
    </row>
    <row r="309">
      <c r="A309" s="168"/>
      <c r="B309" s="100" t="str">
        <f t="array" ref="B309">IFERROR( INDEX('POR Config List'!A:A,MATCH(G309,'POR Config List'!D:D,0)),"")</f>
        <v/>
      </c>
      <c r="C309" s="101" t="str">
        <f t="array" ref="C309">IFERROR(INDEX('label approval artwork'!E:E,MATCH(G309,'label approval artwork'!F:F,0),""),"")</f>
        <v/>
      </c>
      <c r="D309" s="102" t="str">
        <f t="shared" si="3"/>
        <v/>
      </c>
      <c r="E309" s="100" t="str">
        <f t="array" ref="E309">IF(ISBLANK(G309),"",INDEX('POR Config List'!K:K,MATCH(G309,'POR Config List'!D:D,0)))</f>
        <v/>
      </c>
      <c r="F309" s="100" t="str">
        <f t="array" ref="F309">IF(ISBLANK(G309),"",INDEX('POR Config List'!J:J,MATCH(G309,'POR Config List'!D:D,0)))</f>
        <v/>
      </c>
      <c r="G309" s="168"/>
      <c r="H309" s="104" t="str">
        <f t="array" ref="H309">IF(ISBLANK(G309),"",INDEX('MP SKUs'!G:G,MATCH(G309,'MP SKUs'!A:A,0)))</f>
        <v/>
      </c>
      <c r="I309" s="105" t="str">
        <f t="array" ref="I309">IF(ISBLANK(G309),"",INDEX('POR Config List'!O:O,MATCH(G309,'POR Config List'!D:D,0)))</f>
        <v/>
      </c>
      <c r="J309" s="104" t="str">
        <f t="array" ref="J309">IF(ISBLANK(G309),"",INDEX('POR Config List'!H:H,MATCH(G309,'POR Config List'!D:D,0)))</f>
        <v/>
      </c>
      <c r="K309" s="105" t="str">
        <f t="array" ref="K309">IF(ISBLANK(G309),"",INDEX('POR Config List'!G:G,MATCH(G309,'POR Config List'!D:D,0)))</f>
        <v/>
      </c>
      <c r="L309" s="105"/>
      <c r="M309" s="105" t="str">
        <f t="array" ref="M309">IF(ISBLANK(G309),"",INDEX('label approval artwork'!Q:Q,MATCH( G309,'label approval artwork'!F:F,0)))</f>
        <v/>
      </c>
      <c r="N309" s="169" t="str">
        <f t="shared" si="5"/>
        <v/>
      </c>
      <c r="O309" s="102" t="str">
        <f t="array" ref="O309">IF(ISBLANK(G309),"",INDEX('POR Config List'!C:C,MATCH(G309,'POR Config List'!D:D,0)))</f>
        <v/>
      </c>
      <c r="P309" s="105" t="str">
        <f t="shared" si="4"/>
        <v/>
      </c>
      <c r="Q309" s="105" t="str">
        <f t="array" ref="Q309">IF(ISBLANK(G309),"",INDEX('label approval artwork'!J:J,MATCH( G309,'label approval artwork'!F:F,0)))</f>
        <v/>
      </c>
      <c r="R309" s="105" t="str">
        <f t="array" ref="R309">IFERROR( IF(P309&lt;&gt;"EMA",INDEX('label approval artwork'!H:H,MATCH(G309,'label approval artwork'!F:F,0),"")),"")</f>
        <v/>
      </c>
      <c r="S309" s="105"/>
      <c r="T309" s="105" t="str">
        <f t="array" ref="T309">IF(ISBLANK(G309),"",INDEX('POR Config List'!I:I,MATCH(G309,'POR Config List'!D:D,0)))</f>
        <v/>
      </c>
      <c r="AA309" s="100" t="str">
        <f t="array" ref="AA309">IF(ISBLANK(G309),"",INDEX('POR Config List'!E:E,MATCH(G309,'POR Config List'!D:D,0)))</f>
        <v/>
      </c>
      <c r="AC309" s="105"/>
      <c r="AD309" s="100"/>
      <c r="AE309" s="100"/>
      <c r="AF309" s="100"/>
      <c r="AG309" s="100"/>
      <c r="AM309" s="102"/>
      <c r="AN309" s="102"/>
      <c r="AR309" s="119"/>
      <c r="AS309" s="103"/>
    </row>
    <row r="310">
      <c r="A310" s="168"/>
      <c r="B310" s="100" t="str">
        <f t="array" ref="B310">IFERROR( INDEX('POR Config List'!A:A,MATCH(G310,'POR Config List'!D:D,0)),"")</f>
        <v/>
      </c>
      <c r="C310" s="101" t="str">
        <f t="array" ref="C310">IFERROR(INDEX('label approval artwork'!E:E,MATCH(G310,'label approval artwork'!F:F,0),""),"")</f>
        <v/>
      </c>
      <c r="D310" s="102" t="str">
        <f t="shared" si="3"/>
        <v/>
      </c>
      <c r="E310" s="100" t="str">
        <f t="array" ref="E310">IF(ISBLANK(G310),"",INDEX('POR Config List'!K:K,MATCH(G310,'POR Config List'!D:D,0)))</f>
        <v/>
      </c>
      <c r="F310" s="100" t="str">
        <f t="array" ref="F310">IF(ISBLANK(G310),"",INDEX('POR Config List'!J:J,MATCH(G310,'POR Config List'!D:D,0)))</f>
        <v/>
      </c>
      <c r="G310" s="168"/>
      <c r="H310" s="104" t="str">
        <f t="array" ref="H310">IF(ISBLANK(G310),"",INDEX('MP SKUs'!G:G,MATCH(G310,'MP SKUs'!A:A,0)))</f>
        <v/>
      </c>
      <c r="I310" s="105" t="str">
        <f t="array" ref="I310">IF(ISBLANK(G310),"",INDEX('POR Config List'!O:O,MATCH(G310,'POR Config List'!D:D,0)))</f>
        <v/>
      </c>
      <c r="J310" s="104" t="str">
        <f t="array" ref="J310">IF(ISBLANK(G310),"",INDEX('POR Config List'!H:H,MATCH(G310,'POR Config List'!D:D,0)))</f>
        <v/>
      </c>
      <c r="K310" s="105" t="str">
        <f t="array" ref="K310">IF(ISBLANK(G310),"",INDEX('POR Config List'!G:G,MATCH(G310,'POR Config List'!D:D,0)))</f>
        <v/>
      </c>
      <c r="L310" s="105"/>
      <c r="M310" s="105" t="str">
        <f t="array" ref="M310">IF(ISBLANK(G310),"",INDEX('label approval artwork'!Q:Q,MATCH( G310,'label approval artwork'!F:F,0)))</f>
        <v/>
      </c>
      <c r="N310" s="169" t="str">
        <f t="shared" si="5"/>
        <v/>
      </c>
      <c r="O310" s="102" t="str">
        <f t="array" ref="O310">IF(ISBLANK(G310),"",INDEX('POR Config List'!C:C,MATCH(G310,'POR Config List'!D:D,0)))</f>
        <v/>
      </c>
      <c r="P310" s="105" t="str">
        <f t="shared" si="4"/>
        <v/>
      </c>
      <c r="Q310" s="105" t="str">
        <f t="array" ref="Q310">IF(ISBLANK(G310),"",INDEX('label approval artwork'!J:J,MATCH( G310,'label approval artwork'!F:F,0)))</f>
        <v/>
      </c>
      <c r="R310" s="105" t="str">
        <f t="array" ref="R310">IFERROR( IF(P310&lt;&gt;"EMA",INDEX('label approval artwork'!H:H,MATCH(G310,'label approval artwork'!F:F,0),"")),"")</f>
        <v/>
      </c>
      <c r="S310" s="105"/>
      <c r="T310" s="105" t="str">
        <f t="array" ref="T310">IF(ISBLANK(G310),"",INDEX('POR Config List'!I:I,MATCH(G310,'POR Config List'!D:D,0)))</f>
        <v/>
      </c>
      <c r="AA310" s="100" t="str">
        <f t="array" ref="AA310">IF(ISBLANK(G310),"",INDEX('POR Config List'!E:E,MATCH(G310,'POR Config List'!D:D,0)))</f>
        <v/>
      </c>
      <c r="AC310" s="105"/>
      <c r="AD310" s="100"/>
      <c r="AE310" s="100"/>
      <c r="AF310" s="100"/>
      <c r="AG310" s="100"/>
      <c r="AM310" s="102"/>
      <c r="AN310" s="102"/>
      <c r="AR310" s="119"/>
      <c r="AS310" s="103"/>
    </row>
    <row r="311">
      <c r="A311" s="168"/>
      <c r="B311" s="100" t="str">
        <f t="array" ref="B311">IFERROR( INDEX('POR Config List'!A:A,MATCH(G311,'POR Config List'!D:D,0)),"")</f>
        <v/>
      </c>
      <c r="C311" s="101" t="str">
        <f t="array" ref="C311">IFERROR(INDEX('label approval artwork'!E:E,MATCH(G311,'label approval artwork'!F:F,0),""),"")</f>
        <v/>
      </c>
      <c r="D311" s="102" t="str">
        <f t="shared" si="3"/>
        <v/>
      </c>
      <c r="E311" s="100" t="str">
        <f t="array" ref="E311">IF(ISBLANK(G311),"",INDEX('POR Config List'!K:K,MATCH(G311,'POR Config List'!D:D,0)))</f>
        <v/>
      </c>
      <c r="F311" s="100" t="str">
        <f t="array" ref="F311">IF(ISBLANK(G311),"",INDEX('POR Config List'!J:J,MATCH(G311,'POR Config List'!D:D,0)))</f>
        <v/>
      </c>
      <c r="G311" s="168"/>
      <c r="H311" s="104" t="str">
        <f t="array" ref="H311">IF(ISBLANK(G311),"",INDEX('MP SKUs'!G:G,MATCH(G311,'MP SKUs'!A:A,0)))</f>
        <v/>
      </c>
      <c r="I311" s="105" t="str">
        <f t="array" ref="I311">IF(ISBLANK(G311),"",INDEX('POR Config List'!O:O,MATCH(G311,'POR Config List'!D:D,0)))</f>
        <v/>
      </c>
      <c r="J311" s="104" t="str">
        <f t="array" ref="J311">IF(ISBLANK(G311),"",INDEX('POR Config List'!H:H,MATCH(G311,'POR Config List'!D:D,0)))</f>
        <v/>
      </c>
      <c r="K311" s="105" t="str">
        <f t="array" ref="K311">IF(ISBLANK(G311),"",INDEX('POR Config List'!G:G,MATCH(G311,'POR Config List'!D:D,0)))</f>
        <v/>
      </c>
      <c r="L311" s="105"/>
      <c r="M311" s="105" t="str">
        <f t="array" ref="M311">IF(ISBLANK(G311),"",INDEX('label approval artwork'!Q:Q,MATCH( G311,'label approval artwork'!F:F,0)))</f>
        <v/>
      </c>
      <c r="N311" s="169" t="str">
        <f t="shared" si="5"/>
        <v/>
      </c>
      <c r="O311" s="102" t="str">
        <f t="array" ref="O311">IF(ISBLANK(G311),"",INDEX('POR Config List'!C:C,MATCH(G311,'POR Config List'!D:D,0)))</f>
        <v/>
      </c>
      <c r="P311" s="105" t="str">
        <f t="shared" si="4"/>
        <v/>
      </c>
      <c r="Q311" s="105" t="str">
        <f t="array" ref="Q311">IF(ISBLANK(G311),"",INDEX('label approval artwork'!J:J,MATCH( G311,'label approval artwork'!F:F,0)))</f>
        <v/>
      </c>
      <c r="R311" s="105" t="str">
        <f t="array" ref="R311">IFERROR( IF(P311&lt;&gt;"EMA",INDEX('label approval artwork'!H:H,MATCH(G311,'label approval artwork'!F:F,0),"")),"")</f>
        <v/>
      </c>
      <c r="S311" s="105"/>
      <c r="T311" s="105" t="str">
        <f t="array" ref="T311">IF(ISBLANK(G311),"",INDEX('POR Config List'!I:I,MATCH(G311,'POR Config List'!D:D,0)))</f>
        <v/>
      </c>
      <c r="AA311" s="100" t="str">
        <f t="array" ref="AA311">IF(ISBLANK(G311),"",INDEX('POR Config List'!E:E,MATCH(G311,'POR Config List'!D:D,0)))</f>
        <v/>
      </c>
      <c r="AC311" s="105"/>
      <c r="AD311" s="100"/>
      <c r="AE311" s="100"/>
      <c r="AF311" s="100"/>
      <c r="AG311" s="100"/>
      <c r="AM311" s="102"/>
      <c r="AN311" s="102"/>
      <c r="AR311" s="119"/>
      <c r="AS311" s="103"/>
    </row>
    <row r="312">
      <c r="A312" s="168"/>
      <c r="B312" s="100" t="str">
        <f t="array" ref="B312">IFERROR( INDEX('POR Config List'!A:A,MATCH(G312,'POR Config List'!D:D,0)),"")</f>
        <v/>
      </c>
      <c r="C312" s="101" t="str">
        <f t="array" ref="C312">IFERROR(INDEX('label approval artwork'!E:E,MATCH(G312,'label approval artwork'!F:F,0),""),"")</f>
        <v/>
      </c>
      <c r="D312" s="102" t="str">
        <f t="shared" si="3"/>
        <v/>
      </c>
      <c r="E312" s="100" t="str">
        <f t="array" ref="E312">IF(ISBLANK(G312),"",INDEX('POR Config List'!K:K,MATCH(G312,'POR Config List'!D:D,0)))</f>
        <v/>
      </c>
      <c r="F312" s="100" t="str">
        <f t="array" ref="F312">IF(ISBLANK(G312),"",INDEX('POR Config List'!J:J,MATCH(G312,'POR Config List'!D:D,0)))</f>
        <v/>
      </c>
      <c r="G312" s="168"/>
      <c r="H312" s="104" t="str">
        <f t="array" ref="H312">IF(ISBLANK(G312),"",INDEX('MP SKUs'!G:G,MATCH(G312,'MP SKUs'!A:A,0)))</f>
        <v/>
      </c>
      <c r="I312" s="105" t="str">
        <f t="array" ref="I312">IF(ISBLANK(G312),"",INDEX('POR Config List'!O:O,MATCH(G312,'POR Config List'!D:D,0)))</f>
        <v/>
      </c>
      <c r="J312" s="104" t="str">
        <f t="array" ref="J312">IF(ISBLANK(G312),"",INDEX('POR Config List'!H:H,MATCH(G312,'POR Config List'!D:D,0)))</f>
        <v/>
      </c>
      <c r="K312" s="105" t="str">
        <f t="array" ref="K312">IF(ISBLANK(G312),"",INDEX('POR Config List'!G:G,MATCH(G312,'POR Config List'!D:D,0)))</f>
        <v/>
      </c>
      <c r="L312" s="105"/>
      <c r="M312" s="105" t="str">
        <f t="array" ref="M312">IF(ISBLANK(G312),"",INDEX('label approval artwork'!Q:Q,MATCH( G312,'label approval artwork'!F:F,0)))</f>
        <v/>
      </c>
      <c r="N312" s="169" t="str">
        <f t="shared" si="5"/>
        <v/>
      </c>
      <c r="O312" s="102" t="str">
        <f t="array" ref="O312">IF(ISBLANK(G312),"",INDEX('POR Config List'!C:C,MATCH(G312,'POR Config List'!D:D,0)))</f>
        <v/>
      </c>
      <c r="P312" s="105" t="str">
        <f t="shared" si="4"/>
        <v/>
      </c>
      <c r="Q312" s="105" t="str">
        <f t="array" ref="Q312">IF(ISBLANK(G312),"",INDEX('label approval artwork'!J:J,MATCH( G312,'label approval artwork'!F:F,0)))</f>
        <v/>
      </c>
      <c r="R312" s="105" t="str">
        <f t="array" ref="R312">IFERROR( IF(P312&lt;&gt;"EMA",INDEX('label approval artwork'!H:H,MATCH(G312,'label approval artwork'!F:F,0),"")),"")</f>
        <v/>
      </c>
      <c r="S312" s="105"/>
      <c r="T312" s="105" t="str">
        <f t="array" ref="T312">IF(ISBLANK(G312),"",INDEX('POR Config List'!I:I,MATCH(G312,'POR Config List'!D:D,0)))</f>
        <v/>
      </c>
      <c r="AA312" s="100" t="str">
        <f t="array" ref="AA312">IF(ISBLANK(G312),"",INDEX('POR Config List'!E:E,MATCH(G312,'POR Config List'!D:D,0)))</f>
        <v/>
      </c>
      <c r="AC312" s="105"/>
      <c r="AD312" s="100"/>
      <c r="AE312" s="100"/>
      <c r="AF312" s="100"/>
      <c r="AG312" s="100"/>
      <c r="AM312" s="102"/>
      <c r="AN312" s="102"/>
      <c r="AR312" s="119"/>
      <c r="AS312" s="103"/>
    </row>
    <row r="313">
      <c r="A313" s="168"/>
      <c r="B313" s="100" t="str">
        <f t="array" ref="B313">IFERROR( INDEX('POR Config List'!A:A,MATCH(G313,'POR Config List'!D:D,0)),"")</f>
        <v/>
      </c>
      <c r="C313" s="101" t="str">
        <f t="array" ref="C313">IFERROR(INDEX('label approval artwork'!E:E,MATCH(G313,'label approval artwork'!F:F,0),""),"")</f>
        <v/>
      </c>
      <c r="D313" s="102" t="str">
        <f t="shared" si="3"/>
        <v/>
      </c>
      <c r="E313" s="100" t="str">
        <f t="array" ref="E313">IF(ISBLANK(G313),"",INDEX('POR Config List'!K:K,MATCH(G313,'POR Config List'!D:D,0)))</f>
        <v/>
      </c>
      <c r="F313" s="100" t="str">
        <f t="array" ref="F313">IF(ISBLANK(G313),"",INDEX('POR Config List'!J:J,MATCH(G313,'POR Config List'!D:D,0)))</f>
        <v/>
      </c>
      <c r="G313" s="168"/>
      <c r="H313" s="104" t="str">
        <f t="array" ref="H313">IF(ISBLANK(G313),"",INDEX('MP SKUs'!G:G,MATCH(G313,'MP SKUs'!A:A,0)))</f>
        <v/>
      </c>
      <c r="I313" s="105" t="str">
        <f t="array" ref="I313">IF(ISBLANK(G313),"",INDEX('POR Config List'!O:O,MATCH(G313,'POR Config List'!D:D,0)))</f>
        <v/>
      </c>
      <c r="J313" s="104" t="str">
        <f t="array" ref="J313">IF(ISBLANK(G313),"",INDEX('POR Config List'!H:H,MATCH(G313,'POR Config List'!D:D,0)))</f>
        <v/>
      </c>
      <c r="K313" s="105" t="str">
        <f t="array" ref="K313">IF(ISBLANK(G313),"",INDEX('POR Config List'!G:G,MATCH(G313,'POR Config List'!D:D,0)))</f>
        <v/>
      </c>
      <c r="L313" s="105"/>
      <c r="M313" s="105" t="str">
        <f t="array" ref="M313">IF(ISBLANK(G313),"",INDEX('label approval artwork'!Q:Q,MATCH( G313,'label approval artwork'!F:F,0)))</f>
        <v/>
      </c>
      <c r="N313" s="169" t="str">
        <f t="shared" si="5"/>
        <v/>
      </c>
      <c r="O313" s="102" t="str">
        <f t="array" ref="O313">IF(ISBLANK(G313),"",INDEX('POR Config List'!C:C,MATCH(G313,'POR Config List'!D:D,0)))</f>
        <v/>
      </c>
      <c r="P313" s="105" t="str">
        <f t="shared" si="4"/>
        <v/>
      </c>
      <c r="Q313" s="105" t="str">
        <f t="array" ref="Q313">IF(ISBLANK(G313),"",INDEX('label approval artwork'!J:J,MATCH( G313,'label approval artwork'!F:F,0)))</f>
        <v/>
      </c>
      <c r="R313" s="105" t="str">
        <f t="array" ref="R313">IFERROR( IF(P313&lt;&gt;"EMA",INDEX('label approval artwork'!H:H,MATCH(G313,'label approval artwork'!F:F,0),"")),"")</f>
        <v/>
      </c>
      <c r="S313" s="105"/>
      <c r="T313" s="105" t="str">
        <f t="array" ref="T313">IF(ISBLANK(G313),"",INDEX('POR Config List'!I:I,MATCH(G313,'POR Config List'!D:D,0)))</f>
        <v/>
      </c>
      <c r="AA313" s="100" t="str">
        <f t="array" ref="AA313">IF(ISBLANK(G313),"",INDEX('POR Config List'!E:E,MATCH(G313,'POR Config List'!D:D,0)))</f>
        <v/>
      </c>
      <c r="AC313" s="105"/>
      <c r="AD313" s="100"/>
      <c r="AE313" s="100"/>
      <c r="AF313" s="100"/>
      <c r="AG313" s="100"/>
      <c r="AM313" s="102"/>
      <c r="AN313" s="102"/>
      <c r="AR313" s="119"/>
      <c r="AS313" s="103"/>
    </row>
    <row r="314">
      <c r="A314" s="168"/>
      <c r="B314" s="100" t="str">
        <f t="array" ref="B314">IFERROR( INDEX('POR Config List'!A:A,MATCH(G314,'POR Config List'!D:D,0)),"")</f>
        <v/>
      </c>
      <c r="C314" s="101" t="str">
        <f t="array" ref="C314">IFERROR(INDEX('label approval artwork'!E:E,MATCH(G314,'label approval artwork'!F:F,0),""),"")</f>
        <v/>
      </c>
      <c r="D314" s="102" t="str">
        <f t="shared" si="3"/>
        <v/>
      </c>
      <c r="E314" s="100" t="str">
        <f t="array" ref="E314">IF(ISBLANK(G314),"",INDEX('POR Config List'!K:K,MATCH(G314,'POR Config List'!D:D,0)))</f>
        <v/>
      </c>
      <c r="F314" s="100" t="str">
        <f t="array" ref="F314">IF(ISBLANK(G314),"",INDEX('POR Config List'!J:J,MATCH(G314,'POR Config List'!D:D,0)))</f>
        <v/>
      </c>
      <c r="G314" s="168"/>
      <c r="H314" s="104" t="str">
        <f t="array" ref="H314">IF(ISBLANK(G314),"",INDEX('MP SKUs'!G:G,MATCH(G314,'MP SKUs'!A:A,0)))</f>
        <v/>
      </c>
      <c r="I314" s="105" t="str">
        <f t="array" ref="I314">IF(ISBLANK(G314),"",INDEX('POR Config List'!O:O,MATCH(G314,'POR Config List'!D:D,0)))</f>
        <v/>
      </c>
      <c r="J314" s="104" t="str">
        <f t="array" ref="J314">IF(ISBLANK(G314),"",INDEX('POR Config List'!H:H,MATCH(G314,'POR Config List'!D:D,0)))</f>
        <v/>
      </c>
      <c r="K314" s="105" t="str">
        <f t="array" ref="K314">IF(ISBLANK(G314),"",INDEX('POR Config List'!G:G,MATCH(G314,'POR Config List'!D:D,0)))</f>
        <v/>
      </c>
      <c r="L314" s="105"/>
      <c r="M314" s="105" t="str">
        <f t="array" ref="M314">IF(ISBLANK(G314),"",INDEX('label approval artwork'!Q:Q,MATCH( G314,'label approval artwork'!F:F,0)))</f>
        <v/>
      </c>
      <c r="N314" s="169" t="str">
        <f t="shared" si="5"/>
        <v/>
      </c>
      <c r="O314" s="102" t="str">
        <f t="array" ref="O314">IF(ISBLANK(G314),"",INDEX('POR Config List'!C:C,MATCH(G314,'POR Config List'!D:D,0)))</f>
        <v/>
      </c>
      <c r="P314" s="105" t="str">
        <f t="shared" si="4"/>
        <v/>
      </c>
      <c r="Q314" s="105" t="str">
        <f t="array" ref="Q314">IF(ISBLANK(G314),"",INDEX('label approval artwork'!J:J,MATCH( G314,'label approval artwork'!F:F,0)))</f>
        <v/>
      </c>
      <c r="R314" s="105" t="str">
        <f t="array" ref="R314">IFERROR( IF(P314&lt;&gt;"EMA",INDEX('label approval artwork'!H:H,MATCH(G314,'label approval artwork'!F:F,0),"")),"")</f>
        <v/>
      </c>
      <c r="S314" s="105"/>
      <c r="T314" s="105" t="str">
        <f t="array" ref="T314">IF(ISBLANK(G314),"",INDEX('POR Config List'!I:I,MATCH(G314,'POR Config List'!D:D,0)))</f>
        <v/>
      </c>
      <c r="AA314" s="100" t="str">
        <f t="array" ref="AA314">IF(ISBLANK(G314),"",INDEX('POR Config List'!E:E,MATCH(G314,'POR Config List'!D:D,0)))</f>
        <v/>
      </c>
      <c r="AC314" s="105"/>
      <c r="AD314" s="100"/>
      <c r="AE314" s="100"/>
      <c r="AF314" s="100"/>
      <c r="AG314" s="100"/>
      <c r="AM314" s="102"/>
      <c r="AN314" s="102"/>
      <c r="AR314" s="119"/>
      <c r="AS314" s="103"/>
    </row>
    <row r="315">
      <c r="A315" s="168"/>
      <c r="B315" s="100" t="str">
        <f t="array" ref="B315">IFERROR( INDEX('POR Config List'!A:A,MATCH(G315,'POR Config List'!D:D,0)),"")</f>
        <v/>
      </c>
      <c r="C315" s="101" t="str">
        <f t="array" ref="C315">IFERROR(INDEX('label approval artwork'!E:E,MATCH(G315,'label approval artwork'!F:F,0),""),"")</f>
        <v/>
      </c>
      <c r="D315" s="102" t="str">
        <f t="shared" si="3"/>
        <v/>
      </c>
      <c r="E315" s="100" t="str">
        <f t="array" ref="E315">IF(ISBLANK(G315),"",INDEX('POR Config List'!K:K,MATCH(G315,'POR Config List'!D:D,0)))</f>
        <v/>
      </c>
      <c r="F315" s="100" t="str">
        <f t="array" ref="F315">IF(ISBLANK(G315),"",INDEX('POR Config List'!J:J,MATCH(G315,'POR Config List'!D:D,0)))</f>
        <v/>
      </c>
      <c r="G315" s="168"/>
      <c r="H315" s="104" t="str">
        <f t="array" ref="H315">IF(ISBLANK(G315),"",INDEX('MP SKUs'!G:G,MATCH(G315,'MP SKUs'!A:A,0)))</f>
        <v/>
      </c>
      <c r="I315" s="105" t="str">
        <f t="array" ref="I315">IF(ISBLANK(G315),"",INDEX('POR Config List'!O:O,MATCH(G315,'POR Config List'!D:D,0)))</f>
        <v/>
      </c>
      <c r="J315" s="104" t="str">
        <f t="array" ref="J315">IF(ISBLANK(G315),"",INDEX('POR Config List'!H:H,MATCH(G315,'POR Config List'!D:D,0)))</f>
        <v/>
      </c>
      <c r="K315" s="105" t="str">
        <f t="array" ref="K315">IF(ISBLANK(G315),"",INDEX('POR Config List'!G:G,MATCH(G315,'POR Config List'!D:D,0)))</f>
        <v/>
      </c>
      <c r="L315" s="105"/>
      <c r="M315" s="105" t="str">
        <f t="array" ref="M315">IF(ISBLANK(G315),"",INDEX('label approval artwork'!Q:Q,MATCH( G315,'label approval artwork'!F:F,0)))</f>
        <v/>
      </c>
      <c r="N315" s="169" t="str">
        <f t="shared" si="5"/>
        <v/>
      </c>
      <c r="O315" s="102" t="str">
        <f t="array" ref="O315">IF(ISBLANK(G315),"",INDEX('POR Config List'!C:C,MATCH(G315,'POR Config List'!D:D,0)))</f>
        <v/>
      </c>
      <c r="P315" s="105" t="str">
        <f t="shared" si="4"/>
        <v/>
      </c>
      <c r="Q315" s="105" t="str">
        <f t="array" ref="Q315">IF(ISBLANK(G315),"",INDEX('label approval artwork'!J:J,MATCH( G315,'label approval artwork'!F:F,0)))</f>
        <v/>
      </c>
      <c r="R315" s="105" t="str">
        <f t="array" ref="R315">IFERROR( IF(P315&lt;&gt;"EMA",INDEX('label approval artwork'!H:H,MATCH(G315,'label approval artwork'!F:F,0),"")),"")</f>
        <v/>
      </c>
      <c r="S315" s="105"/>
      <c r="T315" s="105" t="str">
        <f t="array" ref="T315">IF(ISBLANK(G315),"",INDEX('POR Config List'!I:I,MATCH(G315,'POR Config List'!D:D,0)))</f>
        <v/>
      </c>
      <c r="AA315" s="100" t="str">
        <f t="array" ref="AA315">IF(ISBLANK(G315),"",INDEX('POR Config List'!E:E,MATCH(G315,'POR Config List'!D:D,0)))</f>
        <v/>
      </c>
      <c r="AC315" s="105"/>
      <c r="AD315" s="100"/>
      <c r="AE315" s="100"/>
      <c r="AF315" s="100"/>
      <c r="AG315" s="100"/>
      <c r="AM315" s="102"/>
      <c r="AN315" s="102"/>
      <c r="AR315" s="119"/>
      <c r="AS315" s="103"/>
    </row>
    <row r="316">
      <c r="A316" s="168"/>
      <c r="B316" s="100" t="str">
        <f t="array" ref="B316">IFERROR( INDEX('POR Config List'!A:A,MATCH(G316,'POR Config List'!D:D,0)),"")</f>
        <v/>
      </c>
      <c r="C316" s="101" t="str">
        <f t="array" ref="C316">IFERROR(INDEX('label approval artwork'!E:E,MATCH(G316,'label approval artwork'!F:F,0),""),"")</f>
        <v/>
      </c>
      <c r="D316" s="102" t="str">
        <f t="shared" si="3"/>
        <v/>
      </c>
      <c r="E316" s="100" t="str">
        <f t="array" ref="E316">IF(ISBLANK(G316),"",INDEX('POR Config List'!K:K,MATCH(G316,'POR Config List'!D:D,0)))</f>
        <v/>
      </c>
      <c r="F316" s="100" t="str">
        <f t="array" ref="F316">IF(ISBLANK(G316),"",INDEX('POR Config List'!J:J,MATCH(G316,'POR Config List'!D:D,0)))</f>
        <v/>
      </c>
      <c r="G316" s="168"/>
      <c r="H316" s="104" t="str">
        <f t="array" ref="H316">IF(ISBLANK(G316),"",INDEX('MP SKUs'!G:G,MATCH(G316,'MP SKUs'!A:A,0)))</f>
        <v/>
      </c>
      <c r="I316" s="105" t="str">
        <f t="array" ref="I316">IF(ISBLANK(G316),"",INDEX('POR Config List'!O:O,MATCH(G316,'POR Config List'!D:D,0)))</f>
        <v/>
      </c>
      <c r="J316" s="104" t="str">
        <f t="array" ref="J316">IF(ISBLANK(G316),"",INDEX('POR Config List'!H:H,MATCH(G316,'POR Config List'!D:D,0)))</f>
        <v/>
      </c>
      <c r="K316" s="105" t="str">
        <f t="array" ref="K316">IF(ISBLANK(G316),"",INDEX('POR Config List'!G:G,MATCH(G316,'POR Config List'!D:D,0)))</f>
        <v/>
      </c>
      <c r="L316" s="105"/>
      <c r="M316" s="105" t="str">
        <f t="array" ref="M316">IF(ISBLANK(G316),"",INDEX('label approval artwork'!Q:Q,MATCH( G316,'label approval artwork'!F:F,0)))</f>
        <v/>
      </c>
      <c r="N316" s="169" t="str">
        <f t="shared" si="5"/>
        <v/>
      </c>
      <c r="O316" s="102" t="str">
        <f t="array" ref="O316">IF(ISBLANK(G316),"",INDEX('POR Config List'!C:C,MATCH(G316,'POR Config List'!D:D,0)))</f>
        <v/>
      </c>
      <c r="P316" s="105" t="str">
        <f t="shared" si="4"/>
        <v/>
      </c>
      <c r="Q316" s="105" t="str">
        <f t="array" ref="Q316">IF(ISBLANK(G316),"",INDEX('label approval artwork'!J:J,MATCH( G316,'label approval artwork'!F:F,0)))</f>
        <v/>
      </c>
      <c r="R316" s="105" t="str">
        <f t="array" ref="R316">IFERROR( IF(P316&lt;&gt;"EMA",INDEX('label approval artwork'!H:H,MATCH(G316,'label approval artwork'!F:F,0),"")),"")</f>
        <v/>
      </c>
      <c r="S316" s="105"/>
      <c r="T316" s="105" t="str">
        <f t="array" ref="T316">IF(ISBLANK(G316),"",INDEX('POR Config List'!I:I,MATCH(G316,'POR Config List'!D:D,0)))</f>
        <v/>
      </c>
      <c r="AA316" s="100" t="str">
        <f t="array" ref="AA316">IF(ISBLANK(G316),"",INDEX('POR Config List'!E:E,MATCH(G316,'POR Config List'!D:D,0)))</f>
        <v/>
      </c>
      <c r="AC316" s="105"/>
      <c r="AD316" s="100"/>
      <c r="AE316" s="100"/>
      <c r="AF316" s="100"/>
      <c r="AG316" s="100"/>
      <c r="AM316" s="102"/>
      <c r="AN316" s="102"/>
      <c r="AR316" s="119"/>
      <c r="AS316" s="103"/>
    </row>
    <row r="317">
      <c r="A317" s="168"/>
      <c r="B317" s="100" t="str">
        <f t="array" ref="B317">IFERROR( INDEX('POR Config List'!A:A,MATCH(G317,'POR Config List'!D:D,0)),"")</f>
        <v/>
      </c>
      <c r="C317" s="101" t="str">
        <f t="array" ref="C317">IFERROR(INDEX('label approval artwork'!E:E,MATCH(G317,'label approval artwork'!F:F,0),""),"")</f>
        <v/>
      </c>
      <c r="D317" s="102" t="str">
        <f t="shared" si="3"/>
        <v/>
      </c>
      <c r="E317" s="100" t="str">
        <f t="array" ref="E317">IF(ISBLANK(G317),"",INDEX('POR Config List'!K:K,MATCH(G317,'POR Config List'!D:D,0)))</f>
        <v/>
      </c>
      <c r="F317" s="100" t="str">
        <f t="array" ref="F317">IF(ISBLANK(G317),"",INDEX('POR Config List'!J:J,MATCH(G317,'POR Config List'!D:D,0)))</f>
        <v/>
      </c>
      <c r="G317" s="168"/>
      <c r="H317" s="104" t="str">
        <f t="array" ref="H317">IF(ISBLANK(G317),"",INDEX('MP SKUs'!G:G,MATCH(G317,'MP SKUs'!A:A,0)))</f>
        <v/>
      </c>
      <c r="I317" s="105" t="str">
        <f t="array" ref="I317">IF(ISBLANK(G317),"",INDEX('POR Config List'!O:O,MATCH(G317,'POR Config List'!D:D,0)))</f>
        <v/>
      </c>
      <c r="J317" s="104" t="str">
        <f t="array" ref="J317">IF(ISBLANK(G317),"",INDEX('POR Config List'!H:H,MATCH(G317,'POR Config List'!D:D,0)))</f>
        <v/>
      </c>
      <c r="K317" s="105" t="str">
        <f t="array" ref="K317">IF(ISBLANK(G317),"",INDEX('POR Config List'!G:G,MATCH(G317,'POR Config List'!D:D,0)))</f>
        <v/>
      </c>
      <c r="L317" s="105"/>
      <c r="M317" s="105" t="str">
        <f t="array" ref="M317">IF(ISBLANK(G317),"",INDEX('label approval artwork'!Q:Q,MATCH( G317,'label approval artwork'!F:F,0)))</f>
        <v/>
      </c>
      <c r="N317" s="169" t="str">
        <f t="shared" si="5"/>
        <v/>
      </c>
      <c r="O317" s="102" t="str">
        <f t="array" ref="O317">IF(ISBLANK(G317),"",INDEX('POR Config List'!C:C,MATCH(G317,'POR Config List'!D:D,0)))</f>
        <v/>
      </c>
      <c r="P317" s="105" t="str">
        <f t="shared" si="4"/>
        <v/>
      </c>
      <c r="Q317" s="105" t="str">
        <f t="array" ref="Q317">IF(ISBLANK(G317),"",INDEX('label approval artwork'!J:J,MATCH( G317,'label approval artwork'!F:F,0)))</f>
        <v/>
      </c>
      <c r="R317" s="105" t="str">
        <f t="array" ref="R317">IFERROR( IF(P317&lt;&gt;"EMA",INDEX('label approval artwork'!H:H,MATCH(G317,'label approval artwork'!F:F,0),"")),"")</f>
        <v/>
      </c>
      <c r="S317" s="105"/>
      <c r="T317" s="105" t="str">
        <f t="array" ref="T317">IF(ISBLANK(G317),"",INDEX('POR Config List'!I:I,MATCH(G317,'POR Config List'!D:D,0)))</f>
        <v/>
      </c>
      <c r="AA317" s="100" t="str">
        <f t="array" ref="AA317">IF(ISBLANK(G317),"",INDEX('POR Config List'!E:E,MATCH(G317,'POR Config List'!D:D,0)))</f>
        <v/>
      </c>
      <c r="AC317" s="105"/>
      <c r="AD317" s="100"/>
      <c r="AE317" s="100"/>
      <c r="AF317" s="100"/>
      <c r="AG317" s="100"/>
      <c r="AM317" s="102"/>
      <c r="AN317" s="102"/>
      <c r="AR317" s="119"/>
      <c r="AS317" s="103"/>
    </row>
    <row r="318">
      <c r="A318" s="168"/>
      <c r="B318" s="100" t="str">
        <f t="array" ref="B318">IFERROR( INDEX('POR Config List'!A:A,MATCH(G318,'POR Config List'!D:D,0)),"")</f>
        <v/>
      </c>
      <c r="C318" s="101" t="str">
        <f t="array" ref="C318">IFERROR(INDEX('label approval artwork'!E:E,MATCH(G318,'label approval artwork'!F:F,0),""),"")</f>
        <v/>
      </c>
      <c r="D318" s="102" t="str">
        <f t="shared" si="3"/>
        <v/>
      </c>
      <c r="E318" s="100" t="str">
        <f t="array" ref="E318">IF(ISBLANK(G318),"",INDEX('POR Config List'!K:K,MATCH(G318,'POR Config List'!D:D,0)))</f>
        <v/>
      </c>
      <c r="F318" s="100" t="str">
        <f t="array" ref="F318">IF(ISBLANK(G318),"",INDEX('POR Config List'!J:J,MATCH(G318,'POR Config List'!D:D,0)))</f>
        <v/>
      </c>
      <c r="G318" s="168"/>
      <c r="H318" s="104" t="str">
        <f t="array" ref="H318">IF(ISBLANK(G318),"",INDEX('MP SKUs'!G:G,MATCH(G318,'MP SKUs'!A:A,0)))</f>
        <v/>
      </c>
      <c r="I318" s="105" t="str">
        <f t="array" ref="I318">IF(ISBLANK(G318),"",INDEX('POR Config List'!O:O,MATCH(G318,'POR Config List'!D:D,0)))</f>
        <v/>
      </c>
      <c r="J318" s="104" t="str">
        <f t="array" ref="J318">IF(ISBLANK(G318),"",INDEX('POR Config List'!H:H,MATCH(G318,'POR Config List'!D:D,0)))</f>
        <v/>
      </c>
      <c r="K318" s="105" t="str">
        <f t="array" ref="K318">IF(ISBLANK(G318),"",INDEX('POR Config List'!G:G,MATCH(G318,'POR Config List'!D:D,0)))</f>
        <v/>
      </c>
      <c r="L318" s="105"/>
      <c r="M318" s="105" t="str">
        <f t="array" ref="M318">IF(ISBLANK(G318),"",INDEX('label approval artwork'!Q:Q,MATCH( G318,'label approval artwork'!F:F,0)))</f>
        <v/>
      </c>
      <c r="N318" s="169" t="str">
        <f t="shared" si="5"/>
        <v/>
      </c>
      <c r="O318" s="102" t="str">
        <f t="array" ref="O318">IF(ISBLANK(G318),"",INDEX('POR Config List'!C:C,MATCH(G318,'POR Config List'!D:D,0)))</f>
        <v/>
      </c>
      <c r="P318" s="105" t="str">
        <f t="shared" si="4"/>
        <v/>
      </c>
      <c r="Q318" s="105" t="str">
        <f t="array" ref="Q318">IF(ISBLANK(G318),"",INDEX('label approval artwork'!J:J,MATCH( G318,'label approval artwork'!F:F,0)))</f>
        <v/>
      </c>
      <c r="R318" s="105" t="str">
        <f t="array" ref="R318">IFERROR( IF(P318&lt;&gt;"EMA",INDEX('label approval artwork'!H:H,MATCH(G318,'label approval artwork'!F:F,0),"")),"")</f>
        <v/>
      </c>
      <c r="S318" s="105"/>
      <c r="T318" s="105" t="str">
        <f t="array" ref="T318">IF(ISBLANK(G318),"",INDEX('POR Config List'!I:I,MATCH(G318,'POR Config List'!D:D,0)))</f>
        <v/>
      </c>
      <c r="AA318" s="100" t="str">
        <f t="array" ref="AA318">IF(ISBLANK(G318),"",INDEX('POR Config List'!E:E,MATCH(G318,'POR Config List'!D:D,0)))</f>
        <v/>
      </c>
      <c r="AC318" s="105"/>
      <c r="AD318" s="100"/>
      <c r="AE318" s="100"/>
      <c r="AF318" s="100"/>
      <c r="AG318" s="100"/>
      <c r="AM318" s="102"/>
      <c r="AN318" s="102"/>
      <c r="AR318" s="119"/>
      <c r="AS318" s="103"/>
    </row>
    <row r="319">
      <c r="A319" s="168"/>
      <c r="B319" s="100" t="str">
        <f t="array" ref="B319">IFERROR( INDEX('POR Config List'!A:A,MATCH(G319,'POR Config List'!D:D,0)),"")</f>
        <v/>
      </c>
      <c r="C319" s="101" t="str">
        <f t="array" ref="C319">IFERROR(INDEX('label approval artwork'!E:E,MATCH(G319,'label approval artwork'!F:F,0),""),"")</f>
        <v/>
      </c>
      <c r="D319" s="102" t="str">
        <f t="shared" si="3"/>
        <v/>
      </c>
      <c r="E319" s="100" t="str">
        <f t="array" ref="E319">IF(ISBLANK(G319),"",INDEX('POR Config List'!K:K,MATCH(G319,'POR Config List'!D:D,0)))</f>
        <v/>
      </c>
      <c r="F319" s="100" t="str">
        <f t="array" ref="F319">IF(ISBLANK(G319),"",INDEX('POR Config List'!J:J,MATCH(G319,'POR Config List'!D:D,0)))</f>
        <v/>
      </c>
      <c r="G319" s="168"/>
      <c r="H319" s="104" t="str">
        <f t="array" ref="H319">IF(ISBLANK(G319),"",INDEX('MP SKUs'!G:G,MATCH(G319,'MP SKUs'!A:A,0)))</f>
        <v/>
      </c>
      <c r="I319" s="105" t="str">
        <f t="array" ref="I319">IF(ISBLANK(G319),"",INDEX('POR Config List'!O:O,MATCH(G319,'POR Config List'!D:D,0)))</f>
        <v/>
      </c>
      <c r="J319" s="104" t="str">
        <f t="array" ref="J319">IF(ISBLANK(G319),"",INDEX('POR Config List'!H:H,MATCH(G319,'POR Config List'!D:D,0)))</f>
        <v/>
      </c>
      <c r="K319" s="105" t="str">
        <f t="array" ref="K319">IF(ISBLANK(G319),"",INDEX('POR Config List'!G:G,MATCH(G319,'POR Config List'!D:D,0)))</f>
        <v/>
      </c>
      <c r="L319" s="105"/>
      <c r="M319" s="105" t="str">
        <f t="array" ref="M319">IF(ISBLANK(G319),"",INDEX('label approval artwork'!Q:Q,MATCH( G319,'label approval artwork'!F:F,0)))</f>
        <v/>
      </c>
      <c r="N319" s="169" t="str">
        <f t="shared" si="5"/>
        <v/>
      </c>
      <c r="O319" s="102" t="str">
        <f t="array" ref="O319">IF(ISBLANK(G319),"",INDEX('POR Config List'!C:C,MATCH(G319,'POR Config List'!D:D,0)))</f>
        <v/>
      </c>
      <c r="P319" s="105" t="str">
        <f t="shared" si="4"/>
        <v/>
      </c>
      <c r="Q319" s="105" t="str">
        <f t="array" ref="Q319">IF(ISBLANK(G319),"",INDEX('label approval artwork'!J:J,MATCH( G319,'label approval artwork'!F:F,0)))</f>
        <v/>
      </c>
      <c r="R319" s="105" t="str">
        <f t="array" ref="R319">IFERROR( IF(P319&lt;&gt;"EMA",INDEX('label approval artwork'!H:H,MATCH(G319,'label approval artwork'!F:F,0),"")),"")</f>
        <v/>
      </c>
      <c r="S319" s="105"/>
      <c r="T319" s="105" t="str">
        <f t="array" ref="T319">IF(ISBLANK(G319),"",INDEX('POR Config List'!I:I,MATCH(G319,'POR Config List'!D:D,0)))</f>
        <v/>
      </c>
      <c r="AA319" s="100" t="str">
        <f t="array" ref="AA319">IF(ISBLANK(G319),"",INDEX('POR Config List'!E:E,MATCH(G319,'POR Config List'!D:D,0)))</f>
        <v/>
      </c>
      <c r="AC319" s="105"/>
      <c r="AD319" s="100"/>
      <c r="AE319" s="100"/>
      <c r="AF319" s="100"/>
      <c r="AG319" s="100"/>
      <c r="AM319" s="102"/>
      <c r="AN319" s="102"/>
      <c r="AR319" s="119"/>
      <c r="AS319" s="103"/>
    </row>
    <row r="320">
      <c r="A320" s="168"/>
      <c r="B320" s="100" t="str">
        <f t="array" ref="B320">IFERROR( INDEX('POR Config List'!A:A,MATCH(G320,'POR Config List'!D:D,0)),"")</f>
        <v/>
      </c>
      <c r="C320" s="101" t="str">
        <f t="array" ref="C320">IFERROR(INDEX('label approval artwork'!E:E,MATCH(G320,'label approval artwork'!F:F,0),""),"")</f>
        <v/>
      </c>
      <c r="D320" s="102" t="str">
        <f t="shared" si="3"/>
        <v/>
      </c>
      <c r="E320" s="100" t="str">
        <f t="array" ref="E320">IF(ISBLANK(G320),"",INDEX('POR Config List'!K:K,MATCH(G320,'POR Config List'!D:D,0)))</f>
        <v/>
      </c>
      <c r="F320" s="100" t="str">
        <f t="array" ref="F320">IF(ISBLANK(G320),"",INDEX('POR Config List'!J:J,MATCH(G320,'POR Config List'!D:D,0)))</f>
        <v/>
      </c>
      <c r="G320" s="168"/>
      <c r="H320" s="104" t="str">
        <f t="array" ref="H320">IF(ISBLANK(G320),"",INDEX('MP SKUs'!G:G,MATCH(G320,'MP SKUs'!A:A,0)))</f>
        <v/>
      </c>
      <c r="I320" s="105" t="str">
        <f t="array" ref="I320">IF(ISBLANK(G320),"",INDEX('POR Config List'!O:O,MATCH(G320,'POR Config List'!D:D,0)))</f>
        <v/>
      </c>
      <c r="J320" s="104" t="str">
        <f t="array" ref="J320">IF(ISBLANK(G320),"",INDEX('POR Config List'!H:H,MATCH(G320,'POR Config List'!D:D,0)))</f>
        <v/>
      </c>
      <c r="K320" s="105" t="str">
        <f t="array" ref="K320">IF(ISBLANK(G320),"",INDEX('POR Config List'!G:G,MATCH(G320,'POR Config List'!D:D,0)))</f>
        <v/>
      </c>
      <c r="L320" s="105"/>
      <c r="M320" s="105" t="str">
        <f t="array" ref="M320">IF(ISBLANK(G320),"",INDEX('label approval artwork'!Q:Q,MATCH( G320,'label approval artwork'!F:F,0)))</f>
        <v/>
      </c>
      <c r="N320" s="169" t="str">
        <f t="shared" si="5"/>
        <v/>
      </c>
      <c r="O320" s="102" t="str">
        <f t="array" ref="O320">IF(ISBLANK(G320),"",INDEX('POR Config List'!C:C,MATCH(G320,'POR Config List'!D:D,0)))</f>
        <v/>
      </c>
      <c r="P320" s="105" t="str">
        <f t="shared" si="4"/>
        <v/>
      </c>
      <c r="Q320" s="105" t="str">
        <f t="array" ref="Q320">IF(ISBLANK(G320),"",INDEX('label approval artwork'!J:J,MATCH( G320,'label approval artwork'!F:F,0)))</f>
        <v/>
      </c>
      <c r="R320" s="105" t="str">
        <f t="array" ref="R320">IFERROR( IF(P320&lt;&gt;"EMA",INDEX('label approval artwork'!H:H,MATCH(G320,'label approval artwork'!F:F,0),"")),"")</f>
        <v/>
      </c>
      <c r="S320" s="105"/>
      <c r="T320" s="105" t="str">
        <f t="array" ref="T320">IF(ISBLANK(G320),"",INDEX('POR Config List'!I:I,MATCH(G320,'POR Config List'!D:D,0)))</f>
        <v/>
      </c>
      <c r="AA320" s="100" t="str">
        <f t="array" ref="AA320">IF(ISBLANK(G320),"",INDEX('POR Config List'!E:E,MATCH(G320,'POR Config List'!D:D,0)))</f>
        <v/>
      </c>
      <c r="AC320" s="105"/>
      <c r="AD320" s="100"/>
      <c r="AE320" s="100"/>
      <c r="AF320" s="100"/>
      <c r="AG320" s="100"/>
      <c r="AM320" s="102"/>
      <c r="AN320" s="102"/>
      <c r="AR320" s="119"/>
      <c r="AS320" s="103"/>
    </row>
    <row r="321">
      <c r="A321" s="168"/>
      <c r="B321" s="100" t="str">
        <f t="array" ref="B321">IFERROR( INDEX('POR Config List'!A:A,MATCH(G321,'POR Config List'!D:D,0)),"")</f>
        <v/>
      </c>
      <c r="C321" s="101" t="str">
        <f t="array" ref="C321">IFERROR(INDEX('label approval artwork'!E:E,MATCH(G321,'label approval artwork'!F:F,0),""),"")</f>
        <v/>
      </c>
      <c r="D321" s="102" t="str">
        <f t="shared" si="3"/>
        <v/>
      </c>
      <c r="E321" s="100" t="str">
        <f t="array" ref="E321">IF(ISBLANK(G321),"",INDEX('POR Config List'!K:K,MATCH(G321,'POR Config List'!D:D,0)))</f>
        <v/>
      </c>
      <c r="F321" s="100" t="str">
        <f t="array" ref="F321">IF(ISBLANK(G321),"",INDEX('POR Config List'!J:J,MATCH(G321,'POR Config List'!D:D,0)))</f>
        <v/>
      </c>
      <c r="G321" s="168"/>
      <c r="H321" s="104" t="str">
        <f t="array" ref="H321">IF(ISBLANK(G321),"",INDEX('MP SKUs'!G:G,MATCH(G321,'MP SKUs'!A:A,0)))</f>
        <v/>
      </c>
      <c r="I321" s="105" t="str">
        <f t="array" ref="I321">IF(ISBLANK(G321),"",INDEX('POR Config List'!O:O,MATCH(G321,'POR Config List'!D:D,0)))</f>
        <v/>
      </c>
      <c r="J321" s="104" t="str">
        <f t="array" ref="J321">IF(ISBLANK(G321),"",INDEX('POR Config List'!H:H,MATCH(G321,'POR Config List'!D:D,0)))</f>
        <v/>
      </c>
      <c r="K321" s="105" t="str">
        <f t="array" ref="K321">IF(ISBLANK(G321),"",INDEX('POR Config List'!G:G,MATCH(G321,'POR Config List'!D:D,0)))</f>
        <v/>
      </c>
      <c r="L321" s="105"/>
      <c r="M321" s="105" t="str">
        <f t="array" ref="M321">IF(ISBLANK(G321),"",INDEX('label approval artwork'!Q:Q,MATCH( G321,'label approval artwork'!F:F,0)))</f>
        <v/>
      </c>
      <c r="N321" s="169" t="str">
        <f t="shared" si="5"/>
        <v/>
      </c>
      <c r="O321" s="102" t="str">
        <f t="array" ref="O321">IF(ISBLANK(G321),"",INDEX('POR Config List'!C:C,MATCH(G321,'POR Config List'!D:D,0)))</f>
        <v/>
      </c>
      <c r="P321" s="105" t="str">
        <f t="shared" si="4"/>
        <v/>
      </c>
      <c r="Q321" s="105" t="str">
        <f t="array" ref="Q321">IF(ISBLANK(G321),"",INDEX('label approval artwork'!J:J,MATCH( G321,'label approval artwork'!F:F,0)))</f>
        <v/>
      </c>
      <c r="R321" s="105" t="str">
        <f t="array" ref="R321">IFERROR( IF(P321&lt;&gt;"EMA",INDEX('label approval artwork'!H:H,MATCH(G321,'label approval artwork'!F:F,0),"")),"")</f>
        <v/>
      </c>
      <c r="S321" s="105"/>
      <c r="T321" s="105" t="str">
        <f t="array" ref="T321">IF(ISBLANK(G321),"",INDEX('POR Config List'!I:I,MATCH(G321,'POR Config List'!D:D,0)))</f>
        <v/>
      </c>
      <c r="AA321" s="100" t="str">
        <f t="array" ref="AA321">IF(ISBLANK(G321),"",INDEX('POR Config List'!E:E,MATCH(G321,'POR Config List'!D:D,0)))</f>
        <v/>
      </c>
      <c r="AC321" s="105"/>
      <c r="AD321" s="100"/>
      <c r="AE321" s="100"/>
      <c r="AF321" s="100"/>
      <c r="AG321" s="100"/>
      <c r="AM321" s="102"/>
      <c r="AN321" s="102"/>
      <c r="AR321" s="119"/>
      <c r="AS321" s="103"/>
    </row>
    <row r="322">
      <c r="A322" s="168"/>
      <c r="B322" s="100" t="str">
        <f t="array" ref="B322">IFERROR( INDEX('POR Config List'!A:A,MATCH(G322,'POR Config List'!D:D,0)),"")</f>
        <v/>
      </c>
      <c r="C322" s="101" t="str">
        <f t="array" ref="C322">IFERROR(INDEX('label approval artwork'!E:E,MATCH(G322,'label approval artwork'!F:F,0),""),"")</f>
        <v/>
      </c>
      <c r="D322" s="102" t="str">
        <f t="shared" si="3"/>
        <v/>
      </c>
      <c r="E322" s="100" t="str">
        <f t="array" ref="E322">IF(ISBLANK(G322),"",INDEX('POR Config List'!K:K,MATCH(G322,'POR Config List'!D:D,0)))</f>
        <v/>
      </c>
      <c r="F322" s="100" t="str">
        <f t="array" ref="F322">IF(ISBLANK(G322),"",INDEX('POR Config List'!J:J,MATCH(G322,'POR Config List'!D:D,0)))</f>
        <v/>
      </c>
      <c r="G322" s="168"/>
      <c r="H322" s="104" t="str">
        <f t="array" ref="H322">IF(ISBLANK(G322),"",INDEX('MP SKUs'!G:G,MATCH(G322,'MP SKUs'!A:A,0)))</f>
        <v/>
      </c>
      <c r="I322" s="105" t="str">
        <f t="array" ref="I322">IF(ISBLANK(G322),"",INDEX('POR Config List'!O:O,MATCH(G322,'POR Config List'!D:D,0)))</f>
        <v/>
      </c>
      <c r="J322" s="104" t="str">
        <f t="array" ref="J322">IF(ISBLANK(G322),"",INDEX('POR Config List'!H:H,MATCH(G322,'POR Config List'!D:D,0)))</f>
        <v/>
      </c>
      <c r="K322" s="105" t="str">
        <f t="array" ref="K322">IF(ISBLANK(G322),"",INDEX('POR Config List'!G:G,MATCH(G322,'POR Config List'!D:D,0)))</f>
        <v/>
      </c>
      <c r="L322" s="105"/>
      <c r="M322" s="105" t="str">
        <f t="array" ref="M322">IF(ISBLANK(G322),"",INDEX('label approval artwork'!Q:Q,MATCH( G322,'label approval artwork'!F:F,0)))</f>
        <v/>
      </c>
      <c r="N322" s="169" t="str">
        <f t="shared" si="5"/>
        <v/>
      </c>
      <c r="O322" s="102" t="str">
        <f t="array" ref="O322">IF(ISBLANK(G322),"",INDEX('POR Config List'!C:C,MATCH(G322,'POR Config List'!D:D,0)))</f>
        <v/>
      </c>
      <c r="P322" s="105" t="str">
        <f t="shared" si="4"/>
        <v/>
      </c>
      <c r="Q322" s="105" t="str">
        <f t="array" ref="Q322">IF(ISBLANK(G322),"",INDEX('label approval artwork'!J:J,MATCH( G322,'label approval artwork'!F:F,0)))</f>
        <v/>
      </c>
      <c r="R322" s="105" t="str">
        <f t="array" ref="R322">IFERROR( IF(P322&lt;&gt;"EMA",INDEX('label approval artwork'!H:H,MATCH(G322,'label approval artwork'!F:F,0),"")),"")</f>
        <v/>
      </c>
      <c r="S322" s="105"/>
      <c r="T322" s="105" t="str">
        <f t="array" ref="T322">IF(ISBLANK(G322),"",INDEX('POR Config List'!I:I,MATCH(G322,'POR Config List'!D:D,0)))</f>
        <v/>
      </c>
      <c r="AA322" s="100" t="str">
        <f t="array" ref="AA322">IF(ISBLANK(G322),"",INDEX('POR Config List'!E:E,MATCH(G322,'POR Config List'!D:D,0)))</f>
        <v/>
      </c>
      <c r="AC322" s="105"/>
      <c r="AD322" s="100"/>
      <c r="AE322" s="100"/>
      <c r="AF322" s="100"/>
      <c r="AG322" s="100"/>
      <c r="AM322" s="102"/>
      <c r="AN322" s="102"/>
      <c r="AR322" s="119"/>
      <c r="AS322" s="103"/>
    </row>
    <row r="323">
      <c r="A323" s="168"/>
      <c r="B323" s="100" t="str">
        <f t="array" ref="B323">IFERROR( INDEX('POR Config List'!A:A,MATCH(G323,'POR Config List'!D:D,0)),"")</f>
        <v/>
      </c>
      <c r="C323" s="101" t="str">
        <f t="array" ref="C323">IFERROR(INDEX('label approval artwork'!E:E,MATCH(G323,'label approval artwork'!F:F,0),""),"")</f>
        <v/>
      </c>
      <c r="D323" s="102" t="str">
        <f t="shared" si="3"/>
        <v/>
      </c>
      <c r="E323" s="100" t="str">
        <f t="array" ref="E323">IF(ISBLANK(G323),"",INDEX('POR Config List'!K:K,MATCH(G323,'POR Config List'!D:D,0)))</f>
        <v/>
      </c>
      <c r="F323" s="100" t="str">
        <f t="array" ref="F323">IF(ISBLANK(G323),"",INDEX('POR Config List'!J:J,MATCH(G323,'POR Config List'!D:D,0)))</f>
        <v/>
      </c>
      <c r="G323" s="168"/>
      <c r="H323" s="104" t="str">
        <f t="array" ref="H323">IF(ISBLANK(G323),"",INDEX('MP SKUs'!G:G,MATCH(G323,'MP SKUs'!A:A,0)))</f>
        <v/>
      </c>
      <c r="I323" s="105" t="str">
        <f t="array" ref="I323">IF(ISBLANK(G323),"",INDEX('POR Config List'!O:O,MATCH(G323,'POR Config List'!D:D,0)))</f>
        <v/>
      </c>
      <c r="J323" s="104" t="str">
        <f t="array" ref="J323">IF(ISBLANK(G323),"",INDEX('POR Config List'!H:H,MATCH(G323,'POR Config List'!D:D,0)))</f>
        <v/>
      </c>
      <c r="K323" s="105" t="str">
        <f t="array" ref="K323">IF(ISBLANK(G323),"",INDEX('POR Config List'!G:G,MATCH(G323,'POR Config List'!D:D,0)))</f>
        <v/>
      </c>
      <c r="L323" s="105"/>
      <c r="M323" s="105" t="str">
        <f t="array" ref="M323">IF(ISBLANK(G323),"",INDEX('label approval artwork'!Q:Q,MATCH( G323,'label approval artwork'!F:F,0)))</f>
        <v/>
      </c>
      <c r="N323" s="169" t="str">
        <f t="shared" si="5"/>
        <v/>
      </c>
      <c r="O323" s="102" t="str">
        <f t="array" ref="O323">IF(ISBLANK(G323),"",INDEX('POR Config List'!C:C,MATCH(G323,'POR Config List'!D:D,0)))</f>
        <v/>
      </c>
      <c r="P323" s="105" t="str">
        <f t="shared" si="4"/>
        <v/>
      </c>
      <c r="Q323" s="105" t="str">
        <f t="array" ref="Q323">IF(ISBLANK(G323),"",INDEX('label approval artwork'!J:J,MATCH( G323,'label approval artwork'!F:F,0)))</f>
        <v/>
      </c>
      <c r="R323" s="105" t="str">
        <f t="array" ref="R323">IFERROR( IF(P323&lt;&gt;"EMA",INDEX('label approval artwork'!H:H,MATCH(G323,'label approval artwork'!F:F,0),"")),"")</f>
        <v/>
      </c>
      <c r="S323" s="105"/>
      <c r="T323" s="105" t="str">
        <f t="array" ref="T323">IF(ISBLANK(G323),"",INDEX('POR Config List'!I:I,MATCH(G323,'POR Config List'!D:D,0)))</f>
        <v/>
      </c>
      <c r="AA323" s="100" t="str">
        <f t="array" ref="AA323">IF(ISBLANK(G323),"",INDEX('POR Config List'!E:E,MATCH(G323,'POR Config List'!D:D,0)))</f>
        <v/>
      </c>
      <c r="AC323" s="105"/>
      <c r="AD323" s="100"/>
      <c r="AE323" s="100"/>
      <c r="AF323" s="100"/>
      <c r="AG323" s="100"/>
      <c r="AM323" s="102"/>
      <c r="AN323" s="102"/>
      <c r="AR323" s="119"/>
      <c r="AS323" s="103"/>
    </row>
    <row r="324">
      <c r="A324" s="168"/>
      <c r="B324" s="100" t="str">
        <f t="array" ref="B324">IFERROR( INDEX('POR Config List'!A:A,MATCH(G324,'POR Config List'!D:D,0)),"")</f>
        <v/>
      </c>
      <c r="C324" s="101" t="str">
        <f t="array" ref="C324">IFERROR(INDEX('label approval artwork'!E:E,MATCH(G324,'label approval artwork'!F:F,0),""),"")</f>
        <v/>
      </c>
      <c r="D324" s="102" t="str">
        <f t="shared" si="3"/>
        <v/>
      </c>
      <c r="E324" s="100" t="str">
        <f t="array" ref="E324">IF(ISBLANK(G324),"",INDEX('POR Config List'!K:K,MATCH(G324,'POR Config List'!D:D,0)))</f>
        <v/>
      </c>
      <c r="F324" s="100" t="str">
        <f t="array" ref="F324">IF(ISBLANK(G324),"",INDEX('POR Config List'!J:J,MATCH(G324,'POR Config List'!D:D,0)))</f>
        <v/>
      </c>
      <c r="G324" s="168"/>
      <c r="H324" s="104" t="str">
        <f t="array" ref="H324">IF(ISBLANK(G324),"",INDEX('MP SKUs'!G:G,MATCH(G324,'MP SKUs'!A:A,0)))</f>
        <v/>
      </c>
      <c r="I324" s="105" t="str">
        <f t="array" ref="I324">IF(ISBLANK(G324),"",INDEX('POR Config List'!O:O,MATCH(G324,'POR Config List'!D:D,0)))</f>
        <v/>
      </c>
      <c r="J324" s="104" t="str">
        <f t="array" ref="J324">IF(ISBLANK(G324),"",INDEX('POR Config List'!H:H,MATCH(G324,'POR Config List'!D:D,0)))</f>
        <v/>
      </c>
      <c r="K324" s="105" t="str">
        <f t="array" ref="K324">IF(ISBLANK(G324),"",INDEX('POR Config List'!G:G,MATCH(G324,'POR Config List'!D:D,0)))</f>
        <v/>
      </c>
      <c r="L324" s="105"/>
      <c r="M324" s="105" t="str">
        <f t="array" ref="M324">IF(ISBLANK(G324),"",INDEX('label approval artwork'!Q:Q,MATCH( G324,'label approval artwork'!F:F,0)))</f>
        <v/>
      </c>
      <c r="N324" s="169" t="str">
        <f t="shared" si="5"/>
        <v/>
      </c>
      <c r="O324" s="102" t="str">
        <f t="array" ref="O324">IF(ISBLANK(G324),"",INDEX('POR Config List'!C:C,MATCH(G324,'POR Config List'!D:D,0)))</f>
        <v/>
      </c>
      <c r="P324" s="105" t="str">
        <f t="shared" si="4"/>
        <v/>
      </c>
      <c r="Q324" s="105" t="str">
        <f t="array" ref="Q324">IF(ISBLANK(G324),"",INDEX('label approval artwork'!J:J,MATCH( G324,'label approval artwork'!F:F,0)))</f>
        <v/>
      </c>
      <c r="R324" s="105" t="str">
        <f t="array" ref="R324">IFERROR( IF(P324&lt;&gt;"EMA",INDEX('label approval artwork'!H:H,MATCH(G324,'label approval artwork'!F:F,0),"")),"")</f>
        <v/>
      </c>
      <c r="S324" s="105"/>
      <c r="T324" s="105" t="str">
        <f t="array" ref="T324">IF(ISBLANK(G324),"",INDEX('POR Config List'!I:I,MATCH(G324,'POR Config List'!D:D,0)))</f>
        <v/>
      </c>
      <c r="AA324" s="100" t="str">
        <f t="array" ref="AA324">IF(ISBLANK(G324),"",INDEX('POR Config List'!E:E,MATCH(G324,'POR Config List'!D:D,0)))</f>
        <v/>
      </c>
      <c r="AC324" s="105"/>
      <c r="AD324" s="100"/>
      <c r="AE324" s="100"/>
      <c r="AF324" s="100"/>
      <c r="AG324" s="100"/>
      <c r="AM324" s="102"/>
      <c r="AN324" s="102"/>
      <c r="AR324" s="119"/>
      <c r="AS324" s="103"/>
    </row>
    <row r="325">
      <c r="A325" s="168"/>
      <c r="B325" s="100" t="str">
        <f t="array" ref="B325">IFERROR( INDEX('POR Config List'!A:A,MATCH(G325,'POR Config List'!D:D,0)),"")</f>
        <v/>
      </c>
      <c r="C325" s="101" t="str">
        <f t="array" ref="C325">IFERROR(INDEX('label approval artwork'!E:E,MATCH(G325,'label approval artwork'!F:F,0),""),"")</f>
        <v/>
      </c>
      <c r="D325" s="102" t="str">
        <f t="shared" si="3"/>
        <v/>
      </c>
      <c r="E325" s="100" t="str">
        <f t="array" ref="E325">IF(ISBLANK(G325),"",INDEX('POR Config List'!K:K,MATCH(G325,'POR Config List'!D:D,0)))</f>
        <v/>
      </c>
      <c r="F325" s="100" t="str">
        <f t="array" ref="F325">IF(ISBLANK(G325),"",INDEX('POR Config List'!J:J,MATCH(G325,'POR Config List'!D:D,0)))</f>
        <v/>
      </c>
      <c r="G325" s="168"/>
      <c r="H325" s="104" t="str">
        <f t="array" ref="H325">IF(ISBLANK(G325),"",INDEX('MP SKUs'!G:G,MATCH(G325,'MP SKUs'!A:A,0)))</f>
        <v/>
      </c>
      <c r="I325" s="105" t="str">
        <f t="array" ref="I325">IF(ISBLANK(G325),"",INDEX('POR Config List'!O:O,MATCH(G325,'POR Config List'!D:D,0)))</f>
        <v/>
      </c>
      <c r="J325" s="104" t="str">
        <f t="array" ref="J325">IF(ISBLANK(G325),"",INDEX('POR Config List'!H:H,MATCH(G325,'POR Config List'!D:D,0)))</f>
        <v/>
      </c>
      <c r="K325" s="105" t="str">
        <f t="array" ref="K325">IF(ISBLANK(G325),"",INDEX('POR Config List'!G:G,MATCH(G325,'POR Config List'!D:D,0)))</f>
        <v/>
      </c>
      <c r="L325" s="105"/>
      <c r="M325" s="105" t="str">
        <f t="array" ref="M325">IF(ISBLANK(G325),"",INDEX('label approval artwork'!Q:Q,MATCH( G325,'label approval artwork'!F:F,0)))</f>
        <v/>
      </c>
      <c r="N325" s="169" t="str">
        <f t="shared" si="5"/>
        <v/>
      </c>
      <c r="O325" s="102" t="str">
        <f t="array" ref="O325">IF(ISBLANK(G325),"",INDEX('POR Config List'!C:C,MATCH(G325,'POR Config List'!D:D,0)))</f>
        <v/>
      </c>
      <c r="P325" s="105" t="str">
        <f t="shared" si="4"/>
        <v/>
      </c>
      <c r="Q325" s="105" t="str">
        <f t="array" ref="Q325">IF(ISBLANK(G325),"",INDEX('label approval artwork'!J:J,MATCH( G325,'label approval artwork'!F:F,0)))</f>
        <v/>
      </c>
      <c r="R325" s="105" t="str">
        <f t="array" ref="R325">IFERROR( IF(P325&lt;&gt;"EMA",INDEX('label approval artwork'!H:H,MATCH(G325,'label approval artwork'!F:F,0),"")),"")</f>
        <v/>
      </c>
      <c r="S325" s="105"/>
      <c r="T325" s="105" t="str">
        <f t="array" ref="T325">IF(ISBLANK(G325),"",INDEX('POR Config List'!I:I,MATCH(G325,'POR Config List'!D:D,0)))</f>
        <v/>
      </c>
      <c r="AA325" s="100" t="str">
        <f t="array" ref="AA325">IF(ISBLANK(G325),"",INDEX('POR Config List'!E:E,MATCH(G325,'POR Config List'!D:D,0)))</f>
        <v/>
      </c>
      <c r="AC325" s="105"/>
      <c r="AD325" s="100"/>
      <c r="AE325" s="100"/>
      <c r="AF325" s="100"/>
      <c r="AG325" s="100"/>
      <c r="AM325" s="102"/>
      <c r="AN325" s="102"/>
      <c r="AR325" s="119"/>
      <c r="AS325" s="103"/>
    </row>
    <row r="326">
      <c r="A326" s="168"/>
      <c r="B326" s="100" t="str">
        <f t="array" ref="B326">IFERROR( INDEX('POR Config List'!A:A,MATCH(G326,'POR Config List'!D:D,0)),"")</f>
        <v/>
      </c>
      <c r="C326" s="101" t="str">
        <f t="array" ref="C326">IFERROR(INDEX('label approval artwork'!E:E,MATCH(G326,'label approval artwork'!F:F,0),""),"")</f>
        <v/>
      </c>
      <c r="D326" s="102" t="str">
        <f t="shared" si="3"/>
        <v/>
      </c>
      <c r="E326" s="100" t="str">
        <f t="array" ref="E326">IF(ISBLANK(G326),"",INDEX('POR Config List'!K:K,MATCH(G326,'POR Config List'!D:D,0)))</f>
        <v/>
      </c>
      <c r="F326" s="100" t="str">
        <f t="array" ref="F326">IF(ISBLANK(G326),"",INDEX('POR Config List'!J:J,MATCH(G326,'POR Config List'!D:D,0)))</f>
        <v/>
      </c>
      <c r="G326" s="168"/>
      <c r="H326" s="104" t="str">
        <f t="array" ref="H326">IF(ISBLANK(G326),"",INDEX('MP SKUs'!G:G,MATCH(G326,'MP SKUs'!A:A,0)))</f>
        <v/>
      </c>
      <c r="I326" s="105" t="str">
        <f t="array" ref="I326">IF(ISBLANK(G326),"",INDEX('POR Config List'!O:O,MATCH(G326,'POR Config List'!D:D,0)))</f>
        <v/>
      </c>
      <c r="J326" s="104" t="str">
        <f t="array" ref="J326">IF(ISBLANK(G326),"",INDEX('POR Config List'!H:H,MATCH(G326,'POR Config List'!D:D,0)))</f>
        <v/>
      </c>
      <c r="K326" s="105" t="str">
        <f t="array" ref="K326">IF(ISBLANK(G326),"",INDEX('POR Config List'!G:G,MATCH(G326,'POR Config List'!D:D,0)))</f>
        <v/>
      </c>
      <c r="L326" s="105"/>
      <c r="M326" s="105" t="str">
        <f t="array" ref="M326">IF(ISBLANK(G326),"",INDEX('label approval artwork'!Q:Q,MATCH( G326,'label approval artwork'!F:F,0)))</f>
        <v/>
      </c>
      <c r="N326" s="169" t="str">
        <f t="shared" si="5"/>
        <v/>
      </c>
      <c r="O326" s="102" t="str">
        <f t="array" ref="O326">IF(ISBLANK(G326),"",INDEX('POR Config List'!C:C,MATCH(G326,'POR Config List'!D:D,0)))</f>
        <v/>
      </c>
      <c r="P326" s="105" t="str">
        <f t="shared" si="4"/>
        <v/>
      </c>
      <c r="Q326" s="105" t="str">
        <f t="array" ref="Q326">IF(ISBLANK(G326),"",INDEX('label approval artwork'!J:J,MATCH( G326,'label approval artwork'!F:F,0)))</f>
        <v/>
      </c>
      <c r="R326" s="105" t="str">
        <f t="array" ref="R326">IFERROR( IF(P326&lt;&gt;"EMA",INDEX('label approval artwork'!H:H,MATCH(G326,'label approval artwork'!F:F,0),"")),"")</f>
        <v/>
      </c>
      <c r="S326" s="105"/>
      <c r="T326" s="105" t="str">
        <f t="array" ref="T326">IF(ISBLANK(G326),"",INDEX('POR Config List'!I:I,MATCH(G326,'POR Config List'!D:D,0)))</f>
        <v/>
      </c>
      <c r="AA326" s="100" t="str">
        <f t="array" ref="AA326">IF(ISBLANK(G326),"",INDEX('POR Config List'!E:E,MATCH(G326,'POR Config List'!D:D,0)))</f>
        <v/>
      </c>
      <c r="AC326" s="105"/>
      <c r="AD326" s="100"/>
      <c r="AE326" s="100"/>
      <c r="AF326" s="100"/>
      <c r="AG326" s="100"/>
      <c r="AM326" s="102"/>
      <c r="AN326" s="102"/>
      <c r="AR326" s="119"/>
      <c r="AS326" s="103"/>
    </row>
    <row r="327">
      <c r="A327" s="168"/>
      <c r="B327" s="100" t="str">
        <f t="array" ref="B327">IFERROR( INDEX('POR Config List'!A:A,MATCH(G327,'POR Config List'!D:D,0)),"")</f>
        <v/>
      </c>
      <c r="C327" s="101" t="str">
        <f t="array" ref="C327">IFERROR(INDEX('label approval artwork'!E:E,MATCH(G327,'label approval artwork'!F:F,0),""),"")</f>
        <v/>
      </c>
      <c r="D327" s="102" t="str">
        <f t="shared" si="3"/>
        <v/>
      </c>
      <c r="E327" s="100" t="str">
        <f t="array" ref="E327">IF(ISBLANK(G327),"",INDEX('POR Config List'!K:K,MATCH(G327,'POR Config List'!D:D,0)))</f>
        <v/>
      </c>
      <c r="F327" s="100" t="str">
        <f t="array" ref="F327">IF(ISBLANK(G327),"",INDEX('POR Config List'!J:J,MATCH(G327,'POR Config List'!D:D,0)))</f>
        <v/>
      </c>
      <c r="G327" s="168"/>
      <c r="H327" s="104" t="str">
        <f t="array" ref="H327">IF(ISBLANK(G327),"",INDEX('MP SKUs'!G:G,MATCH(G327,'MP SKUs'!A:A,0)))</f>
        <v/>
      </c>
      <c r="I327" s="105" t="str">
        <f t="array" ref="I327">IF(ISBLANK(G327),"",INDEX('POR Config List'!O:O,MATCH(G327,'POR Config List'!D:D,0)))</f>
        <v/>
      </c>
      <c r="J327" s="104" t="str">
        <f t="array" ref="J327">IF(ISBLANK(G327),"",INDEX('POR Config List'!H:H,MATCH(G327,'POR Config List'!D:D,0)))</f>
        <v/>
      </c>
      <c r="K327" s="105" t="str">
        <f t="array" ref="K327">IF(ISBLANK(G327),"",INDEX('POR Config List'!G:G,MATCH(G327,'POR Config List'!D:D,0)))</f>
        <v/>
      </c>
      <c r="L327" s="105"/>
      <c r="M327" s="105" t="str">
        <f t="array" ref="M327">IF(ISBLANK(G327),"",INDEX('label approval artwork'!Q:Q,MATCH( G327,'label approval artwork'!F:F,0)))</f>
        <v/>
      </c>
      <c r="N327" s="169" t="str">
        <f t="shared" si="5"/>
        <v/>
      </c>
      <c r="O327" s="102" t="str">
        <f t="array" ref="O327">IF(ISBLANK(G327),"",INDEX('POR Config List'!C:C,MATCH(G327,'POR Config List'!D:D,0)))</f>
        <v/>
      </c>
      <c r="P327" s="105" t="str">
        <f t="shared" si="4"/>
        <v/>
      </c>
      <c r="Q327" s="105" t="str">
        <f t="array" ref="Q327">IF(ISBLANK(G327),"",INDEX('label approval artwork'!J:J,MATCH( G327,'label approval artwork'!F:F,0)))</f>
        <v/>
      </c>
      <c r="R327" s="105" t="str">
        <f t="array" ref="R327">IFERROR( IF(P327&lt;&gt;"EMA",INDEX('label approval artwork'!H:H,MATCH(G327,'label approval artwork'!F:F,0),"")),"")</f>
        <v/>
      </c>
      <c r="S327" s="105"/>
      <c r="T327" s="105" t="str">
        <f t="array" ref="T327">IF(ISBLANK(G327),"",INDEX('POR Config List'!I:I,MATCH(G327,'POR Config List'!D:D,0)))</f>
        <v/>
      </c>
      <c r="AA327" s="100" t="str">
        <f t="array" ref="AA327">IF(ISBLANK(G327),"",INDEX('POR Config List'!E:E,MATCH(G327,'POR Config List'!D:D,0)))</f>
        <v/>
      </c>
      <c r="AC327" s="105"/>
      <c r="AD327" s="100"/>
      <c r="AE327" s="100"/>
      <c r="AF327" s="100"/>
      <c r="AG327" s="100"/>
      <c r="AM327" s="102"/>
      <c r="AN327" s="102"/>
      <c r="AR327" s="119"/>
      <c r="AS327" s="103"/>
    </row>
    <row r="328">
      <c r="A328" s="168"/>
      <c r="B328" s="100" t="str">
        <f t="array" ref="B328">IFERROR( INDEX('POR Config List'!A:A,MATCH(G328,'POR Config List'!D:D,0)),"")</f>
        <v/>
      </c>
      <c r="C328" s="101" t="str">
        <f t="array" ref="C328">IFERROR(INDEX('label approval artwork'!E:E,MATCH(G328,'label approval artwork'!F:F,0),""),"")</f>
        <v/>
      </c>
      <c r="D328" s="102" t="str">
        <f t="shared" si="3"/>
        <v/>
      </c>
      <c r="E328" s="100" t="str">
        <f t="array" ref="E328">IF(ISBLANK(G328),"",INDEX('POR Config List'!K:K,MATCH(G328,'POR Config List'!D:D,0)))</f>
        <v/>
      </c>
      <c r="F328" s="100" t="str">
        <f t="array" ref="F328">IF(ISBLANK(G328),"",INDEX('POR Config List'!J:J,MATCH(G328,'POR Config List'!D:D,0)))</f>
        <v/>
      </c>
      <c r="G328" s="168"/>
      <c r="H328" s="104" t="str">
        <f t="array" ref="H328">IF(ISBLANK(G328),"",INDEX('MP SKUs'!G:G,MATCH(G328,'MP SKUs'!A:A,0)))</f>
        <v/>
      </c>
      <c r="I328" s="105" t="str">
        <f t="array" ref="I328">IF(ISBLANK(G328),"",INDEX('POR Config List'!O:O,MATCH(G328,'POR Config List'!D:D,0)))</f>
        <v/>
      </c>
      <c r="J328" s="104" t="str">
        <f t="array" ref="J328">IF(ISBLANK(G328),"",INDEX('POR Config List'!H:H,MATCH(G328,'POR Config List'!D:D,0)))</f>
        <v/>
      </c>
      <c r="K328" s="105" t="str">
        <f t="array" ref="K328">IF(ISBLANK(G328),"",INDEX('POR Config List'!G:G,MATCH(G328,'POR Config List'!D:D,0)))</f>
        <v/>
      </c>
      <c r="L328" s="105"/>
      <c r="M328" s="105" t="str">
        <f t="array" ref="M328">IF(ISBLANK(G328),"",INDEX('label approval artwork'!Q:Q,MATCH( G328,'label approval artwork'!F:F,0)))</f>
        <v/>
      </c>
      <c r="N328" s="169" t="str">
        <f t="shared" si="5"/>
        <v/>
      </c>
      <c r="O328" s="102" t="str">
        <f t="array" ref="O328">IF(ISBLANK(G328),"",INDEX('POR Config List'!C:C,MATCH(G328,'POR Config List'!D:D,0)))</f>
        <v/>
      </c>
      <c r="P328" s="105" t="str">
        <f t="shared" si="4"/>
        <v/>
      </c>
      <c r="Q328" s="105" t="str">
        <f t="array" ref="Q328">IF(ISBLANK(G328),"",INDEX('label approval artwork'!J:J,MATCH( G328,'label approval artwork'!F:F,0)))</f>
        <v/>
      </c>
      <c r="R328" s="105" t="str">
        <f t="array" ref="R328">IFERROR( IF(P328&lt;&gt;"EMA",INDEX('label approval artwork'!H:H,MATCH(G328,'label approval artwork'!F:F,0),"")),"")</f>
        <v/>
      </c>
      <c r="S328" s="105"/>
      <c r="T328" s="105" t="str">
        <f t="array" ref="T328">IF(ISBLANK(G328),"",INDEX('POR Config List'!I:I,MATCH(G328,'POR Config List'!D:D,0)))</f>
        <v/>
      </c>
      <c r="AA328" s="100" t="str">
        <f t="array" ref="AA328">IF(ISBLANK(G328),"",INDEX('POR Config List'!E:E,MATCH(G328,'POR Config List'!D:D,0)))</f>
        <v/>
      </c>
      <c r="AC328" s="105"/>
      <c r="AD328" s="100"/>
      <c r="AE328" s="100"/>
      <c r="AF328" s="100"/>
      <c r="AG328" s="100"/>
      <c r="AM328" s="102"/>
      <c r="AN328" s="102"/>
      <c r="AR328" s="119"/>
      <c r="AS328" s="103"/>
    </row>
    <row r="329">
      <c r="A329" s="168"/>
      <c r="B329" s="100" t="str">
        <f t="array" ref="B329">IFERROR( INDEX('POR Config List'!A:A,MATCH(G329,'POR Config List'!D:D,0)),"")</f>
        <v/>
      </c>
      <c r="C329" s="101" t="str">
        <f t="array" ref="C329">IFERROR(INDEX('label approval artwork'!E:E,MATCH(G329,'label approval artwork'!F:F,0),""),"")</f>
        <v/>
      </c>
      <c r="D329" s="102" t="str">
        <f t="shared" si="3"/>
        <v/>
      </c>
      <c r="E329" s="100" t="str">
        <f t="array" ref="E329">IF(ISBLANK(G329),"",INDEX('POR Config List'!K:K,MATCH(G329,'POR Config List'!D:D,0)))</f>
        <v/>
      </c>
      <c r="F329" s="100" t="str">
        <f t="array" ref="F329">IF(ISBLANK(G329),"",INDEX('POR Config List'!J:J,MATCH(G329,'POR Config List'!D:D,0)))</f>
        <v/>
      </c>
      <c r="G329" s="168"/>
      <c r="H329" s="104" t="str">
        <f t="array" ref="H329">IF(ISBLANK(G329),"",INDEX('MP SKUs'!G:G,MATCH(G329,'MP SKUs'!A:A,0)))</f>
        <v/>
      </c>
      <c r="I329" s="105" t="str">
        <f t="array" ref="I329">IF(ISBLANK(G329),"",INDEX('POR Config List'!O:O,MATCH(G329,'POR Config List'!D:D,0)))</f>
        <v/>
      </c>
      <c r="J329" s="104" t="str">
        <f t="array" ref="J329">IF(ISBLANK(G329),"",INDEX('POR Config List'!H:H,MATCH(G329,'POR Config List'!D:D,0)))</f>
        <v/>
      </c>
      <c r="K329" s="105" t="str">
        <f t="array" ref="K329">IF(ISBLANK(G329),"",INDEX('POR Config List'!G:G,MATCH(G329,'POR Config List'!D:D,0)))</f>
        <v/>
      </c>
      <c r="L329" s="105"/>
      <c r="M329" s="105" t="str">
        <f t="array" ref="M329">IF(ISBLANK(G329),"",INDEX('label approval artwork'!Q:Q,MATCH( G329,'label approval artwork'!F:F,0)))</f>
        <v/>
      </c>
      <c r="N329" s="169" t="str">
        <f t="shared" si="5"/>
        <v/>
      </c>
      <c r="O329" s="102" t="str">
        <f t="array" ref="O329">IF(ISBLANK(G329),"",INDEX('POR Config List'!C:C,MATCH(G329,'POR Config List'!D:D,0)))</f>
        <v/>
      </c>
      <c r="P329" s="105" t="str">
        <f t="shared" si="4"/>
        <v/>
      </c>
      <c r="Q329" s="105" t="str">
        <f t="array" ref="Q329">IF(ISBLANK(G329),"",INDEX('label approval artwork'!J:J,MATCH( G329,'label approval artwork'!F:F,0)))</f>
        <v/>
      </c>
      <c r="R329" s="105" t="str">
        <f t="array" ref="R329">IFERROR( IF(P329&lt;&gt;"EMA",INDEX('label approval artwork'!H:H,MATCH(G329,'label approval artwork'!F:F,0),"")),"")</f>
        <v/>
      </c>
      <c r="S329" s="105"/>
      <c r="T329" s="105" t="str">
        <f t="array" ref="T329">IF(ISBLANK(G329),"",INDEX('POR Config List'!I:I,MATCH(G329,'POR Config List'!D:D,0)))</f>
        <v/>
      </c>
      <c r="AA329" s="100" t="str">
        <f t="array" ref="AA329">IF(ISBLANK(G329),"",INDEX('POR Config List'!E:E,MATCH(G329,'POR Config List'!D:D,0)))</f>
        <v/>
      </c>
      <c r="AC329" s="105"/>
      <c r="AD329" s="100"/>
      <c r="AE329" s="100"/>
      <c r="AF329" s="100"/>
      <c r="AG329" s="100"/>
      <c r="AM329" s="102"/>
      <c r="AN329" s="102"/>
      <c r="AR329" s="119"/>
      <c r="AS329" s="103"/>
    </row>
    <row r="330">
      <c r="A330" s="168"/>
      <c r="B330" s="100" t="str">
        <f t="array" ref="B330">IFERROR( INDEX('POR Config List'!A:A,MATCH(G330,'POR Config List'!D:D,0)),"")</f>
        <v/>
      </c>
      <c r="C330" s="101" t="str">
        <f t="array" ref="C330">IFERROR(INDEX('label approval artwork'!E:E,MATCH(G330,'label approval artwork'!F:F,0),""),"")</f>
        <v/>
      </c>
      <c r="D330" s="102" t="str">
        <f t="shared" si="3"/>
        <v/>
      </c>
      <c r="E330" s="100" t="str">
        <f t="array" ref="E330">IF(ISBLANK(G330),"",INDEX('POR Config List'!K:K,MATCH(G330,'POR Config List'!D:D,0)))</f>
        <v/>
      </c>
      <c r="F330" s="100" t="str">
        <f t="array" ref="F330">IF(ISBLANK(G330),"",INDEX('POR Config List'!J:J,MATCH(G330,'POR Config List'!D:D,0)))</f>
        <v/>
      </c>
      <c r="G330" s="168"/>
      <c r="H330" s="104" t="str">
        <f t="array" ref="H330">IF(ISBLANK(G330),"",INDEX('MP SKUs'!G:G,MATCH(G330,'MP SKUs'!A:A,0)))</f>
        <v/>
      </c>
      <c r="I330" s="105" t="str">
        <f t="array" ref="I330">IF(ISBLANK(G330),"",INDEX('POR Config List'!O:O,MATCH(G330,'POR Config List'!D:D,0)))</f>
        <v/>
      </c>
      <c r="J330" s="104" t="str">
        <f t="array" ref="J330">IF(ISBLANK(G330),"",INDEX('POR Config List'!H:H,MATCH(G330,'POR Config List'!D:D,0)))</f>
        <v/>
      </c>
      <c r="K330" s="105" t="str">
        <f t="array" ref="K330">IF(ISBLANK(G330),"",INDEX('POR Config List'!G:G,MATCH(G330,'POR Config List'!D:D,0)))</f>
        <v/>
      </c>
      <c r="L330" s="105"/>
      <c r="M330" s="105" t="str">
        <f t="array" ref="M330">IF(ISBLANK(G330),"",INDEX('label approval artwork'!Q:Q,MATCH( G330,'label approval artwork'!F:F,0)))</f>
        <v/>
      </c>
      <c r="N330" s="169" t="str">
        <f t="shared" si="5"/>
        <v/>
      </c>
      <c r="O330" s="102" t="str">
        <f t="array" ref="O330">IF(ISBLANK(G330),"",INDEX('POR Config List'!C:C,MATCH(G330,'POR Config List'!D:D,0)))</f>
        <v/>
      </c>
      <c r="P330" s="105" t="str">
        <f t="shared" si="4"/>
        <v/>
      </c>
      <c r="Q330" s="105" t="str">
        <f t="array" ref="Q330">IF(ISBLANK(G330),"",INDEX('label approval artwork'!J:J,MATCH( G330,'label approval artwork'!F:F,0)))</f>
        <v/>
      </c>
      <c r="R330" s="105" t="str">
        <f t="array" ref="R330">IFERROR( IF(P330&lt;&gt;"EMA",INDEX('label approval artwork'!H:H,MATCH(G330,'label approval artwork'!F:F,0),"")),"")</f>
        <v/>
      </c>
      <c r="S330" s="105"/>
      <c r="T330" s="105" t="str">
        <f t="array" ref="T330">IF(ISBLANK(G330),"",INDEX('POR Config List'!I:I,MATCH(G330,'POR Config List'!D:D,0)))</f>
        <v/>
      </c>
      <c r="AA330" s="100" t="str">
        <f t="array" ref="AA330">IF(ISBLANK(G330),"",INDEX('POR Config List'!E:E,MATCH(G330,'POR Config List'!D:D,0)))</f>
        <v/>
      </c>
      <c r="AC330" s="105"/>
      <c r="AD330" s="100"/>
      <c r="AE330" s="100"/>
      <c r="AF330" s="100"/>
      <c r="AG330" s="100"/>
      <c r="AM330" s="102"/>
      <c r="AN330" s="102"/>
      <c r="AR330" s="119"/>
      <c r="AS330" s="103"/>
    </row>
    <row r="331">
      <c r="A331" s="168"/>
      <c r="B331" s="100" t="str">
        <f t="array" ref="B331">IFERROR( INDEX('POR Config List'!A:A,MATCH(G331,'POR Config List'!D:D,0)),"")</f>
        <v/>
      </c>
      <c r="C331" s="101" t="str">
        <f t="array" ref="C331">IFERROR(INDEX('label approval artwork'!E:E,MATCH(G331,'label approval artwork'!F:F,0),""),"")</f>
        <v/>
      </c>
      <c r="D331" s="102" t="str">
        <f t="shared" si="3"/>
        <v/>
      </c>
      <c r="E331" s="100" t="str">
        <f t="array" ref="E331">IF(ISBLANK(G331),"",INDEX('POR Config List'!K:K,MATCH(G331,'POR Config List'!D:D,0)))</f>
        <v/>
      </c>
      <c r="F331" s="100" t="str">
        <f t="array" ref="F331">IF(ISBLANK(G331),"",INDEX('POR Config List'!J:J,MATCH(G331,'POR Config List'!D:D,0)))</f>
        <v/>
      </c>
      <c r="G331" s="168"/>
      <c r="H331" s="104" t="str">
        <f t="array" ref="H331">IF(ISBLANK(G331),"",INDEX('MP SKUs'!G:G,MATCH(G331,'MP SKUs'!A:A,0)))</f>
        <v/>
      </c>
      <c r="I331" s="105" t="str">
        <f t="array" ref="I331">IF(ISBLANK(G331),"",INDEX('POR Config List'!O:O,MATCH(G331,'POR Config List'!D:D,0)))</f>
        <v/>
      </c>
      <c r="J331" s="104" t="str">
        <f t="array" ref="J331">IF(ISBLANK(G331),"",INDEX('POR Config List'!H:H,MATCH(G331,'POR Config List'!D:D,0)))</f>
        <v/>
      </c>
      <c r="K331" s="105" t="str">
        <f t="array" ref="K331">IF(ISBLANK(G331),"",INDEX('POR Config List'!G:G,MATCH(G331,'POR Config List'!D:D,0)))</f>
        <v/>
      </c>
      <c r="L331" s="105"/>
      <c r="M331" s="105" t="str">
        <f t="array" ref="M331">IF(ISBLANK(G331),"",INDEX('label approval artwork'!Q:Q,MATCH( G331,'label approval artwork'!F:F,0)))</f>
        <v/>
      </c>
      <c r="N331" s="169" t="str">
        <f t="shared" si="5"/>
        <v/>
      </c>
      <c r="O331" s="102" t="str">
        <f t="array" ref="O331">IF(ISBLANK(G331),"",INDEX('POR Config List'!C:C,MATCH(G331,'POR Config List'!D:D,0)))</f>
        <v/>
      </c>
      <c r="P331" s="105" t="str">
        <f t="shared" si="4"/>
        <v/>
      </c>
      <c r="Q331" s="105" t="str">
        <f t="array" ref="Q331">IF(ISBLANK(G331),"",INDEX('label approval artwork'!J:J,MATCH( G331,'label approval artwork'!F:F,0)))</f>
        <v/>
      </c>
      <c r="R331" s="105" t="str">
        <f t="array" ref="R331">IFERROR( IF(P331&lt;&gt;"EMA",INDEX('label approval artwork'!H:H,MATCH(G331,'label approval artwork'!F:F,0),"")),"")</f>
        <v/>
      </c>
      <c r="S331" s="105"/>
      <c r="T331" s="105" t="str">
        <f t="array" ref="T331">IF(ISBLANK(G331),"",INDEX('POR Config List'!I:I,MATCH(G331,'POR Config List'!D:D,0)))</f>
        <v/>
      </c>
      <c r="AA331" s="100" t="str">
        <f t="array" ref="AA331">IF(ISBLANK(G331),"",INDEX('POR Config List'!E:E,MATCH(G331,'POR Config List'!D:D,0)))</f>
        <v/>
      </c>
      <c r="AC331" s="105"/>
      <c r="AD331" s="100"/>
      <c r="AE331" s="100"/>
      <c r="AF331" s="100"/>
      <c r="AG331" s="100"/>
      <c r="AM331" s="102"/>
      <c r="AN331" s="102"/>
      <c r="AR331" s="119"/>
      <c r="AS331" s="103"/>
    </row>
    <row r="332">
      <c r="A332" s="168"/>
      <c r="B332" s="100" t="str">
        <f t="array" ref="B332">IFERROR( INDEX('POR Config List'!A:A,MATCH(G332,'POR Config List'!D:D,0)),"")</f>
        <v/>
      </c>
      <c r="C332" s="101" t="str">
        <f t="array" ref="C332">IFERROR(INDEX('label approval artwork'!E:E,MATCH(G332,'label approval artwork'!F:F,0),""),"")</f>
        <v/>
      </c>
      <c r="D332" s="102" t="str">
        <f t="shared" si="3"/>
        <v/>
      </c>
      <c r="E332" s="100" t="str">
        <f t="array" ref="E332">IF(ISBLANK(G332),"",INDEX('POR Config List'!K:K,MATCH(G332,'POR Config List'!D:D,0)))</f>
        <v/>
      </c>
      <c r="F332" s="100" t="str">
        <f t="array" ref="F332">IF(ISBLANK(G332),"",INDEX('POR Config List'!J:J,MATCH(G332,'POR Config List'!D:D,0)))</f>
        <v/>
      </c>
      <c r="G332" s="168"/>
      <c r="H332" s="104" t="str">
        <f t="array" ref="H332">IF(ISBLANK(G332),"",INDEX('MP SKUs'!G:G,MATCH(G332,'MP SKUs'!A:A,0)))</f>
        <v/>
      </c>
      <c r="I332" s="105" t="str">
        <f t="array" ref="I332">IF(ISBLANK(G332),"",INDEX('POR Config List'!O:O,MATCH(G332,'POR Config List'!D:D,0)))</f>
        <v/>
      </c>
      <c r="J332" s="104" t="str">
        <f t="array" ref="J332">IF(ISBLANK(G332),"",INDEX('POR Config List'!H:H,MATCH(G332,'POR Config List'!D:D,0)))</f>
        <v/>
      </c>
      <c r="K332" s="105" t="str">
        <f t="array" ref="K332">IF(ISBLANK(G332),"",INDEX('POR Config List'!G:G,MATCH(G332,'POR Config List'!D:D,0)))</f>
        <v/>
      </c>
      <c r="L332" s="105"/>
      <c r="M332" s="105" t="str">
        <f t="array" ref="M332">IF(ISBLANK(G332),"",INDEX('label approval artwork'!Q:Q,MATCH( G332,'label approval artwork'!F:F,0)))</f>
        <v/>
      </c>
      <c r="N332" s="169" t="str">
        <f t="shared" si="5"/>
        <v/>
      </c>
      <c r="O332" s="102" t="str">
        <f t="array" ref="O332">IF(ISBLANK(G332),"",INDEX('POR Config List'!C:C,MATCH(G332,'POR Config List'!D:D,0)))</f>
        <v/>
      </c>
      <c r="P332" s="105" t="str">
        <f t="shared" si="4"/>
        <v/>
      </c>
      <c r="Q332" s="105" t="str">
        <f t="array" ref="Q332">IF(ISBLANK(G332),"",INDEX('label approval artwork'!J:J,MATCH( G332,'label approval artwork'!F:F,0)))</f>
        <v/>
      </c>
      <c r="R332" s="105" t="str">
        <f t="array" ref="R332">IFERROR( IF(P332&lt;&gt;"EMA",INDEX('label approval artwork'!H:H,MATCH(G332,'label approval artwork'!F:F,0),"")),"")</f>
        <v/>
      </c>
      <c r="S332" s="105"/>
      <c r="T332" s="105" t="str">
        <f t="array" ref="T332">IF(ISBLANK(G332),"",INDEX('POR Config List'!I:I,MATCH(G332,'POR Config List'!D:D,0)))</f>
        <v/>
      </c>
      <c r="AA332" s="100" t="str">
        <f t="array" ref="AA332">IF(ISBLANK(G332),"",INDEX('POR Config List'!E:E,MATCH(G332,'POR Config List'!D:D,0)))</f>
        <v/>
      </c>
      <c r="AC332" s="105"/>
      <c r="AD332" s="100"/>
      <c r="AE332" s="100"/>
      <c r="AF332" s="100"/>
      <c r="AG332" s="100"/>
      <c r="AM332" s="102"/>
      <c r="AN332" s="102"/>
      <c r="AR332" s="119"/>
      <c r="AS332" s="103"/>
    </row>
    <row r="333">
      <c r="A333" s="168"/>
      <c r="B333" s="100" t="str">
        <f t="array" ref="B333">IFERROR( INDEX('POR Config List'!A:A,MATCH(G333,'POR Config List'!D:D,0)),"")</f>
        <v/>
      </c>
      <c r="C333" s="101" t="str">
        <f t="array" ref="C333">IFERROR(INDEX('label approval artwork'!E:E,MATCH(G333,'label approval artwork'!F:F,0),""),"")</f>
        <v/>
      </c>
      <c r="D333" s="102" t="str">
        <f t="shared" si="3"/>
        <v/>
      </c>
      <c r="E333" s="100" t="str">
        <f t="array" ref="E333">IF(ISBLANK(G333),"",INDEX('POR Config List'!K:K,MATCH(G333,'POR Config List'!D:D,0)))</f>
        <v/>
      </c>
      <c r="F333" s="100" t="str">
        <f t="array" ref="F333">IF(ISBLANK(G333),"",INDEX('POR Config List'!J:J,MATCH(G333,'POR Config List'!D:D,0)))</f>
        <v/>
      </c>
      <c r="G333" s="168"/>
      <c r="H333" s="104" t="str">
        <f t="array" ref="H333">IF(ISBLANK(G333),"",INDEX('MP SKUs'!G:G,MATCH(G333,'MP SKUs'!A:A,0)))</f>
        <v/>
      </c>
      <c r="I333" s="105" t="str">
        <f t="array" ref="I333">IF(ISBLANK(G333),"",INDEX('POR Config List'!O:O,MATCH(G333,'POR Config List'!D:D,0)))</f>
        <v/>
      </c>
      <c r="J333" s="104" t="str">
        <f t="array" ref="J333">IF(ISBLANK(G333),"",INDEX('POR Config List'!H:H,MATCH(G333,'POR Config List'!D:D,0)))</f>
        <v/>
      </c>
      <c r="K333" s="105" t="str">
        <f t="array" ref="K333">IF(ISBLANK(G333),"",INDEX('POR Config List'!G:G,MATCH(G333,'POR Config List'!D:D,0)))</f>
        <v/>
      </c>
      <c r="L333" s="105"/>
      <c r="M333" s="105" t="str">
        <f t="array" ref="M333">IF(ISBLANK(G333),"",INDEX('label approval artwork'!Q:Q,MATCH( G333,'label approval artwork'!F:F,0)))</f>
        <v/>
      </c>
      <c r="N333" s="169" t="str">
        <f t="shared" si="5"/>
        <v/>
      </c>
      <c r="O333" s="102" t="str">
        <f t="array" ref="O333">IF(ISBLANK(G333),"",INDEX('POR Config List'!C:C,MATCH(G333,'POR Config List'!D:D,0)))</f>
        <v/>
      </c>
      <c r="P333" s="105" t="str">
        <f t="shared" si="4"/>
        <v/>
      </c>
      <c r="Q333" s="105" t="str">
        <f t="array" ref="Q333">IF(ISBLANK(G333),"",INDEX('label approval artwork'!J:J,MATCH( G333,'label approval artwork'!F:F,0)))</f>
        <v/>
      </c>
      <c r="R333" s="105" t="str">
        <f t="array" ref="R333">IFERROR( IF(P333&lt;&gt;"EMA",INDEX('label approval artwork'!H:H,MATCH(G333,'label approval artwork'!F:F,0),"")),"")</f>
        <v/>
      </c>
      <c r="S333" s="105"/>
      <c r="T333" s="105" t="str">
        <f t="array" ref="T333">IF(ISBLANK(G333),"",INDEX('POR Config List'!I:I,MATCH(G333,'POR Config List'!D:D,0)))</f>
        <v/>
      </c>
      <c r="AA333" s="100" t="str">
        <f t="array" ref="AA333">IF(ISBLANK(G333),"",INDEX('POR Config List'!E:E,MATCH(G333,'POR Config List'!D:D,0)))</f>
        <v/>
      </c>
      <c r="AC333" s="105"/>
      <c r="AD333" s="100"/>
      <c r="AE333" s="100"/>
      <c r="AF333" s="100"/>
      <c r="AG333" s="100"/>
      <c r="AM333" s="102"/>
      <c r="AN333" s="102"/>
      <c r="AR333" s="119"/>
      <c r="AS333" s="103"/>
    </row>
    <row r="334">
      <c r="A334" s="168"/>
      <c r="B334" s="100" t="str">
        <f t="array" ref="B334">IFERROR( INDEX('POR Config List'!A:A,MATCH(G334,'POR Config List'!D:D,0)),"")</f>
        <v/>
      </c>
      <c r="C334" s="101" t="str">
        <f t="array" ref="C334">IFERROR(INDEX('label approval artwork'!E:E,MATCH(G334,'label approval artwork'!F:F,0),""),"")</f>
        <v/>
      </c>
      <c r="D334" s="102" t="str">
        <f t="shared" si="3"/>
        <v/>
      </c>
      <c r="E334" s="100" t="str">
        <f t="array" ref="E334">IF(ISBLANK(G334),"",INDEX('POR Config List'!K:K,MATCH(G334,'POR Config List'!D:D,0)))</f>
        <v/>
      </c>
      <c r="F334" s="100" t="str">
        <f t="array" ref="F334">IF(ISBLANK(G334),"",INDEX('POR Config List'!J:J,MATCH(G334,'POR Config List'!D:D,0)))</f>
        <v/>
      </c>
      <c r="G334" s="168"/>
      <c r="H334" s="104" t="str">
        <f t="array" ref="H334">IF(ISBLANK(G334),"",INDEX('MP SKUs'!G:G,MATCH(G334,'MP SKUs'!A:A,0)))</f>
        <v/>
      </c>
      <c r="I334" s="105" t="str">
        <f t="array" ref="I334">IF(ISBLANK(G334),"",INDEX('POR Config List'!O:O,MATCH(G334,'POR Config List'!D:D,0)))</f>
        <v/>
      </c>
      <c r="J334" s="104" t="str">
        <f t="array" ref="J334">IF(ISBLANK(G334),"",INDEX('POR Config List'!H:H,MATCH(G334,'POR Config List'!D:D,0)))</f>
        <v/>
      </c>
      <c r="K334" s="105" t="str">
        <f t="array" ref="K334">IF(ISBLANK(G334),"",INDEX('POR Config List'!G:G,MATCH(G334,'POR Config List'!D:D,0)))</f>
        <v/>
      </c>
      <c r="L334" s="105"/>
      <c r="M334" s="105" t="str">
        <f t="array" ref="M334">IF(ISBLANK(G334),"",INDEX('label approval artwork'!Q:Q,MATCH( G334,'label approval artwork'!F:F,0)))</f>
        <v/>
      </c>
      <c r="N334" s="169" t="str">
        <f t="shared" si="5"/>
        <v/>
      </c>
      <c r="O334" s="102" t="str">
        <f t="array" ref="O334">IF(ISBLANK(G334),"",INDEX('POR Config List'!C:C,MATCH(G334,'POR Config List'!D:D,0)))</f>
        <v/>
      </c>
      <c r="P334" s="105" t="str">
        <f t="shared" si="4"/>
        <v/>
      </c>
      <c r="Q334" s="105" t="str">
        <f t="array" ref="Q334">IF(ISBLANK(G334),"",INDEX('label approval artwork'!J:J,MATCH( G334,'label approval artwork'!F:F,0)))</f>
        <v/>
      </c>
      <c r="R334" s="105" t="str">
        <f t="array" ref="R334">IFERROR( IF(P334&lt;&gt;"EMA",INDEX('label approval artwork'!H:H,MATCH(G334,'label approval artwork'!F:F,0),"")),"")</f>
        <v/>
      </c>
      <c r="S334" s="105"/>
      <c r="T334" s="105" t="str">
        <f t="array" ref="T334">IF(ISBLANK(G334),"",INDEX('POR Config List'!I:I,MATCH(G334,'POR Config List'!D:D,0)))</f>
        <v/>
      </c>
      <c r="AA334" s="100" t="str">
        <f t="array" ref="AA334">IF(ISBLANK(G334),"",INDEX('POR Config List'!E:E,MATCH(G334,'POR Config List'!D:D,0)))</f>
        <v/>
      </c>
      <c r="AC334" s="105"/>
      <c r="AD334" s="100"/>
      <c r="AE334" s="100"/>
      <c r="AF334" s="100"/>
      <c r="AG334" s="100"/>
      <c r="AM334" s="102"/>
      <c r="AN334" s="102"/>
      <c r="AR334" s="119"/>
      <c r="AS334" s="103"/>
    </row>
    <row r="335">
      <c r="A335" s="168"/>
      <c r="B335" s="100" t="str">
        <f t="array" ref="B335">IFERROR( INDEX('POR Config List'!A:A,MATCH(G335,'POR Config List'!D:D,0)),"")</f>
        <v/>
      </c>
      <c r="C335" s="101" t="str">
        <f t="array" ref="C335">IFERROR(INDEX('label approval artwork'!E:E,MATCH(G335,'label approval artwork'!F:F,0),""),"")</f>
        <v/>
      </c>
      <c r="D335" s="102" t="str">
        <f t="shared" si="3"/>
        <v/>
      </c>
      <c r="E335" s="100" t="str">
        <f t="array" ref="E335">IF(ISBLANK(G335),"",INDEX('POR Config List'!K:K,MATCH(G335,'POR Config List'!D:D,0)))</f>
        <v/>
      </c>
      <c r="F335" s="100" t="str">
        <f t="array" ref="F335">IF(ISBLANK(G335),"",INDEX('POR Config List'!J:J,MATCH(G335,'POR Config List'!D:D,0)))</f>
        <v/>
      </c>
      <c r="G335" s="168"/>
      <c r="H335" s="104" t="str">
        <f t="array" ref="H335">IF(ISBLANK(G335),"",INDEX('MP SKUs'!G:G,MATCH(G335,'MP SKUs'!A:A,0)))</f>
        <v/>
      </c>
      <c r="I335" s="105" t="str">
        <f t="array" ref="I335">IF(ISBLANK(G335),"",INDEX('POR Config List'!O:O,MATCH(G335,'POR Config List'!D:D,0)))</f>
        <v/>
      </c>
      <c r="J335" s="104" t="str">
        <f t="array" ref="J335">IF(ISBLANK(G335),"",INDEX('POR Config List'!H:H,MATCH(G335,'POR Config List'!D:D,0)))</f>
        <v/>
      </c>
      <c r="K335" s="105" t="str">
        <f t="array" ref="K335">IF(ISBLANK(G335),"",INDEX('POR Config List'!G:G,MATCH(G335,'POR Config List'!D:D,0)))</f>
        <v/>
      </c>
      <c r="L335" s="105"/>
      <c r="M335" s="105" t="str">
        <f t="array" ref="M335">IF(ISBLANK(G335),"",INDEX('label approval artwork'!Q:Q,MATCH( G335,'label approval artwork'!F:F,0)))</f>
        <v/>
      </c>
      <c r="N335" s="169" t="str">
        <f t="shared" si="5"/>
        <v/>
      </c>
      <c r="O335" s="102" t="str">
        <f t="array" ref="O335">IF(ISBLANK(G335),"",INDEX('POR Config List'!C:C,MATCH(G335,'POR Config List'!D:D,0)))</f>
        <v/>
      </c>
      <c r="P335" s="105" t="str">
        <f t="shared" si="4"/>
        <v/>
      </c>
      <c r="Q335" s="105" t="str">
        <f t="array" ref="Q335">IF(ISBLANK(G335),"",INDEX('label approval artwork'!J:J,MATCH( G335,'label approval artwork'!F:F,0)))</f>
        <v/>
      </c>
      <c r="R335" s="105" t="str">
        <f t="array" ref="R335">IFERROR( IF(P335&lt;&gt;"EMA",INDEX('label approval artwork'!H:H,MATCH(G335,'label approval artwork'!F:F,0),"")),"")</f>
        <v/>
      </c>
      <c r="S335" s="105"/>
      <c r="T335" s="105" t="str">
        <f t="array" ref="T335">IF(ISBLANK(G335),"",INDEX('POR Config List'!I:I,MATCH(G335,'POR Config List'!D:D,0)))</f>
        <v/>
      </c>
      <c r="AA335" s="100" t="str">
        <f t="array" ref="AA335">IF(ISBLANK(G335),"",INDEX('POR Config List'!E:E,MATCH(G335,'POR Config List'!D:D,0)))</f>
        <v/>
      </c>
      <c r="AC335" s="105"/>
      <c r="AD335" s="100"/>
      <c r="AE335" s="100"/>
      <c r="AF335" s="100"/>
      <c r="AG335" s="100"/>
      <c r="AM335" s="102"/>
      <c r="AN335" s="102"/>
      <c r="AR335" s="119"/>
      <c r="AS335" s="103"/>
    </row>
    <row r="336">
      <c r="A336" s="168"/>
      <c r="B336" s="100" t="str">
        <f t="array" ref="B336">IFERROR( INDEX('POR Config List'!A:A,MATCH(G336,'POR Config List'!D:D,0)),"")</f>
        <v/>
      </c>
      <c r="C336" s="101" t="str">
        <f t="array" ref="C336">IFERROR(INDEX('label approval artwork'!E:E,MATCH(G336,'label approval artwork'!F:F,0),""),"")</f>
        <v/>
      </c>
      <c r="D336" s="102" t="str">
        <f t="shared" si="3"/>
        <v/>
      </c>
      <c r="E336" s="100" t="str">
        <f t="array" ref="E336">IF(ISBLANK(G336),"",INDEX('POR Config List'!K:K,MATCH(G336,'POR Config List'!D:D,0)))</f>
        <v/>
      </c>
      <c r="F336" s="100" t="str">
        <f t="array" ref="F336">IF(ISBLANK(G336),"",INDEX('POR Config List'!J:J,MATCH(G336,'POR Config List'!D:D,0)))</f>
        <v/>
      </c>
      <c r="G336" s="168"/>
      <c r="H336" s="104" t="str">
        <f t="array" ref="H336">IF(ISBLANK(G336),"",INDEX('MP SKUs'!G:G,MATCH(G336,'MP SKUs'!A:A,0)))</f>
        <v/>
      </c>
      <c r="I336" s="105" t="str">
        <f t="array" ref="I336">IF(ISBLANK(G336),"",INDEX('POR Config List'!O:O,MATCH(G336,'POR Config List'!D:D,0)))</f>
        <v/>
      </c>
      <c r="J336" s="104" t="str">
        <f t="array" ref="J336">IF(ISBLANK(G336),"",INDEX('POR Config List'!H:H,MATCH(G336,'POR Config List'!D:D,0)))</f>
        <v/>
      </c>
      <c r="K336" s="105" t="str">
        <f t="array" ref="K336">IF(ISBLANK(G336),"",INDEX('POR Config List'!G:G,MATCH(G336,'POR Config List'!D:D,0)))</f>
        <v/>
      </c>
      <c r="L336" s="105"/>
      <c r="M336" s="105" t="str">
        <f t="array" ref="M336">IF(ISBLANK(G336),"",INDEX('label approval artwork'!Q:Q,MATCH( G336,'label approval artwork'!F:F,0)))</f>
        <v/>
      </c>
      <c r="N336" s="169" t="str">
        <f t="shared" si="5"/>
        <v/>
      </c>
      <c r="O336" s="102" t="str">
        <f t="array" ref="O336">IF(ISBLANK(G336),"",INDEX('POR Config List'!C:C,MATCH(G336,'POR Config List'!D:D,0)))</f>
        <v/>
      </c>
      <c r="P336" s="105" t="str">
        <f t="shared" si="4"/>
        <v/>
      </c>
      <c r="Q336" s="105" t="str">
        <f t="array" ref="Q336">IF(ISBLANK(G336),"",INDEX('label approval artwork'!J:J,MATCH( G336,'label approval artwork'!F:F,0)))</f>
        <v/>
      </c>
      <c r="R336" s="105" t="str">
        <f t="array" ref="R336">IFERROR( IF(P336&lt;&gt;"EMA",INDEX('label approval artwork'!H:H,MATCH(G336,'label approval artwork'!F:F,0),"")),"")</f>
        <v/>
      </c>
      <c r="S336" s="105"/>
      <c r="T336" s="105" t="str">
        <f t="array" ref="T336">IF(ISBLANK(G336),"",INDEX('POR Config List'!I:I,MATCH(G336,'POR Config List'!D:D,0)))</f>
        <v/>
      </c>
      <c r="AA336" s="100" t="str">
        <f t="array" ref="AA336">IF(ISBLANK(G336),"",INDEX('POR Config List'!E:E,MATCH(G336,'POR Config List'!D:D,0)))</f>
        <v/>
      </c>
      <c r="AC336" s="105"/>
      <c r="AD336" s="100"/>
      <c r="AE336" s="100"/>
      <c r="AF336" s="100"/>
      <c r="AG336" s="100"/>
      <c r="AM336" s="102"/>
      <c r="AN336" s="102"/>
      <c r="AR336" s="119"/>
      <c r="AS336" s="103"/>
    </row>
    <row r="337">
      <c r="A337" s="168"/>
      <c r="B337" s="100" t="str">
        <f t="array" ref="B337">IFERROR( INDEX('POR Config List'!A:A,MATCH(G337,'POR Config List'!D:D,0)),"")</f>
        <v/>
      </c>
      <c r="C337" s="101" t="str">
        <f t="array" ref="C337">IFERROR(INDEX('label approval artwork'!E:E,MATCH(G337,'label approval artwork'!F:F,0),""),"")</f>
        <v/>
      </c>
      <c r="D337" s="102" t="str">
        <f t="shared" si="3"/>
        <v/>
      </c>
      <c r="E337" s="100" t="str">
        <f t="array" ref="E337">IF(ISBLANK(G337),"",INDEX('POR Config List'!K:K,MATCH(G337,'POR Config List'!D:D,0)))</f>
        <v/>
      </c>
      <c r="F337" s="100" t="str">
        <f t="array" ref="F337">IF(ISBLANK(G337),"",INDEX('POR Config List'!J:J,MATCH(G337,'POR Config List'!D:D,0)))</f>
        <v/>
      </c>
      <c r="G337" s="168"/>
      <c r="H337" s="104" t="str">
        <f t="array" ref="H337">IF(ISBLANK(G337),"",INDEX('MP SKUs'!G:G,MATCH(G337,'MP SKUs'!A:A,0)))</f>
        <v/>
      </c>
      <c r="I337" s="105" t="str">
        <f t="array" ref="I337">IF(ISBLANK(G337),"",INDEX('POR Config List'!O:O,MATCH(G337,'POR Config List'!D:D,0)))</f>
        <v/>
      </c>
      <c r="J337" s="104" t="str">
        <f t="array" ref="J337">IF(ISBLANK(G337),"",INDEX('POR Config List'!H:H,MATCH(G337,'POR Config List'!D:D,0)))</f>
        <v/>
      </c>
      <c r="K337" s="105" t="str">
        <f t="array" ref="K337">IF(ISBLANK(G337),"",INDEX('POR Config List'!G:G,MATCH(G337,'POR Config List'!D:D,0)))</f>
        <v/>
      </c>
      <c r="L337" s="105"/>
      <c r="M337" s="105" t="str">
        <f t="array" ref="M337">IF(ISBLANK(G337),"",INDEX('label approval artwork'!Q:Q,MATCH( G337,'label approval artwork'!F:F,0)))</f>
        <v/>
      </c>
      <c r="N337" s="169" t="str">
        <f t="shared" si="5"/>
        <v/>
      </c>
      <c r="O337" s="102" t="str">
        <f t="array" ref="O337">IF(ISBLANK(G337),"",INDEX('POR Config List'!C:C,MATCH(G337,'POR Config List'!D:D,0)))</f>
        <v/>
      </c>
      <c r="P337" s="105" t="str">
        <f t="shared" si="4"/>
        <v/>
      </c>
      <c r="Q337" s="105" t="str">
        <f t="array" ref="Q337">IF(ISBLANK(G337),"",INDEX('label approval artwork'!J:J,MATCH( G337,'label approval artwork'!F:F,0)))</f>
        <v/>
      </c>
      <c r="R337" s="105" t="str">
        <f t="array" ref="R337">IFERROR( IF(P337&lt;&gt;"EMA",INDEX('label approval artwork'!H:H,MATCH(G337,'label approval artwork'!F:F,0),"")),"")</f>
        <v/>
      </c>
      <c r="S337" s="105"/>
      <c r="T337" s="105" t="str">
        <f t="array" ref="T337">IF(ISBLANK(G337),"",INDEX('POR Config List'!I:I,MATCH(G337,'POR Config List'!D:D,0)))</f>
        <v/>
      </c>
      <c r="AA337" s="100" t="str">
        <f t="array" ref="AA337">IF(ISBLANK(G337),"",INDEX('POR Config List'!E:E,MATCH(G337,'POR Config List'!D:D,0)))</f>
        <v/>
      </c>
      <c r="AC337" s="105"/>
      <c r="AD337" s="100"/>
      <c r="AE337" s="100"/>
      <c r="AF337" s="100"/>
      <c r="AG337" s="100"/>
      <c r="AM337" s="102"/>
      <c r="AN337" s="102"/>
      <c r="AR337" s="119"/>
      <c r="AS337" s="103"/>
    </row>
    <row r="338">
      <c r="A338" s="168"/>
      <c r="B338" s="100" t="str">
        <f t="array" ref="B338">IFERROR( INDEX('POR Config List'!A:A,MATCH(G338,'POR Config List'!D:D,0)),"")</f>
        <v/>
      </c>
      <c r="C338" s="101" t="str">
        <f t="array" ref="C338">IFERROR(INDEX('label approval artwork'!E:E,MATCH(G338,'label approval artwork'!F:F,0),""),"")</f>
        <v/>
      </c>
      <c r="D338" s="102" t="str">
        <f t="shared" si="3"/>
        <v/>
      </c>
      <c r="E338" s="100" t="str">
        <f t="array" ref="E338">IF(ISBLANK(G338),"",INDEX('POR Config List'!K:K,MATCH(G338,'POR Config List'!D:D,0)))</f>
        <v/>
      </c>
      <c r="F338" s="100" t="str">
        <f t="array" ref="F338">IF(ISBLANK(G338),"",INDEX('POR Config List'!J:J,MATCH(G338,'POR Config List'!D:D,0)))</f>
        <v/>
      </c>
      <c r="G338" s="168"/>
      <c r="H338" s="104" t="str">
        <f t="array" ref="H338">IF(ISBLANK(G338),"",INDEX('MP SKUs'!G:G,MATCH(G338,'MP SKUs'!A:A,0)))</f>
        <v/>
      </c>
      <c r="I338" s="105" t="str">
        <f t="array" ref="I338">IF(ISBLANK(G338),"",INDEX('POR Config List'!O:O,MATCH(G338,'POR Config List'!D:D,0)))</f>
        <v/>
      </c>
      <c r="J338" s="104" t="str">
        <f t="array" ref="J338">IF(ISBLANK(G338),"",INDEX('POR Config List'!H:H,MATCH(G338,'POR Config List'!D:D,0)))</f>
        <v/>
      </c>
      <c r="K338" s="105" t="str">
        <f t="array" ref="K338">IF(ISBLANK(G338),"",INDEX('POR Config List'!G:G,MATCH(G338,'POR Config List'!D:D,0)))</f>
        <v/>
      </c>
      <c r="L338" s="105"/>
      <c r="M338" s="105" t="str">
        <f t="array" ref="M338">IF(ISBLANK(G338),"",INDEX('label approval artwork'!Q:Q,MATCH( G338,'label approval artwork'!F:F,0)))</f>
        <v/>
      </c>
      <c r="N338" s="169" t="str">
        <f t="shared" si="5"/>
        <v/>
      </c>
      <c r="O338" s="102" t="str">
        <f t="array" ref="O338">IF(ISBLANK(G338),"",INDEX('POR Config List'!C:C,MATCH(G338,'POR Config List'!D:D,0)))</f>
        <v/>
      </c>
      <c r="P338" s="105" t="str">
        <f t="shared" si="4"/>
        <v/>
      </c>
      <c r="Q338" s="105" t="str">
        <f t="array" ref="Q338">IF(ISBLANK(G338),"",INDEX('label approval artwork'!J:J,MATCH( G338,'label approval artwork'!F:F,0)))</f>
        <v/>
      </c>
      <c r="R338" s="105" t="str">
        <f t="array" ref="R338">IFERROR( IF(P338&lt;&gt;"EMA",INDEX('label approval artwork'!H:H,MATCH(G338,'label approval artwork'!F:F,0),"")),"")</f>
        <v/>
      </c>
      <c r="S338" s="105"/>
      <c r="T338" s="105" t="str">
        <f t="array" ref="T338">IF(ISBLANK(G338),"",INDEX('POR Config List'!I:I,MATCH(G338,'POR Config List'!D:D,0)))</f>
        <v/>
      </c>
      <c r="AA338" s="100" t="str">
        <f t="array" ref="AA338">IF(ISBLANK(G338),"",INDEX('POR Config List'!E:E,MATCH(G338,'POR Config List'!D:D,0)))</f>
        <v/>
      </c>
      <c r="AC338" s="105"/>
      <c r="AD338" s="100"/>
      <c r="AE338" s="100"/>
      <c r="AF338" s="100"/>
      <c r="AG338" s="100"/>
      <c r="AM338" s="102"/>
      <c r="AN338" s="102"/>
      <c r="AR338" s="119"/>
      <c r="AS338" s="103"/>
    </row>
    <row r="339">
      <c r="A339" s="168"/>
      <c r="B339" s="100" t="str">
        <f t="array" ref="B339">IFERROR( INDEX('POR Config List'!A:A,MATCH(G339,'POR Config List'!D:D,0)),"")</f>
        <v/>
      </c>
      <c r="C339" s="101" t="str">
        <f t="array" ref="C339">IFERROR(INDEX('label approval artwork'!E:E,MATCH(G339,'label approval artwork'!F:F,0),""),"")</f>
        <v/>
      </c>
      <c r="D339" s="102" t="str">
        <f t="shared" si="3"/>
        <v/>
      </c>
      <c r="E339" s="100" t="str">
        <f t="array" ref="E339">IF(ISBLANK(G339),"",INDEX('POR Config List'!K:K,MATCH(G339,'POR Config List'!D:D,0)))</f>
        <v/>
      </c>
      <c r="F339" s="100" t="str">
        <f t="array" ref="F339">IF(ISBLANK(G339),"",INDEX('POR Config List'!J:J,MATCH(G339,'POR Config List'!D:D,0)))</f>
        <v/>
      </c>
      <c r="G339" s="168"/>
      <c r="H339" s="104" t="str">
        <f t="array" ref="H339">IF(ISBLANK(G339),"",INDEX('MP SKUs'!G:G,MATCH(G339,'MP SKUs'!A:A,0)))</f>
        <v/>
      </c>
      <c r="I339" s="105" t="str">
        <f t="array" ref="I339">IF(ISBLANK(G339),"",INDEX('POR Config List'!O:O,MATCH(G339,'POR Config List'!D:D,0)))</f>
        <v/>
      </c>
      <c r="J339" s="104" t="str">
        <f t="array" ref="J339">IF(ISBLANK(G339),"",INDEX('POR Config List'!H:H,MATCH(G339,'POR Config List'!D:D,0)))</f>
        <v/>
      </c>
      <c r="K339" s="105" t="str">
        <f t="array" ref="K339">IF(ISBLANK(G339),"",INDEX('POR Config List'!G:G,MATCH(G339,'POR Config List'!D:D,0)))</f>
        <v/>
      </c>
      <c r="L339" s="105"/>
      <c r="M339" s="105" t="str">
        <f t="array" ref="M339">IF(ISBLANK(G339),"",INDEX('label approval artwork'!Q:Q,MATCH( G339,'label approval artwork'!F:F,0)))</f>
        <v/>
      </c>
      <c r="N339" s="169" t="str">
        <f t="shared" si="5"/>
        <v/>
      </c>
      <c r="O339" s="102" t="str">
        <f t="array" ref="O339">IF(ISBLANK(G339),"",INDEX('POR Config List'!C:C,MATCH(G339,'POR Config List'!D:D,0)))</f>
        <v/>
      </c>
      <c r="P339" s="105" t="str">
        <f t="shared" si="4"/>
        <v/>
      </c>
      <c r="Q339" s="105" t="str">
        <f t="array" ref="Q339">IF(ISBLANK(G339),"",INDEX('label approval artwork'!J:J,MATCH( G339,'label approval artwork'!F:F,0)))</f>
        <v/>
      </c>
      <c r="R339" s="105" t="str">
        <f t="array" ref="R339">IFERROR( IF(P339&lt;&gt;"EMA",INDEX('label approval artwork'!H:H,MATCH(G339,'label approval artwork'!F:F,0),"")),"")</f>
        <v/>
      </c>
      <c r="S339" s="105"/>
      <c r="T339" s="105" t="str">
        <f t="array" ref="T339">IF(ISBLANK(G339),"",INDEX('POR Config List'!I:I,MATCH(G339,'POR Config List'!D:D,0)))</f>
        <v/>
      </c>
      <c r="AA339" s="100" t="str">
        <f t="array" ref="AA339">IF(ISBLANK(G339),"",INDEX('POR Config List'!E:E,MATCH(G339,'POR Config List'!D:D,0)))</f>
        <v/>
      </c>
      <c r="AC339" s="105"/>
      <c r="AD339" s="100"/>
      <c r="AE339" s="100"/>
      <c r="AF339" s="100"/>
      <c r="AG339" s="100"/>
      <c r="AM339" s="102"/>
      <c r="AN339" s="102"/>
      <c r="AR339" s="119"/>
      <c r="AS339" s="103"/>
    </row>
    <row r="340">
      <c r="A340" s="168"/>
      <c r="B340" s="100" t="str">
        <f t="array" ref="B340">IFERROR( INDEX('POR Config List'!A:A,MATCH(G340,'POR Config List'!D:D,0)),"")</f>
        <v/>
      </c>
      <c r="C340" s="101" t="str">
        <f t="array" ref="C340">IFERROR(INDEX('label approval artwork'!E:E,MATCH(G340,'label approval artwork'!F:F,0),""),"")</f>
        <v/>
      </c>
      <c r="D340" s="102" t="str">
        <f t="shared" si="3"/>
        <v/>
      </c>
      <c r="E340" s="100" t="str">
        <f t="array" ref="E340">IF(ISBLANK(G340),"",INDEX('POR Config List'!K:K,MATCH(G340,'POR Config List'!D:D,0)))</f>
        <v/>
      </c>
      <c r="F340" s="100" t="str">
        <f t="array" ref="F340">IF(ISBLANK(G340),"",INDEX('POR Config List'!J:J,MATCH(G340,'POR Config List'!D:D,0)))</f>
        <v/>
      </c>
      <c r="G340" s="168"/>
      <c r="H340" s="104" t="str">
        <f t="array" ref="H340">IF(ISBLANK(G340),"",INDEX('MP SKUs'!G:G,MATCH(G340,'MP SKUs'!A:A,0)))</f>
        <v/>
      </c>
      <c r="I340" s="105" t="str">
        <f t="array" ref="I340">IF(ISBLANK(G340),"",INDEX('POR Config List'!O:O,MATCH(G340,'POR Config List'!D:D,0)))</f>
        <v/>
      </c>
      <c r="J340" s="104" t="str">
        <f t="array" ref="J340">IF(ISBLANK(G340),"",INDEX('POR Config List'!H:H,MATCH(G340,'POR Config List'!D:D,0)))</f>
        <v/>
      </c>
      <c r="K340" s="105" t="str">
        <f t="array" ref="K340">IF(ISBLANK(G340),"",INDEX('POR Config List'!G:G,MATCH(G340,'POR Config List'!D:D,0)))</f>
        <v/>
      </c>
      <c r="L340" s="105"/>
      <c r="M340" s="105" t="str">
        <f t="array" ref="M340">IF(ISBLANK(G340),"",INDEX('label approval artwork'!Q:Q,MATCH( G340,'label approval artwork'!F:F,0)))</f>
        <v/>
      </c>
      <c r="N340" s="169" t="str">
        <f t="shared" si="5"/>
        <v/>
      </c>
      <c r="O340" s="102" t="str">
        <f t="array" ref="O340">IF(ISBLANK(G340),"",INDEX('POR Config List'!C:C,MATCH(G340,'POR Config List'!D:D,0)))</f>
        <v/>
      </c>
      <c r="P340" s="105" t="str">
        <f t="shared" si="4"/>
        <v/>
      </c>
      <c r="Q340" s="105" t="str">
        <f t="array" ref="Q340">IF(ISBLANK(G340),"",INDEX('label approval artwork'!J:J,MATCH( G340,'label approval artwork'!F:F,0)))</f>
        <v/>
      </c>
      <c r="R340" s="105" t="str">
        <f t="array" ref="R340">IFERROR( IF(P340&lt;&gt;"EMA",INDEX('label approval artwork'!H:H,MATCH(G340,'label approval artwork'!F:F,0),"")),"")</f>
        <v/>
      </c>
      <c r="S340" s="105"/>
      <c r="T340" s="105" t="str">
        <f t="array" ref="T340">IF(ISBLANK(G340),"",INDEX('POR Config List'!I:I,MATCH(G340,'POR Config List'!D:D,0)))</f>
        <v/>
      </c>
      <c r="AA340" s="100" t="str">
        <f t="array" ref="AA340">IF(ISBLANK(G340),"",INDEX('POR Config List'!E:E,MATCH(G340,'POR Config List'!D:D,0)))</f>
        <v/>
      </c>
      <c r="AC340" s="105"/>
      <c r="AD340" s="100"/>
      <c r="AE340" s="100"/>
      <c r="AF340" s="100"/>
      <c r="AG340" s="100"/>
      <c r="AM340" s="102"/>
      <c r="AN340" s="102"/>
      <c r="AR340" s="119"/>
      <c r="AS340" s="103"/>
    </row>
    <row r="341">
      <c r="A341" s="168"/>
      <c r="B341" s="100" t="str">
        <f t="array" ref="B341">IFERROR( INDEX('POR Config List'!A:A,MATCH(G341,'POR Config List'!D:D,0)),"")</f>
        <v/>
      </c>
      <c r="C341" s="101" t="str">
        <f t="array" ref="C341">IFERROR(INDEX('label approval artwork'!E:E,MATCH(G341,'label approval artwork'!F:F,0),""),"")</f>
        <v/>
      </c>
      <c r="D341" s="102" t="str">
        <f t="shared" si="3"/>
        <v/>
      </c>
      <c r="E341" s="100" t="str">
        <f t="array" ref="E341">IF(ISBLANK(G341),"",INDEX('POR Config List'!K:K,MATCH(G341,'POR Config List'!D:D,0)))</f>
        <v/>
      </c>
      <c r="F341" s="100" t="str">
        <f t="array" ref="F341">IF(ISBLANK(G341),"",INDEX('POR Config List'!J:J,MATCH(G341,'POR Config List'!D:D,0)))</f>
        <v/>
      </c>
      <c r="G341" s="168"/>
      <c r="H341" s="104" t="str">
        <f t="array" ref="H341">IF(ISBLANK(G341),"",INDEX('MP SKUs'!G:G,MATCH(G341,'MP SKUs'!A:A,0)))</f>
        <v/>
      </c>
      <c r="I341" s="105" t="str">
        <f t="array" ref="I341">IF(ISBLANK(G341),"",INDEX('POR Config List'!O:O,MATCH(G341,'POR Config List'!D:D,0)))</f>
        <v/>
      </c>
      <c r="J341" s="104" t="str">
        <f t="array" ref="J341">IF(ISBLANK(G341),"",INDEX('POR Config List'!H:H,MATCH(G341,'POR Config List'!D:D,0)))</f>
        <v/>
      </c>
      <c r="K341" s="105" t="str">
        <f t="array" ref="K341">IF(ISBLANK(G341),"",INDEX('POR Config List'!G:G,MATCH(G341,'POR Config List'!D:D,0)))</f>
        <v/>
      </c>
      <c r="L341" s="105"/>
      <c r="M341" s="105" t="str">
        <f t="array" ref="M341">IF(ISBLANK(G341),"",INDEX('label approval artwork'!Q:Q,MATCH( G341,'label approval artwork'!F:F,0)))</f>
        <v/>
      </c>
      <c r="N341" s="169" t="str">
        <f t="shared" si="5"/>
        <v/>
      </c>
      <c r="O341" s="102" t="str">
        <f t="array" ref="O341">IF(ISBLANK(G341),"",INDEX('POR Config List'!C:C,MATCH(G341,'POR Config List'!D:D,0)))</f>
        <v/>
      </c>
      <c r="P341" s="105" t="str">
        <f t="shared" si="4"/>
        <v/>
      </c>
      <c r="Q341" s="105" t="str">
        <f t="array" ref="Q341">IF(ISBLANK(G341),"",INDEX('label approval artwork'!J:J,MATCH( G341,'label approval artwork'!F:F,0)))</f>
        <v/>
      </c>
      <c r="R341" s="105" t="str">
        <f t="array" ref="R341">IFERROR( IF(P341&lt;&gt;"EMA",INDEX('label approval artwork'!H:H,MATCH(G341,'label approval artwork'!F:F,0),"")),"")</f>
        <v/>
      </c>
      <c r="S341" s="105"/>
      <c r="T341" s="105" t="str">
        <f t="array" ref="T341">IF(ISBLANK(G341),"",INDEX('POR Config List'!I:I,MATCH(G341,'POR Config List'!D:D,0)))</f>
        <v/>
      </c>
      <c r="AA341" s="100" t="str">
        <f t="array" ref="AA341">IF(ISBLANK(G341),"",INDEX('POR Config List'!E:E,MATCH(G341,'POR Config List'!D:D,0)))</f>
        <v/>
      </c>
      <c r="AC341" s="105"/>
      <c r="AD341" s="100"/>
      <c r="AE341" s="100"/>
      <c r="AF341" s="100"/>
      <c r="AG341" s="100"/>
      <c r="AM341" s="102"/>
      <c r="AN341" s="102"/>
      <c r="AR341" s="119"/>
      <c r="AS341" s="103"/>
    </row>
    <row r="342">
      <c r="A342" s="168"/>
      <c r="B342" s="100" t="str">
        <f t="array" ref="B342">IFERROR( INDEX('POR Config List'!A:A,MATCH(G342,'POR Config List'!D:D,0)),"")</f>
        <v/>
      </c>
      <c r="C342" s="101" t="str">
        <f t="array" ref="C342">IFERROR(INDEX('label approval artwork'!E:E,MATCH(G342,'label approval artwork'!F:F,0),""),"")</f>
        <v/>
      </c>
      <c r="D342" s="102" t="str">
        <f t="shared" si="3"/>
        <v/>
      </c>
      <c r="E342" s="100" t="str">
        <f t="array" ref="E342">IF(ISBLANK(G342),"",INDEX('POR Config List'!K:K,MATCH(G342,'POR Config List'!D:D,0)))</f>
        <v/>
      </c>
      <c r="F342" s="100" t="str">
        <f t="array" ref="F342">IF(ISBLANK(G342),"",INDEX('POR Config List'!J:J,MATCH(G342,'POR Config List'!D:D,0)))</f>
        <v/>
      </c>
      <c r="G342" s="168"/>
      <c r="H342" s="104" t="str">
        <f t="array" ref="H342">IF(ISBLANK(G342),"",INDEX('MP SKUs'!G:G,MATCH(G342,'MP SKUs'!A:A,0)))</f>
        <v/>
      </c>
      <c r="I342" s="105" t="str">
        <f t="array" ref="I342">IF(ISBLANK(G342),"",INDEX('POR Config List'!O:O,MATCH(G342,'POR Config List'!D:D,0)))</f>
        <v/>
      </c>
      <c r="J342" s="104" t="str">
        <f t="array" ref="J342">IF(ISBLANK(G342),"",INDEX('POR Config List'!H:H,MATCH(G342,'POR Config List'!D:D,0)))</f>
        <v/>
      </c>
      <c r="K342" s="105" t="str">
        <f t="array" ref="K342">IF(ISBLANK(G342),"",INDEX('POR Config List'!G:G,MATCH(G342,'POR Config List'!D:D,0)))</f>
        <v/>
      </c>
      <c r="L342" s="105"/>
      <c r="M342" s="105" t="str">
        <f t="array" ref="M342">IF(ISBLANK(G342),"",INDEX('label approval artwork'!Q:Q,MATCH( G342,'label approval artwork'!F:F,0)))</f>
        <v/>
      </c>
      <c r="N342" s="169" t="str">
        <f t="shared" si="5"/>
        <v/>
      </c>
      <c r="O342" s="102" t="str">
        <f t="array" ref="O342">IF(ISBLANK(G342),"",INDEX('POR Config List'!C:C,MATCH(G342,'POR Config List'!D:D,0)))</f>
        <v/>
      </c>
      <c r="P342" s="105" t="str">
        <f t="shared" si="4"/>
        <v/>
      </c>
      <c r="Q342" s="105" t="str">
        <f t="array" ref="Q342">IF(ISBLANK(G342),"",INDEX('label approval artwork'!J:J,MATCH( G342,'label approval artwork'!F:F,0)))</f>
        <v/>
      </c>
      <c r="R342" s="105" t="str">
        <f t="array" ref="R342">IFERROR( IF(P342&lt;&gt;"EMA",INDEX('label approval artwork'!H:H,MATCH(G342,'label approval artwork'!F:F,0),"")),"")</f>
        <v/>
      </c>
      <c r="S342" s="105"/>
      <c r="T342" s="105" t="str">
        <f t="array" ref="T342">IF(ISBLANK(G342),"",INDEX('POR Config List'!I:I,MATCH(G342,'POR Config List'!D:D,0)))</f>
        <v/>
      </c>
      <c r="AA342" s="100" t="str">
        <f t="array" ref="AA342">IF(ISBLANK(G342),"",INDEX('POR Config List'!E:E,MATCH(G342,'POR Config List'!D:D,0)))</f>
        <v/>
      </c>
      <c r="AC342" s="105"/>
      <c r="AD342" s="100"/>
      <c r="AE342" s="100"/>
      <c r="AF342" s="100"/>
      <c r="AG342" s="100"/>
      <c r="AM342" s="102"/>
      <c r="AN342" s="102"/>
      <c r="AR342" s="119"/>
      <c r="AS342" s="103"/>
    </row>
    <row r="343">
      <c r="A343" s="168"/>
      <c r="B343" s="100" t="str">
        <f t="array" ref="B343">IFERROR( INDEX('POR Config List'!A:A,MATCH(G343,'POR Config List'!D:D,0)),"")</f>
        <v/>
      </c>
      <c r="C343" s="101" t="str">
        <f t="array" ref="C343">IFERROR(INDEX('label approval artwork'!E:E,MATCH(G343,'label approval artwork'!F:F,0),""),"")</f>
        <v/>
      </c>
      <c r="D343" s="102" t="str">
        <f t="shared" si="3"/>
        <v/>
      </c>
      <c r="E343" s="100" t="str">
        <f t="array" ref="E343">IF(ISBLANK(G343),"",INDEX('POR Config List'!K:K,MATCH(G343,'POR Config List'!D:D,0)))</f>
        <v/>
      </c>
      <c r="F343" s="100" t="str">
        <f t="array" ref="F343">IF(ISBLANK(G343),"",INDEX('POR Config List'!J:J,MATCH(G343,'POR Config List'!D:D,0)))</f>
        <v/>
      </c>
      <c r="G343" s="168"/>
      <c r="H343" s="104" t="str">
        <f t="array" ref="H343">IF(ISBLANK(G343),"",INDEX('MP SKUs'!G:G,MATCH(G343,'MP SKUs'!A:A,0)))</f>
        <v/>
      </c>
      <c r="I343" s="105" t="str">
        <f t="array" ref="I343">IF(ISBLANK(G343),"",INDEX('POR Config List'!O:O,MATCH(G343,'POR Config List'!D:D,0)))</f>
        <v/>
      </c>
      <c r="J343" s="104" t="str">
        <f t="array" ref="J343">IF(ISBLANK(G343),"",INDEX('POR Config List'!H:H,MATCH(G343,'POR Config List'!D:D,0)))</f>
        <v/>
      </c>
      <c r="K343" s="105" t="str">
        <f t="array" ref="K343">IF(ISBLANK(G343),"",INDEX('POR Config List'!G:G,MATCH(G343,'POR Config List'!D:D,0)))</f>
        <v/>
      </c>
      <c r="L343" s="105"/>
      <c r="M343" s="105" t="str">
        <f t="array" ref="M343">IF(ISBLANK(G343),"",INDEX('label approval artwork'!Q:Q,MATCH( G343,'label approval artwork'!F:F,0)))</f>
        <v/>
      </c>
      <c r="N343" s="169" t="str">
        <f t="shared" si="5"/>
        <v/>
      </c>
      <c r="O343" s="102" t="str">
        <f t="array" ref="O343">IF(ISBLANK(G343),"",INDEX('POR Config List'!C:C,MATCH(G343,'POR Config List'!D:D,0)))</f>
        <v/>
      </c>
      <c r="P343" s="105" t="str">
        <f t="shared" si="4"/>
        <v/>
      </c>
      <c r="Q343" s="105" t="str">
        <f t="array" ref="Q343">IF(ISBLANK(G343),"",INDEX('label approval artwork'!J:J,MATCH( G343,'label approval artwork'!F:F,0)))</f>
        <v/>
      </c>
      <c r="R343" s="105" t="str">
        <f t="array" ref="R343">IFERROR( IF(P343&lt;&gt;"EMA",INDEX('label approval artwork'!H:H,MATCH(G343,'label approval artwork'!F:F,0),"")),"")</f>
        <v/>
      </c>
      <c r="S343" s="105"/>
      <c r="T343" s="105" t="str">
        <f t="array" ref="T343">IF(ISBLANK(G343),"",INDEX('POR Config List'!I:I,MATCH(G343,'POR Config List'!D:D,0)))</f>
        <v/>
      </c>
      <c r="AA343" s="100" t="str">
        <f t="array" ref="AA343">IF(ISBLANK(G343),"",INDEX('POR Config List'!E:E,MATCH(G343,'POR Config List'!D:D,0)))</f>
        <v/>
      </c>
      <c r="AC343" s="105"/>
      <c r="AD343" s="100"/>
      <c r="AE343" s="100"/>
      <c r="AF343" s="100"/>
      <c r="AG343" s="100"/>
      <c r="AM343" s="102"/>
      <c r="AN343" s="102"/>
      <c r="AR343" s="119"/>
      <c r="AS343" s="103"/>
    </row>
    <row r="344">
      <c r="A344" s="168"/>
      <c r="B344" s="100" t="str">
        <f t="array" ref="B344">IFERROR( INDEX('POR Config List'!A:A,MATCH(G344,'POR Config List'!D:D,0)),"")</f>
        <v/>
      </c>
      <c r="C344" s="101" t="str">
        <f t="array" ref="C344">IFERROR(INDEX('label approval artwork'!E:E,MATCH(G344,'label approval artwork'!F:F,0),""),"")</f>
        <v/>
      </c>
      <c r="D344" s="102" t="str">
        <f t="shared" si="3"/>
        <v/>
      </c>
      <c r="E344" s="100" t="str">
        <f t="array" ref="E344">IF(ISBLANK(G344),"",INDEX('POR Config List'!K:K,MATCH(G344,'POR Config List'!D:D,0)))</f>
        <v/>
      </c>
      <c r="F344" s="100" t="str">
        <f t="array" ref="F344">IF(ISBLANK(G344),"",INDEX('POR Config List'!J:J,MATCH(G344,'POR Config List'!D:D,0)))</f>
        <v/>
      </c>
      <c r="G344" s="168"/>
      <c r="H344" s="104" t="str">
        <f t="array" ref="H344">IF(ISBLANK(G344),"",INDEX('MP SKUs'!G:G,MATCH(G344,'MP SKUs'!A:A,0)))</f>
        <v/>
      </c>
      <c r="I344" s="105" t="str">
        <f t="array" ref="I344">IF(ISBLANK(G344),"",INDEX('POR Config List'!O:O,MATCH(G344,'POR Config List'!D:D,0)))</f>
        <v/>
      </c>
      <c r="J344" s="104" t="str">
        <f t="array" ref="J344">IF(ISBLANK(G344),"",INDEX('POR Config List'!H:H,MATCH(G344,'POR Config List'!D:D,0)))</f>
        <v/>
      </c>
      <c r="K344" s="105" t="str">
        <f t="array" ref="K344">IF(ISBLANK(G344),"",INDEX('POR Config List'!G:G,MATCH(G344,'POR Config List'!D:D,0)))</f>
        <v/>
      </c>
      <c r="L344" s="105"/>
      <c r="M344" s="105" t="str">
        <f t="array" ref="M344">IF(ISBLANK(G344),"",INDEX('label approval artwork'!Q:Q,MATCH( G344,'label approval artwork'!F:F,0)))</f>
        <v/>
      </c>
      <c r="N344" s="169" t="str">
        <f t="shared" si="5"/>
        <v/>
      </c>
      <c r="O344" s="102" t="str">
        <f t="array" ref="O344">IF(ISBLANK(G344),"",INDEX('POR Config List'!C:C,MATCH(G344,'POR Config List'!D:D,0)))</f>
        <v/>
      </c>
      <c r="P344" s="105" t="str">
        <f t="shared" si="4"/>
        <v/>
      </c>
      <c r="Q344" s="105" t="str">
        <f t="array" ref="Q344">IF(ISBLANK(G344),"",INDEX('label approval artwork'!J:J,MATCH( G344,'label approval artwork'!F:F,0)))</f>
        <v/>
      </c>
      <c r="R344" s="105" t="str">
        <f t="array" ref="R344">IFERROR( IF(P344&lt;&gt;"EMA",INDEX('label approval artwork'!H:H,MATCH(G344,'label approval artwork'!F:F,0),"")),"")</f>
        <v/>
      </c>
      <c r="S344" s="105"/>
      <c r="T344" s="105" t="str">
        <f t="array" ref="T344">IF(ISBLANK(G344),"",INDEX('POR Config List'!I:I,MATCH(G344,'POR Config List'!D:D,0)))</f>
        <v/>
      </c>
      <c r="AA344" s="100" t="str">
        <f t="array" ref="AA344">IF(ISBLANK(G344),"",INDEX('POR Config List'!E:E,MATCH(G344,'POR Config List'!D:D,0)))</f>
        <v/>
      </c>
      <c r="AC344" s="105"/>
      <c r="AD344" s="100"/>
      <c r="AE344" s="100"/>
      <c r="AF344" s="100"/>
      <c r="AG344" s="100"/>
      <c r="AM344" s="102"/>
      <c r="AN344" s="102"/>
      <c r="AR344" s="119"/>
      <c r="AS344" s="103"/>
    </row>
    <row r="345">
      <c r="A345" s="168"/>
      <c r="B345" s="100" t="str">
        <f t="array" ref="B345">IFERROR( INDEX('POR Config List'!A:A,MATCH(G345,'POR Config List'!D:D,0)),"")</f>
        <v/>
      </c>
      <c r="C345" s="101" t="str">
        <f t="array" ref="C345">IFERROR(INDEX('label approval artwork'!E:E,MATCH(G345,'label approval artwork'!F:F,0),""),"")</f>
        <v/>
      </c>
      <c r="D345" s="102" t="str">
        <f t="shared" si="3"/>
        <v/>
      </c>
      <c r="E345" s="100" t="str">
        <f t="array" ref="E345">IF(ISBLANK(G345),"",INDEX('POR Config List'!K:K,MATCH(G345,'POR Config List'!D:D,0)))</f>
        <v/>
      </c>
      <c r="F345" s="100" t="str">
        <f t="array" ref="F345">IF(ISBLANK(G345),"",INDEX('POR Config List'!J:J,MATCH(G345,'POR Config List'!D:D,0)))</f>
        <v/>
      </c>
      <c r="G345" s="168"/>
      <c r="H345" s="104" t="str">
        <f t="array" ref="H345">IF(ISBLANK(G345),"",INDEX('MP SKUs'!G:G,MATCH(G345,'MP SKUs'!A:A,0)))</f>
        <v/>
      </c>
      <c r="I345" s="105" t="str">
        <f t="array" ref="I345">IF(ISBLANK(G345),"",INDEX('POR Config List'!O:O,MATCH(G345,'POR Config List'!D:D,0)))</f>
        <v/>
      </c>
      <c r="J345" s="104" t="str">
        <f t="array" ref="J345">IF(ISBLANK(G345),"",INDEX('POR Config List'!H:H,MATCH(G345,'POR Config List'!D:D,0)))</f>
        <v/>
      </c>
      <c r="K345" s="105" t="str">
        <f t="array" ref="K345">IF(ISBLANK(G345),"",INDEX('POR Config List'!G:G,MATCH(G345,'POR Config List'!D:D,0)))</f>
        <v/>
      </c>
      <c r="L345" s="105"/>
      <c r="M345" s="105" t="str">
        <f t="array" ref="M345">IF(ISBLANK(G345),"",INDEX('label approval artwork'!Q:Q,MATCH( G345,'label approval artwork'!F:F,0)))</f>
        <v/>
      </c>
      <c r="N345" s="169" t="str">
        <f t="shared" si="5"/>
        <v/>
      </c>
      <c r="O345" s="102" t="str">
        <f t="array" ref="O345">IF(ISBLANK(G345),"",INDEX('POR Config List'!C:C,MATCH(G345,'POR Config List'!D:D,0)))</f>
        <v/>
      </c>
      <c r="P345" s="105" t="str">
        <f t="shared" si="4"/>
        <v/>
      </c>
      <c r="Q345" s="105" t="str">
        <f t="array" ref="Q345">IF(ISBLANK(G345),"",INDEX('label approval artwork'!J:J,MATCH( G345,'label approval artwork'!F:F,0)))</f>
        <v/>
      </c>
      <c r="R345" s="105" t="str">
        <f t="array" ref="R345">IFERROR( IF(P345&lt;&gt;"EMA",INDEX('label approval artwork'!H:H,MATCH(G345,'label approval artwork'!F:F,0),"")),"")</f>
        <v/>
      </c>
      <c r="S345" s="105"/>
      <c r="T345" s="105" t="str">
        <f t="array" ref="T345">IF(ISBLANK(G345),"",INDEX('POR Config List'!I:I,MATCH(G345,'POR Config List'!D:D,0)))</f>
        <v/>
      </c>
      <c r="AA345" s="100" t="str">
        <f t="array" ref="AA345">IF(ISBLANK(G345),"",INDEX('POR Config List'!E:E,MATCH(G345,'POR Config List'!D:D,0)))</f>
        <v/>
      </c>
      <c r="AC345" s="105"/>
      <c r="AD345" s="100"/>
      <c r="AE345" s="100"/>
      <c r="AF345" s="100"/>
      <c r="AG345" s="100"/>
      <c r="AM345" s="102"/>
      <c r="AN345" s="102"/>
      <c r="AR345" s="119"/>
      <c r="AS345" s="103"/>
    </row>
    <row r="346">
      <c r="A346" s="168"/>
      <c r="B346" s="100" t="str">
        <f t="array" ref="B346">IFERROR( INDEX('POR Config List'!A:A,MATCH(G346,'POR Config List'!D:D,0)),"")</f>
        <v/>
      </c>
      <c r="C346" s="101" t="str">
        <f t="array" ref="C346">IFERROR(INDEX('label approval artwork'!E:E,MATCH(G346,'label approval artwork'!F:F,0),""),"")</f>
        <v/>
      </c>
      <c r="D346" s="102" t="str">
        <f t="shared" si="3"/>
        <v/>
      </c>
      <c r="E346" s="100" t="str">
        <f t="array" ref="E346">IF(ISBLANK(G346),"",INDEX('POR Config List'!K:K,MATCH(G346,'POR Config List'!D:D,0)))</f>
        <v/>
      </c>
      <c r="F346" s="100" t="str">
        <f t="array" ref="F346">IF(ISBLANK(G346),"",INDEX('POR Config List'!J:J,MATCH(G346,'POR Config List'!D:D,0)))</f>
        <v/>
      </c>
      <c r="G346" s="168"/>
      <c r="H346" s="104" t="str">
        <f t="array" ref="H346">IF(ISBLANK(G346),"",INDEX('MP SKUs'!G:G,MATCH(G346,'MP SKUs'!A:A,0)))</f>
        <v/>
      </c>
      <c r="I346" s="105" t="str">
        <f t="array" ref="I346">IF(ISBLANK(G346),"",INDEX('POR Config List'!O:O,MATCH(G346,'POR Config List'!D:D,0)))</f>
        <v/>
      </c>
      <c r="J346" s="104" t="str">
        <f t="array" ref="J346">IF(ISBLANK(G346),"",INDEX('POR Config List'!H:H,MATCH(G346,'POR Config List'!D:D,0)))</f>
        <v/>
      </c>
      <c r="K346" s="105" t="str">
        <f t="array" ref="K346">IF(ISBLANK(G346),"",INDEX('POR Config List'!G:G,MATCH(G346,'POR Config List'!D:D,0)))</f>
        <v/>
      </c>
      <c r="L346" s="105"/>
      <c r="M346" s="105" t="str">
        <f t="array" ref="M346">IF(ISBLANK(G346),"",INDEX('label approval artwork'!Q:Q,MATCH( G346,'label approval artwork'!F:F,0)))</f>
        <v/>
      </c>
      <c r="N346" s="169" t="str">
        <f t="shared" si="5"/>
        <v/>
      </c>
      <c r="O346" s="102" t="str">
        <f t="array" ref="O346">IF(ISBLANK(G346),"",INDEX('POR Config List'!C:C,MATCH(G346,'POR Config List'!D:D,0)))</f>
        <v/>
      </c>
      <c r="P346" s="105" t="str">
        <f t="shared" si="4"/>
        <v/>
      </c>
      <c r="Q346" s="105" t="str">
        <f t="array" ref="Q346">IF(ISBLANK(G346),"",INDEX('label approval artwork'!J:J,MATCH( G346,'label approval artwork'!F:F,0)))</f>
        <v/>
      </c>
      <c r="R346" s="105" t="str">
        <f t="array" ref="R346">IFERROR( IF(P346&lt;&gt;"EMA",INDEX('label approval artwork'!H:H,MATCH(G346,'label approval artwork'!F:F,0),"")),"")</f>
        <v/>
      </c>
      <c r="S346" s="105"/>
      <c r="T346" s="105" t="str">
        <f t="array" ref="T346">IF(ISBLANK(G346),"",INDEX('POR Config List'!I:I,MATCH(G346,'POR Config List'!D:D,0)))</f>
        <v/>
      </c>
      <c r="AA346" s="100" t="str">
        <f t="array" ref="AA346">IF(ISBLANK(G346),"",INDEX('POR Config List'!E:E,MATCH(G346,'POR Config List'!D:D,0)))</f>
        <v/>
      </c>
      <c r="AC346" s="105"/>
      <c r="AD346" s="100"/>
      <c r="AE346" s="100"/>
      <c r="AF346" s="100"/>
      <c r="AG346" s="100"/>
      <c r="AM346" s="102"/>
      <c r="AN346" s="102"/>
      <c r="AR346" s="119"/>
      <c r="AS346" s="103"/>
    </row>
    <row r="347">
      <c r="A347" s="168"/>
      <c r="B347" s="100" t="str">
        <f t="array" ref="B347">IFERROR( INDEX('POR Config List'!A:A,MATCH(G347,'POR Config List'!D:D,0)),"")</f>
        <v/>
      </c>
      <c r="C347" s="101" t="str">
        <f t="array" ref="C347">IFERROR(INDEX('label approval artwork'!E:E,MATCH(G347,'label approval artwork'!F:F,0),""),"")</f>
        <v/>
      </c>
      <c r="D347" s="102" t="str">
        <f t="shared" si="3"/>
        <v/>
      </c>
      <c r="E347" s="100" t="str">
        <f t="array" ref="E347">IF(ISBLANK(G347),"",INDEX('POR Config List'!K:K,MATCH(G347,'POR Config List'!D:D,0)))</f>
        <v/>
      </c>
      <c r="F347" s="100" t="str">
        <f t="array" ref="F347">IF(ISBLANK(G347),"",INDEX('POR Config List'!J:J,MATCH(G347,'POR Config List'!D:D,0)))</f>
        <v/>
      </c>
      <c r="G347" s="168"/>
      <c r="H347" s="104" t="str">
        <f t="array" ref="H347">IF(ISBLANK(G347),"",INDEX('MP SKUs'!G:G,MATCH(G347,'MP SKUs'!A:A,0)))</f>
        <v/>
      </c>
      <c r="I347" s="105" t="str">
        <f t="array" ref="I347">IF(ISBLANK(G347),"",INDEX('POR Config List'!O:O,MATCH(G347,'POR Config List'!D:D,0)))</f>
        <v/>
      </c>
      <c r="J347" s="104" t="str">
        <f t="array" ref="J347">IF(ISBLANK(G347),"",INDEX('POR Config List'!H:H,MATCH(G347,'POR Config List'!D:D,0)))</f>
        <v/>
      </c>
      <c r="K347" s="105" t="str">
        <f t="array" ref="K347">IF(ISBLANK(G347),"",INDEX('POR Config List'!G:G,MATCH(G347,'POR Config List'!D:D,0)))</f>
        <v/>
      </c>
      <c r="L347" s="105"/>
      <c r="M347" s="105" t="str">
        <f t="array" ref="M347">IF(ISBLANK(G347),"",INDEX('label approval artwork'!Q:Q,MATCH( G347,'label approval artwork'!F:F,0)))</f>
        <v/>
      </c>
      <c r="N347" s="169" t="str">
        <f t="shared" si="5"/>
        <v/>
      </c>
      <c r="O347" s="102" t="str">
        <f t="array" ref="O347">IF(ISBLANK(G347),"",INDEX('POR Config List'!C:C,MATCH(G347,'POR Config List'!D:D,0)))</f>
        <v/>
      </c>
      <c r="P347" s="105" t="str">
        <f t="shared" si="4"/>
        <v/>
      </c>
      <c r="Q347" s="105" t="str">
        <f t="array" ref="Q347">IF(ISBLANK(G347),"",INDEX('label approval artwork'!J:J,MATCH( G347,'label approval artwork'!F:F,0)))</f>
        <v/>
      </c>
      <c r="R347" s="105" t="str">
        <f t="array" ref="R347">IFERROR( IF(P347&lt;&gt;"EMA",INDEX('label approval artwork'!H:H,MATCH(G347,'label approval artwork'!F:F,0),"")),"")</f>
        <v/>
      </c>
      <c r="S347" s="105"/>
      <c r="T347" s="105" t="str">
        <f t="array" ref="T347">IF(ISBLANK(G347),"",INDEX('POR Config List'!I:I,MATCH(G347,'POR Config List'!D:D,0)))</f>
        <v/>
      </c>
      <c r="AA347" s="100" t="str">
        <f t="array" ref="AA347">IF(ISBLANK(G347),"",INDEX('POR Config List'!E:E,MATCH(G347,'POR Config List'!D:D,0)))</f>
        <v/>
      </c>
      <c r="AC347" s="105"/>
      <c r="AD347" s="100"/>
      <c r="AE347" s="100"/>
      <c r="AF347" s="100"/>
      <c r="AG347" s="100"/>
      <c r="AM347" s="102"/>
      <c r="AN347" s="102"/>
      <c r="AR347" s="119"/>
      <c r="AS347" s="103"/>
    </row>
    <row r="348">
      <c r="A348" s="168"/>
      <c r="B348" s="100" t="str">
        <f t="array" ref="B348">IFERROR( INDEX('POR Config List'!A:A,MATCH(G348,'POR Config List'!D:D,0)),"")</f>
        <v/>
      </c>
      <c r="C348" s="101" t="str">
        <f t="array" ref="C348">IFERROR(INDEX('label approval artwork'!E:E,MATCH(G348,'label approval artwork'!F:F,0),""),"")</f>
        <v/>
      </c>
      <c r="D348" s="102" t="str">
        <f t="shared" si="3"/>
        <v/>
      </c>
      <c r="E348" s="100" t="str">
        <f t="array" ref="E348">IF(ISBLANK(G348),"",INDEX('POR Config List'!K:K,MATCH(G348,'POR Config List'!D:D,0)))</f>
        <v/>
      </c>
      <c r="F348" s="100" t="str">
        <f t="array" ref="F348">IF(ISBLANK(G348),"",INDEX('POR Config List'!J:J,MATCH(G348,'POR Config List'!D:D,0)))</f>
        <v/>
      </c>
      <c r="G348" s="168"/>
      <c r="H348" s="104" t="str">
        <f t="array" ref="H348">IF(ISBLANK(G348),"",INDEX('MP SKUs'!G:G,MATCH(G348,'MP SKUs'!A:A,0)))</f>
        <v/>
      </c>
      <c r="I348" s="105" t="str">
        <f t="array" ref="I348">IF(ISBLANK(G348),"",INDEX('POR Config List'!O:O,MATCH(G348,'POR Config List'!D:D,0)))</f>
        <v/>
      </c>
      <c r="J348" s="104" t="str">
        <f t="array" ref="J348">IF(ISBLANK(G348),"",INDEX('POR Config List'!H:H,MATCH(G348,'POR Config List'!D:D,0)))</f>
        <v/>
      </c>
      <c r="K348" s="105" t="str">
        <f t="array" ref="K348">IF(ISBLANK(G348),"",INDEX('POR Config List'!G:G,MATCH(G348,'POR Config List'!D:D,0)))</f>
        <v/>
      </c>
      <c r="L348" s="105"/>
      <c r="M348" s="105" t="str">
        <f t="array" ref="M348">IF(ISBLANK(G348),"",INDEX('label approval artwork'!Q:Q,MATCH( G348,'label approval artwork'!F:F,0)))</f>
        <v/>
      </c>
      <c r="N348" s="169" t="str">
        <f t="shared" si="5"/>
        <v/>
      </c>
      <c r="O348" s="102" t="str">
        <f t="array" ref="O348">IF(ISBLANK(G348),"",INDEX('POR Config List'!C:C,MATCH(G348,'POR Config List'!D:D,0)))</f>
        <v/>
      </c>
      <c r="P348" s="105" t="str">
        <f t="shared" si="4"/>
        <v/>
      </c>
      <c r="Q348" s="105" t="str">
        <f t="array" ref="Q348">IF(ISBLANK(G348),"",INDEX('label approval artwork'!J:J,MATCH( G348,'label approval artwork'!F:F,0)))</f>
        <v/>
      </c>
      <c r="R348" s="105" t="str">
        <f t="array" ref="R348">IFERROR( IF(P348&lt;&gt;"EMA",INDEX('label approval artwork'!H:H,MATCH(G348,'label approval artwork'!F:F,0),"")),"")</f>
        <v/>
      </c>
      <c r="S348" s="105"/>
      <c r="T348" s="105" t="str">
        <f t="array" ref="T348">IF(ISBLANK(G348),"",INDEX('POR Config List'!I:I,MATCH(G348,'POR Config List'!D:D,0)))</f>
        <v/>
      </c>
      <c r="AA348" s="100" t="str">
        <f t="array" ref="AA348">IF(ISBLANK(G348),"",INDEX('POR Config List'!E:E,MATCH(G348,'POR Config List'!D:D,0)))</f>
        <v/>
      </c>
      <c r="AC348" s="105"/>
      <c r="AD348" s="100"/>
      <c r="AE348" s="100"/>
      <c r="AF348" s="100"/>
      <c r="AG348" s="100"/>
      <c r="AM348" s="102"/>
      <c r="AN348" s="102"/>
      <c r="AR348" s="119"/>
      <c r="AS348" s="103"/>
    </row>
    <row r="349">
      <c r="A349" s="168"/>
      <c r="B349" s="100" t="str">
        <f t="array" ref="B349">IFERROR( INDEX('POR Config List'!A:A,MATCH(G349,'POR Config List'!D:D,0)),"")</f>
        <v/>
      </c>
      <c r="C349" s="101" t="str">
        <f t="array" ref="C349">IFERROR(INDEX('label approval artwork'!E:E,MATCH(G349,'label approval artwork'!F:F,0),""),"")</f>
        <v/>
      </c>
      <c r="D349" s="102" t="str">
        <f t="shared" si="3"/>
        <v/>
      </c>
      <c r="E349" s="100" t="str">
        <f t="array" ref="E349">IF(ISBLANK(G349),"",INDEX('POR Config List'!K:K,MATCH(G349,'POR Config List'!D:D,0)))</f>
        <v/>
      </c>
      <c r="F349" s="100" t="str">
        <f t="array" ref="F349">IF(ISBLANK(G349),"",INDEX('POR Config List'!J:J,MATCH(G349,'POR Config List'!D:D,0)))</f>
        <v/>
      </c>
      <c r="G349" s="168"/>
      <c r="H349" s="104" t="str">
        <f t="array" ref="H349">IF(ISBLANK(G349),"",INDEX('MP SKUs'!G:G,MATCH(G349,'MP SKUs'!A:A,0)))</f>
        <v/>
      </c>
      <c r="I349" s="105" t="str">
        <f t="array" ref="I349">IF(ISBLANK(G349),"",INDEX('POR Config List'!O:O,MATCH(G349,'POR Config List'!D:D,0)))</f>
        <v/>
      </c>
      <c r="J349" s="104" t="str">
        <f t="array" ref="J349">IF(ISBLANK(G349),"",INDEX('POR Config List'!H:H,MATCH(G349,'POR Config List'!D:D,0)))</f>
        <v/>
      </c>
      <c r="K349" s="105" t="str">
        <f t="array" ref="K349">IF(ISBLANK(G349),"",INDEX('POR Config List'!G:G,MATCH(G349,'POR Config List'!D:D,0)))</f>
        <v/>
      </c>
      <c r="L349" s="105"/>
      <c r="M349" s="105" t="str">
        <f t="array" ref="M349">IF(ISBLANK(G349),"",INDEX('label approval artwork'!Q:Q,MATCH( G349,'label approval artwork'!F:F,0)))</f>
        <v/>
      </c>
      <c r="N349" s="169" t="str">
        <f t="shared" si="5"/>
        <v/>
      </c>
      <c r="O349" s="102" t="str">
        <f t="array" ref="O349">IF(ISBLANK(G349),"",INDEX('POR Config List'!C:C,MATCH(G349,'POR Config List'!D:D,0)))</f>
        <v/>
      </c>
      <c r="P349" s="105" t="str">
        <f t="shared" si="4"/>
        <v/>
      </c>
      <c r="Q349" s="105" t="str">
        <f t="array" ref="Q349">IF(ISBLANK(G349),"",INDEX('label approval artwork'!J:J,MATCH( G349,'label approval artwork'!F:F,0)))</f>
        <v/>
      </c>
      <c r="R349" s="105" t="str">
        <f t="array" ref="R349">IFERROR( IF(P349&lt;&gt;"EMA",INDEX('label approval artwork'!H:H,MATCH(G349,'label approval artwork'!F:F,0),"")),"")</f>
        <v/>
      </c>
      <c r="S349" s="105"/>
      <c r="T349" s="105" t="str">
        <f t="array" ref="T349">IF(ISBLANK(G349),"",INDEX('POR Config List'!I:I,MATCH(G349,'POR Config List'!D:D,0)))</f>
        <v/>
      </c>
      <c r="AA349" s="100" t="str">
        <f t="array" ref="AA349">IF(ISBLANK(G349),"",INDEX('POR Config List'!E:E,MATCH(G349,'POR Config List'!D:D,0)))</f>
        <v/>
      </c>
      <c r="AC349" s="105"/>
      <c r="AD349" s="100"/>
      <c r="AE349" s="100"/>
      <c r="AF349" s="100"/>
      <c r="AG349" s="100"/>
      <c r="AM349" s="102"/>
      <c r="AN349" s="102"/>
      <c r="AR349" s="119"/>
      <c r="AS349" s="103"/>
    </row>
    <row r="350">
      <c r="A350" s="168"/>
      <c r="B350" s="100" t="str">
        <f t="array" ref="B350">IFERROR( INDEX('POR Config List'!A:A,MATCH(G350,'POR Config List'!D:D,0)),"")</f>
        <v/>
      </c>
      <c r="C350" s="101" t="str">
        <f t="array" ref="C350">IFERROR(INDEX('label approval artwork'!E:E,MATCH(G350,'label approval artwork'!F:F,0),""),"")</f>
        <v/>
      </c>
      <c r="D350" s="102" t="str">
        <f t="shared" si="3"/>
        <v/>
      </c>
      <c r="E350" s="100" t="str">
        <f t="array" ref="E350">IF(ISBLANK(G350),"",INDEX('POR Config List'!K:K,MATCH(G350,'POR Config List'!D:D,0)))</f>
        <v/>
      </c>
      <c r="F350" s="100" t="str">
        <f t="array" ref="F350">IF(ISBLANK(G350),"",INDEX('POR Config List'!J:J,MATCH(G350,'POR Config List'!D:D,0)))</f>
        <v/>
      </c>
      <c r="G350" s="168"/>
      <c r="H350" s="104" t="str">
        <f t="array" ref="H350">IF(ISBLANK(G350),"",INDEX('MP SKUs'!G:G,MATCH(G350,'MP SKUs'!A:A,0)))</f>
        <v/>
      </c>
      <c r="I350" s="105" t="str">
        <f t="array" ref="I350">IF(ISBLANK(G350),"",INDEX('POR Config List'!O:O,MATCH(G350,'POR Config List'!D:D,0)))</f>
        <v/>
      </c>
      <c r="J350" s="104" t="str">
        <f t="array" ref="J350">IF(ISBLANK(G350),"",INDEX('POR Config List'!H:H,MATCH(G350,'POR Config List'!D:D,0)))</f>
        <v/>
      </c>
      <c r="K350" s="105" t="str">
        <f t="array" ref="K350">IF(ISBLANK(G350),"",INDEX('POR Config List'!G:G,MATCH(G350,'POR Config List'!D:D,0)))</f>
        <v/>
      </c>
      <c r="L350" s="105"/>
      <c r="M350" s="105" t="str">
        <f t="array" ref="M350">IF(ISBLANK(G350),"",INDEX('label approval artwork'!Q:Q,MATCH( G350,'label approval artwork'!F:F,0)))</f>
        <v/>
      </c>
      <c r="N350" s="169" t="str">
        <f t="shared" si="5"/>
        <v/>
      </c>
      <c r="O350" s="102" t="str">
        <f t="array" ref="O350">IF(ISBLANK(G350),"",INDEX('POR Config List'!C:C,MATCH(G350,'POR Config List'!D:D,0)))</f>
        <v/>
      </c>
      <c r="P350" s="105" t="str">
        <f t="shared" si="4"/>
        <v/>
      </c>
      <c r="Q350" s="105" t="str">
        <f t="array" ref="Q350">IF(ISBLANK(G350),"",INDEX('label approval artwork'!J:J,MATCH( G350,'label approval artwork'!F:F,0)))</f>
        <v/>
      </c>
      <c r="R350" s="105" t="str">
        <f t="array" ref="R350">IFERROR( IF(P350&lt;&gt;"EMA",INDEX('label approval artwork'!H:H,MATCH(G350,'label approval artwork'!F:F,0),"")),"")</f>
        <v/>
      </c>
      <c r="S350" s="105"/>
      <c r="T350" s="105" t="str">
        <f t="array" ref="T350">IF(ISBLANK(G350),"",INDEX('POR Config List'!I:I,MATCH(G350,'POR Config List'!D:D,0)))</f>
        <v/>
      </c>
      <c r="AA350" s="100" t="str">
        <f t="array" ref="AA350">IF(ISBLANK(G350),"",INDEX('POR Config List'!E:E,MATCH(G350,'POR Config List'!D:D,0)))</f>
        <v/>
      </c>
      <c r="AC350" s="105"/>
      <c r="AD350" s="100"/>
      <c r="AE350" s="100"/>
      <c r="AF350" s="100"/>
      <c r="AG350" s="100"/>
      <c r="AM350" s="102"/>
      <c r="AN350" s="102"/>
      <c r="AR350" s="119"/>
      <c r="AS350" s="103"/>
    </row>
    <row r="351">
      <c r="A351" s="168"/>
      <c r="B351" s="100" t="str">
        <f t="array" ref="B351">IFERROR( INDEX('POR Config List'!A:A,MATCH(G351,'POR Config List'!D:D,0)),"")</f>
        <v/>
      </c>
      <c r="C351" s="101" t="str">
        <f t="array" ref="C351">IFERROR(INDEX('label approval artwork'!E:E,MATCH(G351,'label approval artwork'!F:F,0),""),"")</f>
        <v/>
      </c>
      <c r="D351" s="102" t="str">
        <f t="shared" si="3"/>
        <v/>
      </c>
      <c r="E351" s="100" t="str">
        <f t="array" ref="E351">IF(ISBLANK(G351),"",INDEX('POR Config List'!K:K,MATCH(G351,'POR Config List'!D:D,0)))</f>
        <v/>
      </c>
      <c r="F351" s="100" t="str">
        <f t="array" ref="F351">IF(ISBLANK(G351),"",INDEX('POR Config List'!J:J,MATCH(G351,'POR Config List'!D:D,0)))</f>
        <v/>
      </c>
      <c r="G351" s="168"/>
      <c r="H351" s="104" t="str">
        <f t="array" ref="H351">IF(ISBLANK(G351),"",INDEX('MP SKUs'!G:G,MATCH(G351,'MP SKUs'!A:A,0)))</f>
        <v/>
      </c>
      <c r="I351" s="105" t="str">
        <f t="array" ref="I351">IF(ISBLANK(G351),"",INDEX('POR Config List'!O:O,MATCH(G351,'POR Config List'!D:D,0)))</f>
        <v/>
      </c>
      <c r="J351" s="104" t="str">
        <f t="array" ref="J351">IF(ISBLANK(G351),"",INDEX('POR Config List'!H:H,MATCH(G351,'POR Config List'!D:D,0)))</f>
        <v/>
      </c>
      <c r="K351" s="105" t="str">
        <f t="array" ref="K351">IF(ISBLANK(G351),"",INDEX('POR Config List'!G:G,MATCH(G351,'POR Config List'!D:D,0)))</f>
        <v/>
      </c>
      <c r="L351" s="105"/>
      <c r="M351" s="105" t="str">
        <f t="array" ref="M351">IF(ISBLANK(G351),"",INDEX('label approval artwork'!Q:Q,MATCH( G351,'label approval artwork'!F:F,0)))</f>
        <v/>
      </c>
      <c r="N351" s="169" t="str">
        <f t="shared" si="5"/>
        <v/>
      </c>
      <c r="O351" s="102" t="str">
        <f t="array" ref="O351">IF(ISBLANK(G351),"",INDEX('POR Config List'!C:C,MATCH(G351,'POR Config List'!D:D,0)))</f>
        <v/>
      </c>
      <c r="P351" s="105" t="str">
        <f t="shared" si="4"/>
        <v/>
      </c>
      <c r="Q351" s="105" t="str">
        <f t="array" ref="Q351">IF(ISBLANK(G351),"",INDEX('label approval artwork'!J:J,MATCH( G351,'label approval artwork'!F:F,0)))</f>
        <v/>
      </c>
      <c r="R351" s="105" t="str">
        <f t="array" ref="R351">IFERROR( IF(P351&lt;&gt;"EMA",INDEX('label approval artwork'!H:H,MATCH(G351,'label approval artwork'!F:F,0),"")),"")</f>
        <v/>
      </c>
      <c r="S351" s="105"/>
      <c r="T351" s="105" t="str">
        <f t="array" ref="T351">IF(ISBLANK(G351),"",INDEX('POR Config List'!I:I,MATCH(G351,'POR Config List'!D:D,0)))</f>
        <v/>
      </c>
      <c r="AA351" s="100" t="str">
        <f t="array" ref="AA351">IF(ISBLANK(G351),"",INDEX('POR Config List'!E:E,MATCH(G351,'POR Config List'!D:D,0)))</f>
        <v/>
      </c>
      <c r="AC351" s="105"/>
      <c r="AD351" s="100"/>
      <c r="AE351" s="100"/>
      <c r="AF351" s="100"/>
      <c r="AG351" s="100"/>
      <c r="AM351" s="102"/>
      <c r="AN351" s="102"/>
      <c r="AR351" s="119"/>
      <c r="AS351" s="103"/>
    </row>
    <row r="352">
      <c r="A352" s="168"/>
      <c r="B352" s="100" t="str">
        <f t="array" ref="B352">IFERROR( INDEX('POR Config List'!A:A,MATCH(G352,'POR Config List'!D:D,0)),"")</f>
        <v/>
      </c>
      <c r="C352" s="101" t="str">
        <f t="array" ref="C352">IFERROR(INDEX('label approval artwork'!E:E,MATCH(G352,'label approval artwork'!F:F,0),""),"")</f>
        <v/>
      </c>
      <c r="D352" s="102" t="str">
        <f t="shared" si="3"/>
        <v/>
      </c>
      <c r="E352" s="100" t="str">
        <f t="array" ref="E352">IF(ISBLANK(G352),"",INDEX('POR Config List'!K:K,MATCH(G352,'POR Config List'!D:D,0)))</f>
        <v/>
      </c>
      <c r="F352" s="100" t="str">
        <f t="array" ref="F352">IF(ISBLANK(G352),"",INDEX('POR Config List'!J:J,MATCH(G352,'POR Config List'!D:D,0)))</f>
        <v/>
      </c>
      <c r="G352" s="168"/>
      <c r="H352" s="104" t="str">
        <f t="array" ref="H352">IF(ISBLANK(G352),"",INDEX('MP SKUs'!G:G,MATCH(G352,'MP SKUs'!A:A,0)))</f>
        <v/>
      </c>
      <c r="I352" s="105" t="str">
        <f t="array" ref="I352">IF(ISBLANK(G352),"",INDEX('POR Config List'!O:O,MATCH(G352,'POR Config List'!D:D,0)))</f>
        <v/>
      </c>
      <c r="J352" s="104" t="str">
        <f t="array" ref="J352">IF(ISBLANK(G352),"",INDEX('POR Config List'!H:H,MATCH(G352,'POR Config List'!D:D,0)))</f>
        <v/>
      </c>
      <c r="K352" s="105" t="str">
        <f t="array" ref="K352">IF(ISBLANK(G352),"",INDEX('POR Config List'!G:G,MATCH(G352,'POR Config List'!D:D,0)))</f>
        <v/>
      </c>
      <c r="L352" s="105"/>
      <c r="M352" s="105" t="str">
        <f t="array" ref="M352">IF(ISBLANK(G352),"",INDEX('label approval artwork'!Q:Q,MATCH( G352,'label approval artwork'!F:F,0)))</f>
        <v/>
      </c>
      <c r="N352" s="169" t="str">
        <f t="shared" si="5"/>
        <v/>
      </c>
      <c r="O352" s="102" t="str">
        <f t="array" ref="O352">IF(ISBLANK(G352),"",INDEX('POR Config List'!C:C,MATCH(G352,'POR Config List'!D:D,0)))</f>
        <v/>
      </c>
      <c r="P352" s="105" t="str">
        <f t="shared" si="4"/>
        <v/>
      </c>
      <c r="Q352" s="105" t="str">
        <f t="array" ref="Q352">IF(ISBLANK(G352),"",INDEX('label approval artwork'!J:J,MATCH( G352,'label approval artwork'!F:F,0)))</f>
        <v/>
      </c>
      <c r="R352" s="105" t="str">
        <f t="array" ref="R352">IFERROR( IF(P352&lt;&gt;"EMA",INDEX('label approval artwork'!H:H,MATCH(G352,'label approval artwork'!F:F,0),"")),"")</f>
        <v/>
      </c>
      <c r="S352" s="105"/>
      <c r="T352" s="105" t="str">
        <f t="array" ref="T352">IF(ISBLANK(G352),"",INDEX('POR Config List'!I:I,MATCH(G352,'POR Config List'!D:D,0)))</f>
        <v/>
      </c>
      <c r="AA352" s="100" t="str">
        <f t="array" ref="AA352">IF(ISBLANK(G352),"",INDEX('POR Config List'!E:E,MATCH(G352,'POR Config List'!D:D,0)))</f>
        <v/>
      </c>
      <c r="AC352" s="105"/>
      <c r="AD352" s="100"/>
      <c r="AE352" s="100"/>
      <c r="AF352" s="100"/>
      <c r="AG352" s="100"/>
      <c r="AM352" s="102"/>
      <c r="AN352" s="102"/>
      <c r="AR352" s="119"/>
      <c r="AS352" s="103"/>
    </row>
    <row r="353">
      <c r="A353" s="168"/>
      <c r="B353" s="100" t="str">
        <f t="array" ref="B353">IFERROR( INDEX('POR Config List'!A:A,MATCH(G353,'POR Config List'!D:D,0)),"")</f>
        <v/>
      </c>
      <c r="C353" s="101" t="str">
        <f t="array" ref="C353">IFERROR(INDEX('label approval artwork'!E:E,MATCH(G353,'label approval artwork'!F:F,0),""),"")</f>
        <v/>
      </c>
      <c r="D353" s="102" t="str">
        <f t="shared" si="3"/>
        <v/>
      </c>
      <c r="E353" s="100" t="str">
        <f t="array" ref="E353">IF(ISBLANK(G353),"",INDEX('POR Config List'!K:K,MATCH(G353,'POR Config List'!D:D,0)))</f>
        <v/>
      </c>
      <c r="F353" s="100" t="str">
        <f t="array" ref="F353">IF(ISBLANK(G353),"",INDEX('POR Config List'!J:J,MATCH(G353,'POR Config List'!D:D,0)))</f>
        <v/>
      </c>
      <c r="G353" s="168"/>
      <c r="H353" s="104" t="str">
        <f t="array" ref="H353">IF(ISBLANK(G353),"",INDEX('MP SKUs'!G:G,MATCH(G353,'MP SKUs'!A:A,0)))</f>
        <v/>
      </c>
      <c r="I353" s="105" t="str">
        <f t="array" ref="I353">IF(ISBLANK(G353),"",INDEX('POR Config List'!O:O,MATCH(G353,'POR Config List'!D:D,0)))</f>
        <v/>
      </c>
      <c r="J353" s="104" t="str">
        <f t="array" ref="J353">IF(ISBLANK(G353),"",INDEX('POR Config List'!H:H,MATCH(G353,'POR Config List'!D:D,0)))</f>
        <v/>
      </c>
      <c r="K353" s="105" t="str">
        <f t="array" ref="K353">IF(ISBLANK(G353),"",INDEX('POR Config List'!G:G,MATCH(G353,'POR Config List'!D:D,0)))</f>
        <v/>
      </c>
      <c r="L353" s="105"/>
      <c r="M353" s="105" t="str">
        <f t="array" ref="M353">IF(ISBLANK(G353),"",INDEX('label approval artwork'!Q:Q,MATCH( G353,'label approval artwork'!F:F,0)))</f>
        <v/>
      </c>
      <c r="N353" s="169" t="str">
        <f t="shared" si="5"/>
        <v/>
      </c>
      <c r="O353" s="102" t="str">
        <f t="array" ref="O353">IF(ISBLANK(G353),"",INDEX('POR Config List'!C:C,MATCH(G353,'POR Config List'!D:D,0)))</f>
        <v/>
      </c>
      <c r="P353" s="105" t="str">
        <f t="shared" si="4"/>
        <v/>
      </c>
      <c r="Q353" s="105" t="str">
        <f t="array" ref="Q353">IF(ISBLANK(G353),"",INDEX('label approval artwork'!J:J,MATCH( G353,'label approval artwork'!F:F,0)))</f>
        <v/>
      </c>
      <c r="R353" s="105" t="str">
        <f t="array" ref="R353">IFERROR( IF(P353&lt;&gt;"EMA",INDEX('label approval artwork'!H:H,MATCH(G353,'label approval artwork'!F:F,0),"")),"")</f>
        <v/>
      </c>
      <c r="S353" s="105"/>
      <c r="T353" s="105" t="str">
        <f t="array" ref="T353">IF(ISBLANK(G353),"",INDEX('POR Config List'!I:I,MATCH(G353,'POR Config List'!D:D,0)))</f>
        <v/>
      </c>
      <c r="AA353" s="100" t="str">
        <f t="array" ref="AA353">IF(ISBLANK(G353),"",INDEX('POR Config List'!E:E,MATCH(G353,'POR Config List'!D:D,0)))</f>
        <v/>
      </c>
      <c r="AC353" s="105"/>
      <c r="AD353" s="100"/>
      <c r="AE353" s="100"/>
      <c r="AF353" s="100"/>
      <c r="AG353" s="100"/>
      <c r="AM353" s="102"/>
      <c r="AN353" s="102"/>
      <c r="AR353" s="119"/>
      <c r="AS353" s="103"/>
    </row>
    <row r="354">
      <c r="A354" s="168"/>
      <c r="B354" s="100" t="str">
        <f t="array" ref="B354">IFERROR( INDEX('POR Config List'!A:A,MATCH(G354,'POR Config List'!D:D,0)),"")</f>
        <v/>
      </c>
      <c r="C354" s="101" t="str">
        <f t="array" ref="C354">IFERROR(INDEX('label approval artwork'!E:E,MATCH(G354,'label approval artwork'!F:F,0),""),"")</f>
        <v/>
      </c>
      <c r="D354" s="102" t="str">
        <f t="shared" si="3"/>
        <v/>
      </c>
      <c r="E354" s="100" t="str">
        <f t="array" ref="E354">IF(ISBLANK(G354),"",INDEX('POR Config List'!K:K,MATCH(G354,'POR Config List'!D:D,0)))</f>
        <v/>
      </c>
      <c r="F354" s="100" t="str">
        <f t="array" ref="F354">IF(ISBLANK(G354),"",INDEX('POR Config List'!J:J,MATCH(G354,'POR Config List'!D:D,0)))</f>
        <v/>
      </c>
      <c r="G354" s="168"/>
      <c r="H354" s="104" t="str">
        <f t="array" ref="H354">IF(ISBLANK(G354),"",INDEX('MP SKUs'!G:G,MATCH(G354,'MP SKUs'!A:A,0)))</f>
        <v/>
      </c>
      <c r="I354" s="105" t="str">
        <f t="array" ref="I354">IF(ISBLANK(G354),"",INDEX('POR Config List'!O:O,MATCH(G354,'POR Config List'!D:D,0)))</f>
        <v/>
      </c>
      <c r="J354" s="104" t="str">
        <f t="array" ref="J354">IF(ISBLANK(G354),"",INDEX('POR Config List'!H:H,MATCH(G354,'POR Config List'!D:D,0)))</f>
        <v/>
      </c>
      <c r="K354" s="105" t="str">
        <f t="array" ref="K354">IF(ISBLANK(G354),"",INDEX('POR Config List'!G:G,MATCH(G354,'POR Config List'!D:D,0)))</f>
        <v/>
      </c>
      <c r="L354" s="105"/>
      <c r="M354" s="105" t="str">
        <f t="array" ref="M354">IF(ISBLANK(G354),"",INDEX('label approval artwork'!Q:Q,MATCH( G354,'label approval artwork'!F:F,0)))</f>
        <v/>
      </c>
      <c r="N354" s="169" t="str">
        <f t="shared" si="5"/>
        <v/>
      </c>
      <c r="O354" s="102" t="str">
        <f t="array" ref="O354">IF(ISBLANK(G354),"",INDEX('POR Config List'!C:C,MATCH(G354,'POR Config List'!D:D,0)))</f>
        <v/>
      </c>
      <c r="P354" s="105" t="str">
        <f t="shared" si="4"/>
        <v/>
      </c>
      <c r="Q354" s="105" t="str">
        <f t="array" ref="Q354">IF(ISBLANK(G354),"",INDEX('label approval artwork'!J:J,MATCH( G354,'label approval artwork'!F:F,0)))</f>
        <v/>
      </c>
      <c r="R354" s="105" t="str">
        <f t="array" ref="R354">IFERROR( IF(P354&lt;&gt;"EMA",INDEX('label approval artwork'!H:H,MATCH(G354,'label approval artwork'!F:F,0),"")),"")</f>
        <v/>
      </c>
      <c r="S354" s="105"/>
      <c r="T354" s="105" t="str">
        <f t="array" ref="T354">IF(ISBLANK(G354),"",INDEX('POR Config List'!I:I,MATCH(G354,'POR Config List'!D:D,0)))</f>
        <v/>
      </c>
      <c r="AA354" s="100" t="str">
        <f t="array" ref="AA354">IF(ISBLANK(G354),"",INDEX('POR Config List'!E:E,MATCH(G354,'POR Config List'!D:D,0)))</f>
        <v/>
      </c>
      <c r="AC354" s="105"/>
      <c r="AD354" s="100"/>
      <c r="AE354" s="100"/>
      <c r="AF354" s="100"/>
      <c r="AG354" s="100"/>
      <c r="AM354" s="102"/>
      <c r="AN354" s="102"/>
      <c r="AR354" s="119"/>
      <c r="AS354" s="103"/>
    </row>
    <row r="355">
      <c r="A355" s="168"/>
      <c r="B355" s="100" t="str">
        <f t="array" ref="B355">IFERROR( INDEX('POR Config List'!A:A,MATCH(G355,'POR Config List'!D:D,0)),"")</f>
        <v/>
      </c>
      <c r="C355" s="101" t="str">
        <f t="array" ref="C355">IFERROR(INDEX('label approval artwork'!E:E,MATCH(G355,'label approval artwork'!F:F,0),""),"")</f>
        <v/>
      </c>
      <c r="D355" s="102" t="str">
        <f t="shared" si="3"/>
        <v/>
      </c>
      <c r="E355" s="100" t="str">
        <f t="array" ref="E355">IF(ISBLANK(G355),"",INDEX('POR Config List'!K:K,MATCH(G355,'POR Config List'!D:D,0)))</f>
        <v/>
      </c>
      <c r="F355" s="100" t="str">
        <f t="array" ref="F355">IF(ISBLANK(G355),"",INDEX('POR Config List'!J:J,MATCH(G355,'POR Config List'!D:D,0)))</f>
        <v/>
      </c>
      <c r="G355" s="168"/>
      <c r="H355" s="104" t="str">
        <f t="array" ref="H355">IF(ISBLANK(G355),"",INDEX('MP SKUs'!G:G,MATCH(G355,'MP SKUs'!A:A,0)))</f>
        <v/>
      </c>
      <c r="I355" s="105" t="str">
        <f t="array" ref="I355">IF(ISBLANK(G355),"",INDEX('POR Config List'!O:O,MATCH(G355,'POR Config List'!D:D,0)))</f>
        <v/>
      </c>
      <c r="J355" s="104" t="str">
        <f t="array" ref="J355">IF(ISBLANK(G355),"",INDEX('POR Config List'!H:H,MATCH(G355,'POR Config List'!D:D,0)))</f>
        <v/>
      </c>
      <c r="K355" s="105" t="str">
        <f t="array" ref="K355">IF(ISBLANK(G355),"",INDEX('POR Config List'!G:G,MATCH(G355,'POR Config List'!D:D,0)))</f>
        <v/>
      </c>
      <c r="L355" s="105"/>
      <c r="M355" s="105" t="str">
        <f t="array" ref="M355">IF(ISBLANK(G355),"",INDEX('label approval artwork'!Q:Q,MATCH( G355,'label approval artwork'!F:F,0)))</f>
        <v/>
      </c>
      <c r="N355" s="169" t="str">
        <f t="shared" si="5"/>
        <v/>
      </c>
      <c r="O355" s="102" t="str">
        <f t="array" ref="O355">IF(ISBLANK(G355),"",INDEX('POR Config List'!C:C,MATCH(G355,'POR Config List'!D:D,0)))</f>
        <v/>
      </c>
      <c r="P355" s="105" t="str">
        <f t="shared" si="4"/>
        <v/>
      </c>
      <c r="Q355" s="105" t="str">
        <f t="array" ref="Q355">IF(ISBLANK(G355),"",INDEX('label approval artwork'!J:J,MATCH( G355,'label approval artwork'!F:F,0)))</f>
        <v/>
      </c>
      <c r="R355" s="105" t="str">
        <f t="array" ref="R355">IFERROR( IF(P355&lt;&gt;"EMA",INDEX('label approval artwork'!H:H,MATCH(G355,'label approval artwork'!F:F,0),"")),"")</f>
        <v/>
      </c>
      <c r="S355" s="105"/>
      <c r="T355" s="105" t="str">
        <f t="array" ref="T355">IF(ISBLANK(G355),"",INDEX('POR Config List'!I:I,MATCH(G355,'POR Config List'!D:D,0)))</f>
        <v/>
      </c>
      <c r="AA355" s="100" t="str">
        <f t="array" ref="AA355">IF(ISBLANK(G355),"",INDEX('POR Config List'!E:E,MATCH(G355,'POR Config List'!D:D,0)))</f>
        <v/>
      </c>
      <c r="AC355" s="105"/>
      <c r="AD355" s="100"/>
      <c r="AE355" s="100"/>
      <c r="AF355" s="100"/>
      <c r="AG355" s="100"/>
      <c r="AM355" s="102"/>
      <c r="AN355" s="102"/>
      <c r="AR355" s="119"/>
      <c r="AS355" s="103"/>
    </row>
    <row r="356">
      <c r="A356" s="168"/>
      <c r="B356" s="100" t="str">
        <f t="array" ref="B356">IFERROR( INDEX('POR Config List'!A:A,MATCH(G356,'POR Config List'!D:D,0)),"")</f>
        <v/>
      </c>
      <c r="C356" s="101" t="str">
        <f t="array" ref="C356">IFERROR(INDEX('label approval artwork'!E:E,MATCH(G356,'label approval artwork'!F:F,0),""),"")</f>
        <v/>
      </c>
      <c r="D356" s="102" t="str">
        <f t="shared" si="3"/>
        <v/>
      </c>
      <c r="E356" s="100" t="str">
        <f t="array" ref="E356">IF(ISBLANK(G356),"",INDEX('POR Config List'!K:K,MATCH(G356,'POR Config List'!D:D,0)))</f>
        <v/>
      </c>
      <c r="F356" s="100" t="str">
        <f t="array" ref="F356">IF(ISBLANK(G356),"",INDEX('POR Config List'!J:J,MATCH(G356,'POR Config List'!D:D,0)))</f>
        <v/>
      </c>
      <c r="G356" s="168"/>
      <c r="H356" s="104" t="str">
        <f t="array" ref="H356">IF(ISBLANK(G356),"",INDEX('MP SKUs'!G:G,MATCH(G356,'MP SKUs'!A:A,0)))</f>
        <v/>
      </c>
      <c r="I356" s="105" t="str">
        <f t="array" ref="I356">IF(ISBLANK(G356),"",INDEX('POR Config List'!O:O,MATCH(G356,'POR Config List'!D:D,0)))</f>
        <v/>
      </c>
      <c r="J356" s="104" t="str">
        <f t="array" ref="J356">IF(ISBLANK(G356),"",INDEX('POR Config List'!H:H,MATCH(G356,'POR Config List'!D:D,0)))</f>
        <v/>
      </c>
      <c r="K356" s="105" t="str">
        <f t="array" ref="K356">IF(ISBLANK(G356),"",INDEX('POR Config List'!G:G,MATCH(G356,'POR Config List'!D:D,0)))</f>
        <v/>
      </c>
      <c r="L356" s="105"/>
      <c r="M356" s="105" t="str">
        <f t="array" ref="M356">IF(ISBLANK(G356),"",INDEX('label approval artwork'!Q:Q,MATCH( G356,'label approval artwork'!F:F,0)))</f>
        <v/>
      </c>
      <c r="N356" s="169" t="str">
        <f t="shared" si="5"/>
        <v/>
      </c>
      <c r="O356" s="102" t="str">
        <f t="array" ref="O356">IF(ISBLANK(G356),"",INDEX('POR Config List'!C:C,MATCH(G356,'POR Config List'!D:D,0)))</f>
        <v/>
      </c>
      <c r="P356" s="105" t="str">
        <f t="shared" si="4"/>
        <v/>
      </c>
      <c r="Q356" s="105" t="str">
        <f t="array" ref="Q356">IF(ISBLANK(G356),"",INDEX('label approval artwork'!J:J,MATCH( G356,'label approval artwork'!F:F,0)))</f>
        <v/>
      </c>
      <c r="R356" s="105" t="str">
        <f t="array" ref="R356">IFERROR( IF(P356&lt;&gt;"EMA",INDEX('label approval artwork'!H:H,MATCH(G356,'label approval artwork'!F:F,0),"")),"")</f>
        <v/>
      </c>
      <c r="S356" s="105"/>
      <c r="T356" s="105" t="str">
        <f t="array" ref="T356">IF(ISBLANK(G356),"",INDEX('POR Config List'!I:I,MATCH(G356,'POR Config List'!D:D,0)))</f>
        <v/>
      </c>
      <c r="AA356" s="100" t="str">
        <f t="array" ref="AA356">IF(ISBLANK(G356),"",INDEX('POR Config List'!E:E,MATCH(G356,'POR Config List'!D:D,0)))</f>
        <v/>
      </c>
      <c r="AC356" s="105"/>
      <c r="AD356" s="100"/>
      <c r="AE356" s="100"/>
      <c r="AF356" s="100"/>
      <c r="AG356" s="100"/>
      <c r="AM356" s="102"/>
      <c r="AN356" s="102"/>
      <c r="AR356" s="119"/>
      <c r="AS356" s="103"/>
    </row>
    <row r="357">
      <c r="A357" s="168"/>
      <c r="B357" s="100" t="str">
        <f t="array" ref="B357">IFERROR( INDEX('POR Config List'!A:A,MATCH(G357,'POR Config List'!D:D,0)),"")</f>
        <v/>
      </c>
      <c r="C357" s="101" t="str">
        <f t="array" ref="C357">IFERROR(INDEX('label approval artwork'!E:E,MATCH(G357,'label approval artwork'!F:F,0),""),"")</f>
        <v/>
      </c>
      <c r="D357" s="102" t="str">
        <f t="shared" si="3"/>
        <v/>
      </c>
      <c r="E357" s="100" t="str">
        <f t="array" ref="E357">IF(ISBLANK(G357),"",INDEX('POR Config List'!K:K,MATCH(G357,'POR Config List'!D:D,0)))</f>
        <v/>
      </c>
      <c r="F357" s="100" t="str">
        <f t="array" ref="F357">IF(ISBLANK(G357),"",INDEX('POR Config List'!J:J,MATCH(G357,'POR Config List'!D:D,0)))</f>
        <v/>
      </c>
      <c r="G357" s="168"/>
      <c r="H357" s="104" t="str">
        <f t="array" ref="H357">IF(ISBLANK(G357),"",INDEX('MP SKUs'!G:G,MATCH(G357,'MP SKUs'!A:A,0)))</f>
        <v/>
      </c>
      <c r="I357" s="105" t="str">
        <f t="array" ref="I357">IF(ISBLANK(G357),"",INDEX('POR Config List'!O:O,MATCH(G357,'POR Config List'!D:D,0)))</f>
        <v/>
      </c>
      <c r="J357" s="104" t="str">
        <f t="array" ref="J357">IF(ISBLANK(G357),"",INDEX('POR Config List'!H:H,MATCH(G357,'POR Config List'!D:D,0)))</f>
        <v/>
      </c>
      <c r="K357" s="105" t="str">
        <f t="array" ref="K357">IF(ISBLANK(G357),"",INDEX('POR Config List'!G:G,MATCH(G357,'POR Config List'!D:D,0)))</f>
        <v/>
      </c>
      <c r="L357" s="105"/>
      <c r="M357" s="105" t="str">
        <f t="array" ref="M357">IF(ISBLANK(G357),"",INDEX('label approval artwork'!Q:Q,MATCH( G357,'label approval artwork'!F:F,0)))</f>
        <v/>
      </c>
      <c r="N357" s="169" t="str">
        <f t="shared" si="5"/>
        <v/>
      </c>
      <c r="O357" s="102" t="str">
        <f t="array" ref="O357">IF(ISBLANK(G357),"",INDEX('POR Config List'!C:C,MATCH(G357,'POR Config List'!D:D,0)))</f>
        <v/>
      </c>
      <c r="P357" s="105" t="str">
        <f t="shared" si="4"/>
        <v/>
      </c>
      <c r="Q357" s="105" t="str">
        <f t="array" ref="Q357">IF(ISBLANK(G357),"",INDEX('label approval artwork'!J:J,MATCH( G357,'label approval artwork'!F:F,0)))</f>
        <v/>
      </c>
      <c r="R357" s="105" t="str">
        <f t="array" ref="R357">IFERROR( IF(P357&lt;&gt;"EMA",INDEX('label approval artwork'!H:H,MATCH(G357,'label approval artwork'!F:F,0),"")),"")</f>
        <v/>
      </c>
      <c r="S357" s="105"/>
      <c r="T357" s="105" t="str">
        <f t="array" ref="T357">IF(ISBLANK(G357),"",INDEX('POR Config List'!I:I,MATCH(G357,'POR Config List'!D:D,0)))</f>
        <v/>
      </c>
      <c r="AA357" s="100" t="str">
        <f t="array" ref="AA357">IF(ISBLANK(G357),"",INDEX('POR Config List'!E:E,MATCH(G357,'POR Config List'!D:D,0)))</f>
        <v/>
      </c>
      <c r="AC357" s="105"/>
      <c r="AD357" s="100"/>
      <c r="AE357" s="100"/>
      <c r="AF357" s="100"/>
      <c r="AG357" s="100"/>
      <c r="AM357" s="102"/>
      <c r="AN357" s="102"/>
      <c r="AR357" s="119"/>
      <c r="AS357" s="103"/>
    </row>
    <row r="358">
      <c r="A358" s="168"/>
      <c r="B358" s="100" t="str">
        <f t="array" ref="B358">IFERROR( INDEX('POR Config List'!A:A,MATCH(G358,'POR Config List'!D:D,0)),"")</f>
        <v/>
      </c>
      <c r="C358" s="101" t="str">
        <f t="array" ref="C358">IFERROR(INDEX('label approval artwork'!E:E,MATCH(G358,'label approval artwork'!F:F,0),""),"")</f>
        <v/>
      </c>
      <c r="D358" s="102" t="str">
        <f t="shared" si="3"/>
        <v/>
      </c>
      <c r="E358" s="100" t="str">
        <f t="array" ref="E358">IF(ISBLANK(G358),"",INDEX('POR Config List'!K:K,MATCH(G358,'POR Config List'!D:D,0)))</f>
        <v/>
      </c>
      <c r="F358" s="100" t="str">
        <f t="array" ref="F358">IF(ISBLANK(G358),"",INDEX('POR Config List'!J:J,MATCH(G358,'POR Config List'!D:D,0)))</f>
        <v/>
      </c>
      <c r="G358" s="168"/>
      <c r="H358" s="104" t="str">
        <f t="array" ref="H358">IF(ISBLANK(G358),"",INDEX('MP SKUs'!G:G,MATCH(G358,'MP SKUs'!A:A,0)))</f>
        <v/>
      </c>
      <c r="I358" s="105" t="str">
        <f t="array" ref="I358">IF(ISBLANK(G358),"",INDEX('POR Config List'!O:O,MATCH(G358,'POR Config List'!D:D,0)))</f>
        <v/>
      </c>
      <c r="J358" s="104" t="str">
        <f t="array" ref="J358">IF(ISBLANK(G358),"",INDEX('POR Config List'!H:H,MATCH(G358,'POR Config List'!D:D,0)))</f>
        <v/>
      </c>
      <c r="K358" s="105" t="str">
        <f t="array" ref="K358">IF(ISBLANK(G358),"",INDEX('POR Config List'!G:G,MATCH(G358,'POR Config List'!D:D,0)))</f>
        <v/>
      </c>
      <c r="L358" s="105"/>
      <c r="M358" s="105" t="str">
        <f t="array" ref="M358">IF(ISBLANK(G358),"",INDEX('label approval artwork'!Q:Q,MATCH( G358,'label approval artwork'!F:F,0)))</f>
        <v/>
      </c>
      <c r="N358" s="169" t="str">
        <f t="shared" si="5"/>
        <v/>
      </c>
      <c r="O358" s="102" t="str">
        <f t="array" ref="O358">IF(ISBLANK(G358),"",INDEX('POR Config List'!C:C,MATCH(G358,'POR Config List'!D:D,0)))</f>
        <v/>
      </c>
      <c r="P358" s="105" t="str">
        <f t="shared" si="4"/>
        <v/>
      </c>
      <c r="Q358" s="105" t="str">
        <f t="array" ref="Q358">IF(ISBLANK(G358),"",INDEX('label approval artwork'!J:J,MATCH( G358,'label approval artwork'!F:F,0)))</f>
        <v/>
      </c>
      <c r="R358" s="105" t="str">
        <f t="array" ref="R358">IFERROR( IF(P358&lt;&gt;"EMA",INDEX('label approval artwork'!H:H,MATCH(G358,'label approval artwork'!F:F,0),"")),"")</f>
        <v/>
      </c>
      <c r="S358" s="105"/>
      <c r="T358" s="105" t="str">
        <f t="array" ref="T358">IF(ISBLANK(G358),"",INDEX('POR Config List'!I:I,MATCH(G358,'POR Config List'!D:D,0)))</f>
        <v/>
      </c>
      <c r="AA358" s="100" t="str">
        <f t="array" ref="AA358">IF(ISBLANK(G358),"",INDEX('POR Config List'!E:E,MATCH(G358,'POR Config List'!D:D,0)))</f>
        <v/>
      </c>
      <c r="AC358" s="105"/>
      <c r="AD358" s="100"/>
      <c r="AE358" s="100"/>
      <c r="AF358" s="100"/>
      <c r="AG358" s="100"/>
      <c r="AM358" s="102"/>
      <c r="AN358" s="102"/>
      <c r="AR358" s="119"/>
      <c r="AS358" s="103"/>
    </row>
    <row r="359">
      <c r="A359" s="168"/>
      <c r="B359" s="100" t="str">
        <f t="array" ref="B359">IFERROR( INDEX('POR Config List'!A:A,MATCH(G359,'POR Config List'!D:D,0)),"")</f>
        <v/>
      </c>
      <c r="C359" s="101" t="str">
        <f t="array" ref="C359">IFERROR(INDEX('label approval artwork'!E:E,MATCH(G359,'label approval artwork'!F:F,0),""),"")</f>
        <v/>
      </c>
      <c r="D359" s="102" t="str">
        <f t="shared" si="3"/>
        <v/>
      </c>
      <c r="E359" s="100" t="str">
        <f t="array" ref="E359">IF(ISBLANK(G359),"",INDEX('POR Config List'!K:K,MATCH(G359,'POR Config List'!D:D,0)))</f>
        <v/>
      </c>
      <c r="F359" s="100" t="str">
        <f t="array" ref="F359">IF(ISBLANK(G359),"",INDEX('POR Config List'!J:J,MATCH(G359,'POR Config List'!D:D,0)))</f>
        <v/>
      </c>
      <c r="G359" s="168"/>
      <c r="H359" s="104" t="str">
        <f t="array" ref="H359">IF(ISBLANK(G359),"",INDEX('MP SKUs'!G:G,MATCH(G359,'MP SKUs'!A:A,0)))</f>
        <v/>
      </c>
      <c r="I359" s="105" t="str">
        <f t="array" ref="I359">IF(ISBLANK(G359),"",INDEX('POR Config List'!O:O,MATCH(G359,'POR Config List'!D:D,0)))</f>
        <v/>
      </c>
      <c r="J359" s="104" t="str">
        <f t="array" ref="J359">IF(ISBLANK(G359),"",INDEX('POR Config List'!H:H,MATCH(G359,'POR Config List'!D:D,0)))</f>
        <v/>
      </c>
      <c r="K359" s="105" t="str">
        <f t="array" ref="K359">IF(ISBLANK(G359),"",INDEX('POR Config List'!G:G,MATCH(G359,'POR Config List'!D:D,0)))</f>
        <v/>
      </c>
      <c r="L359" s="105"/>
      <c r="M359" s="105" t="str">
        <f t="array" ref="M359">IF(ISBLANK(G359),"",INDEX('label approval artwork'!Q:Q,MATCH( G359,'label approval artwork'!F:F,0)))</f>
        <v/>
      </c>
      <c r="N359" s="169" t="str">
        <f t="shared" si="5"/>
        <v/>
      </c>
      <c r="O359" s="102" t="str">
        <f t="array" ref="O359">IF(ISBLANK(G359),"",INDEX('POR Config List'!C:C,MATCH(G359,'POR Config List'!D:D,0)))</f>
        <v/>
      </c>
      <c r="P359" s="105" t="str">
        <f t="shared" si="4"/>
        <v/>
      </c>
      <c r="Q359" s="105" t="str">
        <f t="array" ref="Q359">IF(ISBLANK(G359),"",INDEX('label approval artwork'!J:J,MATCH( G359,'label approval artwork'!F:F,0)))</f>
        <v/>
      </c>
      <c r="R359" s="105" t="str">
        <f t="array" ref="R359">IFERROR( IF(P359&lt;&gt;"EMA",INDEX('label approval artwork'!H:H,MATCH(G359,'label approval artwork'!F:F,0),"")),"")</f>
        <v/>
      </c>
      <c r="S359" s="105"/>
      <c r="T359" s="105" t="str">
        <f t="array" ref="T359">IF(ISBLANK(G359),"",INDEX('POR Config List'!I:I,MATCH(G359,'POR Config List'!D:D,0)))</f>
        <v/>
      </c>
      <c r="AA359" s="100" t="str">
        <f t="array" ref="AA359">IF(ISBLANK(G359),"",INDEX('POR Config List'!E:E,MATCH(G359,'POR Config List'!D:D,0)))</f>
        <v/>
      </c>
      <c r="AC359" s="105"/>
      <c r="AD359" s="100"/>
      <c r="AE359" s="100"/>
      <c r="AF359" s="100"/>
      <c r="AG359" s="100"/>
      <c r="AM359" s="102"/>
      <c r="AN359" s="102"/>
      <c r="AR359" s="119"/>
      <c r="AS359" s="103"/>
    </row>
    <row r="360">
      <c r="A360" s="168"/>
      <c r="B360" s="100" t="str">
        <f t="array" ref="B360">IFERROR( INDEX('POR Config List'!A:A,MATCH(G360,'POR Config List'!D:D,0)),"")</f>
        <v/>
      </c>
      <c r="C360" s="101" t="str">
        <f t="array" ref="C360">IFERROR(INDEX('label approval artwork'!E:E,MATCH(G360,'label approval artwork'!F:F,0),""),"")</f>
        <v/>
      </c>
      <c r="D360" s="102" t="str">
        <f t="shared" si="3"/>
        <v/>
      </c>
      <c r="E360" s="100" t="str">
        <f t="array" ref="E360">IF(ISBLANK(G360),"",INDEX('POR Config List'!K:K,MATCH(G360,'POR Config List'!D:D,0)))</f>
        <v/>
      </c>
      <c r="F360" s="100" t="str">
        <f t="array" ref="F360">IF(ISBLANK(G360),"",INDEX('POR Config List'!J:J,MATCH(G360,'POR Config List'!D:D,0)))</f>
        <v/>
      </c>
      <c r="G360" s="168"/>
      <c r="H360" s="104" t="str">
        <f t="array" ref="H360">IF(ISBLANK(G360),"",INDEX('MP SKUs'!G:G,MATCH(G360,'MP SKUs'!A:A,0)))</f>
        <v/>
      </c>
      <c r="I360" s="105" t="str">
        <f t="array" ref="I360">IF(ISBLANK(G360),"",INDEX('POR Config List'!O:O,MATCH(G360,'POR Config List'!D:D,0)))</f>
        <v/>
      </c>
      <c r="J360" s="104" t="str">
        <f t="array" ref="J360">IF(ISBLANK(G360),"",INDEX('POR Config List'!H:H,MATCH(G360,'POR Config List'!D:D,0)))</f>
        <v/>
      </c>
      <c r="K360" s="105" t="str">
        <f t="array" ref="K360">IF(ISBLANK(G360),"",INDEX('POR Config List'!G:G,MATCH(G360,'POR Config List'!D:D,0)))</f>
        <v/>
      </c>
      <c r="L360" s="105"/>
      <c r="M360" s="105" t="str">
        <f t="array" ref="M360">IF(ISBLANK(G360),"",INDEX('label approval artwork'!Q:Q,MATCH( G360,'label approval artwork'!F:F,0)))</f>
        <v/>
      </c>
      <c r="N360" s="169" t="str">
        <f t="shared" si="5"/>
        <v/>
      </c>
      <c r="O360" s="102" t="str">
        <f t="array" ref="O360">IF(ISBLANK(G360),"",INDEX('POR Config List'!C:C,MATCH(G360,'POR Config List'!D:D,0)))</f>
        <v/>
      </c>
      <c r="P360" s="105" t="str">
        <f t="shared" si="4"/>
        <v/>
      </c>
      <c r="Q360" s="105" t="str">
        <f t="array" ref="Q360">IF(ISBLANK(G360),"",INDEX('label approval artwork'!J:J,MATCH( G360,'label approval artwork'!F:F,0)))</f>
        <v/>
      </c>
      <c r="R360" s="105" t="str">
        <f t="array" ref="R360">IFERROR( IF(P360&lt;&gt;"EMA",INDEX('label approval artwork'!H:H,MATCH(G360,'label approval artwork'!F:F,0),"")),"")</f>
        <v/>
      </c>
      <c r="S360" s="105"/>
      <c r="T360" s="105" t="str">
        <f t="array" ref="T360">IF(ISBLANK(G360),"",INDEX('POR Config List'!I:I,MATCH(G360,'POR Config List'!D:D,0)))</f>
        <v/>
      </c>
      <c r="AA360" s="100" t="str">
        <f t="array" ref="AA360">IF(ISBLANK(G360),"",INDEX('POR Config List'!E:E,MATCH(G360,'POR Config List'!D:D,0)))</f>
        <v/>
      </c>
      <c r="AC360" s="105"/>
      <c r="AD360" s="100"/>
      <c r="AE360" s="100"/>
      <c r="AF360" s="100"/>
      <c r="AG360" s="100"/>
      <c r="AM360" s="102"/>
      <c r="AN360" s="102"/>
      <c r="AR360" s="119"/>
      <c r="AS360" s="103"/>
    </row>
    <row r="361">
      <c r="A361" s="168"/>
      <c r="B361" s="100" t="str">
        <f t="array" ref="B361">IFERROR( INDEX('POR Config List'!A:A,MATCH(G361,'POR Config List'!D:D,0)),"")</f>
        <v/>
      </c>
      <c r="C361" s="101" t="str">
        <f t="array" ref="C361">IFERROR(INDEX('label approval artwork'!E:E,MATCH(G361,'label approval artwork'!F:F,0),""),"")</f>
        <v/>
      </c>
      <c r="D361" s="102" t="str">
        <f t="shared" si="3"/>
        <v/>
      </c>
      <c r="E361" s="100" t="str">
        <f t="array" ref="E361">IF(ISBLANK(G361),"",INDEX('POR Config List'!K:K,MATCH(G361,'POR Config List'!D:D,0)))</f>
        <v/>
      </c>
      <c r="F361" s="100" t="str">
        <f t="array" ref="F361">IF(ISBLANK(G361),"",INDEX('POR Config List'!J:J,MATCH(G361,'POR Config List'!D:D,0)))</f>
        <v/>
      </c>
      <c r="G361" s="168"/>
      <c r="H361" s="104" t="str">
        <f t="array" ref="H361">IF(ISBLANK(G361),"",INDEX('MP SKUs'!G:G,MATCH(G361,'MP SKUs'!A:A,0)))</f>
        <v/>
      </c>
      <c r="I361" s="105" t="str">
        <f t="array" ref="I361">IF(ISBLANK(G361),"",INDEX('POR Config List'!O:O,MATCH(G361,'POR Config List'!D:D,0)))</f>
        <v/>
      </c>
      <c r="J361" s="104" t="str">
        <f t="array" ref="J361">IF(ISBLANK(G361),"",INDEX('POR Config List'!H:H,MATCH(G361,'POR Config List'!D:D,0)))</f>
        <v/>
      </c>
      <c r="K361" s="105" t="str">
        <f t="array" ref="K361">IF(ISBLANK(G361),"",INDEX('POR Config List'!G:G,MATCH(G361,'POR Config List'!D:D,0)))</f>
        <v/>
      </c>
      <c r="L361" s="105"/>
      <c r="M361" s="105" t="str">
        <f t="array" ref="M361">IF(ISBLANK(G361),"",INDEX('label approval artwork'!Q:Q,MATCH( G361,'label approval artwork'!F:F,0)))</f>
        <v/>
      </c>
      <c r="N361" s="169" t="str">
        <f t="shared" si="5"/>
        <v/>
      </c>
      <c r="O361" s="102" t="str">
        <f t="array" ref="O361">IF(ISBLANK(G361),"",INDEX('POR Config List'!C:C,MATCH(G361,'POR Config List'!D:D,0)))</f>
        <v/>
      </c>
      <c r="P361" s="105" t="str">
        <f t="shared" si="4"/>
        <v/>
      </c>
      <c r="Q361" s="105" t="str">
        <f t="array" ref="Q361">IF(ISBLANK(G361),"",INDEX('label approval artwork'!J:J,MATCH( G361,'label approval artwork'!F:F,0)))</f>
        <v/>
      </c>
      <c r="R361" s="105" t="str">
        <f t="array" ref="R361">IFERROR( IF(P361&lt;&gt;"EMA",INDEX('label approval artwork'!H:H,MATCH(G361,'label approval artwork'!F:F,0),"")),"")</f>
        <v/>
      </c>
      <c r="S361" s="105"/>
      <c r="T361" s="105" t="str">
        <f t="array" ref="T361">IF(ISBLANK(G361),"",INDEX('POR Config List'!I:I,MATCH(G361,'POR Config List'!D:D,0)))</f>
        <v/>
      </c>
      <c r="AA361" s="100" t="str">
        <f t="array" ref="AA361">IF(ISBLANK(G361),"",INDEX('POR Config List'!E:E,MATCH(G361,'POR Config List'!D:D,0)))</f>
        <v/>
      </c>
      <c r="AC361" s="105"/>
      <c r="AD361" s="100"/>
      <c r="AE361" s="100"/>
      <c r="AF361" s="100"/>
      <c r="AG361" s="100"/>
      <c r="AM361" s="102"/>
      <c r="AN361" s="102"/>
      <c r="AR361" s="119"/>
      <c r="AS361" s="103"/>
    </row>
    <row r="362">
      <c r="A362" s="168"/>
      <c r="B362" s="100" t="str">
        <f t="array" ref="B362">IFERROR( INDEX('POR Config List'!A:A,MATCH(G362,'POR Config List'!D:D,0)),"")</f>
        <v/>
      </c>
      <c r="C362" s="101" t="str">
        <f t="array" ref="C362">IFERROR(INDEX('label approval artwork'!E:E,MATCH(G362,'label approval artwork'!F:F,0),""),"")</f>
        <v/>
      </c>
      <c r="D362" s="102" t="str">
        <f t="shared" si="3"/>
        <v/>
      </c>
      <c r="E362" s="100" t="str">
        <f t="array" ref="E362">IF(ISBLANK(G362),"",INDEX('POR Config List'!K:K,MATCH(G362,'POR Config List'!D:D,0)))</f>
        <v/>
      </c>
      <c r="F362" s="100" t="str">
        <f t="array" ref="F362">IF(ISBLANK(G362),"",INDEX('POR Config List'!J:J,MATCH(G362,'POR Config List'!D:D,0)))</f>
        <v/>
      </c>
      <c r="G362" s="168"/>
      <c r="H362" s="104" t="str">
        <f t="array" ref="H362">IF(ISBLANK(G362),"",INDEX('MP SKUs'!G:G,MATCH(G362,'MP SKUs'!A:A,0)))</f>
        <v/>
      </c>
      <c r="I362" s="105" t="str">
        <f t="array" ref="I362">IF(ISBLANK(G362),"",INDEX('POR Config List'!O:O,MATCH(G362,'POR Config List'!D:D,0)))</f>
        <v/>
      </c>
      <c r="J362" s="104" t="str">
        <f t="array" ref="J362">IF(ISBLANK(G362),"",INDEX('POR Config List'!H:H,MATCH(G362,'POR Config List'!D:D,0)))</f>
        <v/>
      </c>
      <c r="K362" s="105" t="str">
        <f t="array" ref="K362">IF(ISBLANK(G362),"",INDEX('POR Config List'!G:G,MATCH(G362,'POR Config List'!D:D,0)))</f>
        <v/>
      </c>
      <c r="L362" s="105"/>
      <c r="M362" s="105" t="str">
        <f t="array" ref="M362">IF(ISBLANK(G362),"",INDEX('label approval artwork'!Q:Q,MATCH( G362,'label approval artwork'!F:F,0)))</f>
        <v/>
      </c>
      <c r="N362" s="169" t="str">
        <f t="shared" si="5"/>
        <v/>
      </c>
      <c r="O362" s="102" t="str">
        <f t="array" ref="O362">IF(ISBLANK(G362),"",INDEX('POR Config List'!C:C,MATCH(G362,'POR Config List'!D:D,0)))</f>
        <v/>
      </c>
      <c r="P362" s="105" t="str">
        <f t="shared" si="4"/>
        <v/>
      </c>
      <c r="Q362" s="105" t="str">
        <f t="array" ref="Q362">IF(ISBLANK(G362),"",INDEX('label approval artwork'!J:J,MATCH( G362,'label approval artwork'!F:F,0)))</f>
        <v/>
      </c>
      <c r="R362" s="105" t="str">
        <f t="array" ref="R362">IFERROR( IF(P362&lt;&gt;"EMA",INDEX('label approval artwork'!H:H,MATCH(G362,'label approval artwork'!F:F,0),"")),"")</f>
        <v/>
      </c>
      <c r="S362" s="105"/>
      <c r="T362" s="105" t="str">
        <f t="array" ref="T362">IF(ISBLANK(G362),"",INDEX('POR Config List'!I:I,MATCH(G362,'POR Config List'!D:D,0)))</f>
        <v/>
      </c>
      <c r="AA362" s="100" t="str">
        <f t="array" ref="AA362">IF(ISBLANK(G362),"",INDEX('POR Config List'!E:E,MATCH(G362,'POR Config List'!D:D,0)))</f>
        <v/>
      </c>
      <c r="AC362" s="105"/>
      <c r="AD362" s="100"/>
      <c r="AE362" s="100"/>
      <c r="AF362" s="100"/>
      <c r="AG362" s="100"/>
      <c r="AM362" s="102"/>
      <c r="AN362" s="102"/>
      <c r="AR362" s="119"/>
      <c r="AS362" s="103"/>
    </row>
    <row r="363">
      <c r="A363" s="168"/>
      <c r="B363" s="100" t="str">
        <f t="array" ref="B363">IFERROR( INDEX('POR Config List'!A:A,MATCH(G363,'POR Config List'!D:D,0)),"")</f>
        <v/>
      </c>
      <c r="C363" s="101" t="str">
        <f t="array" ref="C363">IFERROR(INDEX('label approval artwork'!E:E,MATCH(G363,'label approval artwork'!F:F,0),""),"")</f>
        <v/>
      </c>
      <c r="D363" s="102" t="str">
        <f t="shared" si="3"/>
        <v/>
      </c>
      <c r="E363" s="100" t="str">
        <f t="array" ref="E363">IF(ISBLANK(G363),"",INDEX('POR Config List'!K:K,MATCH(G363,'POR Config List'!D:D,0)))</f>
        <v/>
      </c>
      <c r="F363" s="100" t="str">
        <f t="array" ref="F363">IF(ISBLANK(G363),"",INDEX('POR Config List'!J:J,MATCH(G363,'POR Config List'!D:D,0)))</f>
        <v/>
      </c>
      <c r="G363" s="168"/>
      <c r="H363" s="104" t="str">
        <f t="array" ref="H363">IF(ISBLANK(G363),"",INDEX('MP SKUs'!G:G,MATCH(G363,'MP SKUs'!A:A,0)))</f>
        <v/>
      </c>
      <c r="I363" s="105" t="str">
        <f t="array" ref="I363">IF(ISBLANK(G363),"",INDEX('POR Config List'!O:O,MATCH(G363,'POR Config List'!D:D,0)))</f>
        <v/>
      </c>
      <c r="J363" s="104" t="str">
        <f t="array" ref="J363">IF(ISBLANK(G363),"",INDEX('POR Config List'!H:H,MATCH(G363,'POR Config List'!D:D,0)))</f>
        <v/>
      </c>
      <c r="K363" s="105" t="str">
        <f t="array" ref="K363">IF(ISBLANK(G363),"",INDEX('POR Config List'!G:G,MATCH(G363,'POR Config List'!D:D,0)))</f>
        <v/>
      </c>
      <c r="L363" s="105"/>
      <c r="M363" s="105" t="str">
        <f t="array" ref="M363">IF(ISBLANK(G363),"",INDEX('label approval artwork'!Q:Q,MATCH( G363,'label approval artwork'!F:F,0)))</f>
        <v/>
      </c>
      <c r="N363" s="169" t="str">
        <f t="shared" si="5"/>
        <v/>
      </c>
      <c r="O363" s="102" t="str">
        <f t="array" ref="O363">IF(ISBLANK(G363),"",INDEX('POR Config List'!C:C,MATCH(G363,'POR Config List'!D:D,0)))</f>
        <v/>
      </c>
      <c r="P363" s="105" t="str">
        <f t="shared" si="4"/>
        <v/>
      </c>
      <c r="Q363" s="105" t="str">
        <f t="array" ref="Q363">IF(ISBLANK(G363),"",INDEX('label approval artwork'!J:J,MATCH( G363,'label approval artwork'!F:F,0)))</f>
        <v/>
      </c>
      <c r="R363" s="105" t="str">
        <f t="array" ref="R363">IFERROR( IF(P363&lt;&gt;"EMA",INDEX('label approval artwork'!H:H,MATCH(G363,'label approval artwork'!F:F,0),"")),"")</f>
        <v/>
      </c>
      <c r="S363" s="105"/>
      <c r="T363" s="105" t="str">
        <f t="array" ref="T363">IF(ISBLANK(G363),"",INDEX('POR Config List'!I:I,MATCH(G363,'POR Config List'!D:D,0)))</f>
        <v/>
      </c>
      <c r="AA363" s="100" t="str">
        <f t="array" ref="AA363">IF(ISBLANK(G363),"",INDEX('POR Config List'!E:E,MATCH(G363,'POR Config List'!D:D,0)))</f>
        <v/>
      </c>
      <c r="AC363" s="105"/>
      <c r="AD363" s="100"/>
      <c r="AE363" s="100"/>
      <c r="AF363" s="100"/>
      <c r="AG363" s="100"/>
      <c r="AM363" s="102"/>
      <c r="AN363" s="102"/>
      <c r="AR363" s="119"/>
      <c r="AS363" s="103"/>
    </row>
    <row r="364">
      <c r="A364" s="168"/>
      <c r="B364" s="100" t="str">
        <f t="array" ref="B364">IFERROR( INDEX('POR Config List'!A:A,MATCH(G364,'POR Config List'!D:D,0)),"")</f>
        <v/>
      </c>
      <c r="C364" s="101" t="str">
        <f t="array" ref="C364">IFERROR(INDEX('label approval artwork'!E:E,MATCH(G364,'label approval artwork'!F:F,0),""),"")</f>
        <v/>
      </c>
      <c r="D364" s="102" t="str">
        <f t="shared" si="3"/>
        <v/>
      </c>
      <c r="E364" s="100" t="str">
        <f t="array" ref="E364">IF(ISBLANK(G364),"",INDEX('POR Config List'!K:K,MATCH(G364,'POR Config List'!D:D,0)))</f>
        <v/>
      </c>
      <c r="F364" s="100" t="str">
        <f t="array" ref="F364">IF(ISBLANK(G364),"",INDEX('POR Config List'!J:J,MATCH(G364,'POR Config List'!D:D,0)))</f>
        <v/>
      </c>
      <c r="G364" s="168"/>
      <c r="H364" s="104" t="str">
        <f t="array" ref="H364">IF(ISBLANK(G364),"",INDEX('MP SKUs'!G:G,MATCH(G364,'MP SKUs'!A:A,0)))</f>
        <v/>
      </c>
      <c r="I364" s="105" t="str">
        <f t="array" ref="I364">IF(ISBLANK(G364),"",INDEX('POR Config List'!O:O,MATCH(G364,'POR Config List'!D:D,0)))</f>
        <v/>
      </c>
      <c r="J364" s="104" t="str">
        <f t="array" ref="J364">IF(ISBLANK(G364),"",INDEX('POR Config List'!H:H,MATCH(G364,'POR Config List'!D:D,0)))</f>
        <v/>
      </c>
      <c r="K364" s="105" t="str">
        <f t="array" ref="K364">IF(ISBLANK(G364),"",INDEX('POR Config List'!G:G,MATCH(G364,'POR Config List'!D:D,0)))</f>
        <v/>
      </c>
      <c r="L364" s="105"/>
      <c r="M364" s="105" t="str">
        <f t="array" ref="M364">IF(ISBLANK(G364),"",INDEX('label approval artwork'!Q:Q,MATCH( G364,'label approval artwork'!F:F,0)))</f>
        <v/>
      </c>
      <c r="N364" s="169" t="str">
        <f t="shared" si="5"/>
        <v/>
      </c>
      <c r="O364" s="102" t="str">
        <f t="array" ref="O364">IF(ISBLANK(G364),"",INDEX('POR Config List'!C:C,MATCH(G364,'POR Config List'!D:D,0)))</f>
        <v/>
      </c>
      <c r="P364" s="105" t="str">
        <f t="shared" si="4"/>
        <v/>
      </c>
      <c r="Q364" s="105" t="str">
        <f t="array" ref="Q364">IF(ISBLANK(G364),"",INDEX('label approval artwork'!J:J,MATCH( G364,'label approval artwork'!F:F,0)))</f>
        <v/>
      </c>
      <c r="R364" s="105" t="str">
        <f t="array" ref="R364">IFERROR( IF(P364&lt;&gt;"EMA",INDEX('label approval artwork'!H:H,MATCH(G364,'label approval artwork'!F:F,0),"")),"")</f>
        <v/>
      </c>
      <c r="S364" s="105"/>
      <c r="T364" s="105" t="str">
        <f t="array" ref="T364">IF(ISBLANK(G364),"",INDEX('POR Config List'!I:I,MATCH(G364,'POR Config List'!D:D,0)))</f>
        <v/>
      </c>
      <c r="AA364" s="100" t="str">
        <f t="array" ref="AA364">IF(ISBLANK(G364),"",INDEX('POR Config List'!E:E,MATCH(G364,'POR Config List'!D:D,0)))</f>
        <v/>
      </c>
      <c r="AC364" s="105"/>
      <c r="AD364" s="100"/>
      <c r="AE364" s="100"/>
      <c r="AF364" s="100"/>
      <c r="AG364" s="100"/>
      <c r="AM364" s="102"/>
      <c r="AN364" s="102"/>
      <c r="AR364" s="119"/>
      <c r="AS364" s="103"/>
    </row>
    <row r="365">
      <c r="A365" s="168"/>
      <c r="B365" s="100" t="str">
        <f t="array" ref="B365">IFERROR( INDEX('POR Config List'!A:A,MATCH(G365,'POR Config List'!D:D,0)),"")</f>
        <v/>
      </c>
      <c r="C365" s="101" t="str">
        <f t="array" ref="C365">IFERROR(INDEX('label approval artwork'!E:E,MATCH(G365,'label approval artwork'!F:F,0),""),"")</f>
        <v/>
      </c>
      <c r="D365" s="102" t="str">
        <f t="shared" si="3"/>
        <v/>
      </c>
      <c r="E365" s="100" t="str">
        <f t="array" ref="E365">IF(ISBLANK(G365),"",INDEX('POR Config List'!K:K,MATCH(G365,'POR Config List'!D:D,0)))</f>
        <v/>
      </c>
      <c r="F365" s="100" t="str">
        <f t="array" ref="F365">IF(ISBLANK(G365),"",INDEX('POR Config List'!J:J,MATCH(G365,'POR Config List'!D:D,0)))</f>
        <v/>
      </c>
      <c r="G365" s="168"/>
      <c r="H365" s="104" t="str">
        <f t="array" ref="H365">IF(ISBLANK(G365),"",INDEX('MP SKUs'!G:G,MATCH(G365,'MP SKUs'!A:A,0)))</f>
        <v/>
      </c>
      <c r="I365" s="105" t="str">
        <f t="array" ref="I365">IF(ISBLANK(G365),"",INDEX('POR Config List'!O:O,MATCH(G365,'POR Config List'!D:D,0)))</f>
        <v/>
      </c>
      <c r="J365" s="104" t="str">
        <f t="array" ref="J365">IF(ISBLANK(G365),"",INDEX('POR Config List'!H:H,MATCH(G365,'POR Config List'!D:D,0)))</f>
        <v/>
      </c>
      <c r="K365" s="105" t="str">
        <f t="array" ref="K365">IF(ISBLANK(G365),"",INDEX('POR Config List'!G:G,MATCH(G365,'POR Config List'!D:D,0)))</f>
        <v/>
      </c>
      <c r="L365" s="105"/>
      <c r="M365" s="105" t="str">
        <f t="array" ref="M365">IF(ISBLANK(G365),"",INDEX('label approval artwork'!Q:Q,MATCH( G365,'label approval artwork'!F:F,0)))</f>
        <v/>
      </c>
      <c r="N365" s="169" t="str">
        <f t="shared" si="5"/>
        <v/>
      </c>
      <c r="O365" s="102" t="str">
        <f t="array" ref="O365">IF(ISBLANK(G365),"",INDEX('POR Config List'!C:C,MATCH(G365,'POR Config List'!D:D,0)))</f>
        <v/>
      </c>
      <c r="P365" s="105" t="str">
        <f t="shared" si="4"/>
        <v/>
      </c>
      <c r="Q365" s="105" t="str">
        <f t="array" ref="Q365">IF(ISBLANK(G365),"",INDEX('label approval artwork'!J:J,MATCH( G365,'label approval artwork'!F:F,0)))</f>
        <v/>
      </c>
      <c r="R365" s="105" t="str">
        <f t="array" ref="R365">IFERROR( IF(P365&lt;&gt;"EMA",INDEX('label approval artwork'!H:H,MATCH(G365,'label approval artwork'!F:F,0),"")),"")</f>
        <v/>
      </c>
      <c r="S365" s="105"/>
      <c r="T365" s="105" t="str">
        <f t="array" ref="T365">IF(ISBLANK(G365),"",INDEX('POR Config List'!I:I,MATCH(G365,'POR Config List'!D:D,0)))</f>
        <v/>
      </c>
      <c r="AA365" s="100" t="str">
        <f t="array" ref="AA365">IF(ISBLANK(G365),"",INDEX('POR Config List'!E:E,MATCH(G365,'POR Config List'!D:D,0)))</f>
        <v/>
      </c>
      <c r="AC365" s="105"/>
      <c r="AD365" s="100"/>
      <c r="AE365" s="100"/>
      <c r="AF365" s="100"/>
      <c r="AG365" s="100"/>
      <c r="AM365" s="102"/>
      <c r="AN365" s="102"/>
      <c r="AR365" s="119"/>
      <c r="AS365" s="103"/>
    </row>
    <row r="366">
      <c r="A366" s="168"/>
      <c r="B366" s="100" t="str">
        <f t="array" ref="B366">IFERROR( INDEX('POR Config List'!A:A,MATCH(G366,'POR Config List'!D:D,0)),"")</f>
        <v/>
      </c>
      <c r="C366" s="101" t="str">
        <f t="array" ref="C366">IFERROR(INDEX('label approval artwork'!E:E,MATCH(G366,'label approval artwork'!F:F,0),""),"")</f>
        <v/>
      </c>
      <c r="D366" s="102" t="str">
        <f t="shared" si="3"/>
        <v/>
      </c>
      <c r="E366" s="100" t="str">
        <f t="array" ref="E366">IF(ISBLANK(G366),"",INDEX('POR Config List'!K:K,MATCH(G366,'POR Config List'!D:D,0)))</f>
        <v/>
      </c>
      <c r="F366" s="100" t="str">
        <f t="array" ref="F366">IF(ISBLANK(G366),"",INDEX('POR Config List'!J:J,MATCH(G366,'POR Config List'!D:D,0)))</f>
        <v/>
      </c>
      <c r="G366" s="168"/>
      <c r="H366" s="104" t="str">
        <f t="array" ref="H366">IF(ISBLANK(G366),"",INDEX('MP SKUs'!G:G,MATCH(G366,'MP SKUs'!A:A,0)))</f>
        <v/>
      </c>
      <c r="I366" s="105" t="str">
        <f t="array" ref="I366">IF(ISBLANK(G366),"",INDEX('POR Config List'!O:O,MATCH(G366,'POR Config List'!D:D,0)))</f>
        <v/>
      </c>
      <c r="J366" s="104" t="str">
        <f t="array" ref="J366">IF(ISBLANK(G366),"",INDEX('POR Config List'!H:H,MATCH(G366,'POR Config List'!D:D,0)))</f>
        <v/>
      </c>
      <c r="K366" s="105" t="str">
        <f t="array" ref="K366">IF(ISBLANK(G366),"",INDEX('POR Config List'!G:G,MATCH(G366,'POR Config List'!D:D,0)))</f>
        <v/>
      </c>
      <c r="L366" s="105"/>
      <c r="M366" s="105" t="str">
        <f t="array" ref="M366">IF(ISBLANK(G366),"",INDEX('label approval artwork'!Q:Q,MATCH( G366,'label approval artwork'!F:F,0)))</f>
        <v/>
      </c>
      <c r="N366" s="169" t="str">
        <f t="shared" si="5"/>
        <v/>
      </c>
      <c r="O366" s="102" t="str">
        <f t="array" ref="O366">IF(ISBLANK(G366),"",INDEX('POR Config List'!C:C,MATCH(G366,'POR Config List'!D:D,0)))</f>
        <v/>
      </c>
      <c r="P366" s="105" t="str">
        <f t="shared" si="4"/>
        <v/>
      </c>
      <c r="Q366" s="105" t="str">
        <f t="array" ref="Q366">IF(ISBLANK(G366),"",INDEX('label approval artwork'!J:J,MATCH( G366,'label approval artwork'!F:F,0)))</f>
        <v/>
      </c>
      <c r="R366" s="105" t="str">
        <f t="array" ref="R366">IFERROR( IF(P366&lt;&gt;"EMA",INDEX('label approval artwork'!H:H,MATCH(G366,'label approval artwork'!F:F,0),"")),"")</f>
        <v/>
      </c>
      <c r="S366" s="105"/>
      <c r="T366" s="105" t="str">
        <f t="array" ref="T366">IF(ISBLANK(G366),"",INDEX('POR Config List'!I:I,MATCH(G366,'POR Config List'!D:D,0)))</f>
        <v/>
      </c>
      <c r="AA366" s="100" t="str">
        <f t="array" ref="AA366">IF(ISBLANK(G366),"",INDEX('POR Config List'!E:E,MATCH(G366,'POR Config List'!D:D,0)))</f>
        <v/>
      </c>
      <c r="AC366" s="105"/>
      <c r="AD366" s="100"/>
      <c r="AE366" s="100"/>
      <c r="AF366" s="100"/>
      <c r="AG366" s="100"/>
      <c r="AM366" s="102"/>
      <c r="AN366" s="102"/>
      <c r="AR366" s="119"/>
      <c r="AS366" s="103"/>
    </row>
    <row r="367">
      <c r="A367" s="168"/>
      <c r="B367" s="100" t="str">
        <f t="array" ref="B367">IFERROR( INDEX('POR Config List'!A:A,MATCH(G367,'POR Config List'!D:D,0)),"")</f>
        <v/>
      </c>
      <c r="C367" s="101" t="str">
        <f t="array" ref="C367">IFERROR(INDEX('label approval artwork'!E:E,MATCH(G367,'label approval artwork'!F:F,0),""),"")</f>
        <v/>
      </c>
      <c r="D367" s="102" t="str">
        <f t="shared" si="3"/>
        <v/>
      </c>
      <c r="E367" s="100" t="str">
        <f t="array" ref="E367">IF(ISBLANK(G367),"",INDEX('POR Config List'!K:K,MATCH(G367,'POR Config List'!D:D,0)))</f>
        <v/>
      </c>
      <c r="F367" s="100" t="str">
        <f t="array" ref="F367">IF(ISBLANK(G367),"",INDEX('POR Config List'!J:J,MATCH(G367,'POR Config List'!D:D,0)))</f>
        <v/>
      </c>
      <c r="G367" s="168"/>
      <c r="H367" s="104" t="str">
        <f t="array" ref="H367">IF(ISBLANK(G367),"",INDEX('MP SKUs'!G:G,MATCH(G367,'MP SKUs'!A:A,0)))</f>
        <v/>
      </c>
      <c r="I367" s="105" t="str">
        <f t="array" ref="I367">IF(ISBLANK(G367),"",INDEX('POR Config List'!O:O,MATCH(G367,'POR Config List'!D:D,0)))</f>
        <v/>
      </c>
      <c r="J367" s="104" t="str">
        <f t="array" ref="J367">IF(ISBLANK(G367),"",INDEX('POR Config List'!H:H,MATCH(G367,'POR Config List'!D:D,0)))</f>
        <v/>
      </c>
      <c r="K367" s="105" t="str">
        <f t="array" ref="K367">IF(ISBLANK(G367),"",INDEX('POR Config List'!G:G,MATCH(G367,'POR Config List'!D:D,0)))</f>
        <v/>
      </c>
      <c r="L367" s="105"/>
      <c r="M367" s="105" t="str">
        <f t="array" ref="M367">IF(ISBLANK(G367),"",INDEX('label approval artwork'!Q:Q,MATCH( G367,'label approval artwork'!F:F,0)))</f>
        <v/>
      </c>
      <c r="N367" s="169" t="str">
        <f t="shared" si="5"/>
        <v/>
      </c>
      <c r="O367" s="102" t="str">
        <f t="array" ref="O367">IF(ISBLANK(G367),"",INDEX('POR Config List'!C:C,MATCH(G367,'POR Config List'!D:D,0)))</f>
        <v/>
      </c>
      <c r="P367" s="105" t="str">
        <f t="shared" si="4"/>
        <v/>
      </c>
      <c r="Q367" s="105" t="str">
        <f t="array" ref="Q367">IF(ISBLANK(G367),"",INDEX('label approval artwork'!J:J,MATCH( G367,'label approval artwork'!F:F,0)))</f>
        <v/>
      </c>
      <c r="R367" s="105" t="str">
        <f t="array" ref="R367">IFERROR( IF(P367&lt;&gt;"EMA",INDEX('label approval artwork'!H:H,MATCH(G367,'label approval artwork'!F:F,0),"")),"")</f>
        <v/>
      </c>
      <c r="S367" s="105"/>
      <c r="T367" s="105" t="str">
        <f t="array" ref="T367">IF(ISBLANK(G367),"",INDEX('POR Config List'!I:I,MATCH(G367,'POR Config List'!D:D,0)))</f>
        <v/>
      </c>
      <c r="AA367" s="100" t="str">
        <f t="array" ref="AA367">IF(ISBLANK(G367),"",INDEX('POR Config List'!E:E,MATCH(G367,'POR Config List'!D:D,0)))</f>
        <v/>
      </c>
      <c r="AC367" s="105"/>
      <c r="AD367" s="100"/>
      <c r="AE367" s="100"/>
      <c r="AF367" s="100"/>
      <c r="AG367" s="100"/>
      <c r="AM367" s="102"/>
      <c r="AN367" s="102"/>
      <c r="AR367" s="119"/>
      <c r="AS367" s="103"/>
    </row>
    <row r="368">
      <c r="A368" s="168"/>
      <c r="B368" s="100" t="str">
        <f t="array" ref="B368">IFERROR( INDEX('POR Config List'!A:A,MATCH(G368,'POR Config List'!D:D,0)),"")</f>
        <v/>
      </c>
      <c r="C368" s="101" t="str">
        <f t="array" ref="C368">IFERROR(INDEX('label approval artwork'!E:E,MATCH(G368,'label approval artwork'!F:F,0),""),"")</f>
        <v/>
      </c>
      <c r="D368" s="102" t="str">
        <f t="shared" si="3"/>
        <v/>
      </c>
      <c r="E368" s="100" t="str">
        <f t="array" ref="E368">IF(ISBLANK(G368),"",INDEX('POR Config List'!K:K,MATCH(G368,'POR Config List'!D:D,0)))</f>
        <v/>
      </c>
      <c r="F368" s="100" t="str">
        <f t="array" ref="F368">IF(ISBLANK(G368),"",INDEX('POR Config List'!J:J,MATCH(G368,'POR Config List'!D:D,0)))</f>
        <v/>
      </c>
      <c r="G368" s="168"/>
      <c r="H368" s="104" t="str">
        <f t="array" ref="H368">IF(ISBLANK(G368),"",INDEX('MP SKUs'!G:G,MATCH(G368,'MP SKUs'!A:A,0)))</f>
        <v/>
      </c>
      <c r="I368" s="105" t="str">
        <f t="array" ref="I368">IF(ISBLANK(G368),"",INDEX('POR Config List'!O:O,MATCH(G368,'POR Config List'!D:D,0)))</f>
        <v/>
      </c>
      <c r="J368" s="104" t="str">
        <f t="array" ref="J368">IF(ISBLANK(G368),"",INDEX('POR Config List'!H:H,MATCH(G368,'POR Config List'!D:D,0)))</f>
        <v/>
      </c>
      <c r="K368" s="105" t="str">
        <f t="array" ref="K368">IF(ISBLANK(G368),"",INDEX('POR Config List'!G:G,MATCH(G368,'POR Config List'!D:D,0)))</f>
        <v/>
      </c>
      <c r="L368" s="105"/>
      <c r="M368" s="105" t="str">
        <f t="array" ref="M368">IF(ISBLANK(G368),"",INDEX('label approval artwork'!Q:Q,MATCH( G368,'label approval artwork'!F:F,0)))</f>
        <v/>
      </c>
      <c r="N368" s="169" t="str">
        <f t="shared" si="5"/>
        <v/>
      </c>
      <c r="O368" s="102" t="str">
        <f t="array" ref="O368">IF(ISBLANK(G368),"",INDEX('POR Config List'!C:C,MATCH(G368,'POR Config List'!D:D,0)))</f>
        <v/>
      </c>
      <c r="P368" s="105" t="str">
        <f t="shared" si="4"/>
        <v/>
      </c>
      <c r="Q368" s="105" t="str">
        <f t="array" ref="Q368">IF(ISBLANK(G368),"",INDEX('label approval artwork'!J:J,MATCH( G368,'label approval artwork'!F:F,0)))</f>
        <v/>
      </c>
      <c r="R368" s="105" t="str">
        <f t="array" ref="R368">IFERROR( IF(P368&lt;&gt;"EMA",INDEX('label approval artwork'!H:H,MATCH(G368,'label approval artwork'!F:F,0),"")),"")</f>
        <v/>
      </c>
      <c r="S368" s="105"/>
      <c r="T368" s="105" t="str">
        <f t="array" ref="T368">IF(ISBLANK(G368),"",INDEX('POR Config List'!I:I,MATCH(G368,'POR Config List'!D:D,0)))</f>
        <v/>
      </c>
      <c r="AA368" s="100" t="str">
        <f t="array" ref="AA368">IF(ISBLANK(G368),"",INDEX('POR Config List'!E:E,MATCH(G368,'POR Config List'!D:D,0)))</f>
        <v/>
      </c>
      <c r="AC368" s="105"/>
      <c r="AD368" s="100"/>
      <c r="AE368" s="100"/>
      <c r="AF368" s="100"/>
      <c r="AG368" s="100"/>
      <c r="AM368" s="102"/>
      <c r="AN368" s="102"/>
      <c r="AR368" s="119"/>
      <c r="AS368" s="103"/>
    </row>
    <row r="369">
      <c r="A369" s="168"/>
      <c r="B369" s="100" t="str">
        <f t="array" ref="B369">IFERROR( INDEX('POR Config List'!A:A,MATCH(G369,'POR Config List'!D:D,0)),"")</f>
        <v/>
      </c>
      <c r="C369" s="101" t="str">
        <f t="array" ref="C369">IFERROR(INDEX('label approval artwork'!E:E,MATCH(G369,'label approval artwork'!F:F,0),""),"")</f>
        <v/>
      </c>
      <c r="D369" s="102" t="str">
        <f t="shared" si="3"/>
        <v/>
      </c>
      <c r="E369" s="100" t="str">
        <f t="array" ref="E369">IF(ISBLANK(G369),"",INDEX('POR Config List'!K:K,MATCH(G369,'POR Config List'!D:D,0)))</f>
        <v/>
      </c>
      <c r="F369" s="100" t="str">
        <f t="array" ref="F369">IF(ISBLANK(G369),"",INDEX('POR Config List'!J:J,MATCH(G369,'POR Config List'!D:D,0)))</f>
        <v/>
      </c>
      <c r="G369" s="168"/>
      <c r="H369" s="104" t="str">
        <f t="array" ref="H369">IF(ISBLANK(G369),"",INDEX('MP SKUs'!G:G,MATCH(G369,'MP SKUs'!A:A,0)))</f>
        <v/>
      </c>
      <c r="I369" s="105" t="str">
        <f t="array" ref="I369">IF(ISBLANK(G369),"",INDEX('POR Config List'!O:O,MATCH(G369,'POR Config List'!D:D,0)))</f>
        <v/>
      </c>
      <c r="J369" s="104" t="str">
        <f t="array" ref="J369">IF(ISBLANK(G369),"",INDEX('POR Config List'!H:H,MATCH(G369,'POR Config List'!D:D,0)))</f>
        <v/>
      </c>
      <c r="K369" s="105" t="str">
        <f t="array" ref="K369">IF(ISBLANK(G369),"",INDEX('POR Config List'!G:G,MATCH(G369,'POR Config List'!D:D,0)))</f>
        <v/>
      </c>
      <c r="L369" s="105"/>
      <c r="M369" s="105" t="str">
        <f t="array" ref="M369">IF(ISBLANK(G369),"",INDEX('label approval artwork'!Q:Q,MATCH( G369,'label approval artwork'!F:F,0)))</f>
        <v/>
      </c>
      <c r="N369" s="169" t="str">
        <f t="shared" si="5"/>
        <v/>
      </c>
      <c r="O369" s="102" t="str">
        <f t="array" ref="O369">IF(ISBLANK(G369),"",INDEX('POR Config List'!C:C,MATCH(G369,'POR Config List'!D:D,0)))</f>
        <v/>
      </c>
      <c r="P369" s="105" t="str">
        <f t="shared" si="4"/>
        <v/>
      </c>
      <c r="Q369" s="105" t="str">
        <f t="array" ref="Q369">IF(ISBLANK(G369),"",INDEX('label approval artwork'!J:J,MATCH( G369,'label approval artwork'!F:F,0)))</f>
        <v/>
      </c>
      <c r="R369" s="105" t="str">
        <f t="array" ref="R369">IFERROR( IF(P369&lt;&gt;"EMA",INDEX('label approval artwork'!H:H,MATCH(G369,'label approval artwork'!F:F,0),"")),"")</f>
        <v/>
      </c>
      <c r="S369" s="105"/>
      <c r="T369" s="105" t="str">
        <f t="array" ref="T369">IF(ISBLANK(G369),"",INDEX('POR Config List'!I:I,MATCH(G369,'POR Config List'!D:D,0)))</f>
        <v/>
      </c>
      <c r="AA369" s="100" t="str">
        <f t="array" ref="AA369">IF(ISBLANK(G369),"",INDEX('POR Config List'!E:E,MATCH(G369,'POR Config List'!D:D,0)))</f>
        <v/>
      </c>
      <c r="AC369" s="105"/>
      <c r="AD369" s="100"/>
      <c r="AE369" s="100"/>
      <c r="AF369" s="100"/>
      <c r="AG369" s="100"/>
      <c r="AM369" s="102"/>
      <c r="AN369" s="102"/>
      <c r="AR369" s="119"/>
      <c r="AS369" s="103"/>
    </row>
    <row r="370">
      <c r="A370" s="168"/>
      <c r="B370" s="100" t="str">
        <f t="array" ref="B370">IFERROR( INDEX('POR Config List'!A:A,MATCH(G370,'POR Config List'!D:D,0)),"")</f>
        <v/>
      </c>
      <c r="C370" s="101" t="str">
        <f t="array" ref="C370">IFERROR(INDEX('label approval artwork'!E:E,MATCH(G370,'label approval artwork'!F:F,0),""),"")</f>
        <v/>
      </c>
      <c r="D370" s="102" t="str">
        <f t="shared" si="3"/>
        <v/>
      </c>
      <c r="E370" s="100" t="str">
        <f t="array" ref="E370">IF(ISBLANK(G370),"",INDEX('POR Config List'!K:K,MATCH(G370,'POR Config List'!D:D,0)))</f>
        <v/>
      </c>
      <c r="F370" s="100" t="str">
        <f t="array" ref="F370">IF(ISBLANK(G370),"",INDEX('POR Config List'!J:J,MATCH(G370,'POR Config List'!D:D,0)))</f>
        <v/>
      </c>
      <c r="G370" s="168"/>
      <c r="H370" s="104" t="str">
        <f t="array" ref="H370">IF(ISBLANK(G370),"",INDEX('MP SKUs'!G:G,MATCH(G370,'MP SKUs'!A:A,0)))</f>
        <v/>
      </c>
      <c r="I370" s="105" t="str">
        <f t="array" ref="I370">IF(ISBLANK(G370),"",INDEX('POR Config List'!O:O,MATCH(G370,'POR Config List'!D:D,0)))</f>
        <v/>
      </c>
      <c r="J370" s="104" t="str">
        <f t="array" ref="J370">IF(ISBLANK(G370),"",INDEX('POR Config List'!H:H,MATCH(G370,'POR Config List'!D:D,0)))</f>
        <v/>
      </c>
      <c r="K370" s="105" t="str">
        <f t="array" ref="K370">IF(ISBLANK(G370),"",INDEX('POR Config List'!G:G,MATCH(G370,'POR Config List'!D:D,0)))</f>
        <v/>
      </c>
      <c r="L370" s="105"/>
      <c r="M370" s="105" t="str">
        <f t="array" ref="M370">IF(ISBLANK(G370),"",INDEX('label approval artwork'!Q:Q,MATCH( G370,'label approval artwork'!F:F,0)))</f>
        <v/>
      </c>
      <c r="N370" s="169" t="str">
        <f t="shared" si="5"/>
        <v/>
      </c>
      <c r="O370" s="102" t="str">
        <f t="array" ref="O370">IF(ISBLANK(G370),"",INDEX('POR Config List'!C:C,MATCH(G370,'POR Config List'!D:D,0)))</f>
        <v/>
      </c>
      <c r="P370" s="105" t="str">
        <f t="shared" si="4"/>
        <v/>
      </c>
      <c r="Q370" s="105" t="str">
        <f t="array" ref="Q370">IF(ISBLANK(G370),"",INDEX('label approval artwork'!J:J,MATCH( G370,'label approval artwork'!F:F,0)))</f>
        <v/>
      </c>
      <c r="R370" s="105" t="str">
        <f t="array" ref="R370">IFERROR( IF(P370&lt;&gt;"EMA",INDEX('label approval artwork'!H:H,MATCH(G370,'label approval artwork'!F:F,0),"")),"")</f>
        <v/>
      </c>
      <c r="S370" s="105"/>
      <c r="T370" s="105" t="str">
        <f t="array" ref="T370">IF(ISBLANK(G370),"",INDEX('POR Config List'!I:I,MATCH(G370,'POR Config List'!D:D,0)))</f>
        <v/>
      </c>
      <c r="AA370" s="100" t="str">
        <f t="array" ref="AA370">IF(ISBLANK(G370),"",INDEX('POR Config List'!E:E,MATCH(G370,'POR Config List'!D:D,0)))</f>
        <v/>
      </c>
      <c r="AC370" s="105"/>
      <c r="AD370" s="100"/>
      <c r="AE370" s="100"/>
      <c r="AF370" s="100"/>
      <c r="AG370" s="100"/>
      <c r="AM370" s="102"/>
      <c r="AN370" s="102"/>
      <c r="AR370" s="119"/>
      <c r="AS370" s="103"/>
    </row>
    <row r="371">
      <c r="A371" s="168"/>
      <c r="B371" s="100" t="str">
        <f t="array" ref="B371">IFERROR( INDEX('POR Config List'!A:A,MATCH(G371,'POR Config List'!D:D,0)),"")</f>
        <v/>
      </c>
      <c r="C371" s="101" t="str">
        <f t="array" ref="C371">IFERROR(INDEX('label approval artwork'!E:E,MATCH(G371,'label approval artwork'!F:F,0),""),"")</f>
        <v/>
      </c>
      <c r="D371" s="102" t="str">
        <f t="shared" si="3"/>
        <v/>
      </c>
      <c r="E371" s="100" t="str">
        <f t="array" ref="E371">IF(ISBLANK(G371),"",INDEX('POR Config List'!K:K,MATCH(G371,'POR Config List'!D:D,0)))</f>
        <v/>
      </c>
      <c r="F371" s="100" t="str">
        <f t="array" ref="F371">IF(ISBLANK(G371),"",INDEX('POR Config List'!J:J,MATCH(G371,'POR Config List'!D:D,0)))</f>
        <v/>
      </c>
      <c r="G371" s="168"/>
      <c r="H371" s="104" t="str">
        <f t="array" ref="H371">IF(ISBLANK(G371),"",INDEX('MP SKUs'!G:G,MATCH(G371,'MP SKUs'!A:A,0)))</f>
        <v/>
      </c>
      <c r="I371" s="105" t="str">
        <f t="array" ref="I371">IF(ISBLANK(G371),"",INDEX('POR Config List'!O:O,MATCH(G371,'POR Config List'!D:D,0)))</f>
        <v/>
      </c>
      <c r="J371" s="104" t="str">
        <f t="array" ref="J371">IF(ISBLANK(G371),"",INDEX('POR Config List'!H:H,MATCH(G371,'POR Config List'!D:D,0)))</f>
        <v/>
      </c>
      <c r="K371" s="105" t="str">
        <f t="array" ref="K371">IF(ISBLANK(G371),"",INDEX('POR Config List'!G:G,MATCH(G371,'POR Config List'!D:D,0)))</f>
        <v/>
      </c>
      <c r="L371" s="105"/>
      <c r="M371" s="105" t="str">
        <f t="array" ref="M371">IF(ISBLANK(G371),"",INDEX('label approval artwork'!Q:Q,MATCH( G371,'label approval artwork'!F:F,0)))</f>
        <v/>
      </c>
      <c r="N371" s="169" t="str">
        <f t="shared" si="5"/>
        <v/>
      </c>
      <c r="O371" s="102" t="str">
        <f t="array" ref="O371">IF(ISBLANK(G371),"",INDEX('POR Config List'!C:C,MATCH(G371,'POR Config List'!D:D,0)))</f>
        <v/>
      </c>
      <c r="P371" s="105" t="str">
        <f t="shared" si="4"/>
        <v/>
      </c>
      <c r="Q371" s="105" t="str">
        <f t="array" ref="Q371">IF(ISBLANK(G371),"",INDEX('label approval artwork'!J:J,MATCH( G371,'label approval artwork'!F:F,0)))</f>
        <v/>
      </c>
      <c r="R371" s="105" t="str">
        <f t="array" ref="R371">IFERROR( IF(P371&lt;&gt;"EMA",INDEX('label approval artwork'!H:H,MATCH(G371,'label approval artwork'!F:F,0),"")),"")</f>
        <v/>
      </c>
      <c r="S371" s="105"/>
      <c r="T371" s="105" t="str">
        <f t="array" ref="T371">IF(ISBLANK(G371),"",INDEX('POR Config List'!I:I,MATCH(G371,'POR Config List'!D:D,0)))</f>
        <v/>
      </c>
      <c r="AA371" s="100" t="str">
        <f t="array" ref="AA371">IF(ISBLANK(G371),"",INDEX('POR Config List'!E:E,MATCH(G371,'POR Config List'!D:D,0)))</f>
        <v/>
      </c>
      <c r="AC371" s="105"/>
      <c r="AD371" s="100"/>
      <c r="AE371" s="100"/>
      <c r="AF371" s="100"/>
      <c r="AG371" s="100"/>
      <c r="AM371" s="102"/>
      <c r="AN371" s="102"/>
      <c r="AR371" s="119"/>
      <c r="AS371" s="103"/>
    </row>
    <row r="372">
      <c r="A372" s="168"/>
      <c r="B372" s="100" t="str">
        <f t="array" ref="B372">IFERROR( INDEX('POR Config List'!A:A,MATCH(G372,'POR Config List'!D:D,0)),"")</f>
        <v/>
      </c>
      <c r="C372" s="101" t="str">
        <f t="array" ref="C372">IFERROR(INDEX('label approval artwork'!E:E,MATCH(G372,'label approval artwork'!F:F,0),""),"")</f>
        <v/>
      </c>
      <c r="D372" s="102" t="str">
        <f t="shared" si="3"/>
        <v/>
      </c>
      <c r="E372" s="100" t="str">
        <f t="array" ref="E372">IF(ISBLANK(G372),"",INDEX('POR Config List'!K:K,MATCH(G372,'POR Config List'!D:D,0)))</f>
        <v/>
      </c>
      <c r="F372" s="100" t="str">
        <f t="array" ref="F372">IF(ISBLANK(G372),"",INDEX('POR Config List'!J:J,MATCH(G372,'POR Config List'!D:D,0)))</f>
        <v/>
      </c>
      <c r="G372" s="168"/>
      <c r="H372" s="104" t="str">
        <f t="array" ref="H372">IF(ISBLANK(G372),"",INDEX('MP SKUs'!G:G,MATCH(G372,'MP SKUs'!A:A,0)))</f>
        <v/>
      </c>
      <c r="I372" s="105" t="str">
        <f t="array" ref="I372">IF(ISBLANK(G372),"",INDEX('POR Config List'!O:O,MATCH(G372,'POR Config List'!D:D,0)))</f>
        <v/>
      </c>
      <c r="J372" s="104" t="str">
        <f t="array" ref="J372">IF(ISBLANK(G372),"",INDEX('POR Config List'!H:H,MATCH(G372,'POR Config List'!D:D,0)))</f>
        <v/>
      </c>
      <c r="K372" s="105" t="str">
        <f t="array" ref="K372">IF(ISBLANK(G372),"",INDEX('POR Config List'!G:G,MATCH(G372,'POR Config List'!D:D,0)))</f>
        <v/>
      </c>
      <c r="L372" s="105"/>
      <c r="M372" s="105" t="str">
        <f t="array" ref="M372">IF(ISBLANK(G372),"",INDEX('label approval artwork'!Q:Q,MATCH( G372,'label approval artwork'!F:F,0)))</f>
        <v/>
      </c>
      <c r="N372" s="169" t="str">
        <f t="shared" si="5"/>
        <v/>
      </c>
      <c r="O372" s="102" t="str">
        <f t="array" ref="O372">IF(ISBLANK(G372),"",INDEX('POR Config List'!C:C,MATCH(G372,'POR Config List'!D:D,0)))</f>
        <v/>
      </c>
      <c r="P372" s="105" t="str">
        <f t="shared" si="4"/>
        <v/>
      </c>
      <c r="Q372" s="105" t="str">
        <f t="array" ref="Q372">IF(ISBLANK(G372),"",INDEX('label approval artwork'!J:J,MATCH( G372,'label approval artwork'!F:F,0)))</f>
        <v/>
      </c>
      <c r="R372" s="105" t="str">
        <f t="array" ref="R372">IFERROR( IF(P372&lt;&gt;"EMA",INDEX('label approval artwork'!H:H,MATCH(G372,'label approval artwork'!F:F,0),"")),"")</f>
        <v/>
      </c>
      <c r="S372" s="105"/>
      <c r="T372" s="105" t="str">
        <f t="array" ref="T372">IF(ISBLANK(G372),"",INDEX('POR Config List'!I:I,MATCH(G372,'POR Config List'!D:D,0)))</f>
        <v/>
      </c>
      <c r="AA372" s="100" t="str">
        <f t="array" ref="AA372">IF(ISBLANK(G372),"",INDEX('POR Config List'!E:E,MATCH(G372,'POR Config List'!D:D,0)))</f>
        <v/>
      </c>
      <c r="AC372" s="105"/>
      <c r="AD372" s="100"/>
      <c r="AE372" s="100"/>
      <c r="AF372" s="100"/>
      <c r="AG372" s="100"/>
      <c r="AM372" s="102"/>
      <c r="AN372" s="102"/>
      <c r="AR372" s="119"/>
      <c r="AS372" s="103"/>
    </row>
    <row r="373">
      <c r="A373" s="168"/>
      <c r="B373" s="100" t="str">
        <f t="array" ref="B373">IFERROR( INDEX('POR Config List'!A:A,MATCH(G373,'POR Config List'!D:D,0)),"")</f>
        <v/>
      </c>
      <c r="C373" s="101" t="str">
        <f t="array" ref="C373">IFERROR(INDEX('label approval artwork'!E:E,MATCH(G373,'label approval artwork'!F:F,0),""),"")</f>
        <v/>
      </c>
      <c r="D373" s="102" t="str">
        <f t="shared" si="3"/>
        <v/>
      </c>
      <c r="E373" s="100" t="str">
        <f t="array" ref="E373">IF(ISBLANK(G373),"",INDEX('POR Config List'!K:K,MATCH(G373,'POR Config List'!D:D,0)))</f>
        <v/>
      </c>
      <c r="F373" s="100" t="str">
        <f t="array" ref="F373">IF(ISBLANK(G373),"",INDEX('POR Config List'!J:J,MATCH(G373,'POR Config List'!D:D,0)))</f>
        <v/>
      </c>
      <c r="G373" s="168"/>
      <c r="H373" s="104" t="str">
        <f t="array" ref="H373">IF(ISBLANK(G373),"",INDEX('MP SKUs'!G:G,MATCH(G373,'MP SKUs'!A:A,0)))</f>
        <v/>
      </c>
      <c r="I373" s="105" t="str">
        <f t="array" ref="I373">IF(ISBLANK(G373),"",INDEX('POR Config List'!O:O,MATCH(G373,'POR Config List'!D:D,0)))</f>
        <v/>
      </c>
      <c r="J373" s="104" t="str">
        <f t="array" ref="J373">IF(ISBLANK(G373),"",INDEX('POR Config List'!H:H,MATCH(G373,'POR Config List'!D:D,0)))</f>
        <v/>
      </c>
      <c r="K373" s="105" t="str">
        <f t="array" ref="K373">IF(ISBLANK(G373),"",INDEX('POR Config List'!G:G,MATCH(G373,'POR Config List'!D:D,0)))</f>
        <v/>
      </c>
      <c r="L373" s="105"/>
      <c r="M373" s="105" t="str">
        <f t="array" ref="M373">IF(ISBLANK(G373),"",INDEX('label approval artwork'!Q:Q,MATCH( G373,'label approval artwork'!F:F,0)))</f>
        <v/>
      </c>
      <c r="N373" s="169" t="str">
        <f t="shared" si="5"/>
        <v/>
      </c>
      <c r="O373" s="102" t="str">
        <f t="array" ref="O373">IF(ISBLANK(G373),"",INDEX('POR Config List'!C:C,MATCH(G373,'POR Config List'!D:D,0)))</f>
        <v/>
      </c>
      <c r="P373" s="105" t="str">
        <f t="shared" si="4"/>
        <v/>
      </c>
      <c r="Q373" s="105" t="str">
        <f t="array" ref="Q373">IF(ISBLANK(G373),"",INDEX('label approval artwork'!J:J,MATCH( G373,'label approval artwork'!F:F,0)))</f>
        <v/>
      </c>
      <c r="R373" s="105" t="str">
        <f t="array" ref="R373">IFERROR( IF(P373&lt;&gt;"EMA",INDEX('label approval artwork'!H:H,MATCH(G373,'label approval artwork'!F:F,0),"")),"")</f>
        <v/>
      </c>
      <c r="S373" s="105"/>
      <c r="T373" s="105" t="str">
        <f t="array" ref="T373">IF(ISBLANK(G373),"",INDEX('POR Config List'!I:I,MATCH(G373,'POR Config List'!D:D,0)))</f>
        <v/>
      </c>
      <c r="AA373" s="100" t="str">
        <f t="array" ref="AA373">IF(ISBLANK(G373),"",INDEX('POR Config List'!E:E,MATCH(G373,'POR Config List'!D:D,0)))</f>
        <v/>
      </c>
      <c r="AC373" s="105"/>
      <c r="AD373" s="100"/>
      <c r="AE373" s="100"/>
      <c r="AF373" s="100"/>
      <c r="AG373" s="100"/>
      <c r="AM373" s="102"/>
      <c r="AN373" s="102"/>
      <c r="AR373" s="119"/>
      <c r="AS373" s="103"/>
    </row>
    <row r="374">
      <c r="A374" s="168"/>
      <c r="B374" s="100" t="str">
        <f t="array" ref="B374">IFERROR( INDEX('POR Config List'!A:A,MATCH(G374,'POR Config List'!D:D,0)),"")</f>
        <v/>
      </c>
      <c r="C374" s="101" t="str">
        <f t="array" ref="C374">IFERROR(INDEX('label approval artwork'!E:E,MATCH(G374,'label approval artwork'!F:F,0),""),"")</f>
        <v/>
      </c>
      <c r="D374" s="102" t="str">
        <f t="shared" si="3"/>
        <v/>
      </c>
      <c r="E374" s="100" t="str">
        <f t="array" ref="E374">IF(ISBLANK(G374),"",INDEX('POR Config List'!K:K,MATCH(G374,'POR Config List'!D:D,0)))</f>
        <v/>
      </c>
      <c r="F374" s="100" t="str">
        <f t="array" ref="F374">IF(ISBLANK(G374),"",INDEX('POR Config List'!J:J,MATCH(G374,'POR Config List'!D:D,0)))</f>
        <v/>
      </c>
      <c r="G374" s="168"/>
      <c r="H374" s="104" t="str">
        <f t="array" ref="H374">IF(ISBLANK(G374),"",INDEX('MP SKUs'!G:G,MATCH(G374,'MP SKUs'!A:A,0)))</f>
        <v/>
      </c>
      <c r="I374" s="105" t="str">
        <f t="array" ref="I374">IF(ISBLANK(G374),"",INDEX('POR Config List'!O:O,MATCH(G374,'POR Config List'!D:D,0)))</f>
        <v/>
      </c>
      <c r="J374" s="104" t="str">
        <f t="array" ref="J374">IF(ISBLANK(G374),"",INDEX('POR Config List'!H:H,MATCH(G374,'POR Config List'!D:D,0)))</f>
        <v/>
      </c>
      <c r="K374" s="105" t="str">
        <f t="array" ref="K374">IF(ISBLANK(G374),"",INDEX('POR Config List'!G:G,MATCH(G374,'POR Config List'!D:D,0)))</f>
        <v/>
      </c>
      <c r="L374" s="105"/>
      <c r="M374" s="105" t="str">
        <f t="array" ref="M374">IF(ISBLANK(G374),"",INDEX('label approval artwork'!Q:Q,MATCH( G374,'label approval artwork'!F:F,0)))</f>
        <v/>
      </c>
      <c r="N374" s="169" t="str">
        <f t="shared" si="5"/>
        <v/>
      </c>
      <c r="O374" s="102" t="str">
        <f t="array" ref="O374">IF(ISBLANK(G374),"",INDEX('POR Config List'!C:C,MATCH(G374,'POR Config List'!D:D,0)))</f>
        <v/>
      </c>
      <c r="P374" s="105" t="str">
        <f t="shared" si="4"/>
        <v/>
      </c>
      <c r="Q374" s="105" t="str">
        <f t="array" ref="Q374">IF(ISBLANK(G374),"",INDEX('label approval artwork'!J:J,MATCH( G374,'label approval artwork'!F:F,0)))</f>
        <v/>
      </c>
      <c r="R374" s="105" t="str">
        <f t="array" ref="R374">IFERROR( IF(P374&lt;&gt;"EMA",INDEX('label approval artwork'!H:H,MATCH(G374,'label approval artwork'!F:F,0),"")),"")</f>
        <v/>
      </c>
      <c r="S374" s="105"/>
      <c r="T374" s="105" t="str">
        <f t="array" ref="T374">IF(ISBLANK(G374),"",INDEX('POR Config List'!I:I,MATCH(G374,'POR Config List'!D:D,0)))</f>
        <v/>
      </c>
      <c r="AA374" s="100" t="str">
        <f t="array" ref="AA374">IF(ISBLANK(G374),"",INDEX('POR Config List'!E:E,MATCH(G374,'POR Config List'!D:D,0)))</f>
        <v/>
      </c>
      <c r="AC374" s="105"/>
      <c r="AD374" s="100"/>
      <c r="AE374" s="100"/>
      <c r="AF374" s="100"/>
      <c r="AG374" s="100"/>
      <c r="AM374" s="102"/>
      <c r="AN374" s="102"/>
      <c r="AR374" s="119"/>
      <c r="AS374" s="103"/>
    </row>
    <row r="375">
      <c r="A375" s="168"/>
      <c r="B375" s="100" t="str">
        <f t="array" ref="B375">IFERROR( INDEX('POR Config List'!A:A,MATCH(G375,'POR Config List'!D:D,0)),"")</f>
        <v/>
      </c>
      <c r="C375" s="101" t="str">
        <f t="array" ref="C375">IFERROR(INDEX('label approval artwork'!E:E,MATCH(G375,'label approval artwork'!F:F,0),""),"")</f>
        <v/>
      </c>
      <c r="D375" s="102" t="str">
        <f t="shared" si="3"/>
        <v/>
      </c>
      <c r="E375" s="100" t="str">
        <f t="array" ref="E375">IF(ISBLANK(G375),"",INDEX('POR Config List'!K:K,MATCH(G375,'POR Config List'!D:D,0)))</f>
        <v/>
      </c>
      <c r="F375" s="100" t="str">
        <f t="array" ref="F375">IF(ISBLANK(G375),"",INDEX('POR Config List'!J:J,MATCH(G375,'POR Config List'!D:D,0)))</f>
        <v/>
      </c>
      <c r="G375" s="168"/>
      <c r="H375" s="104" t="str">
        <f t="array" ref="H375">IF(ISBLANK(G375),"",INDEX('MP SKUs'!G:G,MATCH(G375,'MP SKUs'!A:A,0)))</f>
        <v/>
      </c>
      <c r="I375" s="105" t="str">
        <f t="array" ref="I375">IF(ISBLANK(G375),"",INDEX('POR Config List'!O:O,MATCH(G375,'POR Config List'!D:D,0)))</f>
        <v/>
      </c>
      <c r="J375" s="104" t="str">
        <f t="array" ref="J375">IF(ISBLANK(G375),"",INDEX('POR Config List'!H:H,MATCH(G375,'POR Config List'!D:D,0)))</f>
        <v/>
      </c>
      <c r="K375" s="105" t="str">
        <f t="array" ref="K375">IF(ISBLANK(G375),"",INDEX('POR Config List'!G:G,MATCH(G375,'POR Config List'!D:D,0)))</f>
        <v/>
      </c>
      <c r="L375" s="105"/>
      <c r="M375" s="105" t="str">
        <f t="array" ref="M375">IF(ISBLANK(G375),"",INDEX('label approval artwork'!Q:Q,MATCH( G375,'label approval artwork'!F:F,0)))</f>
        <v/>
      </c>
      <c r="N375" s="169" t="str">
        <f t="shared" si="5"/>
        <v/>
      </c>
      <c r="O375" s="102" t="str">
        <f t="array" ref="O375">IF(ISBLANK(G375),"",INDEX('POR Config List'!C:C,MATCH(G375,'POR Config List'!D:D,0)))</f>
        <v/>
      </c>
      <c r="P375" s="105" t="str">
        <f t="shared" si="4"/>
        <v/>
      </c>
      <c r="Q375" s="105" t="str">
        <f t="array" ref="Q375">IF(ISBLANK(G375),"",INDEX('label approval artwork'!J:J,MATCH( G375,'label approval artwork'!F:F,0)))</f>
        <v/>
      </c>
      <c r="R375" s="105" t="str">
        <f t="array" ref="R375">IFERROR( IF(P375&lt;&gt;"EMA",INDEX('label approval artwork'!H:H,MATCH(G375,'label approval artwork'!F:F,0),"")),"")</f>
        <v/>
      </c>
      <c r="S375" s="105"/>
      <c r="T375" s="105" t="str">
        <f t="array" ref="T375">IF(ISBLANK(G375),"",INDEX('POR Config List'!I:I,MATCH(G375,'POR Config List'!D:D,0)))</f>
        <v/>
      </c>
      <c r="AA375" s="100" t="str">
        <f t="array" ref="AA375">IF(ISBLANK(G375),"",INDEX('POR Config List'!E:E,MATCH(G375,'POR Config List'!D:D,0)))</f>
        <v/>
      </c>
      <c r="AC375" s="105"/>
      <c r="AD375" s="100"/>
      <c r="AE375" s="100"/>
      <c r="AF375" s="100"/>
      <c r="AG375" s="100"/>
      <c r="AM375" s="102"/>
      <c r="AN375" s="102"/>
      <c r="AR375" s="119"/>
      <c r="AS375" s="103"/>
    </row>
    <row r="376">
      <c r="A376" s="168"/>
      <c r="B376" s="100" t="str">
        <f t="array" ref="B376">IFERROR( INDEX('POR Config List'!A:A,MATCH(G376,'POR Config List'!D:D,0)),"")</f>
        <v/>
      </c>
      <c r="C376" s="101" t="str">
        <f t="array" ref="C376">IFERROR(INDEX('label approval artwork'!E:E,MATCH(G376,'label approval artwork'!F:F,0),""),"")</f>
        <v/>
      </c>
      <c r="D376" s="102" t="str">
        <f t="shared" si="3"/>
        <v/>
      </c>
      <c r="E376" s="100" t="str">
        <f t="array" ref="E376">IF(ISBLANK(G376),"",INDEX('POR Config List'!K:K,MATCH(G376,'POR Config List'!D:D,0)))</f>
        <v/>
      </c>
      <c r="F376" s="100" t="str">
        <f t="array" ref="F376">IF(ISBLANK(G376),"",INDEX('POR Config List'!J:J,MATCH(G376,'POR Config List'!D:D,0)))</f>
        <v/>
      </c>
      <c r="G376" s="168"/>
      <c r="H376" s="104" t="str">
        <f t="array" ref="H376">IF(ISBLANK(G376),"",INDEX('MP SKUs'!G:G,MATCH(G376,'MP SKUs'!A:A,0)))</f>
        <v/>
      </c>
      <c r="I376" s="105" t="str">
        <f t="array" ref="I376">IF(ISBLANK(G376),"",INDEX('POR Config List'!O:O,MATCH(G376,'POR Config List'!D:D,0)))</f>
        <v/>
      </c>
      <c r="J376" s="104" t="str">
        <f t="array" ref="J376">IF(ISBLANK(G376),"",INDEX('POR Config List'!H:H,MATCH(G376,'POR Config List'!D:D,0)))</f>
        <v/>
      </c>
      <c r="K376" s="105" t="str">
        <f t="array" ref="K376">IF(ISBLANK(G376),"",INDEX('POR Config List'!G:G,MATCH(G376,'POR Config List'!D:D,0)))</f>
        <v/>
      </c>
      <c r="L376" s="105"/>
      <c r="M376" s="105" t="str">
        <f t="array" ref="M376">IF(ISBLANK(G376),"",INDEX('label approval artwork'!Q:Q,MATCH( G376,'label approval artwork'!F:F,0)))</f>
        <v/>
      </c>
      <c r="N376" s="169" t="str">
        <f t="shared" si="5"/>
        <v/>
      </c>
      <c r="O376" s="102" t="str">
        <f t="array" ref="O376">IF(ISBLANK(G376),"",INDEX('POR Config List'!C:C,MATCH(G376,'POR Config List'!D:D,0)))</f>
        <v/>
      </c>
      <c r="P376" s="105" t="str">
        <f t="shared" si="4"/>
        <v/>
      </c>
      <c r="Q376" s="105" t="str">
        <f t="array" ref="Q376">IF(ISBLANK(G376),"",INDEX('label approval artwork'!J:J,MATCH( G376,'label approval artwork'!F:F,0)))</f>
        <v/>
      </c>
      <c r="R376" s="105" t="str">
        <f t="array" ref="R376">IFERROR( IF(P376&lt;&gt;"EMA",INDEX('label approval artwork'!H:H,MATCH(G376,'label approval artwork'!F:F,0),"")),"")</f>
        <v/>
      </c>
      <c r="S376" s="105"/>
      <c r="T376" s="105" t="str">
        <f t="array" ref="T376">IF(ISBLANK(G376),"",INDEX('POR Config List'!I:I,MATCH(G376,'POR Config List'!D:D,0)))</f>
        <v/>
      </c>
      <c r="AA376" s="100" t="str">
        <f t="array" ref="AA376">IF(ISBLANK(G376),"",INDEX('POR Config List'!E:E,MATCH(G376,'POR Config List'!D:D,0)))</f>
        <v/>
      </c>
      <c r="AC376" s="105"/>
      <c r="AD376" s="100"/>
      <c r="AE376" s="100"/>
      <c r="AF376" s="100"/>
      <c r="AG376" s="100"/>
      <c r="AM376" s="102"/>
      <c r="AN376" s="102"/>
      <c r="AR376" s="119"/>
      <c r="AS376" s="103"/>
    </row>
    <row r="377">
      <c r="A377" s="168"/>
      <c r="B377" s="100" t="str">
        <f t="array" ref="B377">IFERROR( INDEX('POR Config List'!A:A,MATCH(G377,'POR Config List'!D:D,0)),"")</f>
        <v/>
      </c>
      <c r="C377" s="101" t="str">
        <f t="array" ref="C377">IFERROR(INDEX('label approval artwork'!E:E,MATCH(G377,'label approval artwork'!F:F,0),""),"")</f>
        <v/>
      </c>
      <c r="D377" s="102" t="str">
        <f t="shared" si="3"/>
        <v/>
      </c>
      <c r="E377" s="100" t="str">
        <f t="array" ref="E377">IF(ISBLANK(G377),"",INDEX('POR Config List'!K:K,MATCH(G377,'POR Config List'!D:D,0)))</f>
        <v/>
      </c>
      <c r="F377" s="100" t="str">
        <f t="array" ref="F377">IF(ISBLANK(G377),"",INDEX('POR Config List'!J:J,MATCH(G377,'POR Config List'!D:D,0)))</f>
        <v/>
      </c>
      <c r="G377" s="168"/>
      <c r="H377" s="104" t="str">
        <f t="array" ref="H377">IF(ISBLANK(G377),"",INDEX('MP SKUs'!G:G,MATCH(G377,'MP SKUs'!A:A,0)))</f>
        <v/>
      </c>
      <c r="I377" s="105" t="str">
        <f t="array" ref="I377">IF(ISBLANK(G377),"",INDEX('POR Config List'!O:O,MATCH(G377,'POR Config List'!D:D,0)))</f>
        <v/>
      </c>
      <c r="J377" s="104" t="str">
        <f t="array" ref="J377">IF(ISBLANK(G377),"",INDEX('POR Config List'!H:H,MATCH(G377,'POR Config List'!D:D,0)))</f>
        <v/>
      </c>
      <c r="K377" s="105" t="str">
        <f t="array" ref="K377">IF(ISBLANK(G377),"",INDEX('POR Config List'!G:G,MATCH(G377,'POR Config List'!D:D,0)))</f>
        <v/>
      </c>
      <c r="L377" s="105"/>
      <c r="M377" s="105" t="str">
        <f t="array" ref="M377">IF(ISBLANK(G377),"",INDEX('label approval artwork'!Q:Q,MATCH( G377,'label approval artwork'!F:F,0)))</f>
        <v/>
      </c>
      <c r="N377" s="169" t="str">
        <f t="shared" si="5"/>
        <v/>
      </c>
      <c r="O377" s="102" t="str">
        <f t="array" ref="O377">IF(ISBLANK(G377),"",INDEX('POR Config List'!C:C,MATCH(G377,'POR Config List'!D:D,0)))</f>
        <v/>
      </c>
      <c r="P377" s="105" t="str">
        <f t="shared" si="4"/>
        <v/>
      </c>
      <c r="Q377" s="105" t="str">
        <f t="array" ref="Q377">IF(ISBLANK(G377),"",INDEX('label approval artwork'!J:J,MATCH( G377,'label approval artwork'!F:F,0)))</f>
        <v/>
      </c>
      <c r="R377" s="105" t="str">
        <f t="array" ref="R377">IFERROR( IF(P377&lt;&gt;"EMA",INDEX('label approval artwork'!H:H,MATCH(G377,'label approval artwork'!F:F,0),"")),"")</f>
        <v/>
      </c>
      <c r="S377" s="105"/>
      <c r="T377" s="105" t="str">
        <f t="array" ref="T377">IF(ISBLANK(G377),"",INDEX('POR Config List'!I:I,MATCH(G377,'POR Config List'!D:D,0)))</f>
        <v/>
      </c>
      <c r="AA377" s="100" t="str">
        <f t="array" ref="AA377">IF(ISBLANK(G377),"",INDEX('POR Config List'!E:E,MATCH(G377,'POR Config List'!D:D,0)))</f>
        <v/>
      </c>
      <c r="AC377" s="105"/>
      <c r="AD377" s="100"/>
      <c r="AE377" s="100"/>
      <c r="AF377" s="100"/>
      <c r="AG377" s="100"/>
      <c r="AM377" s="102"/>
      <c r="AN377" s="102"/>
      <c r="AR377" s="119"/>
      <c r="AS377" s="103"/>
    </row>
    <row r="378">
      <c r="A378" s="168"/>
      <c r="B378" s="100" t="str">
        <f t="array" ref="B378">IFERROR( INDEX('POR Config List'!A:A,MATCH(G378,'POR Config List'!D:D,0)),"")</f>
        <v/>
      </c>
      <c r="C378" s="101" t="str">
        <f t="array" ref="C378">IFERROR(INDEX('label approval artwork'!E:E,MATCH(G378,'label approval artwork'!F:F,0),""),"")</f>
        <v/>
      </c>
      <c r="D378" s="102" t="str">
        <f t="shared" si="3"/>
        <v/>
      </c>
      <c r="E378" s="100" t="str">
        <f t="array" ref="E378">IF(ISBLANK(G378),"",INDEX('POR Config List'!K:K,MATCH(G378,'POR Config List'!D:D,0)))</f>
        <v/>
      </c>
      <c r="F378" s="100" t="str">
        <f t="array" ref="F378">IF(ISBLANK(G378),"",INDEX('POR Config List'!J:J,MATCH(G378,'POR Config List'!D:D,0)))</f>
        <v/>
      </c>
      <c r="G378" s="168"/>
      <c r="H378" s="104" t="str">
        <f t="array" ref="H378">IF(ISBLANK(G378),"",INDEX('MP SKUs'!G:G,MATCH(G378,'MP SKUs'!A:A,0)))</f>
        <v/>
      </c>
      <c r="I378" s="105" t="str">
        <f t="array" ref="I378">IF(ISBLANK(G378),"",INDEX('POR Config List'!O:O,MATCH(G378,'POR Config List'!D:D,0)))</f>
        <v/>
      </c>
      <c r="J378" s="104" t="str">
        <f t="array" ref="J378">IF(ISBLANK(G378),"",INDEX('POR Config List'!H:H,MATCH(G378,'POR Config List'!D:D,0)))</f>
        <v/>
      </c>
      <c r="K378" s="105" t="str">
        <f t="array" ref="K378">IF(ISBLANK(G378),"",INDEX('POR Config List'!G:G,MATCH(G378,'POR Config List'!D:D,0)))</f>
        <v/>
      </c>
      <c r="L378" s="105"/>
      <c r="M378" s="105" t="str">
        <f t="array" ref="M378">IF(ISBLANK(G378),"",INDEX('label approval artwork'!Q:Q,MATCH( G378,'label approval artwork'!F:F,0)))</f>
        <v/>
      </c>
      <c r="N378" s="169" t="str">
        <f t="shared" si="5"/>
        <v/>
      </c>
      <c r="O378" s="102" t="str">
        <f t="array" ref="O378">IF(ISBLANK(G378),"",INDEX('POR Config List'!C:C,MATCH(G378,'POR Config List'!D:D,0)))</f>
        <v/>
      </c>
      <c r="P378" s="105" t="str">
        <f t="shared" si="4"/>
        <v/>
      </c>
      <c r="Q378" s="105" t="str">
        <f t="array" ref="Q378">IF(ISBLANK(G378),"",INDEX('label approval artwork'!J:J,MATCH( G378,'label approval artwork'!F:F,0)))</f>
        <v/>
      </c>
      <c r="R378" s="105" t="str">
        <f t="array" ref="R378">IFERROR( IF(P378&lt;&gt;"EMA",INDEX('label approval artwork'!H:H,MATCH(G378,'label approval artwork'!F:F,0),"")),"")</f>
        <v/>
      </c>
      <c r="S378" s="105"/>
      <c r="T378" s="105" t="str">
        <f t="array" ref="T378">IF(ISBLANK(G378),"",INDEX('POR Config List'!I:I,MATCH(G378,'POR Config List'!D:D,0)))</f>
        <v/>
      </c>
      <c r="AA378" s="100" t="str">
        <f t="array" ref="AA378">IF(ISBLANK(G378),"",INDEX('POR Config List'!E:E,MATCH(G378,'POR Config List'!D:D,0)))</f>
        <v/>
      </c>
      <c r="AC378" s="105"/>
      <c r="AD378" s="100"/>
      <c r="AE378" s="100"/>
      <c r="AF378" s="100"/>
      <c r="AG378" s="100"/>
      <c r="AM378" s="102"/>
      <c r="AN378" s="102"/>
      <c r="AR378" s="119"/>
      <c r="AS378" s="103"/>
    </row>
    <row r="379">
      <c r="A379" s="168"/>
      <c r="B379" s="100" t="str">
        <f t="array" ref="B379">IFERROR( INDEX('POR Config List'!A:A,MATCH(G379,'POR Config List'!D:D,0)),"")</f>
        <v/>
      </c>
      <c r="C379" s="101" t="str">
        <f t="array" ref="C379">IFERROR(INDEX('label approval artwork'!E:E,MATCH(G379,'label approval artwork'!F:F,0),""),"")</f>
        <v/>
      </c>
      <c r="D379" s="102" t="str">
        <f t="shared" si="3"/>
        <v/>
      </c>
      <c r="E379" s="100" t="str">
        <f t="array" ref="E379">IF(ISBLANK(G379),"",INDEX('POR Config List'!K:K,MATCH(G379,'POR Config List'!D:D,0)))</f>
        <v/>
      </c>
      <c r="F379" s="100" t="str">
        <f t="array" ref="F379">IF(ISBLANK(G379),"",INDEX('POR Config List'!J:J,MATCH(G379,'POR Config List'!D:D,0)))</f>
        <v/>
      </c>
      <c r="G379" s="168"/>
      <c r="H379" s="104" t="str">
        <f t="array" ref="H379">IF(ISBLANK(G379),"",INDEX('MP SKUs'!G:G,MATCH(G379,'MP SKUs'!A:A,0)))</f>
        <v/>
      </c>
      <c r="I379" s="105" t="str">
        <f t="array" ref="I379">IF(ISBLANK(G379),"",INDEX('POR Config List'!O:O,MATCH(G379,'POR Config List'!D:D,0)))</f>
        <v/>
      </c>
      <c r="J379" s="104" t="str">
        <f t="array" ref="J379">IF(ISBLANK(G379),"",INDEX('POR Config List'!H:H,MATCH(G379,'POR Config List'!D:D,0)))</f>
        <v/>
      </c>
      <c r="K379" s="105" t="str">
        <f t="array" ref="K379">IF(ISBLANK(G379),"",INDEX('POR Config List'!G:G,MATCH(G379,'POR Config List'!D:D,0)))</f>
        <v/>
      </c>
      <c r="L379" s="105"/>
      <c r="M379" s="105" t="str">
        <f t="array" ref="M379">IF(ISBLANK(G379),"",INDEX('label approval artwork'!Q:Q,MATCH( G379,'label approval artwork'!F:F,0)))</f>
        <v/>
      </c>
      <c r="N379" s="169" t="str">
        <f t="shared" si="5"/>
        <v/>
      </c>
      <c r="O379" s="102" t="str">
        <f t="array" ref="O379">IF(ISBLANK(G379),"",INDEX('POR Config List'!C:C,MATCH(G379,'POR Config List'!D:D,0)))</f>
        <v/>
      </c>
      <c r="P379" s="105" t="str">
        <f t="shared" si="4"/>
        <v/>
      </c>
      <c r="Q379" s="105" t="str">
        <f t="array" ref="Q379">IF(ISBLANK(G379),"",INDEX('label approval artwork'!J:J,MATCH( G379,'label approval artwork'!F:F,0)))</f>
        <v/>
      </c>
      <c r="R379" s="105" t="str">
        <f t="array" ref="R379">IFERROR( IF(P379&lt;&gt;"EMA",INDEX('label approval artwork'!H:H,MATCH(G379,'label approval artwork'!F:F,0),"")),"")</f>
        <v/>
      </c>
      <c r="S379" s="105"/>
      <c r="T379" s="105" t="str">
        <f t="array" ref="T379">IF(ISBLANK(G379),"",INDEX('POR Config List'!I:I,MATCH(G379,'POR Config List'!D:D,0)))</f>
        <v/>
      </c>
      <c r="AA379" s="100" t="str">
        <f t="array" ref="AA379">IF(ISBLANK(G379),"",INDEX('POR Config List'!E:E,MATCH(G379,'POR Config List'!D:D,0)))</f>
        <v/>
      </c>
      <c r="AC379" s="105"/>
      <c r="AD379" s="100"/>
      <c r="AE379" s="100"/>
      <c r="AF379" s="100"/>
      <c r="AG379" s="100"/>
      <c r="AM379" s="102"/>
      <c r="AN379" s="102"/>
      <c r="AR379" s="119"/>
      <c r="AS379" s="103"/>
    </row>
    <row r="380">
      <c r="A380" s="168"/>
      <c r="B380" s="100" t="str">
        <f t="array" ref="B380">IFERROR( INDEX('POR Config List'!A:A,MATCH(G380,'POR Config List'!D:D,0)),"")</f>
        <v/>
      </c>
      <c r="C380" s="101" t="str">
        <f t="array" ref="C380">IFERROR(INDEX('label approval artwork'!E:E,MATCH(G380,'label approval artwork'!F:F,0),""),"")</f>
        <v/>
      </c>
      <c r="D380" s="102" t="str">
        <f t="shared" si="3"/>
        <v/>
      </c>
      <c r="E380" s="100" t="str">
        <f t="array" ref="E380">IF(ISBLANK(G380),"",INDEX('POR Config List'!K:K,MATCH(G380,'POR Config List'!D:D,0)))</f>
        <v/>
      </c>
      <c r="F380" s="100" t="str">
        <f t="array" ref="F380">IF(ISBLANK(G380),"",INDEX('POR Config List'!J:J,MATCH(G380,'POR Config List'!D:D,0)))</f>
        <v/>
      </c>
      <c r="G380" s="168"/>
      <c r="H380" s="104" t="str">
        <f t="array" ref="H380">IF(ISBLANK(G380),"",INDEX('MP SKUs'!G:G,MATCH(G380,'MP SKUs'!A:A,0)))</f>
        <v/>
      </c>
      <c r="I380" s="105" t="str">
        <f t="array" ref="I380">IF(ISBLANK(G380),"",INDEX('POR Config List'!O:O,MATCH(G380,'POR Config List'!D:D,0)))</f>
        <v/>
      </c>
      <c r="J380" s="104" t="str">
        <f t="array" ref="J380">IF(ISBLANK(G380),"",INDEX('POR Config List'!H:H,MATCH(G380,'POR Config List'!D:D,0)))</f>
        <v/>
      </c>
      <c r="K380" s="105" t="str">
        <f t="array" ref="K380">IF(ISBLANK(G380),"",INDEX('POR Config List'!G:G,MATCH(G380,'POR Config List'!D:D,0)))</f>
        <v/>
      </c>
      <c r="L380" s="105"/>
      <c r="M380" s="105" t="str">
        <f t="array" ref="M380">IF(ISBLANK(G380),"",INDEX('label approval artwork'!Q:Q,MATCH( G380,'label approval artwork'!F:F,0)))</f>
        <v/>
      </c>
      <c r="N380" s="169" t="str">
        <f t="shared" si="5"/>
        <v/>
      </c>
      <c r="O380" s="102" t="str">
        <f t="array" ref="O380">IF(ISBLANK(G380),"",INDEX('POR Config List'!C:C,MATCH(G380,'POR Config List'!D:D,0)))</f>
        <v/>
      </c>
      <c r="P380" s="105" t="str">
        <f t="shared" si="4"/>
        <v/>
      </c>
      <c r="Q380" s="105" t="str">
        <f t="array" ref="Q380">IF(ISBLANK(G380),"",INDEX('label approval artwork'!J:J,MATCH( G380,'label approval artwork'!F:F,0)))</f>
        <v/>
      </c>
      <c r="R380" s="105" t="str">
        <f t="array" ref="R380">IFERROR( IF(P380&lt;&gt;"EMA",INDEX('label approval artwork'!H:H,MATCH(G380,'label approval artwork'!F:F,0),"")),"")</f>
        <v/>
      </c>
      <c r="S380" s="105"/>
      <c r="T380" s="105" t="str">
        <f t="array" ref="T380">IF(ISBLANK(G380),"",INDEX('POR Config List'!I:I,MATCH(G380,'POR Config List'!D:D,0)))</f>
        <v/>
      </c>
      <c r="AA380" s="100" t="str">
        <f t="array" ref="AA380">IF(ISBLANK(G380),"",INDEX('POR Config List'!E:E,MATCH(G380,'POR Config List'!D:D,0)))</f>
        <v/>
      </c>
      <c r="AC380" s="105"/>
      <c r="AD380" s="100"/>
      <c r="AE380" s="100"/>
      <c r="AF380" s="100"/>
      <c r="AG380" s="100"/>
      <c r="AM380" s="102"/>
      <c r="AN380" s="102"/>
      <c r="AR380" s="119"/>
      <c r="AS380" s="103"/>
    </row>
    <row r="381">
      <c r="A381" s="168"/>
      <c r="B381" s="100" t="str">
        <f t="array" ref="B381">IFERROR( INDEX('POR Config List'!A:A,MATCH(G381,'POR Config List'!D:D,0)),"")</f>
        <v/>
      </c>
      <c r="C381" s="101" t="str">
        <f t="array" ref="C381">IFERROR(INDEX('label approval artwork'!E:E,MATCH(G381,'label approval artwork'!F:F,0),""),"")</f>
        <v/>
      </c>
      <c r="D381" s="102" t="str">
        <f t="shared" si="3"/>
        <v/>
      </c>
      <c r="E381" s="100" t="str">
        <f t="array" ref="E381">IF(ISBLANK(G381),"",INDEX('POR Config List'!K:K,MATCH(G381,'POR Config List'!D:D,0)))</f>
        <v/>
      </c>
      <c r="F381" s="100" t="str">
        <f t="array" ref="F381">IF(ISBLANK(G381),"",INDEX('POR Config List'!J:J,MATCH(G381,'POR Config List'!D:D,0)))</f>
        <v/>
      </c>
      <c r="G381" s="168"/>
      <c r="H381" s="104" t="str">
        <f t="array" ref="H381">IF(ISBLANK(G381),"",INDEX('MP SKUs'!G:G,MATCH(G381,'MP SKUs'!A:A,0)))</f>
        <v/>
      </c>
      <c r="I381" s="105" t="str">
        <f t="array" ref="I381">IF(ISBLANK(G381),"",INDEX('POR Config List'!O:O,MATCH(G381,'POR Config List'!D:D,0)))</f>
        <v/>
      </c>
      <c r="J381" s="104" t="str">
        <f t="array" ref="J381">IF(ISBLANK(G381),"",INDEX('POR Config List'!H:H,MATCH(G381,'POR Config List'!D:D,0)))</f>
        <v/>
      </c>
      <c r="K381" s="105" t="str">
        <f t="array" ref="K381">IF(ISBLANK(G381),"",INDEX('POR Config List'!G:G,MATCH(G381,'POR Config List'!D:D,0)))</f>
        <v/>
      </c>
      <c r="L381" s="105"/>
      <c r="M381" s="105" t="str">
        <f t="array" ref="M381">IF(ISBLANK(G381),"",INDEX('label approval artwork'!Q:Q,MATCH( G381,'label approval artwork'!F:F,0)))</f>
        <v/>
      </c>
      <c r="N381" s="169" t="str">
        <f t="shared" si="5"/>
        <v/>
      </c>
      <c r="O381" s="102" t="str">
        <f t="array" ref="O381">IF(ISBLANK(G381),"",INDEX('POR Config List'!C:C,MATCH(G381,'POR Config List'!D:D,0)))</f>
        <v/>
      </c>
      <c r="P381" s="105" t="str">
        <f t="shared" si="4"/>
        <v/>
      </c>
      <c r="Q381" s="105" t="str">
        <f t="array" ref="Q381">IF(ISBLANK(G381),"",INDEX('label approval artwork'!J:J,MATCH( G381,'label approval artwork'!F:F,0)))</f>
        <v/>
      </c>
      <c r="R381" s="105" t="str">
        <f t="array" ref="R381">IFERROR( IF(P381&lt;&gt;"EMA",INDEX('label approval artwork'!H:H,MATCH(G381,'label approval artwork'!F:F,0),"")),"")</f>
        <v/>
      </c>
      <c r="S381" s="105"/>
      <c r="T381" s="105" t="str">
        <f t="array" ref="T381">IF(ISBLANK(G381),"",INDEX('POR Config List'!I:I,MATCH(G381,'POR Config List'!D:D,0)))</f>
        <v/>
      </c>
      <c r="AA381" s="100" t="str">
        <f t="array" ref="AA381">IF(ISBLANK(G381),"",INDEX('POR Config List'!E:E,MATCH(G381,'POR Config List'!D:D,0)))</f>
        <v/>
      </c>
      <c r="AC381" s="105"/>
      <c r="AD381" s="100"/>
      <c r="AE381" s="100"/>
      <c r="AF381" s="100"/>
      <c r="AG381" s="100"/>
      <c r="AM381" s="102"/>
      <c r="AN381" s="102"/>
      <c r="AR381" s="119"/>
      <c r="AS381" s="103"/>
    </row>
    <row r="382">
      <c r="A382" s="168"/>
      <c r="B382" s="100" t="str">
        <f t="array" ref="B382">IFERROR( INDEX('POR Config List'!A:A,MATCH(G382,'POR Config List'!D:D,0)),"")</f>
        <v/>
      </c>
      <c r="C382" s="101" t="str">
        <f t="array" ref="C382">IFERROR(INDEX('label approval artwork'!E:E,MATCH(G382,'label approval artwork'!F:F,0),""),"")</f>
        <v/>
      </c>
      <c r="D382" s="102" t="str">
        <f t="shared" si="3"/>
        <v/>
      </c>
      <c r="E382" s="100" t="str">
        <f t="array" ref="E382">IF(ISBLANK(G382),"",INDEX('POR Config List'!K:K,MATCH(G382,'POR Config List'!D:D,0)))</f>
        <v/>
      </c>
      <c r="F382" s="100" t="str">
        <f t="array" ref="F382">IF(ISBLANK(G382),"",INDEX('POR Config List'!J:J,MATCH(G382,'POR Config List'!D:D,0)))</f>
        <v/>
      </c>
      <c r="G382" s="168"/>
      <c r="H382" s="104" t="str">
        <f t="array" ref="H382">IF(ISBLANK(G382),"",INDEX('MP SKUs'!G:G,MATCH(G382,'MP SKUs'!A:A,0)))</f>
        <v/>
      </c>
      <c r="I382" s="105" t="str">
        <f t="array" ref="I382">IF(ISBLANK(G382),"",INDEX('POR Config List'!O:O,MATCH(G382,'POR Config List'!D:D,0)))</f>
        <v/>
      </c>
      <c r="J382" s="104" t="str">
        <f t="array" ref="J382">IF(ISBLANK(G382),"",INDEX('POR Config List'!H:H,MATCH(G382,'POR Config List'!D:D,0)))</f>
        <v/>
      </c>
      <c r="K382" s="105" t="str">
        <f t="array" ref="K382">IF(ISBLANK(G382),"",INDEX('POR Config List'!G:G,MATCH(G382,'POR Config List'!D:D,0)))</f>
        <v/>
      </c>
      <c r="L382" s="105"/>
      <c r="M382" s="105" t="str">
        <f t="array" ref="M382">IF(ISBLANK(G382),"",INDEX('label approval artwork'!Q:Q,MATCH( G382,'label approval artwork'!F:F,0)))</f>
        <v/>
      </c>
      <c r="N382" s="169" t="str">
        <f t="shared" si="5"/>
        <v/>
      </c>
      <c r="O382" s="102" t="str">
        <f t="array" ref="O382">IF(ISBLANK(G382),"",INDEX('POR Config List'!C:C,MATCH(G382,'POR Config List'!D:D,0)))</f>
        <v/>
      </c>
      <c r="P382" s="105" t="str">
        <f t="shared" si="4"/>
        <v/>
      </c>
      <c r="Q382" s="105" t="str">
        <f t="array" ref="Q382">IF(ISBLANK(G382),"",INDEX('label approval artwork'!J:J,MATCH( G382,'label approval artwork'!F:F,0)))</f>
        <v/>
      </c>
      <c r="R382" s="105" t="str">
        <f t="array" ref="R382">IFERROR( IF(P382&lt;&gt;"EMA",INDEX('label approval artwork'!H:H,MATCH(G382,'label approval artwork'!F:F,0),"")),"")</f>
        <v/>
      </c>
      <c r="S382" s="105"/>
      <c r="T382" s="105" t="str">
        <f t="array" ref="T382">IF(ISBLANK(G382),"",INDEX('POR Config List'!I:I,MATCH(G382,'POR Config List'!D:D,0)))</f>
        <v/>
      </c>
      <c r="AA382" s="100" t="str">
        <f t="array" ref="AA382">IF(ISBLANK(G382),"",INDEX('POR Config List'!E:E,MATCH(G382,'POR Config List'!D:D,0)))</f>
        <v/>
      </c>
      <c r="AC382" s="105"/>
      <c r="AD382" s="100"/>
      <c r="AE382" s="100"/>
      <c r="AF382" s="100"/>
      <c r="AG382" s="100"/>
      <c r="AM382" s="102"/>
      <c r="AN382" s="102"/>
      <c r="AR382" s="119"/>
      <c r="AS382" s="103"/>
    </row>
    <row r="383">
      <c r="A383" s="168"/>
      <c r="B383" s="100" t="str">
        <f t="array" ref="B383">IFERROR( INDEX('POR Config List'!A:A,MATCH(G383,'POR Config List'!D:D,0)),"")</f>
        <v/>
      </c>
      <c r="C383" s="101" t="str">
        <f t="array" ref="C383">IFERROR(INDEX('label approval artwork'!E:E,MATCH(G383,'label approval artwork'!F:F,0),""),"")</f>
        <v/>
      </c>
      <c r="D383" s="102" t="str">
        <f t="shared" si="3"/>
        <v/>
      </c>
      <c r="E383" s="100" t="str">
        <f t="array" ref="E383">IF(ISBLANK(G383),"",INDEX('POR Config List'!K:K,MATCH(G383,'POR Config List'!D:D,0)))</f>
        <v/>
      </c>
      <c r="F383" s="100" t="str">
        <f t="array" ref="F383">IF(ISBLANK(G383),"",INDEX('POR Config List'!J:J,MATCH(G383,'POR Config List'!D:D,0)))</f>
        <v/>
      </c>
      <c r="G383" s="168"/>
      <c r="H383" s="104" t="str">
        <f t="array" ref="H383">IF(ISBLANK(G383),"",INDEX('MP SKUs'!G:G,MATCH(G383,'MP SKUs'!A:A,0)))</f>
        <v/>
      </c>
      <c r="I383" s="105" t="str">
        <f t="array" ref="I383">IF(ISBLANK(G383),"",INDEX('POR Config List'!O:O,MATCH(G383,'POR Config List'!D:D,0)))</f>
        <v/>
      </c>
      <c r="J383" s="104" t="str">
        <f t="array" ref="J383">IF(ISBLANK(G383),"",INDEX('POR Config List'!H:H,MATCH(G383,'POR Config List'!D:D,0)))</f>
        <v/>
      </c>
      <c r="K383" s="105" t="str">
        <f t="array" ref="K383">IF(ISBLANK(G383),"",INDEX('POR Config List'!G:G,MATCH(G383,'POR Config List'!D:D,0)))</f>
        <v/>
      </c>
      <c r="L383" s="105"/>
      <c r="M383" s="105" t="str">
        <f t="array" ref="M383">IF(ISBLANK(G383),"",INDEX('label approval artwork'!Q:Q,MATCH( G383,'label approval artwork'!F:F,0)))</f>
        <v/>
      </c>
      <c r="N383" s="169" t="str">
        <f t="shared" si="5"/>
        <v/>
      </c>
      <c r="O383" s="102" t="str">
        <f t="array" ref="O383">IF(ISBLANK(G383),"",INDEX('POR Config List'!C:C,MATCH(G383,'POR Config List'!D:D,0)))</f>
        <v/>
      </c>
      <c r="P383" s="105" t="str">
        <f t="shared" si="4"/>
        <v/>
      </c>
      <c r="Q383" s="105" t="str">
        <f t="array" ref="Q383">IF(ISBLANK(G383),"",INDEX('label approval artwork'!J:J,MATCH( G383,'label approval artwork'!F:F,0)))</f>
        <v/>
      </c>
      <c r="R383" s="105" t="str">
        <f t="array" ref="R383">IFERROR( IF(P383&lt;&gt;"EMA",INDEX('label approval artwork'!H:H,MATCH(G383,'label approval artwork'!F:F,0),"")),"")</f>
        <v/>
      </c>
      <c r="S383" s="105"/>
      <c r="T383" s="105" t="str">
        <f t="array" ref="T383">IF(ISBLANK(G383),"",INDEX('POR Config List'!I:I,MATCH(G383,'POR Config List'!D:D,0)))</f>
        <v/>
      </c>
      <c r="AA383" s="100" t="str">
        <f t="array" ref="AA383">IF(ISBLANK(G383),"",INDEX('POR Config List'!E:E,MATCH(G383,'POR Config List'!D:D,0)))</f>
        <v/>
      </c>
      <c r="AC383" s="105"/>
      <c r="AD383" s="100"/>
      <c r="AE383" s="100"/>
      <c r="AF383" s="100"/>
      <c r="AG383" s="100"/>
      <c r="AM383" s="102"/>
      <c r="AN383" s="102"/>
      <c r="AR383" s="119"/>
      <c r="AS383" s="103"/>
    </row>
    <row r="384">
      <c r="A384" s="168"/>
      <c r="B384" s="100" t="str">
        <f t="array" ref="B384">IFERROR( INDEX('POR Config List'!A:A,MATCH(G384,'POR Config List'!D:D,0)),"")</f>
        <v/>
      </c>
      <c r="C384" s="101" t="str">
        <f t="array" ref="C384">IFERROR(INDEX('label approval artwork'!E:E,MATCH(G384,'label approval artwork'!F:F,0),""),"")</f>
        <v/>
      </c>
      <c r="D384" s="102" t="str">
        <f t="shared" si="3"/>
        <v/>
      </c>
      <c r="E384" s="100" t="str">
        <f t="array" ref="E384">IF(ISBLANK(G384),"",INDEX('POR Config List'!K:K,MATCH(G384,'POR Config List'!D:D,0)))</f>
        <v/>
      </c>
      <c r="F384" s="100" t="str">
        <f t="array" ref="F384">IF(ISBLANK(G384),"",INDEX('POR Config List'!J:J,MATCH(G384,'POR Config List'!D:D,0)))</f>
        <v/>
      </c>
      <c r="G384" s="168"/>
      <c r="H384" s="104" t="str">
        <f t="array" ref="H384">IF(ISBLANK(G384),"",INDEX('MP SKUs'!G:G,MATCH(G384,'MP SKUs'!A:A,0)))</f>
        <v/>
      </c>
      <c r="I384" s="105" t="str">
        <f t="array" ref="I384">IF(ISBLANK(G384),"",INDEX('POR Config List'!O:O,MATCH(G384,'POR Config List'!D:D,0)))</f>
        <v/>
      </c>
      <c r="J384" s="104" t="str">
        <f t="array" ref="J384">IF(ISBLANK(G384),"",INDEX('POR Config List'!H:H,MATCH(G384,'POR Config List'!D:D,0)))</f>
        <v/>
      </c>
      <c r="K384" s="105" t="str">
        <f t="array" ref="K384">IF(ISBLANK(G384),"",INDEX('POR Config List'!G:G,MATCH(G384,'POR Config List'!D:D,0)))</f>
        <v/>
      </c>
      <c r="L384" s="105"/>
      <c r="M384" s="105" t="str">
        <f t="array" ref="M384">IF(ISBLANK(G384),"",INDEX('label approval artwork'!Q:Q,MATCH( G384,'label approval artwork'!F:F,0)))</f>
        <v/>
      </c>
      <c r="N384" s="169" t="str">
        <f t="shared" si="5"/>
        <v/>
      </c>
      <c r="O384" s="102" t="str">
        <f t="array" ref="O384">IF(ISBLANK(G384),"",INDEX('POR Config List'!C:C,MATCH(G384,'POR Config List'!D:D,0)))</f>
        <v/>
      </c>
      <c r="P384" s="105" t="str">
        <f t="shared" si="4"/>
        <v/>
      </c>
      <c r="Q384" s="105" t="str">
        <f t="array" ref="Q384">IF(ISBLANK(G384),"",INDEX('label approval artwork'!J:J,MATCH( G384,'label approval artwork'!F:F,0)))</f>
        <v/>
      </c>
      <c r="R384" s="105" t="str">
        <f t="array" ref="R384">IFERROR( IF(P384&lt;&gt;"EMA",INDEX('label approval artwork'!H:H,MATCH(G384,'label approval artwork'!F:F,0),"")),"")</f>
        <v/>
      </c>
      <c r="S384" s="105"/>
      <c r="T384" s="105" t="str">
        <f t="array" ref="T384">IF(ISBLANK(G384),"",INDEX('POR Config List'!I:I,MATCH(G384,'POR Config List'!D:D,0)))</f>
        <v/>
      </c>
      <c r="AA384" s="100" t="str">
        <f t="array" ref="AA384">IF(ISBLANK(G384),"",INDEX('POR Config List'!E:E,MATCH(G384,'POR Config List'!D:D,0)))</f>
        <v/>
      </c>
      <c r="AC384" s="105"/>
      <c r="AD384" s="100"/>
      <c r="AE384" s="100"/>
      <c r="AF384" s="100"/>
      <c r="AG384" s="100"/>
      <c r="AM384" s="102"/>
      <c r="AN384" s="102"/>
      <c r="AR384" s="119"/>
      <c r="AS384" s="103"/>
    </row>
    <row r="385">
      <c r="A385" s="168"/>
      <c r="B385" s="100" t="str">
        <f t="array" ref="B385">IFERROR( INDEX('POR Config List'!A:A,MATCH(G385,'POR Config List'!D:D,0)),"")</f>
        <v/>
      </c>
      <c r="C385" s="101" t="str">
        <f t="array" ref="C385">IFERROR(INDEX('label approval artwork'!E:E,MATCH(G385,'label approval artwork'!F:F,0),""),"")</f>
        <v/>
      </c>
      <c r="D385" s="102" t="str">
        <f t="shared" si="3"/>
        <v/>
      </c>
      <c r="E385" s="100" t="str">
        <f t="array" ref="E385">IF(ISBLANK(G385),"",INDEX('POR Config List'!K:K,MATCH(G385,'POR Config List'!D:D,0)))</f>
        <v/>
      </c>
      <c r="F385" s="100" t="str">
        <f t="array" ref="F385">IF(ISBLANK(G385),"",INDEX('POR Config List'!J:J,MATCH(G385,'POR Config List'!D:D,0)))</f>
        <v/>
      </c>
      <c r="G385" s="168"/>
      <c r="H385" s="104" t="str">
        <f t="array" ref="H385">IF(ISBLANK(G385),"",INDEX('MP SKUs'!G:G,MATCH(G385,'MP SKUs'!A:A,0)))</f>
        <v/>
      </c>
      <c r="I385" s="105" t="str">
        <f t="array" ref="I385">IF(ISBLANK(G385),"",INDEX('POR Config List'!O:O,MATCH(G385,'POR Config List'!D:D,0)))</f>
        <v/>
      </c>
      <c r="J385" s="104" t="str">
        <f t="array" ref="J385">IF(ISBLANK(G385),"",INDEX('POR Config List'!H:H,MATCH(G385,'POR Config List'!D:D,0)))</f>
        <v/>
      </c>
      <c r="K385" s="105" t="str">
        <f t="array" ref="K385">IF(ISBLANK(G385),"",INDEX('POR Config List'!G:G,MATCH(G385,'POR Config List'!D:D,0)))</f>
        <v/>
      </c>
      <c r="L385" s="105"/>
      <c r="M385" s="105" t="str">
        <f t="array" ref="M385">IF(ISBLANK(G385),"",INDEX('label approval artwork'!Q:Q,MATCH( G385,'label approval artwork'!F:F,0)))</f>
        <v/>
      </c>
      <c r="N385" s="169" t="str">
        <f t="shared" si="5"/>
        <v/>
      </c>
      <c r="O385" s="102" t="str">
        <f t="array" ref="O385">IF(ISBLANK(G385),"",INDEX('POR Config List'!C:C,MATCH(G385,'POR Config List'!D:D,0)))</f>
        <v/>
      </c>
      <c r="P385" s="105" t="str">
        <f t="shared" si="4"/>
        <v/>
      </c>
      <c r="Q385" s="105" t="str">
        <f t="array" ref="Q385">IF(ISBLANK(G385),"",INDEX('label approval artwork'!J:J,MATCH( G385,'label approval artwork'!F:F,0)))</f>
        <v/>
      </c>
      <c r="R385" s="105" t="str">
        <f t="array" ref="R385">IFERROR( IF(P385&lt;&gt;"EMA",INDEX('label approval artwork'!H:H,MATCH(G385,'label approval artwork'!F:F,0),"")),"")</f>
        <v/>
      </c>
      <c r="S385" s="105"/>
      <c r="T385" s="105" t="str">
        <f t="array" ref="T385">IF(ISBLANK(G385),"",INDEX('POR Config List'!I:I,MATCH(G385,'POR Config List'!D:D,0)))</f>
        <v/>
      </c>
      <c r="AA385" s="100" t="str">
        <f t="array" ref="AA385">IF(ISBLANK(G385),"",INDEX('POR Config List'!E:E,MATCH(G385,'POR Config List'!D:D,0)))</f>
        <v/>
      </c>
      <c r="AC385" s="105"/>
      <c r="AD385" s="100"/>
      <c r="AE385" s="100"/>
      <c r="AF385" s="100"/>
      <c r="AG385" s="100"/>
      <c r="AM385" s="102"/>
      <c r="AN385" s="102"/>
      <c r="AR385" s="119"/>
      <c r="AS385" s="103"/>
    </row>
    <row r="386">
      <c r="A386" s="168"/>
      <c r="B386" s="100" t="str">
        <f t="array" ref="B386">IFERROR( INDEX('POR Config List'!A:A,MATCH(G386,'POR Config List'!D:D,0)),"")</f>
        <v/>
      </c>
      <c r="C386" s="101" t="str">
        <f t="array" ref="C386">IFERROR(INDEX('label approval artwork'!E:E,MATCH(G386,'label approval artwork'!F:F,0),""),"")</f>
        <v/>
      </c>
      <c r="D386" s="102" t="str">
        <f t="shared" si="3"/>
        <v/>
      </c>
      <c r="E386" s="100" t="str">
        <f t="array" ref="E386">IF(ISBLANK(G386),"",INDEX('POR Config List'!K:K,MATCH(G386,'POR Config List'!D:D,0)))</f>
        <v/>
      </c>
      <c r="F386" s="100" t="str">
        <f t="array" ref="F386">IF(ISBLANK(G386),"",INDEX('POR Config List'!J:J,MATCH(G386,'POR Config List'!D:D,0)))</f>
        <v/>
      </c>
      <c r="G386" s="168"/>
      <c r="H386" s="104" t="str">
        <f t="array" ref="H386">IF(ISBLANK(G386),"",INDEX('MP SKUs'!G:G,MATCH(G386,'MP SKUs'!A:A,0)))</f>
        <v/>
      </c>
      <c r="I386" s="105" t="str">
        <f t="array" ref="I386">IF(ISBLANK(G386),"",INDEX('POR Config List'!O:O,MATCH(G386,'POR Config List'!D:D,0)))</f>
        <v/>
      </c>
      <c r="J386" s="104" t="str">
        <f t="array" ref="J386">IF(ISBLANK(G386),"",INDEX('POR Config List'!H:H,MATCH(G386,'POR Config List'!D:D,0)))</f>
        <v/>
      </c>
      <c r="K386" s="105" t="str">
        <f t="array" ref="K386">IF(ISBLANK(G386),"",INDEX('POR Config List'!G:G,MATCH(G386,'POR Config List'!D:D,0)))</f>
        <v/>
      </c>
      <c r="L386" s="105"/>
      <c r="M386" s="105" t="str">
        <f t="array" ref="M386">IF(ISBLANK(G386),"",INDEX('label approval artwork'!Q:Q,MATCH( G386,'label approval artwork'!F:F,0)))</f>
        <v/>
      </c>
      <c r="N386" s="169" t="str">
        <f t="shared" si="5"/>
        <v/>
      </c>
      <c r="O386" s="102" t="str">
        <f t="array" ref="O386">IF(ISBLANK(G386),"",INDEX('POR Config List'!C:C,MATCH(G386,'POR Config List'!D:D,0)))</f>
        <v/>
      </c>
      <c r="P386" s="105" t="str">
        <f t="shared" si="4"/>
        <v/>
      </c>
      <c r="Q386" s="105" t="str">
        <f t="array" ref="Q386">IF(ISBLANK(G386),"",INDEX('label approval artwork'!J:J,MATCH( G386,'label approval artwork'!F:F,0)))</f>
        <v/>
      </c>
      <c r="R386" s="105" t="str">
        <f t="array" ref="R386">IFERROR( IF(P386&lt;&gt;"EMA",INDEX('label approval artwork'!H:H,MATCH(G386,'label approval artwork'!F:F,0),"")),"")</f>
        <v/>
      </c>
      <c r="S386" s="105"/>
      <c r="T386" s="105" t="str">
        <f t="array" ref="T386">IF(ISBLANK(G386),"",INDEX('POR Config List'!I:I,MATCH(G386,'POR Config List'!D:D,0)))</f>
        <v/>
      </c>
      <c r="AA386" s="100" t="str">
        <f t="array" ref="AA386">IF(ISBLANK(G386),"",INDEX('POR Config List'!E:E,MATCH(G386,'POR Config List'!D:D,0)))</f>
        <v/>
      </c>
      <c r="AC386" s="105"/>
      <c r="AD386" s="100"/>
      <c r="AE386" s="100"/>
      <c r="AF386" s="100"/>
      <c r="AG386" s="100"/>
      <c r="AM386" s="102"/>
      <c r="AN386" s="102"/>
      <c r="AR386" s="119"/>
      <c r="AS386" s="103"/>
    </row>
    <row r="387">
      <c r="A387" s="168"/>
      <c r="B387" s="100" t="str">
        <f t="array" ref="B387">IFERROR( INDEX('POR Config List'!A:A,MATCH(G387,'POR Config List'!D:D,0)),"")</f>
        <v/>
      </c>
      <c r="C387" s="101" t="str">
        <f t="array" ref="C387">IFERROR(INDEX('label approval artwork'!E:E,MATCH(G387,'label approval artwork'!F:F,0),""),"")</f>
        <v/>
      </c>
      <c r="D387" s="102" t="str">
        <f t="shared" si="3"/>
        <v/>
      </c>
      <c r="E387" s="100" t="str">
        <f t="array" ref="E387">IF(ISBLANK(G387),"",INDEX('POR Config List'!K:K,MATCH(G387,'POR Config List'!D:D,0)))</f>
        <v/>
      </c>
      <c r="F387" s="100" t="str">
        <f t="array" ref="F387">IF(ISBLANK(G387),"",INDEX('POR Config List'!J:J,MATCH(G387,'POR Config List'!D:D,0)))</f>
        <v/>
      </c>
      <c r="G387" s="168"/>
      <c r="H387" s="104" t="str">
        <f t="array" ref="H387">IF(ISBLANK(G387),"",INDEX('MP SKUs'!G:G,MATCH(G387,'MP SKUs'!A:A,0)))</f>
        <v/>
      </c>
      <c r="I387" s="105" t="str">
        <f t="array" ref="I387">IF(ISBLANK(G387),"",INDEX('POR Config List'!O:O,MATCH(G387,'POR Config List'!D:D,0)))</f>
        <v/>
      </c>
      <c r="J387" s="104" t="str">
        <f t="array" ref="J387">IF(ISBLANK(G387),"",INDEX('POR Config List'!H:H,MATCH(G387,'POR Config List'!D:D,0)))</f>
        <v/>
      </c>
      <c r="K387" s="105" t="str">
        <f t="array" ref="K387">IF(ISBLANK(G387),"",INDEX('POR Config List'!G:G,MATCH(G387,'POR Config List'!D:D,0)))</f>
        <v/>
      </c>
      <c r="L387" s="105"/>
      <c r="M387" s="105" t="str">
        <f t="array" ref="M387">IF(ISBLANK(G387),"",INDEX('label approval artwork'!Q:Q,MATCH( G387,'label approval artwork'!F:F,0)))</f>
        <v/>
      </c>
      <c r="N387" s="169" t="str">
        <f t="shared" si="5"/>
        <v/>
      </c>
      <c r="O387" s="102" t="str">
        <f t="array" ref="O387">IF(ISBLANK(G387),"",INDEX('POR Config List'!C:C,MATCH(G387,'POR Config List'!D:D,0)))</f>
        <v/>
      </c>
      <c r="P387" s="105" t="str">
        <f t="shared" si="4"/>
        <v/>
      </c>
      <c r="Q387" s="105" t="str">
        <f t="array" ref="Q387">IF(ISBLANK(G387),"",INDEX('label approval artwork'!J:J,MATCH( G387,'label approval artwork'!F:F,0)))</f>
        <v/>
      </c>
      <c r="R387" s="105" t="str">
        <f t="array" ref="R387">IFERROR( IF(P387&lt;&gt;"EMA",INDEX('label approval artwork'!H:H,MATCH(G387,'label approval artwork'!F:F,0),"")),"")</f>
        <v/>
      </c>
      <c r="S387" s="105"/>
      <c r="T387" s="105" t="str">
        <f t="array" ref="T387">IF(ISBLANK(G387),"",INDEX('POR Config List'!I:I,MATCH(G387,'POR Config List'!D:D,0)))</f>
        <v/>
      </c>
      <c r="AA387" s="100" t="str">
        <f t="array" ref="AA387">IF(ISBLANK(G387),"",INDEX('POR Config List'!E:E,MATCH(G387,'POR Config List'!D:D,0)))</f>
        <v/>
      </c>
      <c r="AC387" s="105"/>
      <c r="AD387" s="100"/>
      <c r="AE387" s="100"/>
      <c r="AF387" s="100"/>
      <c r="AG387" s="100"/>
      <c r="AM387" s="102"/>
      <c r="AN387" s="102"/>
      <c r="AR387" s="119"/>
      <c r="AS387" s="103"/>
    </row>
    <row r="388">
      <c r="A388" s="168"/>
      <c r="B388" s="100" t="str">
        <f t="array" ref="B388">IFERROR( INDEX('POR Config List'!A:A,MATCH(G388,'POR Config List'!D:D,0)),"")</f>
        <v/>
      </c>
      <c r="C388" s="101" t="str">
        <f t="array" ref="C388">IFERROR(INDEX('label approval artwork'!E:E,MATCH(G388,'label approval artwork'!F:F,0),""),"")</f>
        <v/>
      </c>
      <c r="D388" s="102" t="str">
        <f t="shared" si="3"/>
        <v/>
      </c>
      <c r="E388" s="100" t="str">
        <f t="array" ref="E388">IF(ISBLANK(G388),"",INDEX('POR Config List'!K:K,MATCH(G388,'POR Config List'!D:D,0)))</f>
        <v/>
      </c>
      <c r="F388" s="100" t="str">
        <f t="array" ref="F388">IF(ISBLANK(G388),"",INDEX('POR Config List'!J:J,MATCH(G388,'POR Config List'!D:D,0)))</f>
        <v/>
      </c>
      <c r="G388" s="168"/>
      <c r="H388" s="104" t="str">
        <f t="array" ref="H388">IF(ISBLANK(G388),"",INDEX('MP SKUs'!G:G,MATCH(G388,'MP SKUs'!A:A,0)))</f>
        <v/>
      </c>
      <c r="I388" s="105" t="str">
        <f t="array" ref="I388">IF(ISBLANK(G388),"",INDEX('POR Config List'!O:O,MATCH(G388,'POR Config List'!D:D,0)))</f>
        <v/>
      </c>
      <c r="J388" s="104" t="str">
        <f t="array" ref="J388">IF(ISBLANK(G388),"",INDEX('POR Config List'!H:H,MATCH(G388,'POR Config List'!D:D,0)))</f>
        <v/>
      </c>
      <c r="K388" s="105" t="str">
        <f t="array" ref="K388">IF(ISBLANK(G388),"",INDEX('POR Config List'!G:G,MATCH(G388,'POR Config List'!D:D,0)))</f>
        <v/>
      </c>
      <c r="L388" s="105"/>
      <c r="M388" s="105" t="str">
        <f t="array" ref="M388">IF(ISBLANK(G388),"",INDEX('label approval artwork'!Q:Q,MATCH( G388,'label approval artwork'!F:F,0)))</f>
        <v/>
      </c>
      <c r="N388" s="169" t="str">
        <f t="shared" si="5"/>
        <v/>
      </c>
      <c r="O388" s="102" t="str">
        <f t="array" ref="O388">IF(ISBLANK(G388),"",INDEX('POR Config List'!C:C,MATCH(G388,'POR Config List'!D:D,0)))</f>
        <v/>
      </c>
      <c r="P388" s="105" t="str">
        <f t="shared" si="4"/>
        <v/>
      </c>
      <c r="Q388" s="105" t="str">
        <f t="array" ref="Q388">IF(ISBLANK(G388),"",INDEX('label approval artwork'!J:J,MATCH( G388,'label approval artwork'!F:F,0)))</f>
        <v/>
      </c>
      <c r="R388" s="105" t="str">
        <f t="array" ref="R388">IFERROR( IF(P388&lt;&gt;"EMA",INDEX('label approval artwork'!H:H,MATCH(G388,'label approval artwork'!F:F,0),"")),"")</f>
        <v/>
      </c>
      <c r="S388" s="105"/>
      <c r="T388" s="105" t="str">
        <f t="array" ref="T388">IF(ISBLANK(G388),"",INDEX('POR Config List'!I:I,MATCH(G388,'POR Config List'!D:D,0)))</f>
        <v/>
      </c>
      <c r="AA388" s="100" t="str">
        <f t="array" ref="AA388">IF(ISBLANK(G388),"",INDEX('POR Config List'!E:E,MATCH(G388,'POR Config List'!D:D,0)))</f>
        <v/>
      </c>
      <c r="AC388" s="105"/>
      <c r="AD388" s="100"/>
      <c r="AE388" s="100"/>
      <c r="AF388" s="100"/>
      <c r="AG388" s="100"/>
      <c r="AM388" s="102"/>
      <c r="AN388" s="102"/>
      <c r="AR388" s="119"/>
      <c r="AS388" s="103"/>
    </row>
    <row r="389">
      <c r="A389" s="168"/>
      <c r="B389" s="100" t="str">
        <f t="array" ref="B389">IFERROR( INDEX('POR Config List'!A:A,MATCH(G389,'POR Config List'!D:D,0)),"")</f>
        <v/>
      </c>
      <c r="C389" s="101" t="str">
        <f t="array" ref="C389">IFERROR(INDEX('label approval artwork'!E:E,MATCH(G389,'label approval artwork'!F:F,0),""),"")</f>
        <v/>
      </c>
      <c r="D389" s="102" t="str">
        <f t="shared" si="3"/>
        <v/>
      </c>
      <c r="E389" s="100" t="str">
        <f t="array" ref="E389">IF(ISBLANK(G389),"",INDEX('POR Config List'!K:K,MATCH(G389,'POR Config List'!D:D,0)))</f>
        <v/>
      </c>
      <c r="F389" s="100" t="str">
        <f t="array" ref="F389">IF(ISBLANK(G389),"",INDEX('POR Config List'!J:J,MATCH(G389,'POR Config List'!D:D,0)))</f>
        <v/>
      </c>
      <c r="G389" s="168"/>
      <c r="H389" s="104" t="str">
        <f t="array" ref="H389">IF(ISBLANK(G389),"",INDEX('MP SKUs'!G:G,MATCH(G389,'MP SKUs'!A:A,0)))</f>
        <v/>
      </c>
      <c r="I389" s="105" t="str">
        <f t="array" ref="I389">IF(ISBLANK(G389),"",INDEX('POR Config List'!O:O,MATCH(G389,'POR Config List'!D:D,0)))</f>
        <v/>
      </c>
      <c r="J389" s="104" t="str">
        <f t="array" ref="J389">IF(ISBLANK(G389),"",INDEX('POR Config List'!H:H,MATCH(G389,'POR Config List'!D:D,0)))</f>
        <v/>
      </c>
      <c r="K389" s="105" t="str">
        <f t="array" ref="K389">IF(ISBLANK(G389),"",INDEX('POR Config List'!G:G,MATCH(G389,'POR Config List'!D:D,0)))</f>
        <v/>
      </c>
      <c r="L389" s="105"/>
      <c r="M389" s="105" t="str">
        <f t="array" ref="M389">IF(ISBLANK(G389),"",INDEX('label approval artwork'!Q:Q,MATCH( G389,'label approval artwork'!F:F,0)))</f>
        <v/>
      </c>
      <c r="N389" s="169" t="str">
        <f t="shared" si="5"/>
        <v/>
      </c>
      <c r="O389" s="102" t="str">
        <f t="array" ref="O389">IF(ISBLANK(G389),"",INDEX('POR Config List'!C:C,MATCH(G389,'POR Config List'!D:D,0)))</f>
        <v/>
      </c>
      <c r="P389" s="105" t="str">
        <f t="shared" si="4"/>
        <v/>
      </c>
      <c r="Q389" s="105" t="str">
        <f t="array" ref="Q389">IF(ISBLANK(G389),"",INDEX('label approval artwork'!J:J,MATCH( G389,'label approval artwork'!F:F,0)))</f>
        <v/>
      </c>
      <c r="R389" s="105" t="str">
        <f t="array" ref="R389">IFERROR( IF(P389&lt;&gt;"EMA",INDEX('label approval artwork'!H:H,MATCH(G389,'label approval artwork'!F:F,0),"")),"")</f>
        <v/>
      </c>
      <c r="S389" s="105"/>
      <c r="T389" s="105" t="str">
        <f t="array" ref="T389">IF(ISBLANK(G389),"",INDEX('POR Config List'!I:I,MATCH(G389,'POR Config List'!D:D,0)))</f>
        <v/>
      </c>
      <c r="AA389" s="100" t="str">
        <f t="array" ref="AA389">IF(ISBLANK(G389),"",INDEX('POR Config List'!E:E,MATCH(G389,'POR Config List'!D:D,0)))</f>
        <v/>
      </c>
      <c r="AC389" s="105"/>
      <c r="AD389" s="100"/>
      <c r="AE389" s="100"/>
      <c r="AF389" s="100"/>
      <c r="AG389" s="100"/>
      <c r="AM389" s="102"/>
      <c r="AN389" s="102"/>
      <c r="AR389" s="119"/>
      <c r="AS389" s="103"/>
    </row>
    <row r="390">
      <c r="A390" s="168"/>
      <c r="B390" s="100" t="str">
        <f t="array" ref="B390">IFERROR( INDEX('POR Config List'!A:A,MATCH(G390,'POR Config List'!D:D,0)),"")</f>
        <v/>
      </c>
      <c r="C390" s="101" t="str">
        <f t="array" ref="C390">IFERROR(INDEX('label approval artwork'!E:E,MATCH(G390,'label approval artwork'!F:F,0),""),"")</f>
        <v/>
      </c>
      <c r="D390" s="102" t="str">
        <f t="shared" si="3"/>
        <v/>
      </c>
      <c r="E390" s="100" t="str">
        <f t="array" ref="E390">IF(ISBLANK(G390),"",INDEX('POR Config List'!K:K,MATCH(G390,'POR Config List'!D:D,0)))</f>
        <v/>
      </c>
      <c r="F390" s="100" t="str">
        <f t="array" ref="F390">IF(ISBLANK(G390),"",INDEX('POR Config List'!J:J,MATCH(G390,'POR Config List'!D:D,0)))</f>
        <v/>
      </c>
      <c r="G390" s="168"/>
      <c r="H390" s="104" t="str">
        <f t="array" ref="H390">IF(ISBLANK(G390),"",INDEX('MP SKUs'!G:G,MATCH(G390,'MP SKUs'!A:A,0)))</f>
        <v/>
      </c>
      <c r="I390" s="105" t="str">
        <f t="array" ref="I390">IF(ISBLANK(G390),"",INDEX('POR Config List'!O:O,MATCH(G390,'POR Config List'!D:D,0)))</f>
        <v/>
      </c>
      <c r="J390" s="104" t="str">
        <f t="array" ref="J390">IF(ISBLANK(G390),"",INDEX('POR Config List'!H:H,MATCH(G390,'POR Config List'!D:D,0)))</f>
        <v/>
      </c>
      <c r="K390" s="105" t="str">
        <f t="array" ref="K390">IF(ISBLANK(G390),"",INDEX('POR Config List'!G:G,MATCH(G390,'POR Config List'!D:D,0)))</f>
        <v/>
      </c>
      <c r="L390" s="105"/>
      <c r="M390" s="105" t="str">
        <f t="array" ref="M390">IF(ISBLANK(G390),"",INDEX('label approval artwork'!Q:Q,MATCH( G390,'label approval artwork'!F:F,0)))</f>
        <v/>
      </c>
      <c r="N390" s="169" t="str">
        <f t="shared" si="5"/>
        <v/>
      </c>
      <c r="O390" s="102" t="str">
        <f t="array" ref="O390">IF(ISBLANK(G390),"",INDEX('POR Config List'!C:C,MATCH(G390,'POR Config List'!D:D,0)))</f>
        <v/>
      </c>
      <c r="P390" s="105" t="str">
        <f t="shared" si="4"/>
        <v/>
      </c>
      <c r="Q390" s="105" t="str">
        <f t="array" ref="Q390">IF(ISBLANK(G390),"",INDEX('label approval artwork'!J:J,MATCH( G390,'label approval artwork'!F:F,0)))</f>
        <v/>
      </c>
      <c r="R390" s="105" t="str">
        <f t="array" ref="R390">IFERROR( IF(P390&lt;&gt;"EMA",INDEX('label approval artwork'!H:H,MATCH(G390,'label approval artwork'!F:F,0),"")),"")</f>
        <v/>
      </c>
      <c r="S390" s="105"/>
      <c r="T390" s="105" t="str">
        <f t="array" ref="T390">IF(ISBLANK(G390),"",INDEX('POR Config List'!I:I,MATCH(G390,'POR Config List'!D:D,0)))</f>
        <v/>
      </c>
      <c r="AA390" s="100" t="str">
        <f t="array" ref="AA390">IF(ISBLANK(G390),"",INDEX('POR Config List'!E:E,MATCH(G390,'POR Config List'!D:D,0)))</f>
        <v/>
      </c>
      <c r="AC390" s="105"/>
      <c r="AD390" s="100"/>
      <c r="AE390" s="100"/>
      <c r="AF390" s="100"/>
      <c r="AG390" s="100"/>
      <c r="AM390" s="102"/>
      <c r="AN390" s="102"/>
      <c r="AR390" s="119"/>
      <c r="AS390" s="103"/>
    </row>
    <row r="391">
      <c r="A391" s="168"/>
      <c r="B391" s="100" t="str">
        <f t="array" ref="B391">IFERROR( INDEX('POR Config List'!A:A,MATCH(G391,'POR Config List'!D:D,0)),"")</f>
        <v/>
      </c>
      <c r="C391" s="101" t="str">
        <f t="array" ref="C391">IFERROR(INDEX('label approval artwork'!E:E,MATCH(G391,'label approval artwork'!F:F,0),""),"")</f>
        <v/>
      </c>
      <c r="D391" s="102" t="str">
        <f t="shared" si="3"/>
        <v/>
      </c>
      <c r="E391" s="100" t="str">
        <f t="array" ref="E391">IF(ISBLANK(G391),"",INDEX('POR Config List'!K:K,MATCH(G391,'POR Config List'!D:D,0)))</f>
        <v/>
      </c>
      <c r="F391" s="100" t="str">
        <f t="array" ref="F391">IF(ISBLANK(G391),"",INDEX('POR Config List'!J:J,MATCH(G391,'POR Config List'!D:D,0)))</f>
        <v/>
      </c>
      <c r="G391" s="168"/>
      <c r="H391" s="104" t="str">
        <f t="array" ref="H391">IF(ISBLANK(G391),"",INDEX('MP SKUs'!G:G,MATCH(G391,'MP SKUs'!A:A,0)))</f>
        <v/>
      </c>
      <c r="I391" s="105" t="str">
        <f t="array" ref="I391">IF(ISBLANK(G391),"",INDEX('POR Config List'!O:O,MATCH(G391,'POR Config List'!D:D,0)))</f>
        <v/>
      </c>
      <c r="J391" s="104" t="str">
        <f t="array" ref="J391">IF(ISBLANK(G391),"",INDEX('POR Config List'!H:H,MATCH(G391,'POR Config List'!D:D,0)))</f>
        <v/>
      </c>
      <c r="K391" s="105" t="str">
        <f t="array" ref="K391">IF(ISBLANK(G391),"",INDEX('POR Config List'!G:G,MATCH(G391,'POR Config List'!D:D,0)))</f>
        <v/>
      </c>
      <c r="L391" s="105"/>
      <c r="M391" s="105" t="str">
        <f t="array" ref="M391">IF(ISBLANK(G391),"",INDEX('label approval artwork'!Q:Q,MATCH( G391,'label approval artwork'!F:F,0)))</f>
        <v/>
      </c>
      <c r="N391" s="169" t="str">
        <f t="shared" si="5"/>
        <v/>
      </c>
      <c r="O391" s="102" t="str">
        <f t="array" ref="O391">IF(ISBLANK(G391),"",INDEX('POR Config List'!C:C,MATCH(G391,'POR Config List'!D:D,0)))</f>
        <v/>
      </c>
      <c r="P391" s="105" t="str">
        <f t="shared" si="4"/>
        <v/>
      </c>
      <c r="Q391" s="105" t="str">
        <f t="array" ref="Q391">IF(ISBLANK(G391),"",INDEX('label approval artwork'!J:J,MATCH( G391,'label approval artwork'!F:F,0)))</f>
        <v/>
      </c>
      <c r="R391" s="105" t="str">
        <f t="array" ref="R391">IFERROR( IF(P391&lt;&gt;"EMA",INDEX('label approval artwork'!H:H,MATCH(G391,'label approval artwork'!F:F,0),"")),"")</f>
        <v/>
      </c>
      <c r="S391" s="105"/>
      <c r="T391" s="105" t="str">
        <f t="array" ref="T391">IF(ISBLANK(G391),"",INDEX('POR Config List'!I:I,MATCH(G391,'POR Config List'!D:D,0)))</f>
        <v/>
      </c>
      <c r="AA391" s="100" t="str">
        <f t="array" ref="AA391">IF(ISBLANK(G391),"",INDEX('POR Config List'!E:E,MATCH(G391,'POR Config List'!D:D,0)))</f>
        <v/>
      </c>
      <c r="AC391" s="105"/>
      <c r="AD391" s="100"/>
      <c r="AE391" s="100"/>
      <c r="AF391" s="100"/>
      <c r="AG391" s="100"/>
      <c r="AM391" s="102"/>
      <c r="AN391" s="102"/>
      <c r="AR391" s="119"/>
      <c r="AS391" s="103"/>
    </row>
    <row r="392">
      <c r="A392" s="168"/>
      <c r="B392" s="100" t="str">
        <f t="array" ref="B392">IFERROR( INDEX('POR Config List'!A:A,MATCH(G392,'POR Config List'!D:D,0)),"")</f>
        <v/>
      </c>
      <c r="C392" s="101" t="str">
        <f t="array" ref="C392">IFERROR(INDEX('label approval artwork'!E:E,MATCH(G392,'label approval artwork'!F:F,0),""),"")</f>
        <v/>
      </c>
      <c r="D392" s="102" t="str">
        <f t="shared" si="3"/>
        <v/>
      </c>
      <c r="E392" s="100" t="str">
        <f t="array" ref="E392">IF(ISBLANK(G392),"",INDEX('POR Config List'!K:K,MATCH(G392,'POR Config List'!D:D,0)))</f>
        <v/>
      </c>
      <c r="F392" s="100" t="str">
        <f t="array" ref="F392">IF(ISBLANK(G392),"",INDEX('POR Config List'!J:J,MATCH(G392,'POR Config List'!D:D,0)))</f>
        <v/>
      </c>
      <c r="G392" s="168"/>
      <c r="H392" s="104" t="str">
        <f t="array" ref="H392">IF(ISBLANK(G392),"",INDEX('MP SKUs'!G:G,MATCH(G392,'MP SKUs'!A:A,0)))</f>
        <v/>
      </c>
      <c r="I392" s="105" t="str">
        <f t="array" ref="I392">IF(ISBLANK(G392),"",INDEX('POR Config List'!O:O,MATCH(G392,'POR Config List'!D:D,0)))</f>
        <v/>
      </c>
      <c r="J392" s="104" t="str">
        <f t="array" ref="J392">IF(ISBLANK(G392),"",INDEX('POR Config List'!H:H,MATCH(G392,'POR Config List'!D:D,0)))</f>
        <v/>
      </c>
      <c r="K392" s="105" t="str">
        <f t="array" ref="K392">IF(ISBLANK(G392),"",INDEX('POR Config List'!G:G,MATCH(G392,'POR Config List'!D:D,0)))</f>
        <v/>
      </c>
      <c r="L392" s="105"/>
      <c r="M392" s="105" t="str">
        <f t="array" ref="M392">IF(ISBLANK(G392),"",INDEX('label approval artwork'!Q:Q,MATCH( G392,'label approval artwork'!F:F,0)))</f>
        <v/>
      </c>
      <c r="N392" s="169" t="str">
        <f t="shared" si="5"/>
        <v/>
      </c>
      <c r="O392" s="102" t="str">
        <f t="array" ref="O392">IF(ISBLANK(G392),"",INDEX('POR Config List'!C:C,MATCH(G392,'POR Config List'!D:D,0)))</f>
        <v/>
      </c>
      <c r="P392" s="105" t="str">
        <f t="shared" si="4"/>
        <v/>
      </c>
      <c r="Q392" s="105" t="str">
        <f t="array" ref="Q392">IF(ISBLANK(G392),"",INDEX('label approval artwork'!J:J,MATCH( G392,'label approval artwork'!F:F,0)))</f>
        <v/>
      </c>
      <c r="R392" s="105" t="str">
        <f t="array" ref="R392">IFERROR( IF(P392&lt;&gt;"EMA",INDEX('label approval artwork'!H:H,MATCH(G392,'label approval artwork'!F:F,0),"")),"")</f>
        <v/>
      </c>
      <c r="S392" s="105"/>
      <c r="T392" s="105" t="str">
        <f t="array" ref="T392">IF(ISBLANK(G392),"",INDEX('POR Config List'!I:I,MATCH(G392,'POR Config List'!D:D,0)))</f>
        <v/>
      </c>
      <c r="AA392" s="100" t="str">
        <f t="array" ref="AA392">IF(ISBLANK(G392),"",INDEX('POR Config List'!E:E,MATCH(G392,'POR Config List'!D:D,0)))</f>
        <v/>
      </c>
      <c r="AC392" s="105"/>
      <c r="AD392" s="100"/>
      <c r="AE392" s="100"/>
      <c r="AF392" s="100"/>
      <c r="AG392" s="100"/>
      <c r="AM392" s="102"/>
      <c r="AN392" s="102"/>
      <c r="AR392" s="119"/>
      <c r="AS392" s="103"/>
    </row>
    <row r="393">
      <c r="A393" s="168"/>
      <c r="B393" s="100" t="str">
        <f t="array" ref="B393">IFERROR( INDEX('POR Config List'!A:A,MATCH(G393,'POR Config List'!D:D,0)),"")</f>
        <v/>
      </c>
      <c r="C393" s="101" t="str">
        <f t="array" ref="C393">IFERROR(INDEX('label approval artwork'!E:E,MATCH(G393,'label approval artwork'!F:F,0),""),"")</f>
        <v/>
      </c>
      <c r="D393" s="102" t="str">
        <f t="shared" si="3"/>
        <v/>
      </c>
      <c r="E393" s="100" t="str">
        <f t="array" ref="E393">IF(ISBLANK(G393),"",INDEX('POR Config List'!K:K,MATCH(G393,'POR Config List'!D:D,0)))</f>
        <v/>
      </c>
      <c r="F393" s="100" t="str">
        <f t="array" ref="F393">IF(ISBLANK(G393),"",INDEX('POR Config List'!J:J,MATCH(G393,'POR Config List'!D:D,0)))</f>
        <v/>
      </c>
      <c r="G393" s="168"/>
      <c r="H393" s="104" t="str">
        <f t="array" ref="H393">IF(ISBLANK(G393),"",INDEX('MP SKUs'!G:G,MATCH(G393,'MP SKUs'!A:A,0)))</f>
        <v/>
      </c>
      <c r="I393" s="105" t="str">
        <f t="array" ref="I393">IF(ISBLANK(G393),"",INDEX('POR Config List'!O:O,MATCH(G393,'POR Config List'!D:D,0)))</f>
        <v/>
      </c>
      <c r="J393" s="104" t="str">
        <f t="array" ref="J393">IF(ISBLANK(G393),"",INDEX('POR Config List'!H:H,MATCH(G393,'POR Config List'!D:D,0)))</f>
        <v/>
      </c>
      <c r="K393" s="105" t="str">
        <f t="array" ref="K393">IF(ISBLANK(G393),"",INDEX('POR Config List'!G:G,MATCH(G393,'POR Config List'!D:D,0)))</f>
        <v/>
      </c>
      <c r="L393" s="105"/>
      <c r="M393" s="105" t="str">
        <f t="array" ref="M393">IF(ISBLANK(G393),"",INDEX('label approval artwork'!Q:Q,MATCH( G393,'label approval artwork'!F:F,0)))</f>
        <v/>
      </c>
      <c r="N393" s="169" t="str">
        <f t="shared" si="5"/>
        <v/>
      </c>
      <c r="O393" s="102" t="str">
        <f t="array" ref="O393">IF(ISBLANK(G393),"",INDEX('POR Config List'!C:C,MATCH(G393,'POR Config List'!D:D,0)))</f>
        <v/>
      </c>
      <c r="P393" s="105" t="str">
        <f t="shared" si="4"/>
        <v/>
      </c>
      <c r="Q393" s="105" t="str">
        <f t="array" ref="Q393">IF(ISBLANK(G393),"",INDEX('label approval artwork'!J:J,MATCH( G393,'label approval artwork'!F:F,0)))</f>
        <v/>
      </c>
      <c r="R393" s="105" t="str">
        <f t="array" ref="R393">IFERROR( IF(P393&lt;&gt;"EMA",INDEX('label approval artwork'!H:H,MATCH(G393,'label approval artwork'!F:F,0),"")),"")</f>
        <v/>
      </c>
      <c r="S393" s="105"/>
      <c r="T393" s="105" t="str">
        <f t="array" ref="T393">IF(ISBLANK(G393),"",INDEX('POR Config List'!I:I,MATCH(G393,'POR Config List'!D:D,0)))</f>
        <v/>
      </c>
      <c r="AA393" s="100" t="str">
        <f t="array" ref="AA393">IF(ISBLANK(G393),"",INDEX('POR Config List'!E:E,MATCH(G393,'POR Config List'!D:D,0)))</f>
        <v/>
      </c>
      <c r="AC393" s="105"/>
      <c r="AD393" s="100"/>
      <c r="AE393" s="100"/>
      <c r="AF393" s="100"/>
      <c r="AG393" s="100"/>
      <c r="AM393" s="102"/>
      <c r="AN393" s="102"/>
      <c r="AR393" s="119"/>
      <c r="AS393" s="103"/>
    </row>
    <row r="394">
      <c r="A394" s="168"/>
      <c r="B394" s="100" t="str">
        <f t="array" ref="B394">IFERROR( INDEX('POR Config List'!A:A,MATCH(G394,'POR Config List'!D:D,0)),"")</f>
        <v/>
      </c>
      <c r="C394" s="101" t="str">
        <f t="array" ref="C394">IFERROR(INDEX('label approval artwork'!E:E,MATCH(G394,'label approval artwork'!F:F,0),""),"")</f>
        <v/>
      </c>
      <c r="D394" s="102" t="str">
        <f t="shared" si="3"/>
        <v/>
      </c>
      <c r="E394" s="100" t="str">
        <f t="array" ref="E394">IF(ISBLANK(G394),"",INDEX('POR Config List'!K:K,MATCH(G394,'POR Config List'!D:D,0)))</f>
        <v/>
      </c>
      <c r="F394" s="100" t="str">
        <f t="array" ref="F394">IF(ISBLANK(G394),"",INDEX('POR Config List'!J:J,MATCH(G394,'POR Config List'!D:D,0)))</f>
        <v/>
      </c>
      <c r="G394" s="168"/>
      <c r="H394" s="104" t="str">
        <f t="array" ref="H394">IF(ISBLANK(G394),"",INDEX('MP SKUs'!G:G,MATCH(G394,'MP SKUs'!A:A,0)))</f>
        <v/>
      </c>
      <c r="I394" s="105" t="str">
        <f t="array" ref="I394">IF(ISBLANK(G394),"",INDEX('POR Config List'!O:O,MATCH(G394,'POR Config List'!D:D,0)))</f>
        <v/>
      </c>
      <c r="J394" s="104" t="str">
        <f t="array" ref="J394">IF(ISBLANK(G394),"",INDEX('POR Config List'!H:H,MATCH(G394,'POR Config List'!D:D,0)))</f>
        <v/>
      </c>
      <c r="K394" s="105" t="str">
        <f t="array" ref="K394">IF(ISBLANK(G394),"",INDEX('POR Config List'!G:G,MATCH(G394,'POR Config List'!D:D,0)))</f>
        <v/>
      </c>
      <c r="L394" s="105"/>
      <c r="M394" s="105" t="str">
        <f t="array" ref="M394">IF(ISBLANK(G394),"",INDEX('label approval artwork'!Q:Q,MATCH( G394,'label approval artwork'!F:F,0)))</f>
        <v/>
      </c>
      <c r="N394" s="169" t="str">
        <f t="shared" si="5"/>
        <v/>
      </c>
      <c r="O394" s="102" t="str">
        <f t="array" ref="O394">IF(ISBLANK(G394),"",INDEX('POR Config List'!C:C,MATCH(G394,'POR Config List'!D:D,0)))</f>
        <v/>
      </c>
      <c r="P394" s="105" t="str">
        <f t="shared" si="4"/>
        <v/>
      </c>
      <c r="Q394" s="105" t="str">
        <f t="array" ref="Q394">IF(ISBLANK(G394),"",INDEX('label approval artwork'!J:J,MATCH( G394,'label approval artwork'!F:F,0)))</f>
        <v/>
      </c>
      <c r="R394" s="105" t="str">
        <f t="array" ref="R394">IFERROR( IF(P394&lt;&gt;"EMA",INDEX('label approval artwork'!H:H,MATCH(G394,'label approval artwork'!F:F,0),"")),"")</f>
        <v/>
      </c>
      <c r="S394" s="105"/>
      <c r="T394" s="105" t="str">
        <f t="array" ref="T394">IF(ISBLANK(G394),"",INDEX('POR Config List'!I:I,MATCH(G394,'POR Config List'!D:D,0)))</f>
        <v/>
      </c>
      <c r="AA394" s="100" t="str">
        <f t="array" ref="AA394">IF(ISBLANK(G394),"",INDEX('POR Config List'!E:E,MATCH(G394,'POR Config List'!D:D,0)))</f>
        <v/>
      </c>
      <c r="AC394" s="105"/>
      <c r="AD394" s="100"/>
      <c r="AE394" s="100"/>
      <c r="AF394" s="100"/>
      <c r="AG394" s="100"/>
      <c r="AM394" s="102"/>
      <c r="AN394" s="102"/>
      <c r="AR394" s="119"/>
      <c r="AS394" s="103"/>
    </row>
    <row r="395">
      <c r="A395" s="168"/>
      <c r="B395" s="100" t="str">
        <f t="array" ref="B395">IFERROR( INDEX('POR Config List'!A:A,MATCH(G395,'POR Config List'!D:D,0)),"")</f>
        <v/>
      </c>
      <c r="C395" s="101" t="str">
        <f t="array" ref="C395">IFERROR(INDEX('label approval artwork'!E:E,MATCH(G395,'label approval artwork'!F:F,0),""),"")</f>
        <v/>
      </c>
      <c r="D395" s="102" t="str">
        <f t="shared" si="3"/>
        <v/>
      </c>
      <c r="E395" s="100" t="str">
        <f t="array" ref="E395">IF(ISBLANK(G395),"",INDEX('POR Config List'!K:K,MATCH(G395,'POR Config List'!D:D,0)))</f>
        <v/>
      </c>
      <c r="F395" s="100" t="str">
        <f t="array" ref="F395">IF(ISBLANK(G395),"",INDEX('POR Config List'!J:J,MATCH(G395,'POR Config List'!D:D,0)))</f>
        <v/>
      </c>
      <c r="G395" s="168"/>
      <c r="H395" s="104" t="str">
        <f t="array" ref="H395">IF(ISBLANK(G395),"",INDEX('MP SKUs'!G:G,MATCH(G395,'MP SKUs'!A:A,0)))</f>
        <v/>
      </c>
      <c r="I395" s="105" t="str">
        <f t="array" ref="I395">IF(ISBLANK(G395),"",INDEX('POR Config List'!O:O,MATCH(G395,'POR Config List'!D:D,0)))</f>
        <v/>
      </c>
      <c r="J395" s="104" t="str">
        <f t="array" ref="J395">IF(ISBLANK(G395),"",INDEX('POR Config List'!H:H,MATCH(G395,'POR Config List'!D:D,0)))</f>
        <v/>
      </c>
      <c r="K395" s="105" t="str">
        <f t="array" ref="K395">IF(ISBLANK(G395),"",INDEX('POR Config List'!G:G,MATCH(G395,'POR Config List'!D:D,0)))</f>
        <v/>
      </c>
      <c r="L395" s="105"/>
      <c r="M395" s="105" t="str">
        <f t="array" ref="M395">IF(ISBLANK(G395),"",INDEX('label approval artwork'!Q:Q,MATCH( G395,'label approval artwork'!F:F,0)))</f>
        <v/>
      </c>
      <c r="N395" s="169" t="str">
        <f t="shared" si="5"/>
        <v/>
      </c>
      <c r="O395" s="102" t="str">
        <f t="array" ref="O395">IF(ISBLANK(G395),"",INDEX('POR Config List'!C:C,MATCH(G395,'POR Config List'!D:D,0)))</f>
        <v/>
      </c>
      <c r="P395" s="105" t="str">
        <f t="shared" si="4"/>
        <v/>
      </c>
      <c r="Q395" s="105" t="str">
        <f t="array" ref="Q395">IF(ISBLANK(G395),"",INDEX('label approval artwork'!J:J,MATCH( G395,'label approval artwork'!F:F,0)))</f>
        <v/>
      </c>
      <c r="R395" s="105" t="str">
        <f t="array" ref="R395">IFERROR( IF(P395&lt;&gt;"EMA",INDEX('label approval artwork'!H:H,MATCH(G395,'label approval artwork'!F:F,0),"")),"")</f>
        <v/>
      </c>
      <c r="S395" s="105"/>
      <c r="T395" s="105" t="str">
        <f t="array" ref="T395">IF(ISBLANK(G395),"",INDEX('POR Config List'!I:I,MATCH(G395,'POR Config List'!D:D,0)))</f>
        <v/>
      </c>
      <c r="AA395" s="100" t="str">
        <f t="array" ref="AA395">IF(ISBLANK(G395),"",INDEX('POR Config List'!E:E,MATCH(G395,'POR Config List'!D:D,0)))</f>
        <v/>
      </c>
      <c r="AC395" s="105"/>
      <c r="AD395" s="100"/>
      <c r="AE395" s="100"/>
      <c r="AF395" s="100"/>
      <c r="AG395" s="100"/>
      <c r="AM395" s="102"/>
      <c r="AN395" s="102"/>
      <c r="AR395" s="119"/>
      <c r="AS395" s="103"/>
    </row>
    <row r="396">
      <c r="A396" s="168"/>
      <c r="B396" s="100" t="str">
        <f t="array" ref="B396">IFERROR( INDEX('POR Config List'!A:A,MATCH(G396,'POR Config List'!D:D,0)),"")</f>
        <v/>
      </c>
      <c r="C396" s="101" t="str">
        <f t="array" ref="C396">IFERROR(INDEX('label approval artwork'!E:E,MATCH(G396,'label approval artwork'!F:F,0),""),"")</f>
        <v/>
      </c>
      <c r="D396" s="102" t="str">
        <f t="shared" si="3"/>
        <v/>
      </c>
      <c r="E396" s="100" t="str">
        <f t="array" ref="E396">IF(ISBLANK(G396),"",INDEX('POR Config List'!K:K,MATCH(G396,'POR Config List'!D:D,0)))</f>
        <v/>
      </c>
      <c r="F396" s="100" t="str">
        <f t="array" ref="F396">IF(ISBLANK(G396),"",INDEX('POR Config List'!J:J,MATCH(G396,'POR Config List'!D:D,0)))</f>
        <v/>
      </c>
      <c r="G396" s="168"/>
      <c r="H396" s="104" t="str">
        <f t="array" ref="H396">IF(ISBLANK(G396),"",INDEX('MP SKUs'!G:G,MATCH(G396,'MP SKUs'!A:A,0)))</f>
        <v/>
      </c>
      <c r="I396" s="105" t="str">
        <f t="array" ref="I396">IF(ISBLANK(G396),"",INDEX('POR Config List'!O:O,MATCH(G396,'POR Config List'!D:D,0)))</f>
        <v/>
      </c>
      <c r="J396" s="104" t="str">
        <f t="array" ref="J396">IF(ISBLANK(G396),"",INDEX('POR Config List'!H:H,MATCH(G396,'POR Config List'!D:D,0)))</f>
        <v/>
      </c>
      <c r="K396" s="105" t="str">
        <f t="array" ref="K396">IF(ISBLANK(G396),"",INDEX('POR Config List'!G:G,MATCH(G396,'POR Config List'!D:D,0)))</f>
        <v/>
      </c>
      <c r="L396" s="105"/>
      <c r="M396" s="105" t="str">
        <f t="array" ref="M396">IF(ISBLANK(G396),"",INDEX('label approval artwork'!Q:Q,MATCH( G396,'label approval artwork'!F:F,0)))</f>
        <v/>
      </c>
      <c r="N396" s="169" t="str">
        <f t="shared" si="5"/>
        <v/>
      </c>
      <c r="O396" s="102" t="str">
        <f t="array" ref="O396">IF(ISBLANK(G396),"",INDEX('POR Config List'!C:C,MATCH(G396,'POR Config List'!D:D,0)))</f>
        <v/>
      </c>
      <c r="P396" s="105" t="str">
        <f t="shared" si="4"/>
        <v/>
      </c>
      <c r="Q396" s="105" t="str">
        <f t="array" ref="Q396">IF(ISBLANK(G396),"",INDEX('label approval artwork'!J:J,MATCH( G396,'label approval artwork'!F:F,0)))</f>
        <v/>
      </c>
      <c r="R396" s="105" t="str">
        <f t="array" ref="R396">IFERROR( IF(P396&lt;&gt;"EMA",INDEX('label approval artwork'!H:H,MATCH(G396,'label approval artwork'!F:F,0),"")),"")</f>
        <v/>
      </c>
      <c r="S396" s="105"/>
      <c r="T396" s="105" t="str">
        <f t="array" ref="T396">IF(ISBLANK(G396),"",INDEX('POR Config List'!I:I,MATCH(G396,'POR Config List'!D:D,0)))</f>
        <v/>
      </c>
      <c r="AA396" s="100" t="str">
        <f t="array" ref="AA396">IF(ISBLANK(G396),"",INDEX('POR Config List'!E:E,MATCH(G396,'POR Config List'!D:D,0)))</f>
        <v/>
      </c>
      <c r="AC396" s="105"/>
      <c r="AD396" s="100"/>
      <c r="AE396" s="100"/>
      <c r="AF396" s="100"/>
      <c r="AG396" s="100"/>
      <c r="AM396" s="102"/>
      <c r="AN396" s="102"/>
      <c r="AR396" s="119"/>
      <c r="AS396" s="103"/>
    </row>
    <row r="397">
      <c r="A397" s="168"/>
      <c r="B397" s="100" t="str">
        <f t="array" ref="B397">IFERROR( INDEX('POR Config List'!A:A,MATCH(G397,'POR Config List'!D:D,0)),"")</f>
        <v/>
      </c>
      <c r="C397" s="101" t="str">
        <f t="array" ref="C397">IFERROR(INDEX('label approval artwork'!E:E,MATCH(G397,'label approval artwork'!F:F,0),""),"")</f>
        <v/>
      </c>
      <c r="D397" s="102" t="str">
        <f t="shared" si="3"/>
        <v/>
      </c>
      <c r="E397" s="100" t="str">
        <f t="array" ref="E397">IF(ISBLANK(G397),"",INDEX('POR Config List'!K:K,MATCH(G397,'POR Config List'!D:D,0)))</f>
        <v/>
      </c>
      <c r="F397" s="100" t="str">
        <f t="array" ref="F397">IF(ISBLANK(G397),"",INDEX('POR Config List'!J:J,MATCH(G397,'POR Config List'!D:D,0)))</f>
        <v/>
      </c>
      <c r="G397" s="168"/>
      <c r="H397" s="104" t="str">
        <f t="array" ref="H397">IF(ISBLANK(G397),"",INDEX('MP SKUs'!G:G,MATCH(G397,'MP SKUs'!A:A,0)))</f>
        <v/>
      </c>
      <c r="I397" s="105" t="str">
        <f t="array" ref="I397">IF(ISBLANK(G397),"",INDEX('POR Config List'!O:O,MATCH(G397,'POR Config List'!D:D,0)))</f>
        <v/>
      </c>
      <c r="J397" s="104" t="str">
        <f t="array" ref="J397">IF(ISBLANK(G397),"",INDEX('POR Config List'!H:H,MATCH(G397,'POR Config List'!D:D,0)))</f>
        <v/>
      </c>
      <c r="K397" s="105" t="str">
        <f t="array" ref="K397">IF(ISBLANK(G397),"",INDEX('POR Config List'!G:G,MATCH(G397,'POR Config List'!D:D,0)))</f>
        <v/>
      </c>
      <c r="L397" s="105"/>
      <c r="M397" s="105" t="str">
        <f t="array" ref="M397">IF(ISBLANK(G397),"",INDEX('label approval artwork'!Q:Q,MATCH( G397,'label approval artwork'!F:F,0)))</f>
        <v/>
      </c>
      <c r="N397" s="169" t="str">
        <f t="shared" si="5"/>
        <v/>
      </c>
      <c r="O397" s="102" t="str">
        <f t="array" ref="O397">IF(ISBLANK(G397),"",INDEX('POR Config List'!C:C,MATCH(G397,'POR Config List'!D:D,0)))</f>
        <v/>
      </c>
      <c r="P397" s="105" t="str">
        <f t="shared" si="4"/>
        <v/>
      </c>
      <c r="Q397" s="105" t="str">
        <f t="array" ref="Q397">IF(ISBLANK(G397),"",INDEX('label approval artwork'!J:J,MATCH( G397,'label approval artwork'!F:F,0)))</f>
        <v/>
      </c>
      <c r="R397" s="105" t="str">
        <f t="array" ref="R397">IFERROR( IF(P397&lt;&gt;"EMA",INDEX('label approval artwork'!H:H,MATCH(G397,'label approval artwork'!F:F,0),"")),"")</f>
        <v/>
      </c>
      <c r="S397" s="105"/>
      <c r="T397" s="105" t="str">
        <f t="array" ref="T397">IF(ISBLANK(G397),"",INDEX('POR Config List'!I:I,MATCH(G397,'POR Config List'!D:D,0)))</f>
        <v/>
      </c>
      <c r="AA397" s="100" t="str">
        <f t="array" ref="AA397">IF(ISBLANK(G397),"",INDEX('POR Config List'!E:E,MATCH(G397,'POR Config List'!D:D,0)))</f>
        <v/>
      </c>
      <c r="AC397" s="105"/>
      <c r="AD397" s="100"/>
      <c r="AE397" s="100"/>
      <c r="AF397" s="100"/>
      <c r="AG397" s="100"/>
      <c r="AM397" s="102"/>
      <c r="AN397" s="102"/>
      <c r="AR397" s="119"/>
      <c r="AS397" s="103"/>
    </row>
    <row r="398">
      <c r="A398" s="168"/>
      <c r="B398" s="100" t="str">
        <f t="array" ref="B398">IFERROR( INDEX('POR Config List'!A:A,MATCH(G398,'POR Config List'!D:D,0)),"")</f>
        <v/>
      </c>
      <c r="C398" s="101" t="str">
        <f t="array" ref="C398">IFERROR(INDEX('label approval artwork'!E:E,MATCH(G398,'label approval artwork'!F:F,0),""),"")</f>
        <v/>
      </c>
      <c r="D398" s="102" t="str">
        <f t="shared" si="3"/>
        <v/>
      </c>
      <c r="E398" s="100" t="str">
        <f t="array" ref="E398">IF(ISBLANK(G398),"",INDEX('POR Config List'!K:K,MATCH(G398,'POR Config List'!D:D,0)))</f>
        <v/>
      </c>
      <c r="F398" s="100" t="str">
        <f t="array" ref="F398">IF(ISBLANK(G398),"",INDEX('POR Config List'!J:J,MATCH(G398,'POR Config List'!D:D,0)))</f>
        <v/>
      </c>
      <c r="G398" s="168"/>
      <c r="H398" s="104" t="str">
        <f t="array" ref="H398">IF(ISBLANK(G398),"",INDEX('MP SKUs'!G:G,MATCH(G398,'MP SKUs'!A:A,0)))</f>
        <v/>
      </c>
      <c r="I398" s="105" t="str">
        <f t="array" ref="I398">IF(ISBLANK(G398),"",INDEX('POR Config List'!O:O,MATCH(G398,'POR Config List'!D:D,0)))</f>
        <v/>
      </c>
      <c r="J398" s="104" t="str">
        <f t="array" ref="J398">IF(ISBLANK(G398),"",INDEX('POR Config List'!H:H,MATCH(G398,'POR Config List'!D:D,0)))</f>
        <v/>
      </c>
      <c r="K398" s="105" t="str">
        <f t="array" ref="K398">IF(ISBLANK(G398),"",INDEX('POR Config List'!G:G,MATCH(G398,'POR Config List'!D:D,0)))</f>
        <v/>
      </c>
      <c r="L398" s="105"/>
      <c r="M398" s="105" t="str">
        <f t="array" ref="M398">IF(ISBLANK(G398),"",INDEX('label approval artwork'!Q:Q,MATCH( G398,'label approval artwork'!F:F,0)))</f>
        <v/>
      </c>
      <c r="N398" s="169" t="str">
        <f t="shared" si="5"/>
        <v/>
      </c>
      <c r="O398" s="102" t="str">
        <f t="array" ref="O398">IF(ISBLANK(G398),"",INDEX('POR Config List'!C:C,MATCH(G398,'POR Config List'!D:D,0)))</f>
        <v/>
      </c>
      <c r="P398" s="105" t="str">
        <f t="shared" si="4"/>
        <v/>
      </c>
      <c r="Q398" s="105" t="str">
        <f t="array" ref="Q398">IF(ISBLANK(G398),"",INDEX('label approval artwork'!J:J,MATCH( G398,'label approval artwork'!F:F,0)))</f>
        <v/>
      </c>
      <c r="R398" s="105" t="str">
        <f t="array" ref="R398">IFERROR( IF(P398&lt;&gt;"EMA",INDEX('label approval artwork'!H:H,MATCH(G398,'label approval artwork'!F:F,0),"")),"")</f>
        <v/>
      </c>
      <c r="S398" s="105"/>
      <c r="T398" s="105" t="str">
        <f t="array" ref="T398">IF(ISBLANK(G398),"",INDEX('POR Config List'!I:I,MATCH(G398,'POR Config List'!D:D,0)))</f>
        <v/>
      </c>
      <c r="AA398" s="100" t="str">
        <f t="array" ref="AA398">IF(ISBLANK(G398),"",INDEX('POR Config List'!E:E,MATCH(G398,'POR Config List'!D:D,0)))</f>
        <v/>
      </c>
      <c r="AC398" s="105"/>
      <c r="AD398" s="100"/>
      <c r="AE398" s="100"/>
      <c r="AF398" s="100"/>
      <c r="AG398" s="100"/>
      <c r="AM398" s="102"/>
      <c r="AN398" s="102"/>
      <c r="AR398" s="119"/>
      <c r="AS398" s="103"/>
    </row>
    <row r="399">
      <c r="A399" s="168"/>
      <c r="B399" s="100" t="str">
        <f t="array" ref="B399">IFERROR( INDEX('POR Config List'!A:A,MATCH(G399,'POR Config List'!D:D,0)),"")</f>
        <v/>
      </c>
      <c r="C399" s="101" t="str">
        <f t="array" ref="C399">IFERROR(INDEX('label approval artwork'!E:E,MATCH(G399,'label approval artwork'!F:F,0),""),"")</f>
        <v/>
      </c>
      <c r="D399" s="102" t="str">
        <f t="shared" si="3"/>
        <v/>
      </c>
      <c r="E399" s="100" t="str">
        <f t="array" ref="E399">IF(ISBLANK(G399),"",INDEX('POR Config List'!K:K,MATCH(G399,'POR Config List'!D:D,0)))</f>
        <v/>
      </c>
      <c r="F399" s="100" t="str">
        <f t="array" ref="F399">IF(ISBLANK(G399),"",INDEX('POR Config List'!J:J,MATCH(G399,'POR Config List'!D:D,0)))</f>
        <v/>
      </c>
      <c r="G399" s="168"/>
      <c r="H399" s="104" t="str">
        <f t="array" ref="H399">IF(ISBLANK(G399),"",INDEX('MP SKUs'!G:G,MATCH(G399,'MP SKUs'!A:A,0)))</f>
        <v/>
      </c>
      <c r="I399" s="105" t="str">
        <f t="array" ref="I399">IF(ISBLANK(G399),"",INDEX('POR Config List'!O:O,MATCH(G399,'POR Config List'!D:D,0)))</f>
        <v/>
      </c>
      <c r="J399" s="104" t="str">
        <f t="array" ref="J399">IF(ISBLANK(G399),"",INDEX('POR Config List'!H:H,MATCH(G399,'POR Config List'!D:D,0)))</f>
        <v/>
      </c>
      <c r="K399" s="105" t="str">
        <f t="array" ref="K399">IF(ISBLANK(G399),"",INDEX('POR Config List'!G:G,MATCH(G399,'POR Config List'!D:D,0)))</f>
        <v/>
      </c>
      <c r="L399" s="105"/>
      <c r="M399" s="105" t="str">
        <f t="array" ref="M399">IF(ISBLANK(G399),"",INDEX('label approval artwork'!Q:Q,MATCH( G399,'label approval artwork'!F:F,0)))</f>
        <v/>
      </c>
      <c r="N399" s="169" t="str">
        <f t="shared" si="5"/>
        <v/>
      </c>
      <c r="O399" s="102" t="str">
        <f t="array" ref="O399">IF(ISBLANK(G399),"",INDEX('POR Config List'!C:C,MATCH(G399,'POR Config List'!D:D,0)))</f>
        <v/>
      </c>
      <c r="P399" s="105" t="str">
        <f t="shared" si="4"/>
        <v/>
      </c>
      <c r="Q399" s="105" t="str">
        <f t="array" ref="Q399">IF(ISBLANK(G399),"",INDEX('label approval artwork'!J:J,MATCH( G399,'label approval artwork'!F:F,0)))</f>
        <v/>
      </c>
      <c r="R399" s="105" t="str">
        <f t="array" ref="R399">IFERROR( IF(P399&lt;&gt;"EMA",INDEX('label approval artwork'!H:H,MATCH(G399,'label approval artwork'!F:F,0),"")),"")</f>
        <v/>
      </c>
      <c r="S399" s="105"/>
      <c r="T399" s="105" t="str">
        <f t="array" ref="T399">IF(ISBLANK(G399),"",INDEX('POR Config List'!I:I,MATCH(G399,'POR Config List'!D:D,0)))</f>
        <v/>
      </c>
      <c r="AA399" s="100" t="str">
        <f t="array" ref="AA399">IF(ISBLANK(G399),"",INDEX('POR Config List'!E:E,MATCH(G399,'POR Config List'!D:D,0)))</f>
        <v/>
      </c>
      <c r="AC399" s="105"/>
      <c r="AD399" s="100"/>
      <c r="AE399" s="100"/>
      <c r="AF399" s="100"/>
      <c r="AG399" s="100"/>
      <c r="AM399" s="102"/>
      <c r="AN399" s="102"/>
      <c r="AR399" s="119"/>
      <c r="AS399" s="103"/>
    </row>
    <row r="400">
      <c r="A400" s="168"/>
      <c r="B400" s="100" t="str">
        <f t="array" ref="B400">IFERROR( INDEX('POR Config List'!A:A,MATCH(G400,'POR Config List'!D:D,0)),"")</f>
        <v/>
      </c>
      <c r="C400" s="101" t="str">
        <f t="array" ref="C400">IFERROR(INDEX('label approval artwork'!E:E,MATCH(G400,'label approval artwork'!F:F,0),""),"")</f>
        <v/>
      </c>
      <c r="D400" s="102" t="str">
        <f t="shared" si="3"/>
        <v/>
      </c>
      <c r="E400" s="100" t="str">
        <f t="array" ref="E400">IF(ISBLANK(G400),"",INDEX('POR Config List'!K:K,MATCH(G400,'POR Config List'!D:D,0)))</f>
        <v/>
      </c>
      <c r="F400" s="100" t="str">
        <f t="array" ref="F400">IF(ISBLANK(G400),"",INDEX('POR Config List'!J:J,MATCH(G400,'POR Config List'!D:D,0)))</f>
        <v/>
      </c>
      <c r="G400" s="168"/>
      <c r="H400" s="104" t="str">
        <f t="array" ref="H400">IF(ISBLANK(G400),"",INDEX('MP SKUs'!G:G,MATCH(G400,'MP SKUs'!A:A,0)))</f>
        <v/>
      </c>
      <c r="I400" s="105" t="str">
        <f t="array" ref="I400">IF(ISBLANK(G400),"",INDEX('POR Config List'!O:O,MATCH(G400,'POR Config List'!D:D,0)))</f>
        <v/>
      </c>
      <c r="J400" s="104" t="str">
        <f t="array" ref="J400">IF(ISBLANK(G400),"",INDEX('POR Config List'!H:H,MATCH(G400,'POR Config List'!D:D,0)))</f>
        <v/>
      </c>
      <c r="K400" s="105" t="str">
        <f t="array" ref="K400">IF(ISBLANK(G400),"",INDEX('POR Config List'!G:G,MATCH(G400,'POR Config List'!D:D,0)))</f>
        <v/>
      </c>
      <c r="L400" s="105"/>
      <c r="M400" s="105" t="str">
        <f t="array" ref="M400">IF(ISBLANK(G400),"",INDEX('label approval artwork'!Q:Q,MATCH( G400,'label approval artwork'!F:F,0)))</f>
        <v/>
      </c>
      <c r="N400" s="169" t="str">
        <f t="shared" si="5"/>
        <v/>
      </c>
      <c r="O400" s="102" t="str">
        <f t="array" ref="O400">IF(ISBLANK(G400),"",INDEX('POR Config List'!C:C,MATCH(G400,'POR Config List'!D:D,0)))</f>
        <v/>
      </c>
      <c r="P400" s="105" t="str">
        <f t="shared" si="4"/>
        <v/>
      </c>
      <c r="Q400" s="105" t="str">
        <f t="array" ref="Q400">IF(ISBLANK(G400),"",INDEX('label approval artwork'!J:J,MATCH( G400,'label approval artwork'!F:F,0)))</f>
        <v/>
      </c>
      <c r="R400" s="105" t="str">
        <f t="array" ref="R400">IFERROR( IF(P400&lt;&gt;"EMA",INDEX('label approval artwork'!H:H,MATCH(G400,'label approval artwork'!F:F,0),"")),"")</f>
        <v/>
      </c>
      <c r="S400" s="105"/>
      <c r="T400" s="105" t="str">
        <f t="array" ref="T400">IF(ISBLANK(G400),"",INDEX('POR Config List'!I:I,MATCH(G400,'POR Config List'!D:D,0)))</f>
        <v/>
      </c>
      <c r="AA400" s="100" t="str">
        <f t="array" ref="AA400">IF(ISBLANK(G400),"",INDEX('POR Config List'!E:E,MATCH(G400,'POR Config List'!D:D,0)))</f>
        <v/>
      </c>
      <c r="AC400" s="105"/>
      <c r="AD400" s="100"/>
      <c r="AE400" s="100"/>
      <c r="AF400" s="100"/>
      <c r="AG400" s="100"/>
      <c r="AM400" s="102"/>
      <c r="AN400" s="102"/>
      <c r="AR400" s="119"/>
      <c r="AS400" s="103"/>
    </row>
    <row r="401">
      <c r="A401" s="168"/>
      <c r="B401" s="100" t="str">
        <f t="array" ref="B401">IFERROR( INDEX('POR Config List'!A:A,MATCH(G401,'POR Config List'!D:D,0)),"")</f>
        <v/>
      </c>
      <c r="C401" s="101" t="str">
        <f t="array" ref="C401">IFERROR(INDEX('label approval artwork'!E:E,MATCH(G401,'label approval artwork'!F:F,0),""),"")</f>
        <v/>
      </c>
      <c r="D401" s="102" t="str">
        <f t="shared" si="3"/>
        <v/>
      </c>
      <c r="E401" s="100" t="str">
        <f t="array" ref="E401">IF(ISBLANK(G401),"",INDEX('POR Config List'!K:K,MATCH(G401,'POR Config List'!D:D,0)))</f>
        <v/>
      </c>
      <c r="F401" s="100" t="str">
        <f t="array" ref="F401">IF(ISBLANK(G401),"",INDEX('POR Config List'!J:J,MATCH(G401,'POR Config List'!D:D,0)))</f>
        <v/>
      </c>
      <c r="G401" s="168"/>
      <c r="H401" s="104" t="str">
        <f t="array" ref="H401">IF(ISBLANK(G401),"",INDEX('MP SKUs'!G:G,MATCH(G401,'MP SKUs'!A:A,0)))</f>
        <v/>
      </c>
      <c r="I401" s="105" t="str">
        <f t="array" ref="I401">IF(ISBLANK(G401),"",INDEX('POR Config List'!O:O,MATCH(G401,'POR Config List'!D:D,0)))</f>
        <v/>
      </c>
      <c r="J401" s="104" t="str">
        <f t="array" ref="J401">IF(ISBLANK(G401),"",INDEX('POR Config List'!H:H,MATCH(G401,'POR Config List'!D:D,0)))</f>
        <v/>
      </c>
      <c r="K401" s="105" t="str">
        <f t="array" ref="K401">IF(ISBLANK(G401),"",INDEX('POR Config List'!G:G,MATCH(G401,'POR Config List'!D:D,0)))</f>
        <v/>
      </c>
      <c r="L401" s="105"/>
      <c r="M401" s="105" t="str">
        <f t="array" ref="M401">IF(ISBLANK(G401),"",INDEX('label approval artwork'!Q:Q,MATCH( G401,'label approval artwork'!F:F,0)))</f>
        <v/>
      </c>
      <c r="N401" s="169" t="str">
        <f t="shared" si="5"/>
        <v/>
      </c>
      <c r="O401" s="102" t="str">
        <f t="array" ref="O401">IF(ISBLANK(G401),"",INDEX('POR Config List'!C:C,MATCH(G401,'POR Config List'!D:D,0)))</f>
        <v/>
      </c>
      <c r="P401" s="105" t="str">
        <f t="shared" si="4"/>
        <v/>
      </c>
      <c r="Q401" s="105" t="str">
        <f t="array" ref="Q401">IF(ISBLANK(G401),"",INDEX('label approval artwork'!J:J,MATCH( G401,'label approval artwork'!F:F,0)))</f>
        <v/>
      </c>
      <c r="R401" s="105" t="str">
        <f t="array" ref="R401">IFERROR( IF(P401&lt;&gt;"EMA",INDEX('label approval artwork'!H:H,MATCH(G401,'label approval artwork'!F:F,0),"")),"")</f>
        <v/>
      </c>
      <c r="S401" s="105"/>
      <c r="T401" s="105" t="str">
        <f t="array" ref="T401">IF(ISBLANK(G401),"",INDEX('POR Config List'!I:I,MATCH(G401,'POR Config List'!D:D,0)))</f>
        <v/>
      </c>
      <c r="AA401" s="100" t="str">
        <f t="array" ref="AA401">IF(ISBLANK(G401),"",INDEX('POR Config List'!E:E,MATCH(G401,'POR Config List'!D:D,0)))</f>
        <v/>
      </c>
      <c r="AC401" s="105"/>
      <c r="AD401" s="100"/>
      <c r="AE401" s="100"/>
      <c r="AF401" s="100"/>
      <c r="AG401" s="100"/>
      <c r="AM401" s="102"/>
      <c r="AN401" s="102"/>
      <c r="AR401" s="119"/>
      <c r="AS401" s="103"/>
    </row>
    <row r="402">
      <c r="A402" s="168"/>
      <c r="B402" s="100" t="str">
        <f t="array" ref="B402">IFERROR( INDEX('POR Config List'!A:A,MATCH(G402,'POR Config List'!D:D,0)),"")</f>
        <v/>
      </c>
      <c r="C402" s="101" t="str">
        <f t="array" ref="C402">IFERROR(INDEX('label approval artwork'!E:E,MATCH(G402,'label approval artwork'!F:F,0),""),"")</f>
        <v/>
      </c>
      <c r="D402" s="102" t="str">
        <f t="shared" si="3"/>
        <v/>
      </c>
      <c r="E402" s="100" t="str">
        <f t="array" ref="E402">IF(ISBLANK(G402),"",INDEX('POR Config List'!K:K,MATCH(G402,'POR Config List'!D:D,0)))</f>
        <v/>
      </c>
      <c r="F402" s="100" t="str">
        <f t="array" ref="F402">IF(ISBLANK(G402),"",INDEX('POR Config List'!J:J,MATCH(G402,'POR Config List'!D:D,0)))</f>
        <v/>
      </c>
      <c r="G402" s="168"/>
      <c r="H402" s="104" t="str">
        <f t="array" ref="H402">IF(ISBLANK(G402),"",INDEX('MP SKUs'!G:G,MATCH(G402,'MP SKUs'!A:A,0)))</f>
        <v/>
      </c>
      <c r="I402" s="105" t="str">
        <f t="array" ref="I402">IF(ISBLANK(G402),"",INDEX('POR Config List'!O:O,MATCH(G402,'POR Config List'!D:D,0)))</f>
        <v/>
      </c>
      <c r="J402" s="104" t="str">
        <f t="array" ref="J402">IF(ISBLANK(G402),"",INDEX('POR Config List'!H:H,MATCH(G402,'POR Config List'!D:D,0)))</f>
        <v/>
      </c>
      <c r="K402" s="105" t="str">
        <f t="array" ref="K402">IF(ISBLANK(G402),"",INDEX('POR Config List'!G:G,MATCH(G402,'POR Config List'!D:D,0)))</f>
        <v/>
      </c>
      <c r="L402" s="105"/>
      <c r="M402" s="105" t="str">
        <f t="array" ref="M402">IF(ISBLANK(G402),"",INDEX('label approval artwork'!Q:Q,MATCH( G402,'label approval artwork'!F:F,0)))</f>
        <v/>
      </c>
      <c r="N402" s="169" t="str">
        <f t="shared" si="5"/>
        <v/>
      </c>
      <c r="O402" s="102" t="str">
        <f t="array" ref="O402">IF(ISBLANK(G402),"",INDEX('POR Config List'!C:C,MATCH(G402,'POR Config List'!D:D,0)))</f>
        <v/>
      </c>
      <c r="P402" s="105" t="str">
        <f t="shared" si="4"/>
        <v/>
      </c>
      <c r="Q402" s="105" t="str">
        <f t="array" ref="Q402">IF(ISBLANK(G402),"",INDEX('label approval artwork'!J:J,MATCH( G402,'label approval artwork'!F:F,0)))</f>
        <v/>
      </c>
      <c r="R402" s="105" t="str">
        <f t="array" ref="R402">IFERROR( IF(P402&lt;&gt;"EMA",INDEX('label approval artwork'!H:H,MATCH(G402,'label approval artwork'!F:F,0),"")),"")</f>
        <v/>
      </c>
      <c r="S402" s="105"/>
      <c r="T402" s="105" t="str">
        <f t="array" ref="T402">IF(ISBLANK(G402),"",INDEX('POR Config List'!I:I,MATCH(G402,'POR Config List'!D:D,0)))</f>
        <v/>
      </c>
      <c r="AA402" s="100" t="str">
        <f t="array" ref="AA402">IF(ISBLANK(G402),"",INDEX('POR Config List'!E:E,MATCH(G402,'POR Config List'!D:D,0)))</f>
        <v/>
      </c>
      <c r="AC402" s="105"/>
      <c r="AD402" s="100"/>
      <c r="AE402" s="100"/>
      <c r="AF402" s="100"/>
      <c r="AG402" s="100"/>
      <c r="AM402" s="102"/>
      <c r="AN402" s="102"/>
      <c r="AR402" s="119"/>
      <c r="AS402" s="103"/>
    </row>
    <row r="403">
      <c r="A403" s="168"/>
      <c r="B403" s="100" t="str">
        <f t="array" ref="B403">IFERROR( INDEX('POR Config List'!A:A,MATCH(G403,'POR Config List'!D:D,0)),"")</f>
        <v/>
      </c>
      <c r="C403" s="101" t="str">
        <f t="array" ref="C403">IFERROR(INDEX('label approval artwork'!E:E,MATCH(G403,'label approval artwork'!F:F,0),""),"")</f>
        <v/>
      </c>
      <c r="D403" s="102" t="str">
        <f t="shared" si="3"/>
        <v/>
      </c>
      <c r="E403" s="100" t="str">
        <f t="array" ref="E403">IF(ISBLANK(G403),"",INDEX('POR Config List'!K:K,MATCH(G403,'POR Config List'!D:D,0)))</f>
        <v/>
      </c>
      <c r="F403" s="100" t="str">
        <f t="array" ref="F403">IF(ISBLANK(G403),"",INDEX('POR Config List'!J:J,MATCH(G403,'POR Config List'!D:D,0)))</f>
        <v/>
      </c>
      <c r="G403" s="168"/>
      <c r="H403" s="104" t="str">
        <f t="array" ref="H403">IF(ISBLANK(G403),"",INDEX('MP SKUs'!G:G,MATCH(G403,'MP SKUs'!A:A,0)))</f>
        <v/>
      </c>
      <c r="I403" s="105" t="str">
        <f t="array" ref="I403">IF(ISBLANK(G403),"",INDEX('POR Config List'!O:O,MATCH(G403,'POR Config List'!D:D,0)))</f>
        <v/>
      </c>
      <c r="J403" s="104" t="str">
        <f t="array" ref="J403">IF(ISBLANK(G403),"",INDEX('POR Config List'!H:H,MATCH(G403,'POR Config List'!D:D,0)))</f>
        <v/>
      </c>
      <c r="K403" s="105" t="str">
        <f t="array" ref="K403">IF(ISBLANK(G403),"",INDEX('POR Config List'!G:G,MATCH(G403,'POR Config List'!D:D,0)))</f>
        <v/>
      </c>
      <c r="L403" s="105"/>
      <c r="M403" s="105" t="str">
        <f t="array" ref="M403">IF(ISBLANK(G403),"",INDEX('label approval artwork'!Q:Q,MATCH( G403,'label approval artwork'!F:F,0)))</f>
        <v/>
      </c>
      <c r="N403" s="169" t="str">
        <f t="shared" si="5"/>
        <v/>
      </c>
      <c r="O403" s="102" t="str">
        <f t="array" ref="O403">IF(ISBLANK(G403),"",INDEX('POR Config List'!C:C,MATCH(G403,'POR Config List'!D:D,0)))</f>
        <v/>
      </c>
      <c r="P403" s="105" t="str">
        <f t="shared" si="4"/>
        <v/>
      </c>
      <c r="Q403" s="105" t="str">
        <f t="array" ref="Q403">IF(ISBLANK(G403),"",INDEX('label approval artwork'!J:J,MATCH( G403,'label approval artwork'!F:F,0)))</f>
        <v/>
      </c>
      <c r="R403" s="105" t="str">
        <f t="array" ref="R403">IFERROR( IF(P403&lt;&gt;"EMA",INDEX('label approval artwork'!H:H,MATCH(G403,'label approval artwork'!F:F,0),"")),"")</f>
        <v/>
      </c>
      <c r="S403" s="105"/>
      <c r="T403" s="105" t="str">
        <f t="array" ref="T403">IF(ISBLANK(G403),"",INDEX('POR Config List'!I:I,MATCH(G403,'POR Config List'!D:D,0)))</f>
        <v/>
      </c>
      <c r="AA403" s="100" t="str">
        <f t="array" ref="AA403">IF(ISBLANK(G403),"",INDEX('POR Config List'!E:E,MATCH(G403,'POR Config List'!D:D,0)))</f>
        <v/>
      </c>
      <c r="AC403" s="105"/>
      <c r="AD403" s="100"/>
      <c r="AE403" s="100"/>
      <c r="AF403" s="100"/>
      <c r="AG403" s="100"/>
      <c r="AM403" s="102"/>
      <c r="AN403" s="102"/>
      <c r="AR403" s="119"/>
      <c r="AS403" s="103"/>
    </row>
    <row r="404">
      <c r="A404" s="168"/>
      <c r="B404" s="100" t="str">
        <f t="array" ref="B404">IFERROR( INDEX('POR Config List'!A:A,MATCH(G404,'POR Config List'!D:D,0)),"")</f>
        <v/>
      </c>
      <c r="C404" s="101" t="str">
        <f t="array" ref="C404">IFERROR(INDEX('label approval artwork'!E:E,MATCH(G404,'label approval artwork'!F:F,0),""),"")</f>
        <v/>
      </c>
      <c r="D404" s="102" t="str">
        <f t="shared" si="3"/>
        <v/>
      </c>
      <c r="E404" s="100" t="str">
        <f t="array" ref="E404">IF(ISBLANK(G404),"",INDEX('POR Config List'!K:K,MATCH(G404,'POR Config List'!D:D,0)))</f>
        <v/>
      </c>
      <c r="F404" s="100" t="str">
        <f t="array" ref="F404">IF(ISBLANK(G404),"",INDEX('POR Config List'!J:J,MATCH(G404,'POR Config List'!D:D,0)))</f>
        <v/>
      </c>
      <c r="G404" s="168"/>
      <c r="H404" s="104" t="str">
        <f t="array" ref="H404">IF(ISBLANK(G404),"",INDEX('MP SKUs'!G:G,MATCH(G404,'MP SKUs'!A:A,0)))</f>
        <v/>
      </c>
      <c r="I404" s="105" t="str">
        <f t="array" ref="I404">IF(ISBLANK(G404),"",INDEX('POR Config List'!O:O,MATCH(G404,'POR Config List'!D:D,0)))</f>
        <v/>
      </c>
      <c r="J404" s="104" t="str">
        <f t="array" ref="J404">IF(ISBLANK(G404),"",INDEX('POR Config List'!H:H,MATCH(G404,'POR Config List'!D:D,0)))</f>
        <v/>
      </c>
      <c r="K404" s="105" t="str">
        <f t="array" ref="K404">IF(ISBLANK(G404),"",INDEX('POR Config List'!G:G,MATCH(G404,'POR Config List'!D:D,0)))</f>
        <v/>
      </c>
      <c r="L404" s="105"/>
      <c r="M404" s="105" t="str">
        <f t="array" ref="M404">IF(ISBLANK(G404),"",INDEX('label approval artwork'!Q:Q,MATCH( G404,'label approval artwork'!F:F,0)))</f>
        <v/>
      </c>
      <c r="N404" s="169" t="str">
        <f t="shared" si="5"/>
        <v/>
      </c>
      <c r="O404" s="102" t="str">
        <f t="array" ref="O404">IF(ISBLANK(G404),"",INDEX('POR Config List'!C:C,MATCH(G404,'POR Config List'!D:D,0)))</f>
        <v/>
      </c>
      <c r="P404" s="105" t="str">
        <f t="shared" si="4"/>
        <v/>
      </c>
      <c r="Q404" s="105" t="str">
        <f t="array" ref="Q404">IF(ISBLANK(G404),"",INDEX('label approval artwork'!J:J,MATCH( G404,'label approval artwork'!F:F,0)))</f>
        <v/>
      </c>
      <c r="R404" s="105" t="str">
        <f t="array" ref="R404">IFERROR( IF(P404&lt;&gt;"EMA",INDEX('label approval artwork'!H:H,MATCH(G404,'label approval artwork'!F:F,0),"")),"")</f>
        <v/>
      </c>
      <c r="S404" s="105"/>
      <c r="T404" s="105" t="str">
        <f t="array" ref="T404">IF(ISBLANK(G404),"",INDEX('POR Config List'!I:I,MATCH(G404,'POR Config List'!D:D,0)))</f>
        <v/>
      </c>
      <c r="AA404" s="100" t="str">
        <f t="array" ref="AA404">IF(ISBLANK(G404),"",INDEX('POR Config List'!E:E,MATCH(G404,'POR Config List'!D:D,0)))</f>
        <v/>
      </c>
      <c r="AC404" s="105"/>
      <c r="AD404" s="100"/>
      <c r="AE404" s="100"/>
      <c r="AF404" s="100"/>
      <c r="AG404" s="100"/>
      <c r="AM404" s="102"/>
      <c r="AN404" s="102"/>
      <c r="AR404" s="119"/>
      <c r="AS404" s="103"/>
    </row>
    <row r="405">
      <c r="A405" s="168"/>
      <c r="B405" s="100" t="str">
        <f t="array" ref="B405">IFERROR( INDEX('POR Config List'!A:A,MATCH(G405,'POR Config List'!D:D,0)),"")</f>
        <v/>
      </c>
      <c r="C405" s="101" t="str">
        <f t="array" ref="C405">IFERROR(INDEX('label approval artwork'!E:E,MATCH(G405,'label approval artwork'!F:F,0),""),"")</f>
        <v/>
      </c>
      <c r="D405" s="102" t="str">
        <f t="shared" si="3"/>
        <v/>
      </c>
      <c r="E405" s="100" t="str">
        <f t="array" ref="E405">IF(ISBLANK(G405),"",INDEX('POR Config List'!K:K,MATCH(G405,'POR Config List'!D:D,0)))</f>
        <v/>
      </c>
      <c r="F405" s="100" t="str">
        <f t="array" ref="F405">IF(ISBLANK(G405),"",INDEX('POR Config List'!J:J,MATCH(G405,'POR Config List'!D:D,0)))</f>
        <v/>
      </c>
      <c r="G405" s="168"/>
      <c r="H405" s="104" t="str">
        <f t="array" ref="H405">IF(ISBLANK(G405),"",INDEX('MP SKUs'!G:G,MATCH(G405,'MP SKUs'!A:A,0)))</f>
        <v/>
      </c>
      <c r="I405" s="105" t="str">
        <f t="array" ref="I405">IF(ISBLANK(G405),"",INDEX('POR Config List'!O:O,MATCH(G405,'POR Config List'!D:D,0)))</f>
        <v/>
      </c>
      <c r="J405" s="104" t="str">
        <f t="array" ref="J405">IF(ISBLANK(G405),"",INDEX('POR Config List'!H:H,MATCH(G405,'POR Config List'!D:D,0)))</f>
        <v/>
      </c>
      <c r="K405" s="105" t="str">
        <f t="array" ref="K405">IF(ISBLANK(G405),"",INDEX('POR Config List'!G:G,MATCH(G405,'POR Config List'!D:D,0)))</f>
        <v/>
      </c>
      <c r="L405" s="105"/>
      <c r="M405" s="105" t="str">
        <f t="array" ref="M405">IF(ISBLANK(G405),"",INDEX('label approval artwork'!Q:Q,MATCH( G405,'label approval artwork'!F:F,0)))</f>
        <v/>
      </c>
      <c r="N405" s="169" t="str">
        <f t="shared" si="5"/>
        <v/>
      </c>
      <c r="O405" s="102" t="str">
        <f t="array" ref="O405">IF(ISBLANK(G405),"",INDEX('POR Config List'!C:C,MATCH(G405,'POR Config List'!D:D,0)))</f>
        <v/>
      </c>
      <c r="P405" s="105" t="str">
        <f t="shared" si="4"/>
        <v/>
      </c>
      <c r="Q405" s="105" t="str">
        <f t="array" ref="Q405">IF(ISBLANK(G405),"",INDEX('label approval artwork'!J:J,MATCH( G405,'label approval artwork'!F:F,0)))</f>
        <v/>
      </c>
      <c r="R405" s="105" t="str">
        <f t="array" ref="R405">IFERROR( IF(P405&lt;&gt;"EMA",INDEX('label approval artwork'!H:H,MATCH(G405,'label approval artwork'!F:F,0),"")),"")</f>
        <v/>
      </c>
      <c r="S405" s="105"/>
      <c r="T405" s="105" t="str">
        <f t="array" ref="T405">IF(ISBLANK(G405),"",INDEX('POR Config List'!I:I,MATCH(G405,'POR Config List'!D:D,0)))</f>
        <v/>
      </c>
      <c r="AA405" s="100" t="str">
        <f t="array" ref="AA405">IF(ISBLANK(G405),"",INDEX('POR Config List'!E:E,MATCH(G405,'POR Config List'!D:D,0)))</f>
        <v/>
      </c>
      <c r="AC405" s="105"/>
      <c r="AD405" s="100"/>
      <c r="AE405" s="100"/>
      <c r="AF405" s="100"/>
      <c r="AG405" s="100"/>
      <c r="AM405" s="102"/>
      <c r="AN405" s="102"/>
      <c r="AR405" s="119"/>
      <c r="AS405" s="103"/>
    </row>
    <row r="406">
      <c r="A406" s="168"/>
      <c r="B406" s="100" t="str">
        <f t="array" ref="B406">IFERROR( INDEX('POR Config List'!A:A,MATCH(G406,'POR Config List'!D:D,0)),"")</f>
        <v/>
      </c>
      <c r="C406" s="101" t="str">
        <f t="array" ref="C406">IFERROR(INDEX('label approval artwork'!E:E,MATCH(G406,'label approval artwork'!F:F,0),""),"")</f>
        <v/>
      </c>
      <c r="D406" s="102" t="str">
        <f t="shared" si="3"/>
        <v/>
      </c>
      <c r="E406" s="100" t="str">
        <f t="array" ref="E406">IF(ISBLANK(G406),"",INDEX('POR Config List'!K:K,MATCH(G406,'POR Config List'!D:D,0)))</f>
        <v/>
      </c>
      <c r="F406" s="100" t="str">
        <f t="array" ref="F406">IF(ISBLANK(G406),"",INDEX('POR Config List'!J:J,MATCH(G406,'POR Config List'!D:D,0)))</f>
        <v/>
      </c>
      <c r="G406" s="168"/>
      <c r="H406" s="104" t="str">
        <f t="array" ref="H406">IF(ISBLANK(G406),"",INDEX('MP SKUs'!G:G,MATCH(G406,'MP SKUs'!A:A,0)))</f>
        <v/>
      </c>
      <c r="I406" s="105" t="str">
        <f t="array" ref="I406">IF(ISBLANK(G406),"",INDEX('POR Config List'!O:O,MATCH(G406,'POR Config List'!D:D,0)))</f>
        <v/>
      </c>
      <c r="J406" s="104" t="str">
        <f t="array" ref="J406">IF(ISBLANK(G406),"",INDEX('POR Config List'!H:H,MATCH(G406,'POR Config List'!D:D,0)))</f>
        <v/>
      </c>
      <c r="K406" s="105" t="str">
        <f t="array" ref="K406">IF(ISBLANK(G406),"",INDEX('POR Config List'!G:G,MATCH(G406,'POR Config List'!D:D,0)))</f>
        <v/>
      </c>
      <c r="L406" s="105"/>
      <c r="M406" s="105" t="str">
        <f t="array" ref="M406">IF(ISBLANK(G406),"",INDEX('label approval artwork'!Q:Q,MATCH( G406,'label approval artwork'!F:F,0)))</f>
        <v/>
      </c>
      <c r="N406" s="169" t="str">
        <f t="shared" si="5"/>
        <v/>
      </c>
      <c r="O406" s="102" t="str">
        <f t="array" ref="O406">IF(ISBLANK(G406),"",INDEX('POR Config List'!C:C,MATCH(G406,'POR Config List'!D:D,0)))</f>
        <v/>
      </c>
      <c r="P406" s="105" t="str">
        <f t="shared" si="4"/>
        <v/>
      </c>
      <c r="Q406" s="105" t="str">
        <f t="array" ref="Q406">IF(ISBLANK(G406),"",INDEX('label approval artwork'!J:J,MATCH( G406,'label approval artwork'!F:F,0)))</f>
        <v/>
      </c>
      <c r="R406" s="105" t="str">
        <f t="array" ref="R406">IFERROR( IF(P406&lt;&gt;"EMA",INDEX('label approval artwork'!H:H,MATCH(G406,'label approval artwork'!F:F,0),"")),"")</f>
        <v/>
      </c>
      <c r="S406" s="105"/>
      <c r="T406" s="105" t="str">
        <f t="array" ref="T406">IF(ISBLANK(G406),"",INDEX('POR Config List'!I:I,MATCH(G406,'POR Config List'!D:D,0)))</f>
        <v/>
      </c>
      <c r="AA406" s="100" t="str">
        <f t="array" ref="AA406">IF(ISBLANK(G406),"",INDEX('POR Config List'!E:E,MATCH(G406,'POR Config List'!D:D,0)))</f>
        <v/>
      </c>
      <c r="AC406" s="105"/>
      <c r="AD406" s="100"/>
      <c r="AE406" s="100"/>
      <c r="AF406" s="100"/>
      <c r="AG406" s="100"/>
      <c r="AM406" s="102"/>
      <c r="AN406" s="102"/>
      <c r="AR406" s="119"/>
      <c r="AS406" s="103"/>
    </row>
    <row r="407">
      <c r="A407" s="168"/>
      <c r="B407" s="100" t="str">
        <f t="array" ref="B407">IFERROR( INDEX('POR Config List'!A:A,MATCH(G407,'POR Config List'!D:D,0)),"")</f>
        <v/>
      </c>
      <c r="C407" s="101" t="str">
        <f t="array" ref="C407">IFERROR(INDEX('label approval artwork'!E:E,MATCH(G407,'label approval artwork'!F:F,0),""),"")</f>
        <v/>
      </c>
      <c r="D407" s="102" t="str">
        <f t="shared" si="3"/>
        <v/>
      </c>
      <c r="E407" s="100" t="str">
        <f t="array" ref="E407">IF(ISBLANK(G407),"",INDEX('POR Config List'!K:K,MATCH(G407,'POR Config List'!D:D,0)))</f>
        <v/>
      </c>
      <c r="F407" s="100" t="str">
        <f t="array" ref="F407">IF(ISBLANK(G407),"",INDEX('POR Config List'!J:J,MATCH(G407,'POR Config List'!D:D,0)))</f>
        <v/>
      </c>
      <c r="G407" s="168"/>
      <c r="H407" s="104" t="str">
        <f t="array" ref="H407">IF(ISBLANK(G407),"",INDEX('MP SKUs'!G:G,MATCH(G407,'MP SKUs'!A:A,0)))</f>
        <v/>
      </c>
      <c r="I407" s="105" t="str">
        <f t="array" ref="I407">IF(ISBLANK(G407),"",INDEX('POR Config List'!O:O,MATCH(G407,'POR Config List'!D:D,0)))</f>
        <v/>
      </c>
      <c r="J407" s="104" t="str">
        <f t="array" ref="J407">IF(ISBLANK(G407),"",INDEX('POR Config List'!H:H,MATCH(G407,'POR Config List'!D:D,0)))</f>
        <v/>
      </c>
      <c r="K407" s="105" t="str">
        <f t="array" ref="K407">IF(ISBLANK(G407),"",INDEX('POR Config List'!G:G,MATCH(G407,'POR Config List'!D:D,0)))</f>
        <v/>
      </c>
      <c r="L407" s="105"/>
      <c r="M407" s="105" t="str">
        <f t="array" ref="M407">IF(ISBLANK(G407),"",INDEX('label approval artwork'!Q:Q,MATCH( G407,'label approval artwork'!F:F,0)))</f>
        <v/>
      </c>
      <c r="N407" s="169" t="str">
        <f t="shared" si="5"/>
        <v/>
      </c>
      <c r="O407" s="102" t="str">
        <f t="array" ref="O407">IF(ISBLANK(G407),"",INDEX('POR Config List'!C:C,MATCH(G407,'POR Config List'!D:D,0)))</f>
        <v/>
      </c>
      <c r="P407" s="105" t="str">
        <f t="shared" si="4"/>
        <v/>
      </c>
      <c r="Q407" s="105" t="str">
        <f t="array" ref="Q407">IF(ISBLANK(G407),"",INDEX('label approval artwork'!J:J,MATCH( G407,'label approval artwork'!F:F,0)))</f>
        <v/>
      </c>
      <c r="R407" s="105" t="str">
        <f t="array" ref="R407">IFERROR( IF(P407&lt;&gt;"EMA",INDEX('label approval artwork'!H:H,MATCH(G407,'label approval artwork'!F:F,0),"")),"")</f>
        <v/>
      </c>
      <c r="S407" s="105"/>
      <c r="T407" s="105" t="str">
        <f t="array" ref="T407">IF(ISBLANK(G407),"",INDEX('POR Config List'!I:I,MATCH(G407,'POR Config List'!D:D,0)))</f>
        <v/>
      </c>
      <c r="AA407" s="100" t="str">
        <f t="array" ref="AA407">IF(ISBLANK(G407),"",INDEX('POR Config List'!E:E,MATCH(G407,'POR Config List'!D:D,0)))</f>
        <v/>
      </c>
      <c r="AC407" s="105"/>
      <c r="AD407" s="100"/>
      <c r="AE407" s="100"/>
      <c r="AF407" s="100"/>
      <c r="AG407" s="100"/>
      <c r="AM407" s="102"/>
      <c r="AN407" s="102"/>
      <c r="AR407" s="119"/>
      <c r="AS407" s="103"/>
    </row>
    <row r="408">
      <c r="A408" s="168"/>
      <c r="B408" s="100" t="str">
        <f t="array" ref="B408">IFERROR( INDEX('POR Config List'!A:A,MATCH(G408,'POR Config List'!D:D,0)),"")</f>
        <v/>
      </c>
      <c r="C408" s="101" t="str">
        <f t="array" ref="C408">IFERROR(INDEX('label approval artwork'!E:E,MATCH(G408,'label approval artwork'!F:F,0),""),"")</f>
        <v/>
      </c>
      <c r="D408" s="102" t="str">
        <f t="shared" si="3"/>
        <v/>
      </c>
      <c r="E408" s="100" t="str">
        <f t="array" ref="E408">IF(ISBLANK(G408),"",INDEX('POR Config List'!K:K,MATCH(G408,'POR Config List'!D:D,0)))</f>
        <v/>
      </c>
      <c r="F408" s="100" t="str">
        <f t="array" ref="F408">IF(ISBLANK(G408),"",INDEX('POR Config List'!J:J,MATCH(G408,'POR Config List'!D:D,0)))</f>
        <v/>
      </c>
      <c r="G408" s="168"/>
      <c r="H408" s="104" t="str">
        <f t="array" ref="H408">IF(ISBLANK(G408),"",INDEX('MP SKUs'!G:G,MATCH(G408,'MP SKUs'!A:A,0)))</f>
        <v/>
      </c>
      <c r="I408" s="105" t="str">
        <f t="array" ref="I408">IF(ISBLANK(G408),"",INDEX('POR Config List'!O:O,MATCH(G408,'POR Config List'!D:D,0)))</f>
        <v/>
      </c>
      <c r="J408" s="104" t="str">
        <f t="array" ref="J408">IF(ISBLANK(G408),"",INDEX('POR Config List'!H:H,MATCH(G408,'POR Config List'!D:D,0)))</f>
        <v/>
      </c>
      <c r="K408" s="105" t="str">
        <f t="array" ref="K408">IF(ISBLANK(G408),"",INDEX('POR Config List'!G:G,MATCH(G408,'POR Config List'!D:D,0)))</f>
        <v/>
      </c>
      <c r="L408" s="105"/>
      <c r="M408" s="105" t="str">
        <f t="array" ref="M408">IF(ISBLANK(G408),"",INDEX('label approval artwork'!Q:Q,MATCH( G408,'label approval artwork'!F:F,0)))</f>
        <v/>
      </c>
      <c r="N408" s="169" t="str">
        <f t="shared" si="5"/>
        <v/>
      </c>
      <c r="O408" s="102" t="str">
        <f t="array" ref="O408">IF(ISBLANK(G408),"",INDEX('POR Config List'!C:C,MATCH(G408,'POR Config List'!D:D,0)))</f>
        <v/>
      </c>
      <c r="P408" s="105" t="str">
        <f t="shared" si="4"/>
        <v/>
      </c>
      <c r="Q408" s="105" t="str">
        <f t="array" ref="Q408">IF(ISBLANK(G408),"",INDEX('label approval artwork'!J:J,MATCH( G408,'label approval artwork'!F:F,0)))</f>
        <v/>
      </c>
      <c r="R408" s="105" t="str">
        <f t="array" ref="R408">IFERROR( IF(P408&lt;&gt;"EMA",INDEX('label approval artwork'!H:H,MATCH(G408,'label approval artwork'!F:F,0),"")),"")</f>
        <v/>
      </c>
      <c r="S408" s="105"/>
      <c r="T408" s="105" t="str">
        <f t="array" ref="T408">IF(ISBLANK(G408),"",INDEX('POR Config List'!I:I,MATCH(G408,'POR Config List'!D:D,0)))</f>
        <v/>
      </c>
      <c r="AA408" s="100" t="str">
        <f t="array" ref="AA408">IF(ISBLANK(G408),"",INDEX('POR Config List'!E:E,MATCH(G408,'POR Config List'!D:D,0)))</f>
        <v/>
      </c>
      <c r="AC408" s="105"/>
      <c r="AD408" s="100"/>
      <c r="AE408" s="100"/>
      <c r="AF408" s="100"/>
      <c r="AG408" s="100"/>
      <c r="AM408" s="102"/>
      <c r="AN408" s="102"/>
      <c r="AR408" s="119"/>
      <c r="AS408" s="103"/>
    </row>
    <row r="409">
      <c r="A409" s="168"/>
      <c r="B409" s="100" t="str">
        <f t="array" ref="B409">IFERROR( INDEX('POR Config List'!A:A,MATCH(G409,'POR Config List'!D:D,0)),"")</f>
        <v/>
      </c>
      <c r="C409" s="101" t="str">
        <f t="array" ref="C409">IFERROR(INDEX('label approval artwork'!E:E,MATCH(G409,'label approval artwork'!F:F,0),""),"")</f>
        <v/>
      </c>
      <c r="D409" s="102" t="str">
        <f t="shared" si="3"/>
        <v/>
      </c>
      <c r="E409" s="100" t="str">
        <f t="array" ref="E409">IF(ISBLANK(G409),"",INDEX('POR Config List'!K:K,MATCH(G409,'POR Config List'!D:D,0)))</f>
        <v/>
      </c>
      <c r="F409" s="100" t="str">
        <f t="array" ref="F409">IF(ISBLANK(G409),"",INDEX('POR Config List'!J:J,MATCH(G409,'POR Config List'!D:D,0)))</f>
        <v/>
      </c>
      <c r="G409" s="168"/>
      <c r="H409" s="104" t="str">
        <f t="array" ref="H409">IF(ISBLANK(G409),"",INDEX('MP SKUs'!G:G,MATCH(G409,'MP SKUs'!A:A,0)))</f>
        <v/>
      </c>
      <c r="I409" s="105" t="str">
        <f t="array" ref="I409">IF(ISBLANK(G409),"",INDEX('POR Config List'!O:O,MATCH(G409,'POR Config List'!D:D,0)))</f>
        <v/>
      </c>
      <c r="J409" s="104" t="str">
        <f t="array" ref="J409">IF(ISBLANK(G409),"",INDEX('POR Config List'!H:H,MATCH(G409,'POR Config List'!D:D,0)))</f>
        <v/>
      </c>
      <c r="K409" s="105" t="str">
        <f t="array" ref="K409">IF(ISBLANK(G409),"",INDEX('POR Config List'!G:G,MATCH(G409,'POR Config List'!D:D,0)))</f>
        <v/>
      </c>
      <c r="L409" s="105"/>
      <c r="M409" s="105" t="str">
        <f t="array" ref="M409">IF(ISBLANK(G409),"",INDEX('label approval artwork'!Q:Q,MATCH( G409,'label approval artwork'!F:F,0)))</f>
        <v/>
      </c>
      <c r="N409" s="169" t="str">
        <f t="shared" si="5"/>
        <v/>
      </c>
      <c r="O409" s="102" t="str">
        <f t="array" ref="O409">IF(ISBLANK(G409),"",INDEX('POR Config List'!C:C,MATCH(G409,'POR Config List'!D:D,0)))</f>
        <v/>
      </c>
      <c r="P409" s="105" t="str">
        <f t="shared" si="4"/>
        <v/>
      </c>
      <c r="Q409" s="105" t="str">
        <f t="array" ref="Q409">IF(ISBLANK(G409),"",INDEX('label approval artwork'!J:J,MATCH( G409,'label approval artwork'!F:F,0)))</f>
        <v/>
      </c>
      <c r="R409" s="105" t="str">
        <f t="array" ref="R409">IFERROR( IF(P409&lt;&gt;"EMA",INDEX('label approval artwork'!H:H,MATCH(G409,'label approval artwork'!F:F,0),"")),"")</f>
        <v/>
      </c>
      <c r="S409" s="105"/>
      <c r="T409" s="105" t="str">
        <f t="array" ref="T409">IF(ISBLANK(G409),"",INDEX('POR Config List'!I:I,MATCH(G409,'POR Config List'!D:D,0)))</f>
        <v/>
      </c>
      <c r="AA409" s="100" t="str">
        <f t="array" ref="AA409">IF(ISBLANK(G409),"",INDEX('POR Config List'!E:E,MATCH(G409,'POR Config List'!D:D,0)))</f>
        <v/>
      </c>
      <c r="AC409" s="105"/>
      <c r="AD409" s="100"/>
      <c r="AE409" s="100"/>
      <c r="AF409" s="100"/>
      <c r="AG409" s="100"/>
      <c r="AM409" s="102"/>
      <c r="AN409" s="102"/>
      <c r="AR409" s="119"/>
      <c r="AS409" s="103"/>
    </row>
    <row r="410">
      <c r="A410" s="168"/>
      <c r="B410" s="100" t="str">
        <f t="array" ref="B410">IFERROR( INDEX('POR Config List'!A:A,MATCH(G410,'POR Config List'!D:D,0)),"")</f>
        <v/>
      </c>
      <c r="C410" s="101" t="str">
        <f t="array" ref="C410">IFERROR(INDEX('label approval artwork'!E:E,MATCH(G410,'label approval artwork'!F:F,0),""),"")</f>
        <v/>
      </c>
      <c r="D410" s="102" t="str">
        <f t="shared" si="3"/>
        <v/>
      </c>
      <c r="E410" s="100" t="str">
        <f t="array" ref="E410">IF(ISBLANK(G410),"",INDEX('POR Config List'!K:K,MATCH(G410,'POR Config List'!D:D,0)))</f>
        <v/>
      </c>
      <c r="F410" s="100" t="str">
        <f t="array" ref="F410">IF(ISBLANK(G410),"",INDEX('POR Config List'!J:J,MATCH(G410,'POR Config List'!D:D,0)))</f>
        <v/>
      </c>
      <c r="G410" s="168"/>
      <c r="H410" s="104" t="str">
        <f t="array" ref="H410">IF(ISBLANK(G410),"",INDEX('MP SKUs'!G:G,MATCH(G410,'MP SKUs'!A:A,0)))</f>
        <v/>
      </c>
      <c r="I410" s="105" t="str">
        <f t="array" ref="I410">IF(ISBLANK(G410),"",INDEX('POR Config List'!O:O,MATCH(G410,'POR Config List'!D:D,0)))</f>
        <v/>
      </c>
      <c r="J410" s="104" t="str">
        <f t="array" ref="J410">IF(ISBLANK(G410),"",INDEX('POR Config List'!H:H,MATCH(G410,'POR Config List'!D:D,0)))</f>
        <v/>
      </c>
      <c r="K410" s="105" t="str">
        <f t="array" ref="K410">IF(ISBLANK(G410),"",INDEX('POR Config List'!G:G,MATCH(G410,'POR Config List'!D:D,0)))</f>
        <v/>
      </c>
      <c r="L410" s="105"/>
      <c r="M410" s="105" t="str">
        <f t="array" ref="M410">IF(ISBLANK(G410),"",INDEX('label approval artwork'!Q:Q,MATCH( G410,'label approval artwork'!F:F,0)))</f>
        <v/>
      </c>
      <c r="N410" s="169" t="str">
        <f t="shared" si="5"/>
        <v/>
      </c>
      <c r="O410" s="102" t="str">
        <f t="array" ref="O410">IF(ISBLANK(G410),"",INDEX('POR Config List'!C:C,MATCH(G410,'POR Config List'!D:D,0)))</f>
        <v/>
      </c>
      <c r="P410" s="105" t="str">
        <f t="shared" si="4"/>
        <v/>
      </c>
      <c r="Q410" s="105" t="str">
        <f t="array" ref="Q410">IF(ISBLANK(G410),"",INDEX('label approval artwork'!J:J,MATCH( G410,'label approval artwork'!F:F,0)))</f>
        <v/>
      </c>
      <c r="R410" s="105" t="str">
        <f t="array" ref="R410">IFERROR( IF(P410&lt;&gt;"EMA",INDEX('label approval artwork'!H:H,MATCH(G410,'label approval artwork'!F:F,0),"")),"")</f>
        <v/>
      </c>
      <c r="S410" s="105"/>
      <c r="T410" s="105" t="str">
        <f t="array" ref="T410">IF(ISBLANK(G410),"",INDEX('POR Config List'!I:I,MATCH(G410,'POR Config List'!D:D,0)))</f>
        <v/>
      </c>
      <c r="AA410" s="100" t="str">
        <f t="array" ref="AA410">IF(ISBLANK(G410),"",INDEX('POR Config List'!E:E,MATCH(G410,'POR Config List'!D:D,0)))</f>
        <v/>
      </c>
      <c r="AC410" s="105"/>
      <c r="AD410" s="100"/>
      <c r="AE410" s="100"/>
      <c r="AF410" s="100"/>
      <c r="AG410" s="100"/>
      <c r="AM410" s="102"/>
      <c r="AN410" s="102"/>
      <c r="AR410" s="119"/>
      <c r="AS410" s="103"/>
    </row>
    <row r="411">
      <c r="A411" s="168"/>
      <c r="B411" s="100" t="str">
        <f t="array" ref="B411">IFERROR( INDEX('POR Config List'!A:A,MATCH(G411,'POR Config List'!D:D,0)),"")</f>
        <v/>
      </c>
      <c r="C411" s="101" t="str">
        <f t="array" ref="C411">IFERROR(INDEX('label approval artwork'!E:E,MATCH(G411,'label approval artwork'!F:F,0),""),"")</f>
        <v/>
      </c>
      <c r="D411" s="102" t="str">
        <f t="shared" si="3"/>
        <v/>
      </c>
      <c r="E411" s="100" t="str">
        <f t="array" ref="E411">IF(ISBLANK(G411),"",INDEX('POR Config List'!K:K,MATCH(G411,'POR Config List'!D:D,0)))</f>
        <v/>
      </c>
      <c r="F411" s="100" t="str">
        <f t="array" ref="F411">IF(ISBLANK(G411),"",INDEX('POR Config List'!J:J,MATCH(G411,'POR Config List'!D:D,0)))</f>
        <v/>
      </c>
      <c r="G411" s="168"/>
      <c r="H411" s="104" t="str">
        <f t="array" ref="H411">IF(ISBLANK(G411),"",INDEX('MP SKUs'!G:G,MATCH(G411,'MP SKUs'!A:A,0)))</f>
        <v/>
      </c>
      <c r="I411" s="105" t="str">
        <f t="array" ref="I411">IF(ISBLANK(G411),"",INDEX('POR Config List'!O:O,MATCH(G411,'POR Config List'!D:D,0)))</f>
        <v/>
      </c>
      <c r="J411" s="104" t="str">
        <f t="array" ref="J411">IF(ISBLANK(G411),"",INDEX('POR Config List'!H:H,MATCH(G411,'POR Config List'!D:D,0)))</f>
        <v/>
      </c>
      <c r="K411" s="105" t="str">
        <f t="array" ref="K411">IF(ISBLANK(G411),"",INDEX('POR Config List'!G:G,MATCH(G411,'POR Config List'!D:D,0)))</f>
        <v/>
      </c>
      <c r="L411" s="105"/>
      <c r="M411" s="105" t="str">
        <f t="array" ref="M411">IF(ISBLANK(G411),"",INDEX('label approval artwork'!Q:Q,MATCH( G411,'label approval artwork'!F:F,0)))</f>
        <v/>
      </c>
      <c r="N411" s="169" t="str">
        <f t="shared" si="5"/>
        <v/>
      </c>
      <c r="O411" s="102" t="str">
        <f t="array" ref="O411">IF(ISBLANK(G411),"",INDEX('POR Config List'!C:C,MATCH(G411,'POR Config List'!D:D,0)))</f>
        <v/>
      </c>
      <c r="P411" s="105" t="str">
        <f t="shared" si="4"/>
        <v/>
      </c>
      <c r="Q411" s="105" t="str">
        <f t="array" ref="Q411">IF(ISBLANK(G411),"",INDEX('label approval artwork'!J:J,MATCH( G411,'label approval artwork'!F:F,0)))</f>
        <v/>
      </c>
      <c r="R411" s="105" t="str">
        <f t="array" ref="R411">IFERROR( IF(P411&lt;&gt;"EMA",INDEX('label approval artwork'!H:H,MATCH(G411,'label approval artwork'!F:F,0),"")),"")</f>
        <v/>
      </c>
      <c r="S411" s="105"/>
      <c r="T411" s="105" t="str">
        <f t="array" ref="T411">IF(ISBLANK(G411),"",INDEX('POR Config List'!I:I,MATCH(G411,'POR Config List'!D:D,0)))</f>
        <v/>
      </c>
      <c r="AA411" s="100" t="str">
        <f t="array" ref="AA411">IF(ISBLANK(G411),"",INDEX('POR Config List'!E:E,MATCH(G411,'POR Config List'!D:D,0)))</f>
        <v/>
      </c>
      <c r="AC411" s="105"/>
      <c r="AD411" s="100"/>
      <c r="AE411" s="100"/>
      <c r="AF411" s="100"/>
      <c r="AG411" s="100"/>
      <c r="AM411" s="102"/>
      <c r="AN411" s="102"/>
      <c r="AR411" s="119"/>
      <c r="AS411" s="103"/>
    </row>
    <row r="412">
      <c r="A412" s="168"/>
      <c r="B412" s="100" t="str">
        <f t="array" ref="B412">IFERROR( INDEX('POR Config List'!A:A,MATCH(G412,'POR Config List'!D:D,0)),"")</f>
        <v/>
      </c>
      <c r="C412" s="101" t="str">
        <f t="array" ref="C412">IFERROR(INDEX('label approval artwork'!E:E,MATCH(G412,'label approval artwork'!F:F,0),""),"")</f>
        <v/>
      </c>
      <c r="D412" s="102" t="str">
        <f t="shared" si="3"/>
        <v/>
      </c>
      <c r="E412" s="100" t="str">
        <f t="array" ref="E412">IF(ISBLANK(G412),"",INDEX('POR Config List'!K:K,MATCH(G412,'POR Config List'!D:D,0)))</f>
        <v/>
      </c>
      <c r="F412" s="100" t="str">
        <f t="array" ref="F412">IF(ISBLANK(G412),"",INDEX('POR Config List'!J:J,MATCH(G412,'POR Config List'!D:D,0)))</f>
        <v/>
      </c>
      <c r="G412" s="168"/>
      <c r="H412" s="104" t="str">
        <f t="array" ref="H412">IF(ISBLANK(G412),"",INDEX('MP SKUs'!G:G,MATCH(G412,'MP SKUs'!A:A,0)))</f>
        <v/>
      </c>
      <c r="I412" s="105" t="str">
        <f t="array" ref="I412">IF(ISBLANK(G412),"",INDEX('POR Config List'!O:O,MATCH(G412,'POR Config List'!D:D,0)))</f>
        <v/>
      </c>
      <c r="J412" s="104" t="str">
        <f t="array" ref="J412">IF(ISBLANK(G412),"",INDEX('POR Config List'!H:H,MATCH(G412,'POR Config List'!D:D,0)))</f>
        <v/>
      </c>
      <c r="K412" s="105" t="str">
        <f t="array" ref="K412">IF(ISBLANK(G412),"",INDEX('POR Config List'!G:G,MATCH(G412,'POR Config List'!D:D,0)))</f>
        <v/>
      </c>
      <c r="L412" s="105"/>
      <c r="M412" s="105" t="str">
        <f t="array" ref="M412">IF(ISBLANK(G412),"",INDEX('label approval artwork'!Q:Q,MATCH( G412,'label approval artwork'!F:F,0)))</f>
        <v/>
      </c>
      <c r="N412" s="169" t="str">
        <f t="shared" si="5"/>
        <v/>
      </c>
      <c r="O412" s="102" t="str">
        <f t="array" ref="O412">IF(ISBLANK(G412),"",INDEX('POR Config List'!C:C,MATCH(G412,'POR Config List'!D:D,0)))</f>
        <v/>
      </c>
      <c r="P412" s="105" t="str">
        <f t="shared" si="4"/>
        <v/>
      </c>
      <c r="Q412" s="105" t="str">
        <f t="array" ref="Q412">IF(ISBLANK(G412),"",INDEX('label approval artwork'!J:J,MATCH( G412,'label approval artwork'!F:F,0)))</f>
        <v/>
      </c>
      <c r="R412" s="105" t="str">
        <f t="array" ref="R412">IFERROR( IF(P412&lt;&gt;"EMA",INDEX('label approval artwork'!H:H,MATCH(G412,'label approval artwork'!F:F,0),"")),"")</f>
        <v/>
      </c>
      <c r="S412" s="105"/>
      <c r="T412" s="105" t="str">
        <f t="array" ref="T412">IF(ISBLANK(G412),"",INDEX('POR Config List'!I:I,MATCH(G412,'POR Config List'!D:D,0)))</f>
        <v/>
      </c>
      <c r="AA412" s="100" t="str">
        <f t="array" ref="AA412">IF(ISBLANK(G412),"",INDEX('POR Config List'!E:E,MATCH(G412,'POR Config List'!D:D,0)))</f>
        <v/>
      </c>
      <c r="AC412" s="105"/>
      <c r="AD412" s="100"/>
      <c r="AE412" s="100"/>
      <c r="AF412" s="100"/>
      <c r="AG412" s="100"/>
      <c r="AM412" s="102"/>
      <c r="AN412" s="102"/>
      <c r="AR412" s="119"/>
      <c r="AS412" s="103"/>
    </row>
    <row r="413">
      <c r="A413" s="168"/>
      <c r="B413" s="100" t="str">
        <f t="array" ref="B413">IFERROR( INDEX('POR Config List'!A:A,MATCH(G413,'POR Config List'!D:D,0)),"")</f>
        <v/>
      </c>
      <c r="C413" s="101" t="str">
        <f t="array" ref="C413">IFERROR(INDEX('label approval artwork'!E:E,MATCH(G413,'label approval artwork'!F:F,0),""),"")</f>
        <v/>
      </c>
      <c r="D413" s="102" t="str">
        <f t="shared" si="3"/>
        <v/>
      </c>
      <c r="E413" s="100" t="str">
        <f t="array" ref="E413">IF(ISBLANK(G413),"",INDEX('POR Config List'!K:K,MATCH(G413,'POR Config List'!D:D,0)))</f>
        <v/>
      </c>
      <c r="F413" s="100" t="str">
        <f t="array" ref="F413">IF(ISBLANK(G413),"",INDEX('POR Config List'!J:J,MATCH(G413,'POR Config List'!D:D,0)))</f>
        <v/>
      </c>
      <c r="G413" s="168"/>
      <c r="H413" s="104" t="str">
        <f t="array" ref="H413">IF(ISBLANK(G413),"",INDEX('MP SKUs'!G:G,MATCH(G413,'MP SKUs'!A:A,0)))</f>
        <v/>
      </c>
      <c r="I413" s="105" t="str">
        <f t="array" ref="I413">IF(ISBLANK(G413),"",INDEX('POR Config List'!O:O,MATCH(G413,'POR Config List'!D:D,0)))</f>
        <v/>
      </c>
      <c r="J413" s="104" t="str">
        <f t="array" ref="J413">IF(ISBLANK(G413),"",INDEX('POR Config List'!H:H,MATCH(G413,'POR Config List'!D:D,0)))</f>
        <v/>
      </c>
      <c r="K413" s="105" t="str">
        <f t="array" ref="K413">IF(ISBLANK(G413),"",INDEX('POR Config List'!G:G,MATCH(G413,'POR Config List'!D:D,0)))</f>
        <v/>
      </c>
      <c r="L413" s="105"/>
      <c r="M413" s="105" t="str">
        <f t="array" ref="M413">IF(ISBLANK(G413),"",INDEX('label approval artwork'!Q:Q,MATCH( G413,'label approval artwork'!F:F,0)))</f>
        <v/>
      </c>
      <c r="N413" s="169" t="str">
        <f t="shared" si="5"/>
        <v/>
      </c>
      <c r="O413" s="102" t="str">
        <f t="array" ref="O413">IF(ISBLANK(G413),"",INDEX('POR Config List'!C:C,MATCH(G413,'POR Config List'!D:D,0)))</f>
        <v/>
      </c>
      <c r="P413" s="105" t="str">
        <f t="shared" si="4"/>
        <v/>
      </c>
      <c r="Q413" s="105" t="str">
        <f t="array" ref="Q413">IF(ISBLANK(G413),"",INDEX('label approval artwork'!J:J,MATCH( G413,'label approval artwork'!F:F,0)))</f>
        <v/>
      </c>
      <c r="R413" s="105" t="str">
        <f t="array" ref="R413">IFERROR( IF(P413&lt;&gt;"EMA",INDEX('label approval artwork'!H:H,MATCH(G413,'label approval artwork'!F:F,0),"")),"")</f>
        <v/>
      </c>
      <c r="S413" s="105"/>
      <c r="T413" s="105" t="str">
        <f t="array" ref="T413">IF(ISBLANK(G413),"",INDEX('POR Config List'!I:I,MATCH(G413,'POR Config List'!D:D,0)))</f>
        <v/>
      </c>
      <c r="AA413" s="100" t="str">
        <f t="array" ref="AA413">IF(ISBLANK(G413),"",INDEX('POR Config List'!E:E,MATCH(G413,'POR Config List'!D:D,0)))</f>
        <v/>
      </c>
      <c r="AC413" s="105"/>
      <c r="AD413" s="100"/>
      <c r="AE413" s="100"/>
      <c r="AF413" s="100"/>
      <c r="AG413" s="100"/>
      <c r="AM413" s="102"/>
      <c r="AN413" s="102"/>
      <c r="AR413" s="119"/>
      <c r="AS413" s="103"/>
    </row>
    <row r="414">
      <c r="A414" s="168"/>
      <c r="B414" s="100" t="str">
        <f t="array" ref="B414">IFERROR( INDEX('POR Config List'!A:A,MATCH(G414,'POR Config List'!D:D,0)),"")</f>
        <v/>
      </c>
      <c r="C414" s="101" t="str">
        <f t="array" ref="C414">IFERROR(INDEX('label approval artwork'!E:E,MATCH(G414,'label approval artwork'!F:F,0),""),"")</f>
        <v/>
      </c>
      <c r="D414" s="102" t="str">
        <f t="shared" si="3"/>
        <v/>
      </c>
      <c r="E414" s="100" t="str">
        <f t="array" ref="E414">IF(ISBLANK(G414),"",INDEX('POR Config List'!K:K,MATCH(G414,'POR Config List'!D:D,0)))</f>
        <v/>
      </c>
      <c r="F414" s="100" t="str">
        <f t="array" ref="F414">IF(ISBLANK(G414),"",INDEX('POR Config List'!J:J,MATCH(G414,'POR Config List'!D:D,0)))</f>
        <v/>
      </c>
      <c r="G414" s="168"/>
      <c r="H414" s="104" t="str">
        <f t="array" ref="H414">IF(ISBLANK(G414),"",INDEX('MP SKUs'!G:G,MATCH(G414,'MP SKUs'!A:A,0)))</f>
        <v/>
      </c>
      <c r="I414" s="105" t="str">
        <f t="array" ref="I414">IF(ISBLANK(G414),"",INDEX('POR Config List'!O:O,MATCH(G414,'POR Config List'!D:D,0)))</f>
        <v/>
      </c>
      <c r="J414" s="104" t="str">
        <f t="array" ref="J414">IF(ISBLANK(G414),"",INDEX('POR Config List'!H:H,MATCH(G414,'POR Config List'!D:D,0)))</f>
        <v/>
      </c>
      <c r="K414" s="105" t="str">
        <f t="array" ref="K414">IF(ISBLANK(G414),"",INDEX('POR Config List'!G:G,MATCH(G414,'POR Config List'!D:D,0)))</f>
        <v/>
      </c>
      <c r="L414" s="105"/>
      <c r="M414" s="105" t="str">
        <f t="array" ref="M414">IF(ISBLANK(G414),"",INDEX('label approval artwork'!Q:Q,MATCH( G414,'label approval artwork'!F:F,0)))</f>
        <v/>
      </c>
      <c r="N414" s="169" t="str">
        <f t="shared" si="5"/>
        <v/>
      </c>
      <c r="O414" s="102" t="str">
        <f t="array" ref="O414">IF(ISBLANK(G414),"",INDEX('POR Config List'!C:C,MATCH(G414,'POR Config List'!D:D,0)))</f>
        <v/>
      </c>
      <c r="P414" s="105" t="str">
        <f t="shared" si="4"/>
        <v/>
      </c>
      <c r="Q414" s="105" t="str">
        <f t="array" ref="Q414">IF(ISBLANK(G414),"",INDEX('label approval artwork'!J:J,MATCH( G414,'label approval artwork'!F:F,0)))</f>
        <v/>
      </c>
      <c r="R414" s="105" t="str">
        <f t="array" ref="R414">IFERROR( IF(P414&lt;&gt;"EMA",INDEX('label approval artwork'!H:H,MATCH(G414,'label approval artwork'!F:F,0),"")),"")</f>
        <v/>
      </c>
      <c r="S414" s="105"/>
      <c r="T414" s="105" t="str">
        <f t="array" ref="T414">IF(ISBLANK(G414),"",INDEX('POR Config List'!I:I,MATCH(G414,'POR Config List'!D:D,0)))</f>
        <v/>
      </c>
      <c r="AA414" s="100" t="str">
        <f t="array" ref="AA414">IF(ISBLANK(G414),"",INDEX('POR Config List'!E:E,MATCH(G414,'POR Config List'!D:D,0)))</f>
        <v/>
      </c>
      <c r="AC414" s="105"/>
      <c r="AD414" s="100"/>
      <c r="AE414" s="100"/>
      <c r="AF414" s="100"/>
      <c r="AG414" s="100"/>
      <c r="AM414" s="102"/>
      <c r="AN414" s="102"/>
      <c r="AR414" s="119"/>
      <c r="AS414" s="103"/>
    </row>
    <row r="415">
      <c r="A415" s="168"/>
      <c r="B415" s="100" t="str">
        <f t="array" ref="B415">IFERROR( INDEX('POR Config List'!A:A,MATCH(G415,'POR Config List'!D:D,0)),"")</f>
        <v/>
      </c>
      <c r="C415" s="101" t="str">
        <f t="array" ref="C415">IFERROR(INDEX('label approval artwork'!E:E,MATCH(G415,'label approval artwork'!F:F,0),""),"")</f>
        <v/>
      </c>
      <c r="D415" s="102" t="str">
        <f t="shared" si="3"/>
        <v/>
      </c>
      <c r="E415" s="100" t="str">
        <f t="array" ref="E415">IF(ISBLANK(G415),"",INDEX('POR Config List'!K:K,MATCH(G415,'POR Config List'!D:D,0)))</f>
        <v/>
      </c>
      <c r="F415" s="100" t="str">
        <f t="array" ref="F415">IF(ISBLANK(G415),"",INDEX('POR Config List'!J:J,MATCH(G415,'POR Config List'!D:D,0)))</f>
        <v/>
      </c>
      <c r="G415" s="168"/>
      <c r="H415" s="104" t="str">
        <f t="array" ref="H415">IF(ISBLANK(G415),"",INDEX('MP SKUs'!G:G,MATCH(G415,'MP SKUs'!A:A,0)))</f>
        <v/>
      </c>
      <c r="I415" s="105" t="str">
        <f t="array" ref="I415">IF(ISBLANK(G415),"",INDEX('POR Config List'!O:O,MATCH(G415,'POR Config List'!D:D,0)))</f>
        <v/>
      </c>
      <c r="J415" s="104" t="str">
        <f t="array" ref="J415">IF(ISBLANK(G415),"",INDEX('POR Config List'!H:H,MATCH(G415,'POR Config List'!D:D,0)))</f>
        <v/>
      </c>
      <c r="K415" s="105" t="str">
        <f t="array" ref="K415">IF(ISBLANK(G415),"",INDEX('POR Config List'!G:G,MATCH(G415,'POR Config List'!D:D,0)))</f>
        <v/>
      </c>
      <c r="L415" s="105"/>
      <c r="M415" s="105" t="str">
        <f t="array" ref="M415">IF(ISBLANK(G415),"",INDEX('label approval artwork'!Q:Q,MATCH( G415,'label approval artwork'!F:F,0)))</f>
        <v/>
      </c>
      <c r="N415" s="169" t="str">
        <f t="shared" si="5"/>
        <v/>
      </c>
      <c r="O415" s="102" t="str">
        <f t="array" ref="O415">IF(ISBLANK(G415),"",INDEX('POR Config List'!C:C,MATCH(G415,'POR Config List'!D:D,0)))</f>
        <v/>
      </c>
      <c r="P415" s="105" t="str">
        <f t="shared" si="4"/>
        <v/>
      </c>
      <c r="Q415" s="105" t="str">
        <f t="array" ref="Q415">IF(ISBLANK(G415),"",INDEX('label approval artwork'!J:J,MATCH( G415,'label approval artwork'!F:F,0)))</f>
        <v/>
      </c>
      <c r="R415" s="105" t="str">
        <f t="array" ref="R415">IFERROR( IF(P415&lt;&gt;"EMA",INDEX('label approval artwork'!H:H,MATCH(G415,'label approval artwork'!F:F,0),"")),"")</f>
        <v/>
      </c>
      <c r="S415" s="105"/>
      <c r="T415" s="105" t="str">
        <f t="array" ref="T415">IF(ISBLANK(G415),"",INDEX('POR Config List'!I:I,MATCH(G415,'POR Config List'!D:D,0)))</f>
        <v/>
      </c>
      <c r="AA415" s="100" t="str">
        <f t="array" ref="AA415">IF(ISBLANK(G415),"",INDEX('POR Config List'!E:E,MATCH(G415,'POR Config List'!D:D,0)))</f>
        <v/>
      </c>
      <c r="AC415" s="105"/>
      <c r="AD415" s="100"/>
      <c r="AE415" s="100"/>
      <c r="AF415" s="100"/>
      <c r="AG415" s="100"/>
      <c r="AM415" s="102"/>
      <c r="AN415" s="102"/>
      <c r="AR415" s="119"/>
      <c r="AS415" s="103"/>
    </row>
    <row r="416">
      <c r="A416" s="168"/>
      <c r="B416" s="100" t="str">
        <f t="array" ref="B416">IFERROR( INDEX('POR Config List'!A:A,MATCH(G416,'POR Config List'!D:D,0)),"")</f>
        <v/>
      </c>
      <c r="C416" s="101" t="str">
        <f t="array" ref="C416">IFERROR(INDEX('label approval artwork'!E:E,MATCH(G416,'label approval artwork'!F:F,0),""),"")</f>
        <v/>
      </c>
      <c r="D416" s="102" t="str">
        <f t="shared" si="3"/>
        <v/>
      </c>
      <c r="E416" s="100" t="str">
        <f t="array" ref="E416">IF(ISBLANK(G416),"",INDEX('POR Config List'!K:K,MATCH(G416,'POR Config List'!D:D,0)))</f>
        <v/>
      </c>
      <c r="F416" s="100" t="str">
        <f t="array" ref="F416">IF(ISBLANK(G416),"",INDEX('POR Config List'!J:J,MATCH(G416,'POR Config List'!D:D,0)))</f>
        <v/>
      </c>
      <c r="G416" s="168"/>
      <c r="H416" s="104" t="str">
        <f t="array" ref="H416">IF(ISBLANK(G416),"",INDEX('MP SKUs'!G:G,MATCH(G416,'MP SKUs'!A:A,0)))</f>
        <v/>
      </c>
      <c r="I416" s="105" t="str">
        <f t="array" ref="I416">IF(ISBLANK(G416),"",INDEX('POR Config List'!O:O,MATCH(G416,'POR Config List'!D:D,0)))</f>
        <v/>
      </c>
      <c r="J416" s="104" t="str">
        <f t="array" ref="J416">IF(ISBLANK(G416),"",INDEX('POR Config List'!H:H,MATCH(G416,'POR Config List'!D:D,0)))</f>
        <v/>
      </c>
      <c r="K416" s="105" t="str">
        <f t="array" ref="K416">IF(ISBLANK(G416),"",INDEX('POR Config List'!G:G,MATCH(G416,'POR Config List'!D:D,0)))</f>
        <v/>
      </c>
      <c r="L416" s="105"/>
      <c r="M416" s="105" t="str">
        <f t="array" ref="M416">IF(ISBLANK(G416),"",INDEX('label approval artwork'!Q:Q,MATCH( G416,'label approval artwork'!F:F,0)))</f>
        <v/>
      </c>
      <c r="N416" s="169" t="str">
        <f t="shared" si="5"/>
        <v/>
      </c>
      <c r="O416" s="102" t="str">
        <f t="array" ref="O416">IF(ISBLANK(G416),"",INDEX('POR Config List'!C:C,MATCH(G416,'POR Config List'!D:D,0)))</f>
        <v/>
      </c>
      <c r="P416" s="105" t="str">
        <f t="shared" si="4"/>
        <v/>
      </c>
      <c r="Q416" s="105" t="str">
        <f t="array" ref="Q416">IF(ISBLANK(G416),"",INDEX('label approval artwork'!J:J,MATCH( G416,'label approval artwork'!F:F,0)))</f>
        <v/>
      </c>
      <c r="R416" s="105" t="str">
        <f t="array" ref="R416">IFERROR( IF(P416&lt;&gt;"EMA",INDEX('label approval artwork'!H:H,MATCH(G416,'label approval artwork'!F:F,0),"")),"")</f>
        <v/>
      </c>
      <c r="S416" s="105"/>
      <c r="T416" s="105" t="str">
        <f t="array" ref="T416">IF(ISBLANK(G416),"",INDEX('POR Config List'!I:I,MATCH(G416,'POR Config List'!D:D,0)))</f>
        <v/>
      </c>
      <c r="AA416" s="100" t="str">
        <f t="array" ref="AA416">IF(ISBLANK(G416),"",INDEX('POR Config List'!E:E,MATCH(G416,'POR Config List'!D:D,0)))</f>
        <v/>
      </c>
      <c r="AC416" s="105"/>
      <c r="AD416" s="100"/>
      <c r="AE416" s="100"/>
      <c r="AF416" s="100"/>
      <c r="AG416" s="100"/>
      <c r="AM416" s="102"/>
      <c r="AN416" s="102"/>
      <c r="AR416" s="119"/>
      <c r="AS416" s="103"/>
    </row>
    <row r="417">
      <c r="A417" s="168"/>
      <c r="B417" s="100" t="str">
        <f t="array" ref="B417">IFERROR( INDEX('POR Config List'!A:A,MATCH(G417,'POR Config List'!D:D,0)),"")</f>
        <v/>
      </c>
      <c r="C417" s="101" t="str">
        <f t="array" ref="C417">IFERROR(INDEX('label approval artwork'!E:E,MATCH(G417,'label approval artwork'!F:F,0),""),"")</f>
        <v/>
      </c>
      <c r="D417" s="102" t="str">
        <f t="shared" si="3"/>
        <v/>
      </c>
      <c r="E417" s="100" t="str">
        <f t="array" ref="E417">IF(ISBLANK(G417),"",INDEX('POR Config List'!K:K,MATCH(G417,'POR Config List'!D:D,0)))</f>
        <v/>
      </c>
      <c r="F417" s="100" t="str">
        <f t="array" ref="F417">IF(ISBLANK(G417),"",INDEX('POR Config List'!J:J,MATCH(G417,'POR Config List'!D:D,0)))</f>
        <v/>
      </c>
      <c r="G417" s="168"/>
      <c r="H417" s="104" t="str">
        <f t="array" ref="H417">IF(ISBLANK(G417),"",INDEX('MP SKUs'!G:G,MATCH(G417,'MP SKUs'!A:A,0)))</f>
        <v/>
      </c>
      <c r="I417" s="105" t="str">
        <f t="array" ref="I417">IF(ISBLANK(G417),"",INDEX('POR Config List'!O:O,MATCH(G417,'POR Config List'!D:D,0)))</f>
        <v/>
      </c>
      <c r="J417" s="104" t="str">
        <f t="array" ref="J417">IF(ISBLANK(G417),"",INDEX('POR Config List'!H:H,MATCH(G417,'POR Config List'!D:D,0)))</f>
        <v/>
      </c>
      <c r="K417" s="105" t="str">
        <f t="array" ref="K417">IF(ISBLANK(G417),"",INDEX('POR Config List'!G:G,MATCH(G417,'POR Config List'!D:D,0)))</f>
        <v/>
      </c>
      <c r="L417" s="105"/>
      <c r="M417" s="105" t="str">
        <f t="array" ref="M417">IF(ISBLANK(G417),"",INDEX('label approval artwork'!Q:Q,MATCH( G417,'label approval artwork'!F:F,0)))</f>
        <v/>
      </c>
      <c r="N417" s="169" t="str">
        <f t="shared" si="5"/>
        <v/>
      </c>
      <c r="O417" s="102" t="str">
        <f t="array" ref="O417">IF(ISBLANK(G417),"",INDEX('POR Config List'!C:C,MATCH(G417,'POR Config List'!D:D,0)))</f>
        <v/>
      </c>
      <c r="P417" s="105" t="str">
        <f t="shared" si="4"/>
        <v/>
      </c>
      <c r="Q417" s="105" t="str">
        <f t="array" ref="Q417">IF(ISBLANK(G417),"",INDEX('label approval artwork'!J:J,MATCH( G417,'label approval artwork'!F:F,0)))</f>
        <v/>
      </c>
      <c r="R417" s="105" t="str">
        <f t="array" ref="R417">IFERROR( IF(P417&lt;&gt;"EMA",INDEX('label approval artwork'!H:H,MATCH(G417,'label approval artwork'!F:F,0),"")),"")</f>
        <v/>
      </c>
      <c r="S417" s="105"/>
      <c r="T417" s="105" t="str">
        <f t="array" ref="T417">IF(ISBLANK(G417),"",INDEX('POR Config List'!I:I,MATCH(G417,'POR Config List'!D:D,0)))</f>
        <v/>
      </c>
      <c r="AA417" s="100" t="str">
        <f t="array" ref="AA417">IF(ISBLANK(G417),"",INDEX('POR Config List'!E:E,MATCH(G417,'POR Config List'!D:D,0)))</f>
        <v/>
      </c>
      <c r="AC417" s="105"/>
      <c r="AD417" s="100"/>
      <c r="AE417" s="100"/>
      <c r="AF417" s="100"/>
      <c r="AG417" s="100"/>
      <c r="AM417" s="102"/>
      <c r="AN417" s="102"/>
      <c r="AR417" s="119"/>
      <c r="AS417" s="103"/>
    </row>
    <row r="418">
      <c r="A418" s="168"/>
      <c r="B418" s="100" t="str">
        <f t="array" ref="B418">IFERROR( INDEX('POR Config List'!A:A,MATCH(G418,'POR Config List'!D:D,0)),"")</f>
        <v/>
      </c>
      <c r="C418" s="101" t="str">
        <f t="array" ref="C418">IFERROR(INDEX('label approval artwork'!E:E,MATCH(G418,'label approval artwork'!F:F,0),""),"")</f>
        <v/>
      </c>
      <c r="D418" s="102" t="str">
        <f t="shared" si="3"/>
        <v/>
      </c>
      <c r="E418" s="100" t="str">
        <f t="array" ref="E418">IF(ISBLANK(G418),"",INDEX('POR Config List'!K:K,MATCH(G418,'POR Config List'!D:D,0)))</f>
        <v/>
      </c>
      <c r="F418" s="100" t="str">
        <f t="array" ref="F418">IF(ISBLANK(G418),"",INDEX('POR Config List'!J:J,MATCH(G418,'POR Config List'!D:D,0)))</f>
        <v/>
      </c>
      <c r="G418" s="168"/>
      <c r="H418" s="104" t="str">
        <f t="array" ref="H418">IF(ISBLANK(G418),"",INDEX('MP SKUs'!G:G,MATCH(G418,'MP SKUs'!A:A,0)))</f>
        <v/>
      </c>
      <c r="I418" s="105" t="str">
        <f t="array" ref="I418">IF(ISBLANK(G418),"",INDEX('POR Config List'!O:O,MATCH(G418,'POR Config List'!D:D,0)))</f>
        <v/>
      </c>
      <c r="J418" s="104" t="str">
        <f t="array" ref="J418">IF(ISBLANK(G418),"",INDEX('POR Config List'!H:H,MATCH(G418,'POR Config List'!D:D,0)))</f>
        <v/>
      </c>
      <c r="K418" s="105" t="str">
        <f t="array" ref="K418">IF(ISBLANK(G418),"",INDEX('POR Config List'!G:G,MATCH(G418,'POR Config List'!D:D,0)))</f>
        <v/>
      </c>
      <c r="L418" s="105"/>
      <c r="M418" s="105" t="str">
        <f t="array" ref="M418">IF(ISBLANK(G418),"",INDEX('label approval artwork'!Q:Q,MATCH( G418,'label approval artwork'!F:F,0)))</f>
        <v/>
      </c>
      <c r="N418" s="169" t="str">
        <f t="shared" si="5"/>
        <v/>
      </c>
      <c r="O418" s="102" t="str">
        <f t="array" ref="O418">IF(ISBLANK(G418),"",INDEX('POR Config List'!C:C,MATCH(G418,'POR Config List'!D:D,0)))</f>
        <v/>
      </c>
      <c r="P418" s="105" t="str">
        <f t="shared" si="4"/>
        <v/>
      </c>
      <c r="Q418" s="105" t="str">
        <f t="array" ref="Q418">IF(ISBLANK(G418),"",INDEX('label approval artwork'!J:J,MATCH( G418,'label approval artwork'!F:F,0)))</f>
        <v/>
      </c>
      <c r="R418" s="105" t="str">
        <f t="array" ref="R418">IFERROR( IF(P418&lt;&gt;"EMA",INDEX('label approval artwork'!H:H,MATCH(G418,'label approval artwork'!F:F,0),"")),"")</f>
        <v/>
      </c>
      <c r="S418" s="105"/>
      <c r="T418" s="105" t="str">
        <f t="array" ref="T418">IF(ISBLANK(G418),"",INDEX('POR Config List'!I:I,MATCH(G418,'POR Config List'!D:D,0)))</f>
        <v/>
      </c>
      <c r="AA418" s="100" t="str">
        <f t="array" ref="AA418">IF(ISBLANK(G418),"",INDEX('POR Config List'!E:E,MATCH(G418,'POR Config List'!D:D,0)))</f>
        <v/>
      </c>
      <c r="AC418" s="105"/>
      <c r="AD418" s="100"/>
      <c r="AE418" s="100"/>
      <c r="AF418" s="100"/>
      <c r="AG418" s="100"/>
      <c r="AM418" s="102"/>
      <c r="AN418" s="102"/>
      <c r="AR418" s="119"/>
      <c r="AS418" s="103"/>
    </row>
    <row r="419">
      <c r="A419" s="168"/>
      <c r="B419" s="100" t="str">
        <f t="array" ref="B419">IFERROR( INDEX('POR Config List'!A:A,MATCH(G419,'POR Config List'!D:D,0)),"")</f>
        <v/>
      </c>
      <c r="C419" s="101" t="str">
        <f t="array" ref="C419">IFERROR(INDEX('label approval artwork'!E:E,MATCH(G419,'label approval artwork'!F:F,0),""),"")</f>
        <v/>
      </c>
      <c r="D419" s="102" t="str">
        <f t="shared" si="3"/>
        <v/>
      </c>
      <c r="E419" s="100" t="str">
        <f t="array" ref="E419">IF(ISBLANK(G419),"",INDEX('POR Config List'!K:K,MATCH(G419,'POR Config List'!D:D,0)))</f>
        <v/>
      </c>
      <c r="F419" s="100" t="str">
        <f t="array" ref="F419">IF(ISBLANK(G419),"",INDEX('POR Config List'!J:J,MATCH(G419,'POR Config List'!D:D,0)))</f>
        <v/>
      </c>
      <c r="G419" s="168"/>
      <c r="H419" s="104" t="str">
        <f t="array" ref="H419">IF(ISBLANK(G419),"",INDEX('MP SKUs'!G:G,MATCH(G419,'MP SKUs'!A:A,0)))</f>
        <v/>
      </c>
      <c r="I419" s="105" t="str">
        <f t="array" ref="I419">IF(ISBLANK(G419),"",INDEX('POR Config List'!O:O,MATCH(G419,'POR Config List'!D:D,0)))</f>
        <v/>
      </c>
      <c r="J419" s="104" t="str">
        <f t="array" ref="J419">IF(ISBLANK(G419),"",INDEX('POR Config List'!H:H,MATCH(G419,'POR Config List'!D:D,0)))</f>
        <v/>
      </c>
      <c r="K419" s="105" t="str">
        <f t="array" ref="K419">IF(ISBLANK(G419),"",INDEX('POR Config List'!G:G,MATCH(G419,'POR Config List'!D:D,0)))</f>
        <v/>
      </c>
      <c r="L419" s="105"/>
      <c r="M419" s="105" t="str">
        <f t="array" ref="M419">IF(ISBLANK(G419),"",INDEX('label approval artwork'!Q:Q,MATCH( G419,'label approval artwork'!F:F,0)))</f>
        <v/>
      </c>
      <c r="N419" s="169" t="str">
        <f t="shared" si="5"/>
        <v/>
      </c>
      <c r="O419" s="102" t="str">
        <f t="array" ref="O419">IF(ISBLANK(G419),"",INDEX('POR Config List'!C:C,MATCH(G419,'POR Config List'!D:D,0)))</f>
        <v/>
      </c>
      <c r="P419" s="105" t="str">
        <f t="shared" si="4"/>
        <v/>
      </c>
      <c r="Q419" s="105" t="str">
        <f t="array" ref="Q419">IF(ISBLANK(G419),"",INDEX('label approval artwork'!J:J,MATCH( G419,'label approval artwork'!F:F,0)))</f>
        <v/>
      </c>
      <c r="R419" s="105" t="str">
        <f t="array" ref="R419">IFERROR( IF(P419&lt;&gt;"EMA",INDEX('label approval artwork'!H:H,MATCH(G419,'label approval artwork'!F:F,0),"")),"")</f>
        <v/>
      </c>
      <c r="S419" s="105"/>
      <c r="T419" s="105" t="str">
        <f t="array" ref="T419">IF(ISBLANK(G419),"",INDEX('POR Config List'!I:I,MATCH(G419,'POR Config List'!D:D,0)))</f>
        <v/>
      </c>
      <c r="AA419" s="100" t="str">
        <f t="array" ref="AA419">IF(ISBLANK(G419),"",INDEX('POR Config List'!E:E,MATCH(G419,'POR Config List'!D:D,0)))</f>
        <v/>
      </c>
      <c r="AC419" s="105"/>
      <c r="AD419" s="100"/>
      <c r="AE419" s="100"/>
      <c r="AF419" s="100"/>
      <c r="AG419" s="100"/>
      <c r="AM419" s="102"/>
      <c r="AN419" s="102"/>
      <c r="AR419" s="119"/>
      <c r="AS419" s="103"/>
    </row>
    <row r="420">
      <c r="A420" s="168"/>
      <c r="B420" s="100" t="str">
        <f t="array" ref="B420">IFERROR( INDEX('POR Config List'!A:A,MATCH(G420,'POR Config List'!D:D,0)),"")</f>
        <v/>
      </c>
      <c r="C420" s="101" t="str">
        <f t="array" ref="C420">IFERROR(INDEX('label approval artwork'!E:E,MATCH(G420,'label approval artwork'!F:F,0),""),"")</f>
        <v/>
      </c>
      <c r="D420" s="102" t="str">
        <f t="shared" si="3"/>
        <v/>
      </c>
      <c r="E420" s="100" t="str">
        <f t="array" ref="E420">IF(ISBLANK(G420),"",INDEX('POR Config List'!K:K,MATCH(G420,'POR Config List'!D:D,0)))</f>
        <v/>
      </c>
      <c r="F420" s="100" t="str">
        <f t="array" ref="F420">IF(ISBLANK(G420),"",INDEX('POR Config List'!J:J,MATCH(G420,'POR Config List'!D:D,0)))</f>
        <v/>
      </c>
      <c r="G420" s="168"/>
      <c r="H420" s="104" t="str">
        <f t="array" ref="H420">IF(ISBLANK(G420),"",INDEX('MP SKUs'!G:G,MATCH(G420,'MP SKUs'!A:A,0)))</f>
        <v/>
      </c>
      <c r="I420" s="105" t="str">
        <f t="array" ref="I420">IF(ISBLANK(G420),"",INDEX('POR Config List'!O:O,MATCH(G420,'POR Config List'!D:D,0)))</f>
        <v/>
      </c>
      <c r="J420" s="104" t="str">
        <f t="array" ref="J420">IF(ISBLANK(G420),"",INDEX('POR Config List'!H:H,MATCH(G420,'POR Config List'!D:D,0)))</f>
        <v/>
      </c>
      <c r="K420" s="105" t="str">
        <f t="array" ref="K420">IF(ISBLANK(G420),"",INDEX('POR Config List'!G:G,MATCH(G420,'POR Config List'!D:D,0)))</f>
        <v/>
      </c>
      <c r="L420" s="105"/>
      <c r="M420" s="105" t="str">
        <f t="array" ref="M420">IF(ISBLANK(G420),"",INDEX('label approval artwork'!Q:Q,MATCH( G420,'label approval artwork'!F:F,0)))</f>
        <v/>
      </c>
      <c r="N420" s="169" t="str">
        <f t="shared" si="5"/>
        <v/>
      </c>
      <c r="O420" s="102" t="str">
        <f t="array" ref="O420">IF(ISBLANK(G420),"",INDEX('POR Config List'!C:C,MATCH(G420,'POR Config List'!D:D,0)))</f>
        <v/>
      </c>
      <c r="P420" s="105" t="str">
        <f t="shared" si="4"/>
        <v/>
      </c>
      <c r="Q420" s="105" t="str">
        <f t="array" ref="Q420">IF(ISBLANK(G420),"",INDEX('label approval artwork'!J:J,MATCH( G420,'label approval artwork'!F:F,0)))</f>
        <v/>
      </c>
      <c r="R420" s="105" t="str">
        <f t="array" ref="R420">IFERROR( IF(P420&lt;&gt;"EMA",INDEX('label approval artwork'!H:H,MATCH(G420,'label approval artwork'!F:F,0),"")),"")</f>
        <v/>
      </c>
      <c r="S420" s="105"/>
      <c r="T420" s="105" t="str">
        <f t="array" ref="T420">IF(ISBLANK(G420),"",INDEX('POR Config List'!I:I,MATCH(G420,'POR Config List'!D:D,0)))</f>
        <v/>
      </c>
      <c r="AA420" s="100" t="str">
        <f t="array" ref="AA420">IF(ISBLANK(G420),"",INDEX('POR Config List'!E:E,MATCH(G420,'POR Config List'!D:D,0)))</f>
        <v/>
      </c>
      <c r="AC420" s="105"/>
      <c r="AD420" s="100"/>
      <c r="AE420" s="100"/>
      <c r="AF420" s="100"/>
      <c r="AG420" s="100"/>
      <c r="AM420" s="102"/>
      <c r="AN420" s="102"/>
      <c r="AR420" s="119"/>
      <c r="AS420" s="103"/>
    </row>
    <row r="421">
      <c r="A421" s="168"/>
      <c r="B421" s="100" t="str">
        <f t="array" ref="B421">IFERROR( INDEX('POR Config List'!A:A,MATCH(G421,'POR Config List'!D:D,0)),"")</f>
        <v/>
      </c>
      <c r="C421" s="101" t="str">
        <f t="array" ref="C421">IFERROR(INDEX('label approval artwork'!E:E,MATCH(G421,'label approval artwork'!F:F,0),""),"")</f>
        <v/>
      </c>
      <c r="D421" s="102" t="str">
        <f t="shared" si="3"/>
        <v/>
      </c>
      <c r="E421" s="100" t="str">
        <f t="array" ref="E421">IF(ISBLANK(G421),"",INDEX('POR Config List'!K:K,MATCH(G421,'POR Config List'!D:D,0)))</f>
        <v/>
      </c>
      <c r="F421" s="100" t="str">
        <f t="array" ref="F421">IF(ISBLANK(G421),"",INDEX('POR Config List'!J:J,MATCH(G421,'POR Config List'!D:D,0)))</f>
        <v/>
      </c>
      <c r="G421" s="168"/>
      <c r="H421" s="104" t="str">
        <f t="array" ref="H421">IF(ISBLANK(G421),"",INDEX('MP SKUs'!G:G,MATCH(G421,'MP SKUs'!A:A,0)))</f>
        <v/>
      </c>
      <c r="I421" s="105" t="str">
        <f t="array" ref="I421">IF(ISBLANK(G421),"",INDEX('POR Config List'!O:O,MATCH(G421,'POR Config List'!D:D,0)))</f>
        <v/>
      </c>
      <c r="J421" s="104" t="str">
        <f t="array" ref="J421">IF(ISBLANK(G421),"",INDEX('POR Config List'!H:H,MATCH(G421,'POR Config List'!D:D,0)))</f>
        <v/>
      </c>
      <c r="K421" s="105" t="str">
        <f t="array" ref="K421">IF(ISBLANK(G421),"",INDEX('POR Config List'!G:G,MATCH(G421,'POR Config List'!D:D,0)))</f>
        <v/>
      </c>
      <c r="L421" s="105"/>
      <c r="M421" s="105" t="str">
        <f t="array" ref="M421">IF(ISBLANK(G421),"",INDEX('label approval artwork'!Q:Q,MATCH( G421,'label approval artwork'!F:F,0)))</f>
        <v/>
      </c>
      <c r="N421" s="169" t="str">
        <f t="shared" si="5"/>
        <v/>
      </c>
      <c r="O421" s="102" t="str">
        <f t="array" ref="O421">IF(ISBLANK(G421),"",INDEX('POR Config List'!C:C,MATCH(G421,'POR Config List'!D:D,0)))</f>
        <v/>
      </c>
      <c r="P421" s="105" t="str">
        <f t="shared" si="4"/>
        <v/>
      </c>
      <c r="Q421" s="105" t="str">
        <f t="array" ref="Q421">IF(ISBLANK(G421),"",INDEX('label approval artwork'!J:J,MATCH( G421,'label approval artwork'!F:F,0)))</f>
        <v/>
      </c>
      <c r="R421" s="105" t="str">
        <f t="array" ref="R421">IFERROR( IF(P421&lt;&gt;"EMA",INDEX('label approval artwork'!H:H,MATCH(G421,'label approval artwork'!F:F,0),"")),"")</f>
        <v/>
      </c>
      <c r="S421" s="105"/>
      <c r="T421" s="105" t="str">
        <f t="array" ref="T421">IF(ISBLANK(G421),"",INDEX('POR Config List'!I:I,MATCH(G421,'POR Config List'!D:D,0)))</f>
        <v/>
      </c>
      <c r="AA421" s="100" t="str">
        <f t="array" ref="AA421">IF(ISBLANK(G421),"",INDEX('POR Config List'!E:E,MATCH(G421,'POR Config List'!D:D,0)))</f>
        <v/>
      </c>
      <c r="AC421" s="105"/>
      <c r="AD421" s="100"/>
      <c r="AE421" s="100"/>
      <c r="AF421" s="100"/>
      <c r="AG421" s="100"/>
      <c r="AM421" s="102"/>
      <c r="AN421" s="102"/>
      <c r="AR421" s="119"/>
      <c r="AS421" s="103"/>
    </row>
    <row r="422">
      <c r="A422" s="168"/>
      <c r="B422" s="100" t="str">
        <f t="array" ref="B422">IFERROR( INDEX('POR Config List'!A:A,MATCH(G422,'POR Config List'!D:D,0)),"")</f>
        <v/>
      </c>
      <c r="C422" s="101" t="str">
        <f t="array" ref="C422">IFERROR(INDEX('label approval artwork'!E:E,MATCH(G422,'label approval artwork'!F:F,0),""),"")</f>
        <v/>
      </c>
      <c r="D422" s="102" t="str">
        <f t="shared" si="3"/>
        <v/>
      </c>
      <c r="E422" s="100" t="str">
        <f t="array" ref="E422">IF(ISBLANK(G422),"",INDEX('POR Config List'!K:K,MATCH(G422,'POR Config List'!D:D,0)))</f>
        <v/>
      </c>
      <c r="F422" s="100" t="str">
        <f t="array" ref="F422">IF(ISBLANK(G422),"",INDEX('POR Config List'!J:J,MATCH(G422,'POR Config List'!D:D,0)))</f>
        <v/>
      </c>
      <c r="G422" s="168"/>
      <c r="H422" s="104" t="str">
        <f t="array" ref="H422">IF(ISBLANK(G422),"",INDEX('MP SKUs'!G:G,MATCH(G422,'MP SKUs'!A:A,0)))</f>
        <v/>
      </c>
      <c r="I422" s="105" t="str">
        <f t="array" ref="I422">IF(ISBLANK(G422),"",INDEX('POR Config List'!O:O,MATCH(G422,'POR Config List'!D:D,0)))</f>
        <v/>
      </c>
      <c r="J422" s="104" t="str">
        <f t="array" ref="J422">IF(ISBLANK(G422),"",INDEX('POR Config List'!H:H,MATCH(G422,'POR Config List'!D:D,0)))</f>
        <v/>
      </c>
      <c r="K422" s="105" t="str">
        <f t="array" ref="K422">IF(ISBLANK(G422),"",INDEX('POR Config List'!G:G,MATCH(G422,'POR Config List'!D:D,0)))</f>
        <v/>
      </c>
      <c r="L422" s="105"/>
      <c r="M422" s="105" t="str">
        <f t="array" ref="M422">IF(ISBLANK(G422),"",INDEX('label approval artwork'!Q:Q,MATCH( G422,'label approval artwork'!F:F,0)))</f>
        <v/>
      </c>
      <c r="N422" s="169" t="str">
        <f t="shared" si="5"/>
        <v/>
      </c>
      <c r="O422" s="102" t="str">
        <f t="array" ref="O422">IF(ISBLANK(G422),"",INDEX('POR Config List'!C:C,MATCH(G422,'POR Config List'!D:D,0)))</f>
        <v/>
      </c>
      <c r="P422" s="105" t="str">
        <f t="shared" si="4"/>
        <v/>
      </c>
      <c r="Q422" s="105" t="str">
        <f t="array" ref="Q422">IF(ISBLANK(G422),"",INDEX('label approval artwork'!J:J,MATCH( G422,'label approval artwork'!F:F,0)))</f>
        <v/>
      </c>
      <c r="R422" s="105" t="str">
        <f t="array" ref="R422">IFERROR( IF(P422&lt;&gt;"EMA",INDEX('label approval artwork'!H:H,MATCH(G422,'label approval artwork'!F:F,0),"")),"")</f>
        <v/>
      </c>
      <c r="S422" s="105"/>
      <c r="T422" s="105" t="str">
        <f t="array" ref="T422">IF(ISBLANK(G422),"",INDEX('POR Config List'!I:I,MATCH(G422,'POR Config List'!D:D,0)))</f>
        <v/>
      </c>
      <c r="AA422" s="100" t="str">
        <f t="array" ref="AA422">IF(ISBLANK(G422),"",INDEX('POR Config List'!E:E,MATCH(G422,'POR Config List'!D:D,0)))</f>
        <v/>
      </c>
      <c r="AC422" s="105"/>
      <c r="AD422" s="100"/>
      <c r="AE422" s="100"/>
      <c r="AF422" s="100"/>
      <c r="AG422" s="100"/>
      <c r="AM422" s="102"/>
      <c r="AN422" s="102"/>
      <c r="AR422" s="119"/>
      <c r="AS422" s="103"/>
    </row>
    <row r="423">
      <c r="A423" s="168"/>
      <c r="B423" s="100" t="str">
        <f t="array" ref="B423">IFERROR( INDEX('POR Config List'!A:A,MATCH(G423,'POR Config List'!D:D,0)),"")</f>
        <v/>
      </c>
      <c r="C423" s="101" t="str">
        <f t="array" ref="C423">IFERROR(INDEX('label approval artwork'!E:E,MATCH(G423,'label approval artwork'!F:F,0),""),"")</f>
        <v/>
      </c>
      <c r="D423" s="102" t="str">
        <f t="shared" si="3"/>
        <v/>
      </c>
      <c r="E423" s="100" t="str">
        <f t="array" ref="E423">IF(ISBLANK(G423),"",INDEX('POR Config List'!K:K,MATCH(G423,'POR Config List'!D:D,0)))</f>
        <v/>
      </c>
      <c r="F423" s="100" t="str">
        <f t="array" ref="F423">IF(ISBLANK(G423),"",INDEX('POR Config List'!J:J,MATCH(G423,'POR Config List'!D:D,0)))</f>
        <v/>
      </c>
      <c r="G423" s="168"/>
      <c r="H423" s="104" t="str">
        <f t="array" ref="H423">IF(ISBLANK(G423),"",INDEX('MP SKUs'!G:G,MATCH(G423,'MP SKUs'!A:A,0)))</f>
        <v/>
      </c>
      <c r="I423" s="105" t="str">
        <f t="array" ref="I423">IF(ISBLANK(G423),"",INDEX('POR Config List'!O:O,MATCH(G423,'POR Config List'!D:D,0)))</f>
        <v/>
      </c>
      <c r="J423" s="104" t="str">
        <f t="array" ref="J423">IF(ISBLANK(G423),"",INDEX('POR Config List'!H:H,MATCH(G423,'POR Config List'!D:D,0)))</f>
        <v/>
      </c>
      <c r="K423" s="105" t="str">
        <f t="array" ref="K423">IF(ISBLANK(G423),"",INDEX('POR Config List'!G:G,MATCH(G423,'POR Config List'!D:D,0)))</f>
        <v/>
      </c>
      <c r="L423" s="105"/>
      <c r="M423" s="105" t="str">
        <f t="array" ref="M423">IF(ISBLANK(G423),"",INDEX('label approval artwork'!Q:Q,MATCH( G423,'label approval artwork'!F:F,0)))</f>
        <v/>
      </c>
      <c r="N423" s="169" t="str">
        <f t="shared" si="5"/>
        <v/>
      </c>
      <c r="O423" s="102" t="str">
        <f t="array" ref="O423">IF(ISBLANK(G423),"",INDEX('POR Config List'!C:C,MATCH(G423,'POR Config List'!D:D,0)))</f>
        <v/>
      </c>
      <c r="P423" s="105" t="str">
        <f t="shared" si="4"/>
        <v/>
      </c>
      <c r="Q423" s="105" t="str">
        <f t="array" ref="Q423">IF(ISBLANK(G423),"",INDEX('label approval artwork'!J:J,MATCH( G423,'label approval artwork'!F:F,0)))</f>
        <v/>
      </c>
      <c r="R423" s="105" t="str">
        <f t="array" ref="R423">IFERROR( IF(P423&lt;&gt;"EMA",INDEX('label approval artwork'!H:H,MATCH(G423,'label approval artwork'!F:F,0),"")),"")</f>
        <v/>
      </c>
      <c r="S423" s="105"/>
      <c r="T423" s="105" t="str">
        <f t="array" ref="T423">IF(ISBLANK(G423),"",INDEX('POR Config List'!I:I,MATCH(G423,'POR Config List'!D:D,0)))</f>
        <v/>
      </c>
      <c r="AA423" s="100" t="str">
        <f t="array" ref="AA423">IF(ISBLANK(G423),"",INDEX('POR Config List'!E:E,MATCH(G423,'POR Config List'!D:D,0)))</f>
        <v/>
      </c>
      <c r="AC423" s="105"/>
      <c r="AD423" s="100"/>
      <c r="AE423" s="100"/>
      <c r="AF423" s="100"/>
      <c r="AG423" s="100"/>
      <c r="AM423" s="102"/>
      <c r="AN423" s="102"/>
      <c r="AR423" s="119"/>
      <c r="AS423" s="103"/>
    </row>
    <row r="424">
      <c r="A424" s="168"/>
      <c r="B424" s="100" t="str">
        <f t="array" ref="B424">IFERROR( INDEX('POR Config List'!A:A,MATCH(G424,'POR Config List'!D:D,0)),"")</f>
        <v/>
      </c>
      <c r="C424" s="101" t="str">
        <f t="array" ref="C424">IFERROR(INDEX('label approval artwork'!E:E,MATCH(G424,'label approval artwork'!F:F,0),""),"")</f>
        <v/>
      </c>
      <c r="D424" s="102" t="str">
        <f t="shared" si="3"/>
        <v/>
      </c>
      <c r="E424" s="100" t="str">
        <f t="array" ref="E424">IF(ISBLANK(G424),"",INDEX('POR Config List'!K:K,MATCH(G424,'POR Config List'!D:D,0)))</f>
        <v/>
      </c>
      <c r="F424" s="100" t="str">
        <f t="array" ref="F424">IF(ISBLANK(G424),"",INDEX('POR Config List'!J:J,MATCH(G424,'POR Config List'!D:D,0)))</f>
        <v/>
      </c>
      <c r="G424" s="168"/>
      <c r="H424" s="104" t="str">
        <f t="array" ref="H424">IF(ISBLANK(G424),"",INDEX('MP SKUs'!G:G,MATCH(G424,'MP SKUs'!A:A,0)))</f>
        <v/>
      </c>
      <c r="I424" s="105" t="str">
        <f t="array" ref="I424">IF(ISBLANK(G424),"",INDEX('POR Config List'!O:O,MATCH(G424,'POR Config List'!D:D,0)))</f>
        <v/>
      </c>
      <c r="J424" s="104" t="str">
        <f t="array" ref="J424">IF(ISBLANK(G424),"",INDEX('POR Config List'!H:H,MATCH(G424,'POR Config List'!D:D,0)))</f>
        <v/>
      </c>
      <c r="K424" s="105" t="str">
        <f t="array" ref="K424">IF(ISBLANK(G424),"",INDEX('POR Config List'!G:G,MATCH(G424,'POR Config List'!D:D,0)))</f>
        <v/>
      </c>
      <c r="L424" s="105"/>
      <c r="M424" s="105" t="str">
        <f t="array" ref="M424">IF(ISBLANK(G424),"",INDEX('label approval artwork'!Q:Q,MATCH( G424,'label approval artwork'!F:F,0)))</f>
        <v/>
      </c>
      <c r="N424" s="169" t="str">
        <f t="shared" si="5"/>
        <v/>
      </c>
      <c r="O424" s="102" t="str">
        <f t="array" ref="O424">IF(ISBLANK(G424),"",INDEX('POR Config List'!C:C,MATCH(G424,'POR Config List'!D:D,0)))</f>
        <v/>
      </c>
      <c r="P424" s="105" t="str">
        <f t="shared" si="4"/>
        <v/>
      </c>
      <c r="Q424" s="105" t="str">
        <f t="array" ref="Q424">IF(ISBLANK(G424),"",INDEX('label approval artwork'!J:J,MATCH( G424,'label approval artwork'!F:F,0)))</f>
        <v/>
      </c>
      <c r="R424" s="105" t="str">
        <f t="array" ref="R424">IFERROR( IF(P424&lt;&gt;"EMA",INDEX('label approval artwork'!H:H,MATCH(G424,'label approval artwork'!F:F,0),"")),"")</f>
        <v/>
      </c>
      <c r="S424" s="105"/>
      <c r="T424" s="105" t="str">
        <f t="array" ref="T424">IF(ISBLANK(G424),"",INDEX('POR Config List'!I:I,MATCH(G424,'POR Config List'!D:D,0)))</f>
        <v/>
      </c>
      <c r="AA424" s="100" t="str">
        <f t="array" ref="AA424">IF(ISBLANK(G424),"",INDEX('POR Config List'!E:E,MATCH(G424,'POR Config List'!D:D,0)))</f>
        <v/>
      </c>
      <c r="AC424" s="105"/>
      <c r="AD424" s="100"/>
      <c r="AE424" s="100"/>
      <c r="AF424" s="100"/>
      <c r="AG424" s="100"/>
      <c r="AM424" s="102"/>
      <c r="AN424" s="102"/>
      <c r="AR424" s="119"/>
      <c r="AS424" s="103"/>
    </row>
    <row r="425">
      <c r="A425" s="168"/>
      <c r="B425" s="100" t="str">
        <f t="array" ref="B425">IFERROR( INDEX('POR Config List'!A:A,MATCH(G425,'POR Config List'!D:D,0)),"")</f>
        <v/>
      </c>
      <c r="C425" s="101" t="str">
        <f t="array" ref="C425">IFERROR(INDEX('label approval artwork'!E:E,MATCH(G425,'label approval artwork'!F:F,0),""),"")</f>
        <v/>
      </c>
      <c r="D425" s="102" t="str">
        <f t="shared" si="3"/>
        <v/>
      </c>
      <c r="E425" s="100" t="str">
        <f t="array" ref="E425">IF(ISBLANK(G425),"",INDEX('POR Config List'!K:K,MATCH(G425,'POR Config List'!D:D,0)))</f>
        <v/>
      </c>
      <c r="F425" s="100" t="str">
        <f t="array" ref="F425">IF(ISBLANK(G425),"",INDEX('POR Config List'!J:J,MATCH(G425,'POR Config List'!D:D,0)))</f>
        <v/>
      </c>
      <c r="G425" s="168"/>
      <c r="H425" s="104" t="str">
        <f t="array" ref="H425">IF(ISBLANK(G425),"",INDEX('MP SKUs'!G:G,MATCH(G425,'MP SKUs'!A:A,0)))</f>
        <v/>
      </c>
      <c r="I425" s="105" t="str">
        <f t="array" ref="I425">IF(ISBLANK(G425),"",INDEX('POR Config List'!O:O,MATCH(G425,'POR Config List'!D:D,0)))</f>
        <v/>
      </c>
      <c r="J425" s="104" t="str">
        <f t="array" ref="J425">IF(ISBLANK(G425),"",INDEX('POR Config List'!H:H,MATCH(G425,'POR Config List'!D:D,0)))</f>
        <v/>
      </c>
      <c r="K425" s="105" t="str">
        <f t="array" ref="K425">IF(ISBLANK(G425),"",INDEX('POR Config List'!G:G,MATCH(G425,'POR Config List'!D:D,0)))</f>
        <v/>
      </c>
      <c r="L425" s="105"/>
      <c r="M425" s="105" t="str">
        <f t="array" ref="M425">IF(ISBLANK(G425),"",INDEX('label approval artwork'!Q:Q,MATCH( G425,'label approval artwork'!F:F,0)))</f>
        <v/>
      </c>
      <c r="N425" s="169" t="str">
        <f t="shared" si="5"/>
        <v/>
      </c>
      <c r="O425" s="102" t="str">
        <f t="array" ref="O425">IF(ISBLANK(G425),"",INDEX('POR Config List'!C:C,MATCH(G425,'POR Config List'!D:D,0)))</f>
        <v/>
      </c>
      <c r="P425" s="105" t="str">
        <f t="shared" si="4"/>
        <v/>
      </c>
      <c r="Q425" s="105" t="str">
        <f t="array" ref="Q425">IF(ISBLANK(G425),"",INDEX('label approval artwork'!J:J,MATCH( G425,'label approval artwork'!F:F,0)))</f>
        <v/>
      </c>
      <c r="R425" s="105" t="str">
        <f t="array" ref="R425">IFERROR( IF(P425&lt;&gt;"EMA",INDEX('label approval artwork'!H:H,MATCH(G425,'label approval artwork'!F:F,0),"")),"")</f>
        <v/>
      </c>
      <c r="S425" s="105"/>
      <c r="T425" s="105" t="str">
        <f t="array" ref="T425">IF(ISBLANK(G425),"",INDEX('POR Config List'!I:I,MATCH(G425,'POR Config List'!D:D,0)))</f>
        <v/>
      </c>
      <c r="AA425" s="100" t="str">
        <f t="array" ref="AA425">IF(ISBLANK(G425),"",INDEX('POR Config List'!E:E,MATCH(G425,'POR Config List'!D:D,0)))</f>
        <v/>
      </c>
      <c r="AC425" s="105"/>
      <c r="AD425" s="100"/>
      <c r="AE425" s="100"/>
      <c r="AF425" s="100"/>
      <c r="AG425" s="100"/>
      <c r="AM425" s="102"/>
      <c r="AN425" s="102"/>
      <c r="AR425" s="119"/>
      <c r="AS425" s="103"/>
    </row>
    <row r="426">
      <c r="A426" s="168"/>
      <c r="B426" s="100" t="str">
        <f t="array" ref="B426">IFERROR( INDEX('POR Config List'!A:A,MATCH(G426,'POR Config List'!D:D,0)),"")</f>
        <v/>
      </c>
      <c r="C426" s="101" t="str">
        <f t="array" ref="C426">IFERROR(INDEX('label approval artwork'!E:E,MATCH(G426,'label approval artwork'!F:F,0),""),"")</f>
        <v/>
      </c>
      <c r="D426" s="102" t="str">
        <f t="shared" si="3"/>
        <v/>
      </c>
      <c r="E426" s="100" t="str">
        <f t="array" ref="E426">IF(ISBLANK(G426),"",INDEX('POR Config List'!K:K,MATCH(G426,'POR Config List'!D:D,0)))</f>
        <v/>
      </c>
      <c r="F426" s="100" t="str">
        <f t="array" ref="F426">IF(ISBLANK(G426),"",INDEX('POR Config List'!J:J,MATCH(G426,'POR Config List'!D:D,0)))</f>
        <v/>
      </c>
      <c r="G426" s="168"/>
      <c r="H426" s="104" t="str">
        <f t="array" ref="H426">IF(ISBLANK(G426),"",INDEX('MP SKUs'!G:G,MATCH(G426,'MP SKUs'!A:A,0)))</f>
        <v/>
      </c>
      <c r="I426" s="105" t="str">
        <f t="array" ref="I426">IF(ISBLANK(G426),"",INDEX('POR Config List'!O:O,MATCH(G426,'POR Config List'!D:D,0)))</f>
        <v/>
      </c>
      <c r="J426" s="104" t="str">
        <f t="array" ref="J426">IF(ISBLANK(G426),"",INDEX('POR Config List'!H:H,MATCH(G426,'POR Config List'!D:D,0)))</f>
        <v/>
      </c>
      <c r="K426" s="105" t="str">
        <f t="array" ref="K426">IF(ISBLANK(G426),"",INDEX('POR Config List'!G:G,MATCH(G426,'POR Config List'!D:D,0)))</f>
        <v/>
      </c>
      <c r="L426" s="105"/>
      <c r="M426" s="105" t="str">
        <f t="array" ref="M426">IF(ISBLANK(G426),"",INDEX('label approval artwork'!Q:Q,MATCH( G426,'label approval artwork'!F:F,0)))</f>
        <v/>
      </c>
      <c r="N426" s="169" t="str">
        <f t="shared" si="5"/>
        <v/>
      </c>
      <c r="O426" s="102" t="str">
        <f t="array" ref="O426">IF(ISBLANK(G426),"",INDEX('POR Config List'!C:C,MATCH(G426,'POR Config List'!D:D,0)))</f>
        <v/>
      </c>
      <c r="P426" s="105" t="str">
        <f t="shared" si="4"/>
        <v/>
      </c>
      <c r="Q426" s="105" t="str">
        <f t="array" ref="Q426">IF(ISBLANK(G426),"",INDEX('label approval artwork'!J:J,MATCH( G426,'label approval artwork'!F:F,0)))</f>
        <v/>
      </c>
      <c r="R426" s="105" t="str">
        <f t="array" ref="R426">IFERROR( IF(P426&lt;&gt;"EMA",INDEX('label approval artwork'!H:H,MATCH(G426,'label approval artwork'!F:F,0),"")),"")</f>
        <v/>
      </c>
      <c r="S426" s="105"/>
      <c r="T426" s="105" t="str">
        <f t="array" ref="T426">IF(ISBLANK(G426),"",INDEX('POR Config List'!I:I,MATCH(G426,'POR Config List'!D:D,0)))</f>
        <v/>
      </c>
      <c r="AA426" s="100" t="str">
        <f t="array" ref="AA426">IF(ISBLANK(G426),"",INDEX('POR Config List'!E:E,MATCH(G426,'POR Config List'!D:D,0)))</f>
        <v/>
      </c>
      <c r="AC426" s="105"/>
      <c r="AD426" s="100"/>
      <c r="AE426" s="100"/>
      <c r="AF426" s="100"/>
      <c r="AG426" s="100"/>
      <c r="AM426" s="102"/>
      <c r="AN426" s="102"/>
      <c r="AR426" s="119"/>
      <c r="AS426" s="103"/>
    </row>
    <row r="427">
      <c r="A427" s="168"/>
      <c r="B427" s="100" t="str">
        <f t="array" ref="B427">IFERROR( INDEX('POR Config List'!A:A,MATCH(G427,'POR Config List'!D:D,0)),"")</f>
        <v/>
      </c>
      <c r="C427" s="101" t="str">
        <f t="array" ref="C427">IFERROR(INDEX('label approval artwork'!E:E,MATCH(G427,'label approval artwork'!F:F,0),""),"")</f>
        <v/>
      </c>
      <c r="D427" s="102" t="str">
        <f t="shared" si="3"/>
        <v/>
      </c>
      <c r="E427" s="100" t="str">
        <f t="array" ref="E427">IF(ISBLANK(G427),"",INDEX('POR Config List'!K:K,MATCH(G427,'POR Config List'!D:D,0)))</f>
        <v/>
      </c>
      <c r="F427" s="100" t="str">
        <f t="array" ref="F427">IF(ISBLANK(G427),"",INDEX('POR Config List'!J:J,MATCH(G427,'POR Config List'!D:D,0)))</f>
        <v/>
      </c>
      <c r="G427" s="168"/>
      <c r="H427" s="104" t="str">
        <f t="array" ref="H427">IF(ISBLANK(G427),"",INDEX('MP SKUs'!G:G,MATCH(G427,'MP SKUs'!A:A,0)))</f>
        <v/>
      </c>
      <c r="I427" s="105" t="str">
        <f t="array" ref="I427">IF(ISBLANK(G427),"",INDEX('POR Config List'!O:O,MATCH(G427,'POR Config List'!D:D,0)))</f>
        <v/>
      </c>
      <c r="J427" s="104" t="str">
        <f t="array" ref="J427">IF(ISBLANK(G427),"",INDEX('POR Config List'!H:H,MATCH(G427,'POR Config List'!D:D,0)))</f>
        <v/>
      </c>
      <c r="K427" s="105" t="str">
        <f t="array" ref="K427">IF(ISBLANK(G427),"",INDEX('POR Config List'!G:G,MATCH(G427,'POR Config List'!D:D,0)))</f>
        <v/>
      </c>
      <c r="L427" s="105"/>
      <c r="M427" s="105" t="str">
        <f t="array" ref="M427">IF(ISBLANK(G427),"",INDEX('label approval artwork'!Q:Q,MATCH( G427,'label approval artwork'!F:F,0)))</f>
        <v/>
      </c>
      <c r="N427" s="169" t="str">
        <f t="shared" si="5"/>
        <v/>
      </c>
      <c r="O427" s="102" t="str">
        <f t="array" ref="O427">IF(ISBLANK(G427),"",INDEX('POR Config List'!C:C,MATCH(G427,'POR Config List'!D:D,0)))</f>
        <v/>
      </c>
      <c r="P427" s="105" t="str">
        <f t="shared" si="4"/>
        <v/>
      </c>
      <c r="Q427" s="105" t="str">
        <f t="array" ref="Q427">IF(ISBLANK(G427),"",INDEX('label approval artwork'!J:J,MATCH( G427,'label approval artwork'!F:F,0)))</f>
        <v/>
      </c>
      <c r="R427" s="105" t="str">
        <f t="array" ref="R427">IFERROR( IF(P427&lt;&gt;"EMA",INDEX('label approval artwork'!H:H,MATCH(G427,'label approval artwork'!F:F,0),"")),"")</f>
        <v/>
      </c>
      <c r="S427" s="105"/>
      <c r="T427" s="105" t="str">
        <f t="array" ref="T427">IF(ISBLANK(G427),"",INDEX('POR Config List'!I:I,MATCH(G427,'POR Config List'!D:D,0)))</f>
        <v/>
      </c>
      <c r="AA427" s="100" t="str">
        <f t="array" ref="AA427">IF(ISBLANK(G427),"",INDEX('POR Config List'!E:E,MATCH(G427,'POR Config List'!D:D,0)))</f>
        <v/>
      </c>
      <c r="AC427" s="105"/>
      <c r="AD427" s="100"/>
      <c r="AE427" s="100"/>
      <c r="AF427" s="100"/>
      <c r="AG427" s="100"/>
      <c r="AM427" s="102"/>
      <c r="AN427" s="102"/>
      <c r="AR427" s="119"/>
      <c r="AS427" s="103"/>
    </row>
    <row r="428">
      <c r="A428" s="168"/>
      <c r="B428" s="100" t="str">
        <f t="array" ref="B428">IFERROR( INDEX('POR Config List'!A:A,MATCH(G428,'POR Config List'!D:D,0)),"")</f>
        <v/>
      </c>
      <c r="C428" s="101" t="str">
        <f t="array" ref="C428">IFERROR(INDEX('label approval artwork'!E:E,MATCH(G428,'label approval artwork'!F:F,0),""),"")</f>
        <v/>
      </c>
      <c r="D428" s="102" t="str">
        <f t="shared" si="3"/>
        <v/>
      </c>
      <c r="E428" s="100" t="str">
        <f t="array" ref="E428">IF(ISBLANK(G428),"",INDEX('POR Config List'!K:K,MATCH(G428,'POR Config List'!D:D,0)))</f>
        <v/>
      </c>
      <c r="F428" s="100" t="str">
        <f t="array" ref="F428">IF(ISBLANK(G428),"",INDEX('POR Config List'!J:J,MATCH(G428,'POR Config List'!D:D,0)))</f>
        <v/>
      </c>
      <c r="G428" s="168"/>
      <c r="H428" s="104" t="str">
        <f t="array" ref="H428">IF(ISBLANK(G428),"",INDEX('MP SKUs'!G:G,MATCH(G428,'MP SKUs'!A:A,0)))</f>
        <v/>
      </c>
      <c r="I428" s="105" t="str">
        <f t="array" ref="I428">IF(ISBLANK(G428),"",INDEX('POR Config List'!O:O,MATCH(G428,'POR Config List'!D:D,0)))</f>
        <v/>
      </c>
      <c r="J428" s="104" t="str">
        <f t="array" ref="J428">IF(ISBLANK(G428),"",INDEX('POR Config List'!H:H,MATCH(G428,'POR Config List'!D:D,0)))</f>
        <v/>
      </c>
      <c r="K428" s="105" t="str">
        <f t="array" ref="K428">IF(ISBLANK(G428),"",INDEX('POR Config List'!G:G,MATCH(G428,'POR Config List'!D:D,0)))</f>
        <v/>
      </c>
      <c r="L428" s="105"/>
      <c r="M428" s="105" t="str">
        <f t="array" ref="M428">IF(ISBLANK(G428),"",INDEX('label approval artwork'!Q:Q,MATCH( G428,'label approval artwork'!F:F,0)))</f>
        <v/>
      </c>
      <c r="N428" s="169" t="str">
        <f t="shared" si="5"/>
        <v/>
      </c>
      <c r="O428" s="102" t="str">
        <f t="array" ref="O428">IF(ISBLANK(G428),"",INDEX('POR Config List'!C:C,MATCH(G428,'POR Config List'!D:D,0)))</f>
        <v/>
      </c>
      <c r="P428" s="105" t="str">
        <f t="shared" si="4"/>
        <v/>
      </c>
      <c r="Q428" s="105" t="str">
        <f t="array" ref="Q428">IF(ISBLANK(G428),"",INDEX('label approval artwork'!J:J,MATCH( G428,'label approval artwork'!F:F,0)))</f>
        <v/>
      </c>
      <c r="R428" s="105" t="str">
        <f t="array" ref="R428">IFERROR( IF(P428&lt;&gt;"EMA",INDEX('label approval artwork'!H:H,MATCH(G428,'label approval artwork'!F:F,0),"")),"")</f>
        <v/>
      </c>
      <c r="S428" s="105"/>
      <c r="T428" s="105" t="str">
        <f t="array" ref="T428">IF(ISBLANK(G428),"",INDEX('POR Config List'!I:I,MATCH(G428,'POR Config List'!D:D,0)))</f>
        <v/>
      </c>
      <c r="AA428" s="100" t="str">
        <f t="array" ref="AA428">IF(ISBLANK(G428),"",INDEX('POR Config List'!E:E,MATCH(G428,'POR Config List'!D:D,0)))</f>
        <v/>
      </c>
      <c r="AC428" s="105"/>
      <c r="AD428" s="100"/>
      <c r="AE428" s="100"/>
      <c r="AF428" s="100"/>
      <c r="AG428" s="100"/>
      <c r="AM428" s="102"/>
      <c r="AN428" s="102"/>
      <c r="AR428" s="119"/>
      <c r="AS428" s="103"/>
    </row>
    <row r="429">
      <c r="A429" s="168"/>
      <c r="B429" s="100" t="str">
        <f t="array" ref="B429">IFERROR( INDEX('POR Config List'!A:A,MATCH(G429,'POR Config List'!D:D,0)),"")</f>
        <v/>
      </c>
      <c r="C429" s="101" t="str">
        <f t="array" ref="C429">IFERROR(INDEX('label approval artwork'!E:E,MATCH(G429,'label approval artwork'!F:F,0),""),"")</f>
        <v/>
      </c>
      <c r="D429" s="102" t="str">
        <f t="shared" si="3"/>
        <v/>
      </c>
      <c r="E429" s="100" t="str">
        <f t="array" ref="E429">IF(ISBLANK(G429),"",INDEX('POR Config List'!K:K,MATCH(G429,'POR Config List'!D:D,0)))</f>
        <v/>
      </c>
      <c r="F429" s="100" t="str">
        <f t="array" ref="F429">IF(ISBLANK(G429),"",INDEX('POR Config List'!J:J,MATCH(G429,'POR Config List'!D:D,0)))</f>
        <v/>
      </c>
      <c r="G429" s="168"/>
      <c r="H429" s="104" t="str">
        <f t="array" ref="H429">IF(ISBLANK(G429),"",INDEX('MP SKUs'!G:G,MATCH(G429,'MP SKUs'!A:A,0)))</f>
        <v/>
      </c>
      <c r="I429" s="105" t="str">
        <f t="array" ref="I429">IF(ISBLANK(G429),"",INDEX('POR Config List'!O:O,MATCH(G429,'POR Config List'!D:D,0)))</f>
        <v/>
      </c>
      <c r="J429" s="104" t="str">
        <f t="array" ref="J429">IF(ISBLANK(G429),"",INDEX('POR Config List'!H:H,MATCH(G429,'POR Config List'!D:D,0)))</f>
        <v/>
      </c>
      <c r="K429" s="105" t="str">
        <f t="array" ref="K429">IF(ISBLANK(G429),"",INDEX('POR Config List'!G:G,MATCH(G429,'POR Config List'!D:D,0)))</f>
        <v/>
      </c>
      <c r="L429" s="105"/>
      <c r="M429" s="105" t="str">
        <f t="array" ref="M429">IF(ISBLANK(G429),"",INDEX('label approval artwork'!Q:Q,MATCH( G429,'label approval artwork'!F:F,0)))</f>
        <v/>
      </c>
      <c r="N429" s="169" t="str">
        <f t="shared" si="5"/>
        <v/>
      </c>
      <c r="O429" s="102" t="str">
        <f t="array" ref="O429">IF(ISBLANK(G429),"",INDEX('POR Config List'!C:C,MATCH(G429,'POR Config List'!D:D,0)))</f>
        <v/>
      </c>
      <c r="P429" s="105" t="str">
        <f t="shared" si="4"/>
        <v/>
      </c>
      <c r="Q429" s="105" t="str">
        <f t="array" ref="Q429">IF(ISBLANK(G429),"",INDEX('label approval artwork'!J:J,MATCH( G429,'label approval artwork'!F:F,0)))</f>
        <v/>
      </c>
      <c r="R429" s="105" t="str">
        <f t="array" ref="R429">IFERROR( IF(P429&lt;&gt;"EMA",INDEX('label approval artwork'!H:H,MATCH(G429,'label approval artwork'!F:F,0),"")),"")</f>
        <v/>
      </c>
      <c r="S429" s="105"/>
      <c r="T429" s="105" t="str">
        <f t="array" ref="T429">IF(ISBLANK(G429),"",INDEX('POR Config List'!I:I,MATCH(G429,'POR Config List'!D:D,0)))</f>
        <v/>
      </c>
      <c r="AA429" s="100" t="str">
        <f t="array" ref="AA429">IF(ISBLANK(G429),"",INDEX('POR Config List'!E:E,MATCH(G429,'POR Config List'!D:D,0)))</f>
        <v/>
      </c>
      <c r="AC429" s="105"/>
      <c r="AD429" s="100"/>
      <c r="AE429" s="100"/>
      <c r="AF429" s="100"/>
      <c r="AG429" s="100"/>
      <c r="AM429" s="102"/>
      <c r="AN429" s="102"/>
      <c r="AR429" s="119"/>
      <c r="AS429" s="103"/>
    </row>
    <row r="430">
      <c r="A430" s="168"/>
      <c r="B430" s="100" t="str">
        <f t="array" ref="B430">IFERROR( INDEX('POR Config List'!A:A,MATCH(G430,'POR Config List'!D:D,0)),"")</f>
        <v/>
      </c>
      <c r="C430" s="101" t="str">
        <f t="array" ref="C430">IFERROR(INDEX('label approval artwork'!E:E,MATCH(G430,'label approval artwork'!F:F,0),""),"")</f>
        <v/>
      </c>
      <c r="D430" s="102" t="str">
        <f t="shared" si="3"/>
        <v/>
      </c>
      <c r="E430" s="100" t="str">
        <f t="array" ref="E430">IF(ISBLANK(G430),"",INDEX('POR Config List'!K:K,MATCH(G430,'POR Config List'!D:D,0)))</f>
        <v/>
      </c>
      <c r="F430" s="100" t="str">
        <f t="array" ref="F430">IF(ISBLANK(G430),"",INDEX('POR Config List'!J:J,MATCH(G430,'POR Config List'!D:D,0)))</f>
        <v/>
      </c>
      <c r="G430" s="168"/>
      <c r="H430" s="104" t="str">
        <f t="array" ref="H430">IF(ISBLANK(G430),"",INDEX('MP SKUs'!G:G,MATCH(G430,'MP SKUs'!A:A,0)))</f>
        <v/>
      </c>
      <c r="I430" s="105" t="str">
        <f t="array" ref="I430">IF(ISBLANK(G430),"",INDEX('POR Config List'!O:O,MATCH(G430,'POR Config List'!D:D,0)))</f>
        <v/>
      </c>
      <c r="J430" s="104" t="str">
        <f t="array" ref="J430">IF(ISBLANK(G430),"",INDEX('POR Config List'!H:H,MATCH(G430,'POR Config List'!D:D,0)))</f>
        <v/>
      </c>
      <c r="K430" s="105" t="str">
        <f t="array" ref="K430">IF(ISBLANK(G430),"",INDEX('POR Config List'!G:G,MATCH(G430,'POR Config List'!D:D,0)))</f>
        <v/>
      </c>
      <c r="L430" s="105"/>
      <c r="M430" s="105" t="str">
        <f t="array" ref="M430">IF(ISBLANK(G430),"",INDEX('label approval artwork'!Q:Q,MATCH( G430,'label approval artwork'!F:F,0)))</f>
        <v/>
      </c>
      <c r="N430" s="169" t="str">
        <f t="shared" si="5"/>
        <v/>
      </c>
      <c r="O430" s="102" t="str">
        <f t="array" ref="O430">IF(ISBLANK(G430),"",INDEX('POR Config List'!C:C,MATCH(G430,'POR Config List'!D:D,0)))</f>
        <v/>
      </c>
      <c r="P430" s="105" t="str">
        <f t="shared" si="4"/>
        <v/>
      </c>
      <c r="Q430" s="105" t="str">
        <f t="array" ref="Q430">IF(ISBLANK(G430),"",INDEX('label approval artwork'!J:J,MATCH( G430,'label approval artwork'!F:F,0)))</f>
        <v/>
      </c>
      <c r="R430" s="105" t="str">
        <f t="array" ref="R430">IFERROR( IF(P430&lt;&gt;"EMA",INDEX('label approval artwork'!H:H,MATCH(G430,'label approval artwork'!F:F,0),"")),"")</f>
        <v/>
      </c>
      <c r="S430" s="105"/>
      <c r="T430" s="105" t="str">
        <f t="array" ref="T430">IF(ISBLANK(G430),"",INDEX('POR Config List'!I:I,MATCH(G430,'POR Config List'!D:D,0)))</f>
        <v/>
      </c>
      <c r="AA430" s="100" t="str">
        <f t="array" ref="AA430">IF(ISBLANK(G430),"",INDEX('POR Config List'!E:E,MATCH(G430,'POR Config List'!D:D,0)))</f>
        <v/>
      </c>
      <c r="AC430" s="105"/>
      <c r="AD430" s="100"/>
      <c r="AE430" s="100"/>
      <c r="AF430" s="100"/>
      <c r="AG430" s="100"/>
      <c r="AM430" s="102"/>
      <c r="AN430" s="102"/>
      <c r="AR430" s="119"/>
      <c r="AS430" s="103"/>
    </row>
    <row r="431">
      <c r="A431" s="168"/>
      <c r="B431" s="100" t="str">
        <f t="array" ref="B431">IFERROR( INDEX('POR Config List'!A:A,MATCH(G431,'POR Config List'!D:D,0)),"")</f>
        <v/>
      </c>
      <c r="C431" s="101" t="str">
        <f t="array" ref="C431">IFERROR(INDEX('label approval artwork'!E:E,MATCH(G431,'label approval artwork'!F:F,0),""),"")</f>
        <v/>
      </c>
      <c r="D431" s="102" t="str">
        <f t="shared" si="3"/>
        <v/>
      </c>
      <c r="E431" s="100" t="str">
        <f t="array" ref="E431">IF(ISBLANK(G431),"",INDEX('POR Config List'!K:K,MATCH(G431,'POR Config List'!D:D,0)))</f>
        <v/>
      </c>
      <c r="F431" s="100" t="str">
        <f t="array" ref="F431">IF(ISBLANK(G431),"",INDEX('POR Config List'!J:J,MATCH(G431,'POR Config List'!D:D,0)))</f>
        <v/>
      </c>
      <c r="G431" s="168"/>
      <c r="H431" s="104" t="str">
        <f t="array" ref="H431">IF(ISBLANK(G431),"",INDEX('MP SKUs'!G:G,MATCH(G431,'MP SKUs'!A:A,0)))</f>
        <v/>
      </c>
      <c r="I431" s="105" t="str">
        <f t="array" ref="I431">IF(ISBLANK(G431),"",INDEX('POR Config List'!O:O,MATCH(G431,'POR Config List'!D:D,0)))</f>
        <v/>
      </c>
      <c r="J431" s="104" t="str">
        <f t="array" ref="J431">IF(ISBLANK(G431),"",INDEX('POR Config List'!H:H,MATCH(G431,'POR Config List'!D:D,0)))</f>
        <v/>
      </c>
      <c r="K431" s="105" t="str">
        <f t="array" ref="K431">IF(ISBLANK(G431),"",INDEX('POR Config List'!G:G,MATCH(G431,'POR Config List'!D:D,0)))</f>
        <v/>
      </c>
      <c r="L431" s="105"/>
      <c r="M431" s="105" t="str">
        <f t="array" ref="M431">IF(ISBLANK(G431),"",INDEX('label approval artwork'!Q:Q,MATCH( G431,'label approval artwork'!F:F,0)))</f>
        <v/>
      </c>
      <c r="N431" s="169" t="str">
        <f t="shared" si="5"/>
        <v/>
      </c>
      <c r="O431" s="102" t="str">
        <f t="array" ref="O431">IF(ISBLANK(G431),"",INDEX('POR Config List'!C:C,MATCH(G431,'POR Config List'!D:D,0)))</f>
        <v/>
      </c>
      <c r="P431" s="105" t="str">
        <f t="shared" si="4"/>
        <v/>
      </c>
      <c r="Q431" s="105" t="str">
        <f t="array" ref="Q431">IF(ISBLANK(G431),"",INDEX('label approval artwork'!J:J,MATCH( G431,'label approval artwork'!F:F,0)))</f>
        <v/>
      </c>
      <c r="R431" s="105" t="str">
        <f t="array" ref="R431">IFERROR( IF(P431&lt;&gt;"EMA",INDEX('label approval artwork'!H:H,MATCH(G431,'label approval artwork'!F:F,0),"")),"")</f>
        <v/>
      </c>
      <c r="S431" s="105"/>
      <c r="T431" s="105" t="str">
        <f t="array" ref="T431">IF(ISBLANK(G431),"",INDEX('POR Config List'!I:I,MATCH(G431,'POR Config List'!D:D,0)))</f>
        <v/>
      </c>
      <c r="AA431" s="100" t="str">
        <f t="array" ref="AA431">IF(ISBLANK(G431),"",INDEX('POR Config List'!E:E,MATCH(G431,'POR Config List'!D:D,0)))</f>
        <v/>
      </c>
      <c r="AC431" s="105"/>
      <c r="AD431" s="100"/>
      <c r="AE431" s="100"/>
      <c r="AF431" s="100"/>
      <c r="AG431" s="100"/>
      <c r="AM431" s="102"/>
      <c r="AN431" s="102"/>
      <c r="AR431" s="119"/>
      <c r="AS431" s="103"/>
    </row>
    <row r="432">
      <c r="A432" s="168"/>
      <c r="B432" s="100" t="str">
        <f t="array" ref="B432">IFERROR( INDEX('POR Config List'!A:A,MATCH(G432,'POR Config List'!D:D,0)),"")</f>
        <v/>
      </c>
      <c r="C432" s="101" t="str">
        <f t="array" ref="C432">IFERROR(INDEX('label approval artwork'!E:E,MATCH(G432,'label approval artwork'!F:F,0),""),"")</f>
        <v/>
      </c>
      <c r="D432" s="102" t="str">
        <f t="shared" si="3"/>
        <v/>
      </c>
      <c r="E432" s="100" t="str">
        <f t="array" ref="E432">IF(ISBLANK(G432),"",INDEX('POR Config List'!K:K,MATCH(G432,'POR Config List'!D:D,0)))</f>
        <v/>
      </c>
      <c r="F432" s="100" t="str">
        <f t="array" ref="F432">IF(ISBLANK(G432),"",INDEX('POR Config List'!J:J,MATCH(G432,'POR Config List'!D:D,0)))</f>
        <v/>
      </c>
      <c r="G432" s="168"/>
      <c r="H432" s="104" t="str">
        <f t="array" ref="H432">IF(ISBLANK(G432),"",INDEX('MP SKUs'!G:G,MATCH(G432,'MP SKUs'!A:A,0)))</f>
        <v/>
      </c>
      <c r="I432" s="105" t="str">
        <f t="array" ref="I432">IF(ISBLANK(G432),"",INDEX('POR Config List'!O:O,MATCH(G432,'POR Config List'!D:D,0)))</f>
        <v/>
      </c>
      <c r="J432" s="104" t="str">
        <f t="array" ref="J432">IF(ISBLANK(G432),"",INDEX('POR Config List'!H:H,MATCH(G432,'POR Config List'!D:D,0)))</f>
        <v/>
      </c>
      <c r="K432" s="105" t="str">
        <f t="array" ref="K432">IF(ISBLANK(G432),"",INDEX('POR Config List'!G:G,MATCH(G432,'POR Config List'!D:D,0)))</f>
        <v/>
      </c>
      <c r="L432" s="105"/>
      <c r="M432" s="105" t="str">
        <f t="array" ref="M432">IF(ISBLANK(G432),"",INDEX('label approval artwork'!Q:Q,MATCH( G432,'label approval artwork'!F:F,0)))</f>
        <v/>
      </c>
      <c r="N432" s="169" t="str">
        <f t="shared" si="5"/>
        <v/>
      </c>
      <c r="O432" s="102" t="str">
        <f t="array" ref="O432">IF(ISBLANK(G432),"",INDEX('POR Config List'!C:C,MATCH(G432,'POR Config List'!D:D,0)))</f>
        <v/>
      </c>
      <c r="P432" s="105" t="str">
        <f t="shared" si="4"/>
        <v/>
      </c>
      <c r="Q432" s="105" t="str">
        <f t="array" ref="Q432">IF(ISBLANK(G432),"",INDEX('label approval artwork'!J:J,MATCH( G432,'label approval artwork'!F:F,0)))</f>
        <v/>
      </c>
      <c r="R432" s="105" t="str">
        <f t="array" ref="R432">IFERROR( IF(P432&lt;&gt;"EMA",INDEX('label approval artwork'!H:H,MATCH(G432,'label approval artwork'!F:F,0),"")),"")</f>
        <v/>
      </c>
      <c r="S432" s="105"/>
      <c r="T432" s="105" t="str">
        <f t="array" ref="T432">IF(ISBLANK(G432),"",INDEX('POR Config List'!I:I,MATCH(G432,'POR Config List'!D:D,0)))</f>
        <v/>
      </c>
      <c r="AA432" s="100" t="str">
        <f t="array" ref="AA432">IF(ISBLANK(G432),"",INDEX('POR Config List'!E:E,MATCH(G432,'POR Config List'!D:D,0)))</f>
        <v/>
      </c>
      <c r="AC432" s="105"/>
      <c r="AD432" s="100"/>
      <c r="AE432" s="100"/>
      <c r="AF432" s="100"/>
      <c r="AG432" s="100"/>
      <c r="AM432" s="102"/>
      <c r="AN432" s="102"/>
      <c r="AR432" s="119"/>
      <c r="AS432" s="103"/>
    </row>
    <row r="433">
      <c r="A433" s="168"/>
      <c r="B433" s="100" t="str">
        <f t="array" ref="B433">IFERROR( INDEX('POR Config List'!A:A,MATCH(G433,'POR Config List'!D:D,0)),"")</f>
        <v/>
      </c>
      <c r="C433" s="101" t="str">
        <f t="array" ref="C433">IFERROR(INDEX('label approval artwork'!E:E,MATCH(G433,'label approval artwork'!F:F,0),""),"")</f>
        <v/>
      </c>
      <c r="D433" s="102" t="str">
        <f t="shared" si="3"/>
        <v/>
      </c>
      <c r="E433" s="100" t="str">
        <f t="array" ref="E433">IF(ISBLANK(G433),"",INDEX('POR Config List'!K:K,MATCH(G433,'POR Config List'!D:D,0)))</f>
        <v/>
      </c>
      <c r="F433" s="100" t="str">
        <f t="array" ref="F433">IF(ISBLANK(G433),"",INDEX('POR Config List'!J:J,MATCH(G433,'POR Config List'!D:D,0)))</f>
        <v/>
      </c>
      <c r="G433" s="168"/>
      <c r="H433" s="104" t="str">
        <f t="array" ref="H433">IF(ISBLANK(G433),"",INDEX('MP SKUs'!G:G,MATCH(G433,'MP SKUs'!A:A,0)))</f>
        <v/>
      </c>
      <c r="I433" s="105" t="str">
        <f t="array" ref="I433">IF(ISBLANK(G433),"",INDEX('POR Config List'!O:O,MATCH(G433,'POR Config List'!D:D,0)))</f>
        <v/>
      </c>
      <c r="J433" s="104" t="str">
        <f t="array" ref="J433">IF(ISBLANK(G433),"",INDEX('POR Config List'!H:H,MATCH(G433,'POR Config List'!D:D,0)))</f>
        <v/>
      </c>
      <c r="K433" s="105" t="str">
        <f t="array" ref="K433">IF(ISBLANK(G433),"",INDEX('POR Config List'!G:G,MATCH(G433,'POR Config List'!D:D,0)))</f>
        <v/>
      </c>
      <c r="L433" s="105"/>
      <c r="M433" s="105" t="str">
        <f t="array" ref="M433">IF(ISBLANK(G433),"",INDEX('label approval artwork'!Q:Q,MATCH( G433,'label approval artwork'!F:F,0)))</f>
        <v/>
      </c>
      <c r="N433" s="169" t="str">
        <f t="shared" si="5"/>
        <v/>
      </c>
      <c r="O433" s="102" t="str">
        <f t="array" ref="O433">IF(ISBLANK(G433),"",INDEX('POR Config List'!C:C,MATCH(G433,'POR Config List'!D:D,0)))</f>
        <v/>
      </c>
      <c r="P433" s="105" t="str">
        <f t="shared" si="4"/>
        <v/>
      </c>
      <c r="Q433" s="105" t="str">
        <f t="array" ref="Q433">IF(ISBLANK(G433),"",INDEX('label approval artwork'!J:J,MATCH( G433,'label approval artwork'!F:F,0)))</f>
        <v/>
      </c>
      <c r="R433" s="105" t="str">
        <f t="array" ref="R433">IFERROR( IF(P433&lt;&gt;"EMA",INDEX('label approval artwork'!H:H,MATCH(G433,'label approval artwork'!F:F,0),"")),"")</f>
        <v/>
      </c>
      <c r="S433" s="105"/>
      <c r="T433" s="105" t="str">
        <f t="array" ref="T433">IF(ISBLANK(G433),"",INDEX('POR Config List'!I:I,MATCH(G433,'POR Config List'!D:D,0)))</f>
        <v/>
      </c>
      <c r="AA433" s="100" t="str">
        <f t="array" ref="AA433">IF(ISBLANK(G433),"",INDEX('POR Config List'!E:E,MATCH(G433,'POR Config List'!D:D,0)))</f>
        <v/>
      </c>
      <c r="AC433" s="105"/>
      <c r="AD433" s="100"/>
      <c r="AE433" s="100"/>
      <c r="AF433" s="100"/>
      <c r="AG433" s="100"/>
      <c r="AM433" s="102"/>
      <c r="AN433" s="102"/>
      <c r="AR433" s="119"/>
      <c r="AS433" s="103"/>
    </row>
    <row r="434">
      <c r="A434" s="168"/>
      <c r="B434" s="100" t="str">
        <f t="array" ref="B434">IFERROR( INDEX('POR Config List'!A:A,MATCH(G434,'POR Config List'!D:D,0)),"")</f>
        <v/>
      </c>
      <c r="C434" s="101" t="str">
        <f t="array" ref="C434">IFERROR(INDEX('label approval artwork'!E:E,MATCH(G434,'label approval artwork'!F:F,0),""),"")</f>
        <v/>
      </c>
      <c r="D434" s="102" t="str">
        <f t="shared" si="3"/>
        <v/>
      </c>
      <c r="E434" s="100" t="str">
        <f t="array" ref="E434">IF(ISBLANK(G434),"",INDEX('POR Config List'!K:K,MATCH(G434,'POR Config List'!D:D,0)))</f>
        <v/>
      </c>
      <c r="F434" s="100" t="str">
        <f t="array" ref="F434">IF(ISBLANK(G434),"",INDEX('POR Config List'!J:J,MATCH(G434,'POR Config List'!D:D,0)))</f>
        <v/>
      </c>
      <c r="G434" s="168"/>
      <c r="H434" s="104" t="str">
        <f t="array" ref="H434">IF(ISBLANK(G434),"",INDEX('MP SKUs'!G:G,MATCH(G434,'MP SKUs'!A:A,0)))</f>
        <v/>
      </c>
      <c r="I434" s="105" t="str">
        <f t="array" ref="I434">IF(ISBLANK(G434),"",INDEX('POR Config List'!O:O,MATCH(G434,'POR Config List'!D:D,0)))</f>
        <v/>
      </c>
      <c r="J434" s="104" t="str">
        <f t="array" ref="J434">IF(ISBLANK(G434),"",INDEX('POR Config List'!H:H,MATCH(G434,'POR Config List'!D:D,0)))</f>
        <v/>
      </c>
      <c r="K434" s="105" t="str">
        <f t="array" ref="K434">IF(ISBLANK(G434),"",INDEX('POR Config List'!G:G,MATCH(G434,'POR Config List'!D:D,0)))</f>
        <v/>
      </c>
      <c r="L434" s="105"/>
      <c r="M434" s="105" t="str">
        <f t="array" ref="M434">IF(ISBLANK(G434),"",INDEX('label approval artwork'!Q:Q,MATCH( G434,'label approval artwork'!F:F,0)))</f>
        <v/>
      </c>
      <c r="N434" s="169" t="str">
        <f t="shared" si="5"/>
        <v/>
      </c>
      <c r="O434" s="102" t="str">
        <f t="array" ref="O434">IF(ISBLANK(G434),"",INDEX('POR Config List'!C:C,MATCH(G434,'POR Config List'!D:D,0)))</f>
        <v/>
      </c>
      <c r="P434" s="105" t="str">
        <f t="shared" si="4"/>
        <v/>
      </c>
      <c r="Q434" s="105" t="str">
        <f t="array" ref="Q434">IF(ISBLANK(G434),"",INDEX('label approval artwork'!J:J,MATCH( G434,'label approval artwork'!F:F,0)))</f>
        <v/>
      </c>
      <c r="R434" s="105" t="str">
        <f t="array" ref="R434">IFERROR( IF(P434&lt;&gt;"EMA",INDEX('label approval artwork'!H:H,MATCH(G434,'label approval artwork'!F:F,0),"")),"")</f>
        <v/>
      </c>
      <c r="S434" s="105"/>
      <c r="T434" s="105" t="str">
        <f t="array" ref="T434">IF(ISBLANK(G434),"",INDEX('POR Config List'!I:I,MATCH(G434,'POR Config List'!D:D,0)))</f>
        <v/>
      </c>
      <c r="AA434" s="100" t="str">
        <f t="array" ref="AA434">IF(ISBLANK(G434),"",INDEX('POR Config List'!E:E,MATCH(G434,'POR Config List'!D:D,0)))</f>
        <v/>
      </c>
      <c r="AC434" s="105"/>
      <c r="AD434" s="100"/>
      <c r="AE434" s="100"/>
      <c r="AF434" s="100"/>
      <c r="AG434" s="100"/>
      <c r="AM434" s="102"/>
      <c r="AN434" s="102"/>
      <c r="AR434" s="119"/>
      <c r="AS434" s="103"/>
    </row>
    <row r="435">
      <c r="A435" s="168"/>
      <c r="B435" s="100" t="str">
        <f t="array" ref="B435">IFERROR( INDEX('POR Config List'!A:A,MATCH(G435,'POR Config List'!D:D,0)),"")</f>
        <v/>
      </c>
      <c r="C435" s="101" t="str">
        <f t="array" ref="C435">IFERROR(INDEX('label approval artwork'!E:E,MATCH(G435,'label approval artwork'!F:F,0),""),"")</f>
        <v/>
      </c>
      <c r="D435" s="102" t="str">
        <f t="shared" si="3"/>
        <v/>
      </c>
      <c r="E435" s="100" t="str">
        <f t="array" ref="E435">IF(ISBLANK(G435),"",INDEX('POR Config List'!K:K,MATCH(G435,'POR Config List'!D:D,0)))</f>
        <v/>
      </c>
      <c r="F435" s="100" t="str">
        <f t="array" ref="F435">IF(ISBLANK(G435),"",INDEX('POR Config List'!J:J,MATCH(G435,'POR Config List'!D:D,0)))</f>
        <v/>
      </c>
      <c r="G435" s="168"/>
      <c r="H435" s="104" t="str">
        <f t="array" ref="H435">IF(ISBLANK(G435),"",INDEX('MP SKUs'!G:G,MATCH(G435,'MP SKUs'!A:A,0)))</f>
        <v/>
      </c>
      <c r="I435" s="105" t="str">
        <f t="array" ref="I435">IF(ISBLANK(G435),"",INDEX('POR Config List'!O:O,MATCH(G435,'POR Config List'!D:D,0)))</f>
        <v/>
      </c>
      <c r="J435" s="104" t="str">
        <f t="array" ref="J435">IF(ISBLANK(G435),"",INDEX('POR Config List'!H:H,MATCH(G435,'POR Config List'!D:D,0)))</f>
        <v/>
      </c>
      <c r="K435" s="105" t="str">
        <f t="array" ref="K435">IF(ISBLANK(G435),"",INDEX('POR Config List'!G:G,MATCH(G435,'POR Config List'!D:D,0)))</f>
        <v/>
      </c>
      <c r="L435" s="105"/>
      <c r="M435" s="105" t="str">
        <f t="array" ref="M435">IF(ISBLANK(G435),"",INDEX('label approval artwork'!Q:Q,MATCH( G435,'label approval artwork'!F:F,0)))</f>
        <v/>
      </c>
      <c r="N435" s="169" t="str">
        <f t="shared" si="5"/>
        <v/>
      </c>
      <c r="O435" s="102" t="str">
        <f t="array" ref="O435">IF(ISBLANK(G435),"",INDEX('POR Config List'!C:C,MATCH(G435,'POR Config List'!D:D,0)))</f>
        <v/>
      </c>
      <c r="P435" s="105" t="str">
        <f t="shared" si="4"/>
        <v/>
      </c>
      <c r="Q435" s="105" t="str">
        <f t="array" ref="Q435">IF(ISBLANK(G435),"",INDEX('label approval artwork'!J:J,MATCH( G435,'label approval artwork'!F:F,0)))</f>
        <v/>
      </c>
      <c r="R435" s="105" t="str">
        <f t="array" ref="R435">IFERROR( IF(P435&lt;&gt;"EMA",INDEX('label approval artwork'!H:H,MATCH(G435,'label approval artwork'!F:F,0),"")),"")</f>
        <v/>
      </c>
      <c r="S435" s="105"/>
      <c r="T435" s="105" t="str">
        <f t="array" ref="T435">IF(ISBLANK(G435),"",INDEX('POR Config List'!I:I,MATCH(G435,'POR Config List'!D:D,0)))</f>
        <v/>
      </c>
      <c r="AA435" s="100" t="str">
        <f t="array" ref="AA435">IF(ISBLANK(G435),"",INDEX('POR Config List'!E:E,MATCH(G435,'POR Config List'!D:D,0)))</f>
        <v/>
      </c>
      <c r="AC435" s="105"/>
      <c r="AD435" s="100"/>
      <c r="AE435" s="100"/>
      <c r="AF435" s="100"/>
      <c r="AG435" s="100"/>
      <c r="AM435" s="102"/>
      <c r="AN435" s="102"/>
      <c r="AR435" s="119"/>
      <c r="AS435" s="103"/>
    </row>
    <row r="436">
      <c r="A436" s="168"/>
      <c r="B436" s="100" t="str">
        <f t="array" ref="B436">IFERROR( INDEX('POR Config List'!A:A,MATCH(G436,'POR Config List'!D:D,0)),"")</f>
        <v/>
      </c>
      <c r="C436" s="101" t="str">
        <f t="array" ref="C436">IFERROR(INDEX('label approval artwork'!E:E,MATCH(G436,'label approval artwork'!F:F,0),""),"")</f>
        <v/>
      </c>
      <c r="D436" s="102" t="str">
        <f t="shared" si="3"/>
        <v/>
      </c>
      <c r="E436" s="100" t="str">
        <f t="array" ref="E436">IF(ISBLANK(G436),"",INDEX('POR Config List'!K:K,MATCH(G436,'POR Config List'!D:D,0)))</f>
        <v/>
      </c>
      <c r="F436" s="100" t="str">
        <f t="array" ref="F436">IF(ISBLANK(G436),"",INDEX('POR Config List'!J:J,MATCH(G436,'POR Config List'!D:D,0)))</f>
        <v/>
      </c>
      <c r="G436" s="168"/>
      <c r="H436" s="104" t="str">
        <f t="array" ref="H436">IF(ISBLANK(G436),"",INDEX('MP SKUs'!G:G,MATCH(G436,'MP SKUs'!A:A,0)))</f>
        <v/>
      </c>
      <c r="I436" s="105" t="str">
        <f t="array" ref="I436">IF(ISBLANK(G436),"",INDEX('POR Config List'!O:O,MATCH(G436,'POR Config List'!D:D,0)))</f>
        <v/>
      </c>
      <c r="J436" s="104" t="str">
        <f t="array" ref="J436">IF(ISBLANK(G436),"",INDEX('POR Config List'!H:H,MATCH(G436,'POR Config List'!D:D,0)))</f>
        <v/>
      </c>
      <c r="K436" s="105" t="str">
        <f t="array" ref="K436">IF(ISBLANK(G436),"",INDEX('POR Config List'!G:G,MATCH(G436,'POR Config List'!D:D,0)))</f>
        <v/>
      </c>
      <c r="L436" s="105"/>
      <c r="M436" s="105" t="str">
        <f t="array" ref="M436">IF(ISBLANK(G436),"",INDEX('label approval artwork'!Q:Q,MATCH( G436,'label approval artwork'!F:F,0)))</f>
        <v/>
      </c>
      <c r="N436" s="169" t="str">
        <f t="shared" si="5"/>
        <v/>
      </c>
      <c r="O436" s="102" t="str">
        <f t="array" ref="O436">IF(ISBLANK(G436),"",INDEX('POR Config List'!C:C,MATCH(G436,'POR Config List'!D:D,0)))</f>
        <v/>
      </c>
      <c r="P436" s="105" t="str">
        <f t="shared" si="4"/>
        <v/>
      </c>
      <c r="Q436" s="105" t="str">
        <f t="array" ref="Q436">IF(ISBLANK(G436),"",INDEX('label approval artwork'!J:J,MATCH( G436,'label approval artwork'!F:F,0)))</f>
        <v/>
      </c>
      <c r="R436" s="105" t="str">
        <f t="array" ref="R436">IFERROR( IF(P436&lt;&gt;"EMA",INDEX('label approval artwork'!H:H,MATCH(G436,'label approval artwork'!F:F,0),"")),"")</f>
        <v/>
      </c>
      <c r="S436" s="105"/>
      <c r="T436" s="105" t="str">
        <f t="array" ref="T436">IF(ISBLANK(G436),"",INDEX('POR Config List'!I:I,MATCH(G436,'POR Config List'!D:D,0)))</f>
        <v/>
      </c>
      <c r="AA436" s="100" t="str">
        <f t="array" ref="AA436">IF(ISBLANK(G436),"",INDEX('POR Config List'!E:E,MATCH(G436,'POR Config List'!D:D,0)))</f>
        <v/>
      </c>
      <c r="AC436" s="105"/>
      <c r="AD436" s="100"/>
      <c r="AE436" s="100"/>
      <c r="AF436" s="100"/>
      <c r="AG436" s="100"/>
      <c r="AM436" s="102"/>
      <c r="AN436" s="102"/>
      <c r="AR436" s="119"/>
      <c r="AS436" s="103"/>
    </row>
    <row r="437">
      <c r="A437" s="168"/>
      <c r="B437" s="100" t="str">
        <f t="array" ref="B437">IFERROR( INDEX('POR Config List'!A:A,MATCH(G437,'POR Config List'!D:D,0)),"")</f>
        <v/>
      </c>
      <c r="C437" s="101" t="str">
        <f t="array" ref="C437">IFERROR(INDEX('label approval artwork'!E:E,MATCH(G437,'label approval artwork'!F:F,0),""),"")</f>
        <v/>
      </c>
      <c r="D437" s="102" t="str">
        <f t="shared" si="3"/>
        <v/>
      </c>
      <c r="E437" s="100" t="str">
        <f t="array" ref="E437">IF(ISBLANK(G437),"",INDEX('POR Config List'!K:K,MATCH(G437,'POR Config List'!D:D,0)))</f>
        <v/>
      </c>
      <c r="F437" s="100" t="str">
        <f t="array" ref="F437">IF(ISBLANK(G437),"",INDEX('POR Config List'!J:J,MATCH(G437,'POR Config List'!D:D,0)))</f>
        <v/>
      </c>
      <c r="G437" s="168"/>
      <c r="H437" s="104" t="str">
        <f t="array" ref="H437">IF(ISBLANK(G437),"",INDEX('MP SKUs'!G:G,MATCH(G437,'MP SKUs'!A:A,0)))</f>
        <v/>
      </c>
      <c r="I437" s="105" t="str">
        <f t="array" ref="I437">IF(ISBLANK(G437),"",INDEX('POR Config List'!O:O,MATCH(G437,'POR Config List'!D:D,0)))</f>
        <v/>
      </c>
      <c r="J437" s="104" t="str">
        <f t="array" ref="J437">IF(ISBLANK(G437),"",INDEX('POR Config List'!H:H,MATCH(G437,'POR Config List'!D:D,0)))</f>
        <v/>
      </c>
      <c r="K437" s="105" t="str">
        <f t="array" ref="K437">IF(ISBLANK(G437),"",INDEX('POR Config List'!G:G,MATCH(G437,'POR Config List'!D:D,0)))</f>
        <v/>
      </c>
      <c r="L437" s="105"/>
      <c r="M437" s="105" t="str">
        <f t="array" ref="M437">IF(ISBLANK(G437),"",INDEX('label approval artwork'!Q:Q,MATCH( G437,'label approval artwork'!F:F,0)))</f>
        <v/>
      </c>
      <c r="N437" s="169" t="str">
        <f t="shared" si="5"/>
        <v/>
      </c>
      <c r="O437" s="102" t="str">
        <f t="array" ref="O437">IF(ISBLANK(G437),"",INDEX('POR Config List'!C:C,MATCH(G437,'POR Config List'!D:D,0)))</f>
        <v/>
      </c>
      <c r="P437" s="105" t="str">
        <f t="shared" si="4"/>
        <v/>
      </c>
      <c r="Q437" s="105" t="str">
        <f t="array" ref="Q437">IF(ISBLANK(G437),"",INDEX('label approval artwork'!J:J,MATCH( G437,'label approval artwork'!F:F,0)))</f>
        <v/>
      </c>
      <c r="R437" s="105" t="str">
        <f t="array" ref="R437">IFERROR( IF(P437&lt;&gt;"EMA",INDEX('label approval artwork'!H:H,MATCH(G437,'label approval artwork'!F:F,0),"")),"")</f>
        <v/>
      </c>
      <c r="S437" s="105"/>
      <c r="T437" s="105" t="str">
        <f t="array" ref="T437">IF(ISBLANK(G437),"",INDEX('POR Config List'!I:I,MATCH(G437,'POR Config List'!D:D,0)))</f>
        <v/>
      </c>
      <c r="AA437" s="100" t="str">
        <f t="array" ref="AA437">IF(ISBLANK(G437),"",INDEX('POR Config List'!E:E,MATCH(G437,'POR Config List'!D:D,0)))</f>
        <v/>
      </c>
      <c r="AC437" s="105"/>
      <c r="AD437" s="100"/>
      <c r="AE437" s="100"/>
      <c r="AF437" s="100"/>
      <c r="AG437" s="100"/>
      <c r="AM437" s="102"/>
      <c r="AN437" s="102"/>
      <c r="AR437" s="119"/>
      <c r="AS437" s="103"/>
    </row>
    <row r="438">
      <c r="A438" s="168"/>
      <c r="B438" s="100" t="str">
        <f t="array" ref="B438">IFERROR( INDEX('POR Config List'!A:A,MATCH(G438,'POR Config List'!D:D,0)),"")</f>
        <v/>
      </c>
      <c r="C438" s="101" t="str">
        <f t="array" ref="C438">IFERROR(INDEX('label approval artwork'!E:E,MATCH(G438,'label approval artwork'!F:F,0),""),"")</f>
        <v/>
      </c>
      <c r="D438" s="102" t="str">
        <f t="shared" si="3"/>
        <v/>
      </c>
      <c r="E438" s="100" t="str">
        <f t="array" ref="E438">IF(ISBLANK(G438),"",INDEX('POR Config List'!K:K,MATCH(G438,'POR Config List'!D:D,0)))</f>
        <v/>
      </c>
      <c r="F438" s="100" t="str">
        <f t="array" ref="F438">IF(ISBLANK(G438),"",INDEX('POR Config List'!J:J,MATCH(G438,'POR Config List'!D:D,0)))</f>
        <v/>
      </c>
      <c r="G438" s="168"/>
      <c r="H438" s="104" t="str">
        <f t="array" ref="H438">IF(ISBLANK(G438),"",INDEX('MP SKUs'!G:G,MATCH(G438,'MP SKUs'!A:A,0)))</f>
        <v/>
      </c>
      <c r="I438" s="105" t="str">
        <f t="array" ref="I438">IF(ISBLANK(G438),"",INDEX('POR Config List'!O:O,MATCH(G438,'POR Config List'!D:D,0)))</f>
        <v/>
      </c>
      <c r="J438" s="104" t="str">
        <f t="array" ref="J438">IF(ISBLANK(G438),"",INDEX('POR Config List'!H:H,MATCH(G438,'POR Config List'!D:D,0)))</f>
        <v/>
      </c>
      <c r="K438" s="105" t="str">
        <f t="array" ref="K438">IF(ISBLANK(G438),"",INDEX('POR Config List'!G:G,MATCH(G438,'POR Config List'!D:D,0)))</f>
        <v/>
      </c>
      <c r="L438" s="105"/>
      <c r="M438" s="105" t="str">
        <f t="array" ref="M438">IF(ISBLANK(G438),"",INDEX('label approval artwork'!Q:Q,MATCH( G438,'label approval artwork'!F:F,0)))</f>
        <v/>
      </c>
      <c r="N438" s="169" t="str">
        <f t="shared" si="5"/>
        <v/>
      </c>
      <c r="O438" s="102" t="str">
        <f t="array" ref="O438">IF(ISBLANK(G438),"",INDEX('POR Config List'!C:C,MATCH(G438,'POR Config List'!D:D,0)))</f>
        <v/>
      </c>
      <c r="P438" s="105" t="str">
        <f t="shared" si="4"/>
        <v/>
      </c>
      <c r="Q438" s="105" t="str">
        <f t="array" ref="Q438">IF(ISBLANK(G438),"",INDEX('label approval artwork'!J:J,MATCH( G438,'label approval artwork'!F:F,0)))</f>
        <v/>
      </c>
      <c r="R438" s="105" t="str">
        <f t="array" ref="R438">IFERROR( IF(P438&lt;&gt;"EMA",INDEX('label approval artwork'!H:H,MATCH(G438,'label approval artwork'!F:F,0),"")),"")</f>
        <v/>
      </c>
      <c r="S438" s="105"/>
      <c r="T438" s="105" t="str">
        <f t="array" ref="T438">IF(ISBLANK(G438),"",INDEX('POR Config List'!I:I,MATCH(G438,'POR Config List'!D:D,0)))</f>
        <v/>
      </c>
      <c r="AA438" s="100" t="str">
        <f t="array" ref="AA438">IF(ISBLANK(G438),"",INDEX('POR Config List'!E:E,MATCH(G438,'POR Config List'!D:D,0)))</f>
        <v/>
      </c>
      <c r="AC438" s="105"/>
      <c r="AD438" s="100"/>
      <c r="AE438" s="100"/>
      <c r="AF438" s="100"/>
      <c r="AG438" s="100"/>
      <c r="AM438" s="102"/>
      <c r="AN438" s="102"/>
      <c r="AR438" s="119"/>
      <c r="AS438" s="103"/>
    </row>
    <row r="439">
      <c r="A439" s="168"/>
      <c r="B439" s="100" t="str">
        <f t="array" ref="B439">IFERROR( INDEX('POR Config List'!A:A,MATCH(G439,'POR Config List'!D:D,0)),"")</f>
        <v/>
      </c>
      <c r="C439" s="101" t="str">
        <f t="array" ref="C439">IFERROR(INDEX('label approval artwork'!E:E,MATCH(G439,'label approval artwork'!F:F,0),""),"")</f>
        <v/>
      </c>
      <c r="D439" s="102" t="str">
        <f t="shared" si="3"/>
        <v/>
      </c>
      <c r="E439" s="100" t="str">
        <f t="array" ref="E439">IF(ISBLANK(G439),"",INDEX('POR Config List'!K:K,MATCH(G439,'POR Config List'!D:D,0)))</f>
        <v/>
      </c>
      <c r="F439" s="100" t="str">
        <f t="array" ref="F439">IF(ISBLANK(G439),"",INDEX('POR Config List'!J:J,MATCH(G439,'POR Config List'!D:D,0)))</f>
        <v/>
      </c>
      <c r="G439" s="168"/>
      <c r="H439" s="104" t="str">
        <f t="array" ref="H439">IF(ISBLANK(G439),"",INDEX('MP SKUs'!G:G,MATCH(G439,'MP SKUs'!A:A,0)))</f>
        <v/>
      </c>
      <c r="I439" s="105" t="str">
        <f t="array" ref="I439">IF(ISBLANK(G439),"",INDEX('POR Config List'!O:O,MATCH(G439,'POR Config List'!D:D,0)))</f>
        <v/>
      </c>
      <c r="J439" s="104" t="str">
        <f t="array" ref="J439">IF(ISBLANK(G439),"",INDEX('POR Config List'!H:H,MATCH(G439,'POR Config List'!D:D,0)))</f>
        <v/>
      </c>
      <c r="K439" s="105" t="str">
        <f t="array" ref="K439">IF(ISBLANK(G439),"",INDEX('POR Config List'!G:G,MATCH(G439,'POR Config List'!D:D,0)))</f>
        <v/>
      </c>
      <c r="L439" s="105"/>
      <c r="M439" s="105" t="str">
        <f t="array" ref="M439">IF(ISBLANK(G439),"",INDEX('label approval artwork'!Q:Q,MATCH( G439,'label approval artwork'!F:F,0)))</f>
        <v/>
      </c>
      <c r="N439" s="169" t="str">
        <f t="shared" si="5"/>
        <v/>
      </c>
      <c r="O439" s="102" t="str">
        <f t="array" ref="O439">IF(ISBLANK(G439),"",INDEX('POR Config List'!C:C,MATCH(G439,'POR Config List'!D:D,0)))</f>
        <v/>
      </c>
      <c r="P439" s="105" t="str">
        <f t="shared" si="4"/>
        <v/>
      </c>
      <c r="Q439" s="105" t="str">
        <f t="array" ref="Q439">IF(ISBLANK(G439),"",INDEX('label approval artwork'!J:J,MATCH( G439,'label approval artwork'!F:F,0)))</f>
        <v/>
      </c>
      <c r="R439" s="105" t="str">
        <f t="array" ref="R439">IFERROR( IF(P439&lt;&gt;"EMA",INDEX('label approval artwork'!H:H,MATCH(G439,'label approval artwork'!F:F,0),"")),"")</f>
        <v/>
      </c>
      <c r="S439" s="105"/>
      <c r="T439" s="105" t="str">
        <f t="array" ref="T439">IF(ISBLANK(G439),"",INDEX('POR Config List'!I:I,MATCH(G439,'POR Config List'!D:D,0)))</f>
        <v/>
      </c>
      <c r="AA439" s="100" t="str">
        <f t="array" ref="AA439">IF(ISBLANK(G439),"",INDEX('POR Config List'!E:E,MATCH(G439,'POR Config List'!D:D,0)))</f>
        <v/>
      </c>
      <c r="AC439" s="105"/>
      <c r="AD439" s="100"/>
      <c r="AE439" s="100"/>
      <c r="AF439" s="100"/>
      <c r="AG439" s="100"/>
      <c r="AM439" s="102"/>
      <c r="AN439" s="102"/>
      <c r="AR439" s="119"/>
      <c r="AS439" s="103"/>
    </row>
    <row r="440">
      <c r="A440" s="168"/>
      <c r="B440" s="100" t="str">
        <f t="array" ref="B440">IFERROR( INDEX('POR Config List'!A:A,MATCH(G440,'POR Config List'!D:D,0)),"")</f>
        <v/>
      </c>
      <c r="C440" s="101" t="str">
        <f t="array" ref="C440">IFERROR(INDEX('label approval artwork'!E:E,MATCH(G440,'label approval artwork'!F:F,0),""),"")</f>
        <v/>
      </c>
      <c r="D440" s="102" t="str">
        <f t="shared" si="3"/>
        <v/>
      </c>
      <c r="E440" s="100" t="str">
        <f t="array" ref="E440">IF(ISBLANK(G440),"",INDEX('POR Config List'!K:K,MATCH(G440,'POR Config List'!D:D,0)))</f>
        <v/>
      </c>
      <c r="F440" s="100" t="str">
        <f t="array" ref="F440">IF(ISBLANK(G440),"",INDEX('POR Config List'!J:J,MATCH(G440,'POR Config List'!D:D,0)))</f>
        <v/>
      </c>
      <c r="G440" s="168"/>
      <c r="H440" s="104" t="str">
        <f t="array" ref="H440">IF(ISBLANK(G440),"",INDEX('MP SKUs'!G:G,MATCH(G440,'MP SKUs'!A:A,0)))</f>
        <v/>
      </c>
      <c r="I440" s="105" t="str">
        <f t="array" ref="I440">IF(ISBLANK(G440),"",INDEX('POR Config List'!O:O,MATCH(G440,'POR Config List'!D:D,0)))</f>
        <v/>
      </c>
      <c r="J440" s="104" t="str">
        <f t="array" ref="J440">IF(ISBLANK(G440),"",INDEX('POR Config List'!H:H,MATCH(G440,'POR Config List'!D:D,0)))</f>
        <v/>
      </c>
      <c r="K440" s="105" t="str">
        <f t="array" ref="K440">IF(ISBLANK(G440),"",INDEX('POR Config List'!G:G,MATCH(G440,'POR Config List'!D:D,0)))</f>
        <v/>
      </c>
      <c r="L440" s="105"/>
      <c r="M440" s="105" t="str">
        <f t="array" ref="M440">IF(ISBLANK(G440),"",INDEX('label approval artwork'!Q:Q,MATCH( G440,'label approval artwork'!F:F,0)))</f>
        <v/>
      </c>
      <c r="N440" s="169" t="str">
        <f t="shared" si="5"/>
        <v/>
      </c>
      <c r="O440" s="102" t="str">
        <f t="array" ref="O440">IF(ISBLANK(G440),"",INDEX('POR Config List'!C:C,MATCH(G440,'POR Config List'!D:D,0)))</f>
        <v/>
      </c>
      <c r="P440" s="105" t="str">
        <f t="shared" si="4"/>
        <v/>
      </c>
      <c r="Q440" s="105" t="str">
        <f t="array" ref="Q440">IF(ISBLANK(G440),"",INDEX('label approval artwork'!J:J,MATCH( G440,'label approval artwork'!F:F,0)))</f>
        <v/>
      </c>
      <c r="R440" s="105" t="str">
        <f t="array" ref="R440">IFERROR( IF(P440&lt;&gt;"EMA",INDEX('label approval artwork'!H:H,MATCH(G440,'label approval artwork'!F:F,0),"")),"")</f>
        <v/>
      </c>
      <c r="S440" s="105"/>
      <c r="T440" s="105" t="str">
        <f t="array" ref="T440">IF(ISBLANK(G440),"",INDEX('POR Config List'!I:I,MATCH(G440,'POR Config List'!D:D,0)))</f>
        <v/>
      </c>
      <c r="AA440" s="100" t="str">
        <f t="array" ref="AA440">IF(ISBLANK(G440),"",INDEX('POR Config List'!E:E,MATCH(G440,'POR Config List'!D:D,0)))</f>
        <v/>
      </c>
      <c r="AC440" s="105"/>
      <c r="AD440" s="100"/>
      <c r="AE440" s="100"/>
      <c r="AF440" s="100"/>
      <c r="AG440" s="100"/>
      <c r="AM440" s="102"/>
      <c r="AN440" s="102"/>
      <c r="AR440" s="119"/>
      <c r="AS440" s="103"/>
    </row>
    <row r="441">
      <c r="A441" s="168"/>
      <c r="B441" s="100" t="str">
        <f t="array" ref="B441">IFERROR( INDEX('POR Config List'!A:A,MATCH(G441,'POR Config List'!D:D,0)),"")</f>
        <v/>
      </c>
      <c r="C441" s="101" t="str">
        <f t="array" ref="C441">IFERROR(INDEX('label approval artwork'!E:E,MATCH(G441,'label approval artwork'!F:F,0),""),"")</f>
        <v/>
      </c>
      <c r="D441" s="102" t="str">
        <f t="shared" si="3"/>
        <v/>
      </c>
      <c r="E441" s="100" t="str">
        <f t="array" ref="E441">IF(ISBLANK(G441),"",INDEX('POR Config List'!K:K,MATCH(G441,'POR Config List'!D:D,0)))</f>
        <v/>
      </c>
      <c r="F441" s="100" t="str">
        <f t="array" ref="F441">IF(ISBLANK(G441),"",INDEX('POR Config List'!J:J,MATCH(G441,'POR Config List'!D:D,0)))</f>
        <v/>
      </c>
      <c r="G441" s="168"/>
      <c r="H441" s="104" t="str">
        <f t="array" ref="H441">IF(ISBLANK(G441),"",INDEX('MP SKUs'!G:G,MATCH(G441,'MP SKUs'!A:A,0)))</f>
        <v/>
      </c>
      <c r="I441" s="105" t="str">
        <f t="array" ref="I441">IF(ISBLANK(G441),"",INDEX('POR Config List'!O:O,MATCH(G441,'POR Config List'!D:D,0)))</f>
        <v/>
      </c>
      <c r="J441" s="104" t="str">
        <f t="array" ref="J441">IF(ISBLANK(G441),"",INDEX('POR Config List'!H:H,MATCH(G441,'POR Config List'!D:D,0)))</f>
        <v/>
      </c>
      <c r="K441" s="105" t="str">
        <f t="array" ref="K441">IF(ISBLANK(G441),"",INDEX('POR Config List'!G:G,MATCH(G441,'POR Config List'!D:D,0)))</f>
        <v/>
      </c>
      <c r="L441" s="105"/>
      <c r="M441" s="105" t="str">
        <f t="array" ref="M441">IF(ISBLANK(G441),"",INDEX('label approval artwork'!Q:Q,MATCH( G441,'label approval artwork'!F:F,0)))</f>
        <v/>
      </c>
      <c r="N441" s="169" t="str">
        <f t="shared" si="5"/>
        <v/>
      </c>
      <c r="O441" s="102" t="str">
        <f t="array" ref="O441">IF(ISBLANK(G441),"",INDEX('POR Config List'!C:C,MATCH(G441,'POR Config List'!D:D,0)))</f>
        <v/>
      </c>
      <c r="P441" s="105" t="str">
        <f t="shared" si="4"/>
        <v/>
      </c>
      <c r="Q441" s="105" t="str">
        <f t="array" ref="Q441">IF(ISBLANK(G441),"",INDEX('label approval artwork'!J:J,MATCH( G441,'label approval artwork'!F:F,0)))</f>
        <v/>
      </c>
      <c r="R441" s="105" t="str">
        <f t="array" ref="R441">IFERROR( IF(P441&lt;&gt;"EMA",INDEX('label approval artwork'!H:H,MATCH(G441,'label approval artwork'!F:F,0),"")),"")</f>
        <v/>
      </c>
      <c r="S441" s="105"/>
      <c r="T441" s="105" t="str">
        <f t="array" ref="T441">IF(ISBLANK(G441),"",INDEX('POR Config List'!I:I,MATCH(G441,'POR Config List'!D:D,0)))</f>
        <v/>
      </c>
      <c r="AA441" s="100" t="str">
        <f t="array" ref="AA441">IF(ISBLANK(G441),"",INDEX('POR Config List'!E:E,MATCH(G441,'POR Config List'!D:D,0)))</f>
        <v/>
      </c>
      <c r="AC441" s="105"/>
      <c r="AD441" s="100"/>
      <c r="AE441" s="100"/>
      <c r="AF441" s="100"/>
      <c r="AG441" s="100"/>
      <c r="AM441" s="102"/>
      <c r="AN441" s="102"/>
      <c r="AR441" s="119"/>
      <c r="AS441" s="103"/>
    </row>
    <row r="442">
      <c r="A442" s="168"/>
      <c r="B442" s="100" t="str">
        <f t="array" ref="B442">IFERROR( INDEX('POR Config List'!A:A,MATCH(G442,'POR Config List'!D:D,0)),"")</f>
        <v/>
      </c>
      <c r="C442" s="101" t="str">
        <f t="array" ref="C442">IFERROR(INDEX('label approval artwork'!E:E,MATCH(G442,'label approval artwork'!F:F,0),""),"")</f>
        <v/>
      </c>
      <c r="D442" s="102" t="str">
        <f t="shared" si="3"/>
        <v/>
      </c>
      <c r="E442" s="100" t="str">
        <f t="array" ref="E442">IF(ISBLANK(G442),"",INDEX('POR Config List'!K:K,MATCH(G442,'POR Config List'!D:D,0)))</f>
        <v/>
      </c>
      <c r="F442" s="100" t="str">
        <f t="array" ref="F442">IF(ISBLANK(G442),"",INDEX('POR Config List'!J:J,MATCH(G442,'POR Config List'!D:D,0)))</f>
        <v/>
      </c>
      <c r="G442" s="168"/>
      <c r="H442" s="104" t="str">
        <f t="array" ref="H442">IF(ISBLANK(G442),"",INDEX('MP SKUs'!G:G,MATCH(G442,'MP SKUs'!A:A,0)))</f>
        <v/>
      </c>
      <c r="I442" s="105" t="str">
        <f t="array" ref="I442">IF(ISBLANK(G442),"",INDEX('POR Config List'!O:O,MATCH(G442,'POR Config List'!D:D,0)))</f>
        <v/>
      </c>
      <c r="J442" s="104" t="str">
        <f t="array" ref="J442">IF(ISBLANK(G442),"",INDEX('POR Config List'!H:H,MATCH(G442,'POR Config List'!D:D,0)))</f>
        <v/>
      </c>
      <c r="K442" s="105" t="str">
        <f t="array" ref="K442">IF(ISBLANK(G442),"",INDEX('POR Config List'!G:G,MATCH(G442,'POR Config List'!D:D,0)))</f>
        <v/>
      </c>
      <c r="L442" s="105"/>
      <c r="M442" s="105" t="str">
        <f t="array" ref="M442">IF(ISBLANK(G442),"",INDEX('label approval artwork'!Q:Q,MATCH( G442,'label approval artwork'!F:F,0)))</f>
        <v/>
      </c>
      <c r="N442" s="169" t="str">
        <f t="shared" si="5"/>
        <v/>
      </c>
      <c r="O442" s="102" t="str">
        <f t="array" ref="O442">IF(ISBLANK(G442),"",INDEX('POR Config List'!C:C,MATCH(G442,'POR Config List'!D:D,0)))</f>
        <v/>
      </c>
      <c r="P442" s="105" t="str">
        <f t="shared" si="4"/>
        <v/>
      </c>
      <c r="Q442" s="105" t="str">
        <f t="array" ref="Q442">IF(ISBLANK(G442),"",INDEX('label approval artwork'!J:J,MATCH( G442,'label approval artwork'!F:F,0)))</f>
        <v/>
      </c>
      <c r="R442" s="105" t="str">
        <f t="array" ref="R442">IFERROR( IF(P442&lt;&gt;"EMA",INDEX('label approval artwork'!H:H,MATCH(G442,'label approval artwork'!F:F,0),"")),"")</f>
        <v/>
      </c>
      <c r="S442" s="105"/>
      <c r="T442" s="105" t="str">
        <f t="array" ref="T442">IF(ISBLANK(G442),"",INDEX('POR Config List'!I:I,MATCH(G442,'POR Config List'!D:D,0)))</f>
        <v/>
      </c>
      <c r="AA442" s="100" t="str">
        <f t="array" ref="AA442">IF(ISBLANK(G442),"",INDEX('POR Config List'!E:E,MATCH(G442,'POR Config List'!D:D,0)))</f>
        <v/>
      </c>
      <c r="AC442" s="105"/>
      <c r="AD442" s="100"/>
      <c r="AE442" s="100"/>
      <c r="AF442" s="100"/>
      <c r="AG442" s="100"/>
      <c r="AM442" s="102"/>
      <c r="AN442" s="102"/>
      <c r="AR442" s="119"/>
      <c r="AS442" s="103"/>
    </row>
    <row r="443">
      <c r="A443" s="168"/>
      <c r="B443" s="100" t="str">
        <f t="array" ref="B443">IFERROR( INDEX('POR Config List'!A:A,MATCH(G443,'POR Config List'!D:D,0)),"")</f>
        <v/>
      </c>
      <c r="C443" s="101" t="str">
        <f t="array" ref="C443">IFERROR(INDEX('label approval artwork'!E:E,MATCH(G443,'label approval artwork'!F:F,0),""),"")</f>
        <v/>
      </c>
      <c r="D443" s="102" t="str">
        <f t="shared" si="3"/>
        <v/>
      </c>
      <c r="E443" s="100" t="str">
        <f t="array" ref="E443">IF(ISBLANK(G443),"",INDEX('POR Config List'!K:K,MATCH(G443,'POR Config List'!D:D,0)))</f>
        <v/>
      </c>
      <c r="F443" s="100" t="str">
        <f t="array" ref="F443">IF(ISBLANK(G443),"",INDEX('POR Config List'!J:J,MATCH(G443,'POR Config List'!D:D,0)))</f>
        <v/>
      </c>
      <c r="G443" s="168"/>
      <c r="H443" s="104" t="str">
        <f t="array" ref="H443">IF(ISBLANK(G443),"",INDEX('MP SKUs'!G:G,MATCH(G443,'MP SKUs'!A:A,0)))</f>
        <v/>
      </c>
      <c r="I443" s="105" t="str">
        <f t="array" ref="I443">IF(ISBLANK(G443),"",INDEX('POR Config List'!O:O,MATCH(G443,'POR Config List'!D:D,0)))</f>
        <v/>
      </c>
      <c r="J443" s="104" t="str">
        <f t="array" ref="J443">IF(ISBLANK(G443),"",INDEX('POR Config List'!H:H,MATCH(G443,'POR Config List'!D:D,0)))</f>
        <v/>
      </c>
      <c r="K443" s="105" t="str">
        <f t="array" ref="K443">IF(ISBLANK(G443),"",INDEX('POR Config List'!G:G,MATCH(G443,'POR Config List'!D:D,0)))</f>
        <v/>
      </c>
      <c r="L443" s="105"/>
      <c r="M443" s="105" t="str">
        <f t="array" ref="M443">IF(ISBLANK(G443),"",INDEX('label approval artwork'!Q:Q,MATCH( G443,'label approval artwork'!F:F,0)))</f>
        <v/>
      </c>
      <c r="N443" s="169" t="str">
        <f t="shared" si="5"/>
        <v/>
      </c>
      <c r="O443" s="102" t="str">
        <f t="array" ref="O443">IF(ISBLANK(G443),"",INDEX('POR Config List'!C:C,MATCH(G443,'POR Config List'!D:D,0)))</f>
        <v/>
      </c>
      <c r="P443" s="105" t="str">
        <f t="shared" si="4"/>
        <v/>
      </c>
      <c r="Q443" s="105" t="str">
        <f t="array" ref="Q443">IF(ISBLANK(G443),"",INDEX('label approval artwork'!J:J,MATCH( G443,'label approval artwork'!F:F,0)))</f>
        <v/>
      </c>
      <c r="R443" s="105" t="str">
        <f t="array" ref="R443">IFERROR( IF(P443&lt;&gt;"EMA",INDEX('label approval artwork'!H:H,MATCH(G443,'label approval artwork'!F:F,0),"")),"")</f>
        <v/>
      </c>
      <c r="S443" s="105"/>
      <c r="T443" s="105" t="str">
        <f t="array" ref="T443">IF(ISBLANK(G443),"",INDEX('POR Config List'!I:I,MATCH(G443,'POR Config List'!D:D,0)))</f>
        <v/>
      </c>
      <c r="AA443" s="100" t="str">
        <f t="array" ref="AA443">IF(ISBLANK(G443),"",INDEX('POR Config List'!E:E,MATCH(G443,'POR Config List'!D:D,0)))</f>
        <v/>
      </c>
      <c r="AC443" s="105"/>
      <c r="AD443" s="100"/>
      <c r="AE443" s="100"/>
      <c r="AF443" s="100"/>
      <c r="AG443" s="100"/>
      <c r="AM443" s="102"/>
      <c r="AN443" s="102"/>
      <c r="AR443" s="119"/>
      <c r="AS443" s="103"/>
    </row>
    <row r="444">
      <c r="A444" s="168"/>
      <c r="B444" s="100" t="str">
        <f t="array" ref="B444">IFERROR( INDEX('POR Config List'!A:A,MATCH(G444,'POR Config List'!D:D,0)),"")</f>
        <v/>
      </c>
      <c r="C444" s="101" t="str">
        <f t="array" ref="C444">IFERROR(INDEX('label approval artwork'!E:E,MATCH(G444,'label approval artwork'!F:F,0),""),"")</f>
        <v/>
      </c>
      <c r="D444" s="102" t="str">
        <f t="shared" si="3"/>
        <v/>
      </c>
      <c r="E444" s="100" t="str">
        <f t="array" ref="E444">IF(ISBLANK(G444),"",INDEX('POR Config List'!K:K,MATCH(G444,'POR Config List'!D:D,0)))</f>
        <v/>
      </c>
      <c r="F444" s="100" t="str">
        <f t="array" ref="F444">IF(ISBLANK(G444),"",INDEX('POR Config List'!J:J,MATCH(G444,'POR Config List'!D:D,0)))</f>
        <v/>
      </c>
      <c r="G444" s="168"/>
      <c r="H444" s="104" t="str">
        <f t="array" ref="H444">IF(ISBLANK(G444),"",INDEX('MP SKUs'!G:G,MATCH(G444,'MP SKUs'!A:A,0)))</f>
        <v/>
      </c>
      <c r="I444" s="105" t="str">
        <f t="array" ref="I444">IF(ISBLANK(G444),"",INDEX('POR Config List'!O:O,MATCH(G444,'POR Config List'!D:D,0)))</f>
        <v/>
      </c>
      <c r="J444" s="104" t="str">
        <f t="array" ref="J444">IF(ISBLANK(G444),"",INDEX('POR Config List'!H:H,MATCH(G444,'POR Config List'!D:D,0)))</f>
        <v/>
      </c>
      <c r="K444" s="105" t="str">
        <f t="array" ref="K444">IF(ISBLANK(G444),"",INDEX('POR Config List'!G:G,MATCH(G444,'POR Config List'!D:D,0)))</f>
        <v/>
      </c>
      <c r="L444" s="105"/>
      <c r="M444" s="105" t="str">
        <f t="array" ref="M444">IF(ISBLANK(G444),"",INDEX('label approval artwork'!Q:Q,MATCH( G444,'label approval artwork'!F:F,0)))</f>
        <v/>
      </c>
      <c r="N444" s="169" t="str">
        <f t="shared" si="5"/>
        <v/>
      </c>
      <c r="O444" s="102" t="str">
        <f t="array" ref="O444">IF(ISBLANK(G444),"",INDEX('POR Config List'!C:C,MATCH(G444,'POR Config List'!D:D,0)))</f>
        <v/>
      </c>
      <c r="P444" s="105" t="str">
        <f t="shared" si="4"/>
        <v/>
      </c>
      <c r="Q444" s="105" t="str">
        <f t="array" ref="Q444">IF(ISBLANK(G444),"",INDEX('label approval artwork'!J:J,MATCH( G444,'label approval artwork'!F:F,0)))</f>
        <v/>
      </c>
      <c r="R444" s="105" t="str">
        <f t="array" ref="R444">IFERROR( IF(P444&lt;&gt;"EMA",INDEX('label approval artwork'!H:H,MATCH(G444,'label approval artwork'!F:F,0),"")),"")</f>
        <v/>
      </c>
      <c r="S444" s="105"/>
      <c r="T444" s="105" t="str">
        <f t="array" ref="T444">IF(ISBLANK(G444),"",INDEX('POR Config List'!I:I,MATCH(G444,'POR Config List'!D:D,0)))</f>
        <v/>
      </c>
      <c r="AA444" s="100" t="str">
        <f t="array" ref="AA444">IF(ISBLANK(G444),"",INDEX('POR Config List'!E:E,MATCH(G444,'POR Config List'!D:D,0)))</f>
        <v/>
      </c>
      <c r="AC444" s="105"/>
      <c r="AD444" s="100"/>
      <c r="AE444" s="100"/>
      <c r="AF444" s="100"/>
      <c r="AG444" s="100"/>
      <c r="AM444" s="102"/>
      <c r="AN444" s="102"/>
      <c r="AR444" s="119"/>
      <c r="AS444" s="103"/>
    </row>
    <row r="445">
      <c r="A445" s="168"/>
      <c r="B445" s="100" t="str">
        <f t="array" ref="B445">IFERROR( INDEX('POR Config List'!A:A,MATCH(G445,'POR Config List'!D:D,0)),"")</f>
        <v/>
      </c>
      <c r="C445" s="101" t="str">
        <f t="array" ref="C445">IFERROR(INDEX('label approval artwork'!E:E,MATCH(G445,'label approval artwork'!F:F,0),""),"")</f>
        <v/>
      </c>
      <c r="D445" s="102" t="str">
        <f t="shared" si="3"/>
        <v/>
      </c>
      <c r="E445" s="100" t="str">
        <f t="array" ref="E445">IF(ISBLANK(G445),"",INDEX('POR Config List'!K:K,MATCH(G445,'POR Config List'!D:D,0)))</f>
        <v/>
      </c>
      <c r="F445" s="100" t="str">
        <f t="array" ref="F445">IF(ISBLANK(G445),"",INDEX('POR Config List'!J:J,MATCH(G445,'POR Config List'!D:D,0)))</f>
        <v/>
      </c>
      <c r="G445" s="168"/>
      <c r="H445" s="104" t="str">
        <f t="array" ref="H445">IF(ISBLANK(G445),"",INDEX('MP SKUs'!G:G,MATCH(G445,'MP SKUs'!A:A,0)))</f>
        <v/>
      </c>
      <c r="I445" s="105" t="str">
        <f t="array" ref="I445">IF(ISBLANK(G445),"",INDEX('POR Config List'!O:O,MATCH(G445,'POR Config List'!D:D,0)))</f>
        <v/>
      </c>
      <c r="J445" s="104" t="str">
        <f t="array" ref="J445">IF(ISBLANK(G445),"",INDEX('POR Config List'!H:H,MATCH(G445,'POR Config List'!D:D,0)))</f>
        <v/>
      </c>
      <c r="K445" s="105" t="str">
        <f t="array" ref="K445">IF(ISBLANK(G445),"",INDEX('POR Config List'!G:G,MATCH(G445,'POR Config List'!D:D,0)))</f>
        <v/>
      </c>
      <c r="L445" s="105"/>
      <c r="M445" s="105" t="str">
        <f t="array" ref="M445">IF(ISBLANK(G445),"",INDEX('label approval artwork'!Q:Q,MATCH( G445,'label approval artwork'!F:F,0)))</f>
        <v/>
      </c>
      <c r="N445" s="169" t="str">
        <f t="shared" si="5"/>
        <v/>
      </c>
      <c r="O445" s="102" t="str">
        <f t="array" ref="O445">IF(ISBLANK(G445),"",INDEX('POR Config List'!C:C,MATCH(G445,'POR Config List'!D:D,0)))</f>
        <v/>
      </c>
      <c r="P445" s="105" t="str">
        <f t="shared" si="4"/>
        <v/>
      </c>
      <c r="Q445" s="105" t="str">
        <f t="array" ref="Q445">IF(ISBLANK(G445),"",INDEX('label approval artwork'!J:J,MATCH( G445,'label approval artwork'!F:F,0)))</f>
        <v/>
      </c>
      <c r="R445" s="105" t="str">
        <f t="array" ref="R445">IFERROR( IF(P445&lt;&gt;"EMA",INDEX('label approval artwork'!H:H,MATCH(G445,'label approval artwork'!F:F,0),"")),"")</f>
        <v/>
      </c>
      <c r="S445" s="105"/>
      <c r="T445" s="105" t="str">
        <f t="array" ref="T445">IF(ISBLANK(G445),"",INDEX('POR Config List'!I:I,MATCH(G445,'POR Config List'!D:D,0)))</f>
        <v/>
      </c>
      <c r="AA445" s="100" t="str">
        <f t="array" ref="AA445">IF(ISBLANK(G445),"",INDEX('POR Config List'!E:E,MATCH(G445,'POR Config List'!D:D,0)))</f>
        <v/>
      </c>
      <c r="AC445" s="105"/>
      <c r="AD445" s="100"/>
      <c r="AE445" s="100"/>
      <c r="AF445" s="100"/>
      <c r="AG445" s="100"/>
      <c r="AM445" s="102"/>
      <c r="AN445" s="102"/>
      <c r="AR445" s="119"/>
      <c r="AS445" s="103"/>
    </row>
    <row r="446">
      <c r="A446" s="168"/>
      <c r="B446" s="100" t="str">
        <f t="array" ref="B446">IFERROR( INDEX('POR Config List'!A:A,MATCH(G446,'POR Config List'!D:D,0)),"")</f>
        <v/>
      </c>
      <c r="C446" s="101" t="str">
        <f t="array" ref="C446">IFERROR(INDEX('label approval artwork'!E:E,MATCH(G446,'label approval artwork'!F:F,0),""),"")</f>
        <v/>
      </c>
      <c r="D446" s="102" t="str">
        <f t="shared" si="3"/>
        <v/>
      </c>
      <c r="E446" s="100" t="str">
        <f t="array" ref="E446">IF(ISBLANK(G446),"",INDEX('POR Config List'!K:K,MATCH(G446,'POR Config List'!D:D,0)))</f>
        <v/>
      </c>
      <c r="F446" s="100" t="str">
        <f t="array" ref="F446">IF(ISBLANK(G446),"",INDEX('POR Config List'!J:J,MATCH(G446,'POR Config List'!D:D,0)))</f>
        <v/>
      </c>
      <c r="G446" s="168"/>
      <c r="H446" s="104" t="str">
        <f t="array" ref="H446">IF(ISBLANK(G446),"",INDEX('MP SKUs'!G:G,MATCH(G446,'MP SKUs'!A:A,0)))</f>
        <v/>
      </c>
      <c r="I446" s="105" t="str">
        <f t="array" ref="I446">IF(ISBLANK(G446),"",INDEX('POR Config List'!O:O,MATCH(G446,'POR Config List'!D:D,0)))</f>
        <v/>
      </c>
      <c r="J446" s="104" t="str">
        <f t="array" ref="J446">IF(ISBLANK(G446),"",INDEX('POR Config List'!H:H,MATCH(G446,'POR Config List'!D:D,0)))</f>
        <v/>
      </c>
      <c r="K446" s="105" t="str">
        <f t="array" ref="K446">IF(ISBLANK(G446),"",INDEX('POR Config List'!G:G,MATCH(G446,'POR Config List'!D:D,0)))</f>
        <v/>
      </c>
      <c r="L446" s="105"/>
      <c r="M446" s="105" t="str">
        <f t="array" ref="M446">IF(ISBLANK(G446),"",INDEX('label approval artwork'!Q:Q,MATCH( G446,'label approval artwork'!F:F,0)))</f>
        <v/>
      </c>
      <c r="N446" s="169" t="str">
        <f t="shared" si="5"/>
        <v/>
      </c>
      <c r="O446" s="102" t="str">
        <f t="array" ref="O446">IF(ISBLANK(G446),"",INDEX('POR Config List'!C:C,MATCH(G446,'POR Config List'!D:D,0)))</f>
        <v/>
      </c>
      <c r="P446" s="105" t="str">
        <f t="shared" si="4"/>
        <v/>
      </c>
      <c r="Q446" s="105" t="str">
        <f t="array" ref="Q446">IF(ISBLANK(G446),"",INDEX('label approval artwork'!J:J,MATCH( G446,'label approval artwork'!F:F,0)))</f>
        <v/>
      </c>
      <c r="R446" s="105" t="str">
        <f t="array" ref="R446">IFERROR( IF(P446&lt;&gt;"EMA",INDEX('label approval artwork'!H:H,MATCH(G446,'label approval artwork'!F:F,0),"")),"")</f>
        <v/>
      </c>
      <c r="S446" s="105"/>
      <c r="T446" s="105" t="str">
        <f t="array" ref="T446">IF(ISBLANK(G446),"",INDEX('POR Config List'!I:I,MATCH(G446,'POR Config List'!D:D,0)))</f>
        <v/>
      </c>
      <c r="AA446" s="100" t="str">
        <f t="array" ref="AA446">IF(ISBLANK(G446),"",INDEX('POR Config List'!E:E,MATCH(G446,'POR Config List'!D:D,0)))</f>
        <v/>
      </c>
      <c r="AC446" s="105"/>
      <c r="AD446" s="100"/>
      <c r="AE446" s="100"/>
      <c r="AF446" s="100"/>
      <c r="AG446" s="100"/>
      <c r="AM446" s="102"/>
      <c r="AN446" s="102"/>
      <c r="AR446" s="119"/>
      <c r="AS446" s="103"/>
    </row>
    <row r="447">
      <c r="A447" s="168"/>
      <c r="B447" s="100" t="str">
        <f t="array" ref="B447">IFERROR( INDEX('POR Config List'!A:A,MATCH(G447,'POR Config List'!D:D,0)),"")</f>
        <v/>
      </c>
      <c r="C447" s="101" t="str">
        <f t="array" ref="C447">IFERROR(INDEX('label approval artwork'!E:E,MATCH(G447,'label approval artwork'!F:F,0),""),"")</f>
        <v/>
      </c>
      <c r="D447" s="102" t="str">
        <f t="shared" si="3"/>
        <v/>
      </c>
      <c r="E447" s="100" t="str">
        <f t="array" ref="E447">IF(ISBLANK(G447),"",INDEX('POR Config List'!K:K,MATCH(G447,'POR Config List'!D:D,0)))</f>
        <v/>
      </c>
      <c r="F447" s="100" t="str">
        <f t="array" ref="F447">IF(ISBLANK(G447),"",INDEX('POR Config List'!J:J,MATCH(G447,'POR Config List'!D:D,0)))</f>
        <v/>
      </c>
      <c r="G447" s="168"/>
      <c r="H447" s="104" t="str">
        <f t="array" ref="H447">IF(ISBLANK(G447),"",INDEX('MP SKUs'!G:G,MATCH(G447,'MP SKUs'!A:A,0)))</f>
        <v/>
      </c>
      <c r="I447" s="105" t="str">
        <f t="array" ref="I447">IF(ISBLANK(G447),"",INDEX('POR Config List'!O:O,MATCH(G447,'POR Config List'!D:D,0)))</f>
        <v/>
      </c>
      <c r="J447" s="104" t="str">
        <f t="array" ref="J447">IF(ISBLANK(G447),"",INDEX('POR Config List'!H:H,MATCH(G447,'POR Config List'!D:D,0)))</f>
        <v/>
      </c>
      <c r="K447" s="105" t="str">
        <f t="array" ref="K447">IF(ISBLANK(G447),"",INDEX('POR Config List'!G:G,MATCH(G447,'POR Config List'!D:D,0)))</f>
        <v/>
      </c>
      <c r="L447" s="105"/>
      <c r="M447" s="105" t="str">
        <f t="array" ref="M447">IF(ISBLANK(G447),"",INDEX('label approval artwork'!Q:Q,MATCH( G447,'label approval artwork'!F:F,0)))</f>
        <v/>
      </c>
      <c r="N447" s="169" t="str">
        <f t="shared" si="5"/>
        <v/>
      </c>
      <c r="O447" s="102" t="str">
        <f t="array" ref="O447">IF(ISBLANK(G447),"",INDEX('POR Config List'!C:C,MATCH(G447,'POR Config List'!D:D,0)))</f>
        <v/>
      </c>
      <c r="P447" s="105" t="str">
        <f t="shared" si="4"/>
        <v/>
      </c>
      <c r="Q447" s="105" t="str">
        <f t="array" ref="Q447">IF(ISBLANK(G447),"",INDEX('label approval artwork'!J:J,MATCH( G447,'label approval artwork'!F:F,0)))</f>
        <v/>
      </c>
      <c r="R447" s="105" t="str">
        <f t="array" ref="R447">IFERROR( IF(P447&lt;&gt;"EMA",INDEX('label approval artwork'!H:H,MATCH(G447,'label approval artwork'!F:F,0),"")),"")</f>
        <v/>
      </c>
      <c r="S447" s="105"/>
      <c r="T447" s="105" t="str">
        <f t="array" ref="T447">IF(ISBLANK(G447),"",INDEX('POR Config List'!I:I,MATCH(G447,'POR Config List'!D:D,0)))</f>
        <v/>
      </c>
      <c r="AA447" s="100" t="str">
        <f t="array" ref="AA447">IF(ISBLANK(G447),"",INDEX('POR Config List'!E:E,MATCH(G447,'POR Config List'!D:D,0)))</f>
        <v/>
      </c>
      <c r="AC447" s="105"/>
      <c r="AD447" s="100"/>
      <c r="AE447" s="100"/>
      <c r="AF447" s="100"/>
      <c r="AG447" s="100"/>
      <c r="AM447" s="102"/>
      <c r="AN447" s="102"/>
      <c r="AR447" s="119"/>
      <c r="AS447" s="103"/>
    </row>
    <row r="448">
      <c r="A448" s="168"/>
      <c r="B448" s="100" t="str">
        <f t="array" ref="B448">IFERROR( INDEX('POR Config List'!A:A,MATCH(G448,'POR Config List'!D:D,0)),"")</f>
        <v/>
      </c>
      <c r="C448" s="101" t="str">
        <f t="array" ref="C448">IFERROR(INDEX('label approval artwork'!E:E,MATCH(G448,'label approval artwork'!F:F,0),""),"")</f>
        <v/>
      </c>
      <c r="D448" s="102" t="str">
        <f t="shared" si="3"/>
        <v/>
      </c>
      <c r="E448" s="100" t="str">
        <f t="array" ref="E448">IF(ISBLANK(G448),"",INDEX('POR Config List'!K:K,MATCH(G448,'POR Config List'!D:D,0)))</f>
        <v/>
      </c>
      <c r="F448" s="100" t="str">
        <f t="array" ref="F448">IF(ISBLANK(G448),"",INDEX('POR Config List'!J:J,MATCH(G448,'POR Config List'!D:D,0)))</f>
        <v/>
      </c>
      <c r="G448" s="168"/>
      <c r="H448" s="104" t="str">
        <f t="array" ref="H448">IF(ISBLANK(G448),"",INDEX('MP SKUs'!G:G,MATCH(G448,'MP SKUs'!A:A,0)))</f>
        <v/>
      </c>
      <c r="I448" s="105" t="str">
        <f t="array" ref="I448">IF(ISBLANK(G448),"",INDEX('POR Config List'!O:O,MATCH(G448,'POR Config List'!D:D,0)))</f>
        <v/>
      </c>
      <c r="J448" s="104" t="str">
        <f t="array" ref="J448">IF(ISBLANK(G448),"",INDEX('POR Config List'!H:H,MATCH(G448,'POR Config List'!D:D,0)))</f>
        <v/>
      </c>
      <c r="K448" s="105" t="str">
        <f t="array" ref="K448">IF(ISBLANK(G448),"",INDEX('POR Config List'!G:G,MATCH(G448,'POR Config List'!D:D,0)))</f>
        <v/>
      </c>
      <c r="L448" s="105"/>
      <c r="M448" s="105" t="str">
        <f t="array" ref="M448">IF(ISBLANK(G448),"",INDEX('label approval artwork'!Q:Q,MATCH( G448,'label approval artwork'!F:F,0)))</f>
        <v/>
      </c>
      <c r="N448" s="169" t="str">
        <f t="shared" si="5"/>
        <v/>
      </c>
      <c r="O448" s="102" t="str">
        <f t="array" ref="O448">IF(ISBLANK(G448),"",INDEX('POR Config List'!C:C,MATCH(G448,'POR Config List'!D:D,0)))</f>
        <v/>
      </c>
      <c r="P448" s="105" t="str">
        <f t="shared" si="4"/>
        <v/>
      </c>
      <c r="Q448" s="105" t="str">
        <f t="array" ref="Q448">IF(ISBLANK(G448),"",INDEX('label approval artwork'!J:J,MATCH( G448,'label approval artwork'!F:F,0)))</f>
        <v/>
      </c>
      <c r="R448" s="105" t="str">
        <f t="array" ref="R448">IFERROR( IF(P448&lt;&gt;"EMA",INDEX('label approval artwork'!H:H,MATCH(G448,'label approval artwork'!F:F,0),"")),"")</f>
        <v/>
      </c>
      <c r="S448" s="105"/>
      <c r="T448" s="105" t="str">
        <f t="array" ref="T448">IF(ISBLANK(G448),"",INDEX('POR Config List'!I:I,MATCH(G448,'POR Config List'!D:D,0)))</f>
        <v/>
      </c>
      <c r="AA448" s="100" t="str">
        <f t="array" ref="AA448">IF(ISBLANK(G448),"",INDEX('POR Config List'!E:E,MATCH(G448,'POR Config List'!D:D,0)))</f>
        <v/>
      </c>
      <c r="AC448" s="105"/>
      <c r="AD448" s="100"/>
      <c r="AE448" s="100"/>
      <c r="AF448" s="100"/>
      <c r="AG448" s="100"/>
      <c r="AM448" s="102"/>
      <c r="AN448" s="102"/>
      <c r="AR448" s="119"/>
      <c r="AS448" s="103"/>
    </row>
    <row r="449">
      <c r="A449" s="168"/>
      <c r="B449" s="100" t="str">
        <f t="array" ref="B449">IFERROR( INDEX('POR Config List'!A:A,MATCH(G449,'POR Config List'!D:D,0)),"")</f>
        <v/>
      </c>
      <c r="C449" s="101" t="str">
        <f t="array" ref="C449">IFERROR(INDEX('label approval artwork'!E:E,MATCH(G449,'label approval artwork'!F:F,0),""),"")</f>
        <v/>
      </c>
      <c r="D449" s="102" t="str">
        <f t="shared" si="3"/>
        <v/>
      </c>
      <c r="E449" s="100" t="str">
        <f t="array" ref="E449">IF(ISBLANK(G449),"",INDEX('POR Config List'!K:K,MATCH(G449,'POR Config List'!D:D,0)))</f>
        <v/>
      </c>
      <c r="F449" s="100" t="str">
        <f t="array" ref="F449">IF(ISBLANK(G449),"",INDEX('POR Config List'!J:J,MATCH(G449,'POR Config List'!D:D,0)))</f>
        <v/>
      </c>
      <c r="G449" s="168"/>
      <c r="H449" s="104" t="str">
        <f t="array" ref="H449">IF(ISBLANK(G449),"",INDEX('MP SKUs'!G:G,MATCH(G449,'MP SKUs'!A:A,0)))</f>
        <v/>
      </c>
      <c r="I449" s="105" t="str">
        <f t="array" ref="I449">IF(ISBLANK(G449),"",INDEX('POR Config List'!O:O,MATCH(G449,'POR Config List'!D:D,0)))</f>
        <v/>
      </c>
      <c r="J449" s="104" t="str">
        <f t="array" ref="J449">IF(ISBLANK(G449),"",INDEX('POR Config List'!H:H,MATCH(G449,'POR Config List'!D:D,0)))</f>
        <v/>
      </c>
      <c r="K449" s="105" t="str">
        <f t="array" ref="K449">IF(ISBLANK(G449),"",INDEX('POR Config List'!G:G,MATCH(G449,'POR Config List'!D:D,0)))</f>
        <v/>
      </c>
      <c r="L449" s="105"/>
      <c r="M449" s="105" t="str">
        <f t="array" ref="M449">IF(ISBLANK(G449),"",INDEX('label approval artwork'!Q:Q,MATCH( G449,'label approval artwork'!F:F,0)))</f>
        <v/>
      </c>
      <c r="N449" s="169" t="str">
        <f t="shared" si="5"/>
        <v/>
      </c>
      <c r="O449" s="102" t="str">
        <f t="array" ref="O449">IF(ISBLANK(G449),"",INDEX('POR Config List'!C:C,MATCH(G449,'POR Config List'!D:D,0)))</f>
        <v/>
      </c>
      <c r="P449" s="105" t="str">
        <f t="shared" si="4"/>
        <v/>
      </c>
      <c r="Q449" s="105" t="str">
        <f t="array" ref="Q449">IF(ISBLANK(G449),"",INDEX('label approval artwork'!J:J,MATCH( G449,'label approval artwork'!F:F,0)))</f>
        <v/>
      </c>
      <c r="R449" s="105" t="str">
        <f t="array" ref="R449">IFERROR( IF(P449&lt;&gt;"EMA",INDEX('label approval artwork'!H:H,MATCH(G449,'label approval artwork'!F:F,0),"")),"")</f>
        <v/>
      </c>
      <c r="S449" s="105"/>
      <c r="T449" s="105" t="str">
        <f t="array" ref="T449">IF(ISBLANK(G449),"",INDEX('POR Config List'!I:I,MATCH(G449,'POR Config List'!D:D,0)))</f>
        <v/>
      </c>
      <c r="AA449" s="100" t="str">
        <f t="array" ref="AA449">IF(ISBLANK(G449),"",INDEX('POR Config List'!E:E,MATCH(G449,'POR Config List'!D:D,0)))</f>
        <v/>
      </c>
      <c r="AC449" s="105"/>
      <c r="AD449" s="100"/>
      <c r="AE449" s="100"/>
      <c r="AF449" s="100"/>
      <c r="AG449" s="100"/>
      <c r="AM449" s="102"/>
      <c r="AN449" s="102"/>
      <c r="AR449" s="119"/>
      <c r="AS449" s="103"/>
    </row>
    <row r="450">
      <c r="A450" s="168"/>
      <c r="B450" s="100" t="str">
        <f t="array" ref="B450">IFERROR( INDEX('POR Config List'!A:A,MATCH(G450,'POR Config List'!D:D,0)),"")</f>
        <v/>
      </c>
      <c r="C450" s="101" t="str">
        <f t="array" ref="C450">IFERROR(INDEX('label approval artwork'!E:E,MATCH(G450,'label approval artwork'!F:F,0),""),"")</f>
        <v/>
      </c>
      <c r="D450" s="102" t="str">
        <f t="shared" si="3"/>
        <v/>
      </c>
      <c r="E450" s="100" t="str">
        <f t="array" ref="E450">IF(ISBLANK(G450),"",INDEX('POR Config List'!K:K,MATCH(G450,'POR Config List'!D:D,0)))</f>
        <v/>
      </c>
      <c r="F450" s="100" t="str">
        <f t="array" ref="F450">IF(ISBLANK(G450),"",INDEX('POR Config List'!J:J,MATCH(G450,'POR Config List'!D:D,0)))</f>
        <v/>
      </c>
      <c r="G450" s="168"/>
      <c r="H450" s="104" t="str">
        <f t="array" ref="H450">IF(ISBLANK(G450),"",INDEX('MP SKUs'!G:G,MATCH(G450,'MP SKUs'!A:A,0)))</f>
        <v/>
      </c>
      <c r="I450" s="105" t="str">
        <f t="array" ref="I450">IF(ISBLANK(G450),"",INDEX('POR Config List'!O:O,MATCH(G450,'POR Config List'!D:D,0)))</f>
        <v/>
      </c>
      <c r="J450" s="104" t="str">
        <f t="array" ref="J450">IF(ISBLANK(G450),"",INDEX('POR Config List'!H:H,MATCH(G450,'POR Config List'!D:D,0)))</f>
        <v/>
      </c>
      <c r="K450" s="105" t="str">
        <f t="array" ref="K450">IF(ISBLANK(G450),"",INDEX('POR Config List'!G:G,MATCH(G450,'POR Config List'!D:D,0)))</f>
        <v/>
      </c>
      <c r="L450" s="105"/>
      <c r="M450" s="105" t="str">
        <f t="array" ref="M450">IF(ISBLANK(G450),"",INDEX('label approval artwork'!Q:Q,MATCH( G450,'label approval artwork'!F:F,0)))</f>
        <v/>
      </c>
      <c r="N450" s="169" t="str">
        <f t="shared" si="5"/>
        <v/>
      </c>
      <c r="O450" s="102" t="str">
        <f t="array" ref="O450">IF(ISBLANK(G450),"",INDEX('POR Config List'!C:C,MATCH(G450,'POR Config List'!D:D,0)))</f>
        <v/>
      </c>
      <c r="P450" s="105" t="str">
        <f t="shared" si="4"/>
        <v/>
      </c>
      <c r="Q450" s="105" t="str">
        <f t="array" ref="Q450">IF(ISBLANK(G450),"",INDEX('label approval artwork'!J:J,MATCH( G450,'label approval artwork'!F:F,0)))</f>
        <v/>
      </c>
      <c r="R450" s="105" t="str">
        <f t="array" ref="R450">IFERROR( IF(P450&lt;&gt;"EMA",INDEX('label approval artwork'!H:H,MATCH(G450,'label approval artwork'!F:F,0),"")),"")</f>
        <v/>
      </c>
      <c r="S450" s="105"/>
      <c r="T450" s="105" t="str">
        <f t="array" ref="T450">IF(ISBLANK(G450),"",INDEX('POR Config List'!I:I,MATCH(G450,'POR Config List'!D:D,0)))</f>
        <v/>
      </c>
      <c r="AA450" s="100" t="str">
        <f t="array" ref="AA450">IF(ISBLANK(G450),"",INDEX('POR Config List'!E:E,MATCH(G450,'POR Config List'!D:D,0)))</f>
        <v/>
      </c>
      <c r="AC450" s="105"/>
      <c r="AD450" s="100"/>
      <c r="AE450" s="100"/>
      <c r="AF450" s="100"/>
      <c r="AG450" s="100"/>
      <c r="AM450" s="102"/>
      <c r="AN450" s="102"/>
      <c r="AR450" s="119"/>
      <c r="AS450" s="103"/>
    </row>
    <row r="451">
      <c r="A451" s="168"/>
      <c r="B451" s="100" t="str">
        <f t="array" ref="B451">IFERROR( INDEX('POR Config List'!A:A,MATCH(G451,'POR Config List'!D:D,0)),"")</f>
        <v/>
      </c>
      <c r="C451" s="101" t="str">
        <f t="array" ref="C451">IFERROR(INDEX('label approval artwork'!E:E,MATCH(G451,'label approval artwork'!F:F,0),""),"")</f>
        <v/>
      </c>
      <c r="D451" s="102" t="str">
        <f t="shared" si="3"/>
        <v/>
      </c>
      <c r="E451" s="100" t="str">
        <f t="array" ref="E451">IF(ISBLANK(G451),"",INDEX('POR Config List'!K:K,MATCH(G451,'POR Config List'!D:D,0)))</f>
        <v/>
      </c>
      <c r="F451" s="100" t="str">
        <f t="array" ref="F451">IF(ISBLANK(G451),"",INDEX('POR Config List'!J:J,MATCH(G451,'POR Config List'!D:D,0)))</f>
        <v/>
      </c>
      <c r="G451" s="168"/>
      <c r="H451" s="104" t="str">
        <f t="array" ref="H451">IF(ISBLANK(G451),"",INDEX('MP SKUs'!G:G,MATCH(G451,'MP SKUs'!A:A,0)))</f>
        <v/>
      </c>
      <c r="I451" s="105" t="str">
        <f t="array" ref="I451">IF(ISBLANK(G451),"",INDEX('POR Config List'!O:O,MATCH(G451,'POR Config List'!D:D,0)))</f>
        <v/>
      </c>
      <c r="J451" s="104" t="str">
        <f t="array" ref="J451">IF(ISBLANK(G451),"",INDEX('POR Config List'!H:H,MATCH(G451,'POR Config List'!D:D,0)))</f>
        <v/>
      </c>
      <c r="K451" s="105" t="str">
        <f t="array" ref="K451">IF(ISBLANK(G451),"",INDEX('POR Config List'!G:G,MATCH(G451,'POR Config List'!D:D,0)))</f>
        <v/>
      </c>
      <c r="L451" s="105"/>
      <c r="M451" s="105" t="str">
        <f t="array" ref="M451">IF(ISBLANK(G451),"",INDEX('label approval artwork'!Q:Q,MATCH( G451,'label approval artwork'!F:F,0)))</f>
        <v/>
      </c>
      <c r="N451" s="169" t="str">
        <f t="shared" si="5"/>
        <v/>
      </c>
      <c r="O451" s="102" t="str">
        <f t="array" ref="O451">IF(ISBLANK(G451),"",INDEX('POR Config List'!C:C,MATCH(G451,'POR Config List'!D:D,0)))</f>
        <v/>
      </c>
      <c r="P451" s="105" t="str">
        <f t="shared" si="4"/>
        <v/>
      </c>
      <c r="Q451" s="105" t="str">
        <f t="array" ref="Q451">IF(ISBLANK(G451),"",INDEX('label approval artwork'!J:J,MATCH( G451,'label approval artwork'!F:F,0)))</f>
        <v/>
      </c>
      <c r="R451" s="105" t="str">
        <f t="array" ref="R451">IFERROR( IF(P451&lt;&gt;"EMA",INDEX('label approval artwork'!H:H,MATCH(G451,'label approval artwork'!F:F,0),"")),"")</f>
        <v/>
      </c>
      <c r="S451" s="105"/>
      <c r="T451" s="105" t="str">
        <f t="array" ref="T451">IF(ISBLANK(G451),"",INDEX('POR Config List'!I:I,MATCH(G451,'POR Config List'!D:D,0)))</f>
        <v/>
      </c>
      <c r="AA451" s="100" t="str">
        <f t="array" ref="AA451">IF(ISBLANK(G451),"",INDEX('POR Config List'!E:E,MATCH(G451,'POR Config List'!D:D,0)))</f>
        <v/>
      </c>
      <c r="AC451" s="105"/>
      <c r="AD451" s="100"/>
      <c r="AE451" s="100"/>
      <c r="AF451" s="100"/>
      <c r="AG451" s="100"/>
      <c r="AM451" s="102"/>
      <c r="AN451" s="102"/>
      <c r="AR451" s="119"/>
      <c r="AS451" s="103"/>
    </row>
    <row r="452">
      <c r="A452" s="168"/>
      <c r="B452" s="100" t="str">
        <f t="array" ref="B452">IFERROR( INDEX('POR Config List'!A:A,MATCH(G452,'POR Config List'!D:D,0)),"")</f>
        <v/>
      </c>
      <c r="C452" s="101" t="str">
        <f t="array" ref="C452">IFERROR(INDEX('label approval artwork'!E:E,MATCH(G452,'label approval artwork'!F:F,0),""),"")</f>
        <v/>
      </c>
      <c r="D452" s="102" t="str">
        <f t="shared" si="3"/>
        <v/>
      </c>
      <c r="E452" s="100" t="str">
        <f t="array" ref="E452">IF(ISBLANK(G452),"",INDEX('POR Config List'!K:K,MATCH(G452,'POR Config List'!D:D,0)))</f>
        <v/>
      </c>
      <c r="F452" s="100" t="str">
        <f t="array" ref="F452">IF(ISBLANK(G452),"",INDEX('POR Config List'!J:J,MATCH(G452,'POR Config List'!D:D,0)))</f>
        <v/>
      </c>
      <c r="G452" s="168"/>
      <c r="H452" s="104" t="str">
        <f t="array" ref="H452">IF(ISBLANK(G452),"",INDEX('MP SKUs'!G:G,MATCH(G452,'MP SKUs'!A:A,0)))</f>
        <v/>
      </c>
      <c r="I452" s="105" t="str">
        <f t="array" ref="I452">IF(ISBLANK(G452),"",INDEX('POR Config List'!O:O,MATCH(G452,'POR Config List'!D:D,0)))</f>
        <v/>
      </c>
      <c r="J452" s="104" t="str">
        <f t="array" ref="J452">IF(ISBLANK(G452),"",INDEX('POR Config List'!H:H,MATCH(G452,'POR Config List'!D:D,0)))</f>
        <v/>
      </c>
      <c r="K452" s="105" t="str">
        <f t="array" ref="K452">IF(ISBLANK(G452),"",INDEX('POR Config List'!G:G,MATCH(G452,'POR Config List'!D:D,0)))</f>
        <v/>
      </c>
      <c r="L452" s="105"/>
      <c r="M452" s="105" t="str">
        <f t="array" ref="M452">IF(ISBLANK(G452),"",INDEX('label approval artwork'!Q:Q,MATCH( G452,'label approval artwork'!F:F,0)))</f>
        <v/>
      </c>
      <c r="N452" s="169" t="str">
        <f t="shared" si="5"/>
        <v/>
      </c>
      <c r="O452" s="102" t="str">
        <f t="array" ref="O452">IF(ISBLANK(G452),"",INDEX('POR Config List'!C:C,MATCH(G452,'POR Config List'!D:D,0)))</f>
        <v/>
      </c>
      <c r="P452" s="105" t="str">
        <f t="shared" si="4"/>
        <v/>
      </c>
      <c r="Q452" s="105" t="str">
        <f t="array" ref="Q452">IF(ISBLANK(G452),"",INDEX('label approval artwork'!J:J,MATCH( G452,'label approval artwork'!F:F,0)))</f>
        <v/>
      </c>
      <c r="R452" s="105" t="str">
        <f t="array" ref="R452">IFERROR( IF(P452&lt;&gt;"EMA",INDEX('label approval artwork'!H:H,MATCH(G452,'label approval artwork'!F:F,0),"")),"")</f>
        <v/>
      </c>
      <c r="S452" s="105"/>
      <c r="T452" s="105" t="str">
        <f t="array" ref="T452">IF(ISBLANK(G452),"",INDEX('POR Config List'!I:I,MATCH(G452,'POR Config List'!D:D,0)))</f>
        <v/>
      </c>
      <c r="AA452" s="100" t="str">
        <f t="array" ref="AA452">IF(ISBLANK(G452),"",INDEX('POR Config List'!E:E,MATCH(G452,'POR Config List'!D:D,0)))</f>
        <v/>
      </c>
      <c r="AC452" s="105"/>
      <c r="AD452" s="100"/>
      <c r="AE452" s="100"/>
      <c r="AF452" s="100"/>
      <c r="AG452" s="100"/>
      <c r="AM452" s="102"/>
      <c r="AN452" s="102"/>
      <c r="AR452" s="119"/>
      <c r="AS452" s="103"/>
    </row>
    <row r="453">
      <c r="A453" s="168"/>
      <c r="B453" s="100" t="str">
        <f t="array" ref="B453">IFERROR( INDEX('POR Config List'!A:A,MATCH(G453,'POR Config List'!D:D,0)),"")</f>
        <v/>
      </c>
      <c r="C453" s="101" t="str">
        <f t="array" ref="C453">IFERROR(INDEX('label approval artwork'!E:E,MATCH(G453,'label approval artwork'!F:F,0),""),"")</f>
        <v/>
      </c>
      <c r="D453" s="102" t="str">
        <f t="shared" si="3"/>
        <v/>
      </c>
      <c r="E453" s="100" t="str">
        <f t="array" ref="E453">IF(ISBLANK(G453),"",INDEX('POR Config List'!K:K,MATCH(G453,'POR Config List'!D:D,0)))</f>
        <v/>
      </c>
      <c r="F453" s="100" t="str">
        <f t="array" ref="F453">IF(ISBLANK(G453),"",INDEX('POR Config List'!J:J,MATCH(G453,'POR Config List'!D:D,0)))</f>
        <v/>
      </c>
      <c r="G453" s="168"/>
      <c r="H453" s="104" t="str">
        <f t="array" ref="H453">IF(ISBLANK(G453),"",INDEX('MP SKUs'!G:G,MATCH(G453,'MP SKUs'!A:A,0)))</f>
        <v/>
      </c>
      <c r="I453" s="105" t="str">
        <f t="array" ref="I453">IF(ISBLANK(G453),"",INDEX('POR Config List'!O:O,MATCH(G453,'POR Config List'!D:D,0)))</f>
        <v/>
      </c>
      <c r="J453" s="104" t="str">
        <f t="array" ref="J453">IF(ISBLANK(G453),"",INDEX('POR Config List'!H:H,MATCH(G453,'POR Config List'!D:D,0)))</f>
        <v/>
      </c>
      <c r="K453" s="105" t="str">
        <f t="array" ref="K453">IF(ISBLANK(G453),"",INDEX('POR Config List'!G:G,MATCH(G453,'POR Config List'!D:D,0)))</f>
        <v/>
      </c>
      <c r="L453" s="105"/>
      <c r="M453" s="105" t="str">
        <f t="array" ref="M453">IF(ISBLANK(G453),"",INDEX('label approval artwork'!Q:Q,MATCH( G453,'label approval artwork'!F:F,0)))</f>
        <v/>
      </c>
      <c r="N453" s="169" t="str">
        <f t="shared" si="5"/>
        <v/>
      </c>
      <c r="O453" s="102" t="str">
        <f t="array" ref="O453">IF(ISBLANK(G453),"",INDEX('POR Config List'!C:C,MATCH(G453,'POR Config List'!D:D,0)))</f>
        <v/>
      </c>
      <c r="P453" s="105" t="str">
        <f t="shared" si="4"/>
        <v/>
      </c>
      <c r="Q453" s="105" t="str">
        <f t="array" ref="Q453">IF(ISBLANK(G453),"",INDEX('label approval artwork'!J:J,MATCH( G453,'label approval artwork'!F:F,0)))</f>
        <v/>
      </c>
      <c r="R453" s="105" t="str">
        <f t="array" ref="R453">IFERROR( IF(P453&lt;&gt;"EMA",INDEX('label approval artwork'!H:H,MATCH(G453,'label approval artwork'!F:F,0),"")),"")</f>
        <v/>
      </c>
      <c r="S453" s="105"/>
      <c r="T453" s="105" t="str">
        <f t="array" ref="T453">IF(ISBLANK(G453),"",INDEX('POR Config List'!I:I,MATCH(G453,'POR Config List'!D:D,0)))</f>
        <v/>
      </c>
      <c r="AA453" s="100" t="str">
        <f t="array" ref="AA453">IF(ISBLANK(G453),"",INDEX('POR Config List'!E:E,MATCH(G453,'POR Config List'!D:D,0)))</f>
        <v/>
      </c>
      <c r="AC453" s="105"/>
      <c r="AD453" s="100"/>
      <c r="AE453" s="100"/>
      <c r="AF453" s="100"/>
      <c r="AG453" s="100"/>
      <c r="AM453" s="102"/>
      <c r="AN453" s="102"/>
      <c r="AR453" s="119"/>
      <c r="AS453" s="103"/>
    </row>
    <row r="454">
      <c r="A454" s="168"/>
      <c r="B454" s="100" t="str">
        <f t="array" ref="B454">IFERROR( INDEX('POR Config List'!A:A,MATCH(G454,'POR Config List'!D:D,0)),"")</f>
        <v/>
      </c>
      <c r="C454" s="101" t="str">
        <f t="array" ref="C454">IFERROR(INDEX('label approval artwork'!E:E,MATCH(G454,'label approval artwork'!F:F,0),""),"")</f>
        <v/>
      </c>
      <c r="D454" s="102" t="str">
        <f t="shared" si="3"/>
        <v/>
      </c>
      <c r="E454" s="100" t="str">
        <f t="array" ref="E454">IF(ISBLANK(G454),"",INDEX('POR Config List'!K:K,MATCH(G454,'POR Config List'!D:D,0)))</f>
        <v/>
      </c>
      <c r="F454" s="100" t="str">
        <f t="array" ref="F454">IF(ISBLANK(G454),"",INDEX('POR Config List'!J:J,MATCH(G454,'POR Config List'!D:D,0)))</f>
        <v/>
      </c>
      <c r="G454" s="168"/>
      <c r="H454" s="104" t="str">
        <f t="array" ref="H454">IF(ISBLANK(G454),"",INDEX('MP SKUs'!G:G,MATCH(G454,'MP SKUs'!A:A,0)))</f>
        <v/>
      </c>
      <c r="I454" s="105" t="str">
        <f t="array" ref="I454">IF(ISBLANK(G454),"",INDEX('POR Config List'!O:O,MATCH(G454,'POR Config List'!D:D,0)))</f>
        <v/>
      </c>
      <c r="J454" s="104" t="str">
        <f t="array" ref="J454">IF(ISBLANK(G454),"",INDEX('POR Config List'!H:H,MATCH(G454,'POR Config List'!D:D,0)))</f>
        <v/>
      </c>
      <c r="K454" s="105" t="str">
        <f t="array" ref="K454">IF(ISBLANK(G454),"",INDEX('POR Config List'!G:G,MATCH(G454,'POR Config List'!D:D,0)))</f>
        <v/>
      </c>
      <c r="L454" s="105"/>
      <c r="M454" s="105" t="str">
        <f t="array" ref="M454">IF(ISBLANK(G454),"",INDEX('label approval artwork'!Q:Q,MATCH( G454,'label approval artwork'!F:F,0)))</f>
        <v/>
      </c>
      <c r="N454" s="169" t="str">
        <f t="shared" si="5"/>
        <v/>
      </c>
      <c r="O454" s="102" t="str">
        <f t="array" ref="O454">IF(ISBLANK(G454),"",INDEX('POR Config List'!C:C,MATCH(G454,'POR Config List'!D:D,0)))</f>
        <v/>
      </c>
      <c r="P454" s="105" t="str">
        <f t="shared" si="4"/>
        <v/>
      </c>
      <c r="Q454" s="105" t="str">
        <f t="array" ref="Q454">IF(ISBLANK(G454),"",INDEX('label approval artwork'!J:J,MATCH( G454,'label approval artwork'!F:F,0)))</f>
        <v/>
      </c>
      <c r="R454" s="105" t="str">
        <f t="array" ref="R454">IFERROR( IF(P454&lt;&gt;"EMA",INDEX('label approval artwork'!H:H,MATCH(G454,'label approval artwork'!F:F,0),"")),"")</f>
        <v/>
      </c>
      <c r="S454" s="105"/>
      <c r="T454" s="105" t="str">
        <f t="array" ref="T454">IF(ISBLANK(G454),"",INDEX('POR Config List'!I:I,MATCH(G454,'POR Config List'!D:D,0)))</f>
        <v/>
      </c>
      <c r="AA454" s="100" t="str">
        <f t="array" ref="AA454">IF(ISBLANK(G454),"",INDEX('POR Config List'!E:E,MATCH(G454,'POR Config List'!D:D,0)))</f>
        <v/>
      </c>
      <c r="AC454" s="105"/>
      <c r="AD454" s="100"/>
      <c r="AE454" s="100"/>
      <c r="AF454" s="100"/>
      <c r="AG454" s="100"/>
      <c r="AM454" s="102"/>
      <c r="AN454" s="102"/>
      <c r="AR454" s="119"/>
      <c r="AS454" s="103"/>
    </row>
    <row r="455">
      <c r="A455" s="168"/>
      <c r="B455" s="100" t="str">
        <f t="array" ref="B455">IFERROR( INDEX('POR Config List'!A:A,MATCH(G455,'POR Config List'!D:D,0)),"")</f>
        <v/>
      </c>
      <c r="C455" s="101" t="str">
        <f t="array" ref="C455">IFERROR(INDEX('label approval artwork'!E:E,MATCH(G455,'label approval artwork'!F:F,0),""),"")</f>
        <v/>
      </c>
      <c r="D455" s="102" t="str">
        <f t="shared" si="3"/>
        <v/>
      </c>
      <c r="E455" s="100" t="str">
        <f t="array" ref="E455">IF(ISBLANK(G455),"",INDEX('POR Config List'!K:K,MATCH(G455,'POR Config List'!D:D,0)))</f>
        <v/>
      </c>
      <c r="F455" s="100" t="str">
        <f t="array" ref="F455">IF(ISBLANK(G455),"",INDEX('POR Config List'!J:J,MATCH(G455,'POR Config List'!D:D,0)))</f>
        <v/>
      </c>
      <c r="G455" s="168"/>
      <c r="H455" s="104" t="str">
        <f t="array" ref="H455">IF(ISBLANK(G455),"",INDEX('MP SKUs'!G:G,MATCH(G455,'MP SKUs'!A:A,0)))</f>
        <v/>
      </c>
      <c r="I455" s="105" t="str">
        <f t="array" ref="I455">IF(ISBLANK(G455),"",INDEX('POR Config List'!O:O,MATCH(G455,'POR Config List'!D:D,0)))</f>
        <v/>
      </c>
      <c r="J455" s="104" t="str">
        <f t="array" ref="J455">IF(ISBLANK(G455),"",INDEX('POR Config List'!H:H,MATCH(G455,'POR Config List'!D:D,0)))</f>
        <v/>
      </c>
      <c r="K455" s="105" t="str">
        <f t="array" ref="K455">IF(ISBLANK(G455),"",INDEX('POR Config List'!G:G,MATCH(G455,'POR Config List'!D:D,0)))</f>
        <v/>
      </c>
      <c r="L455" s="105"/>
      <c r="M455" s="105" t="str">
        <f t="array" ref="M455">IF(ISBLANK(G455),"",INDEX('label approval artwork'!Q:Q,MATCH( G455,'label approval artwork'!F:F,0)))</f>
        <v/>
      </c>
      <c r="N455" s="169" t="str">
        <f t="shared" si="5"/>
        <v/>
      </c>
      <c r="O455" s="102" t="str">
        <f t="array" ref="O455">IF(ISBLANK(G455),"",INDEX('POR Config List'!C:C,MATCH(G455,'POR Config List'!D:D,0)))</f>
        <v/>
      </c>
      <c r="P455" s="105" t="str">
        <f t="shared" si="4"/>
        <v/>
      </c>
      <c r="Q455" s="105" t="str">
        <f t="array" ref="Q455">IF(ISBLANK(G455),"",INDEX('label approval artwork'!J:J,MATCH( G455,'label approval artwork'!F:F,0)))</f>
        <v/>
      </c>
      <c r="R455" s="105" t="str">
        <f t="array" ref="R455">IFERROR( IF(P455&lt;&gt;"EMA",INDEX('label approval artwork'!H:H,MATCH(G455,'label approval artwork'!F:F,0),"")),"")</f>
        <v/>
      </c>
      <c r="S455" s="105"/>
      <c r="T455" s="105" t="str">
        <f t="array" ref="T455">IF(ISBLANK(G455),"",INDEX('POR Config List'!I:I,MATCH(G455,'POR Config List'!D:D,0)))</f>
        <v/>
      </c>
      <c r="AA455" s="100" t="str">
        <f t="array" ref="AA455">IF(ISBLANK(G455),"",INDEX('POR Config List'!E:E,MATCH(G455,'POR Config List'!D:D,0)))</f>
        <v/>
      </c>
      <c r="AC455" s="105"/>
      <c r="AD455" s="100"/>
      <c r="AE455" s="100"/>
      <c r="AF455" s="100"/>
      <c r="AG455" s="100"/>
      <c r="AM455" s="102"/>
      <c r="AN455" s="102"/>
      <c r="AR455" s="119"/>
      <c r="AS455" s="103"/>
    </row>
    <row r="456">
      <c r="A456" s="168"/>
      <c r="B456" s="100" t="str">
        <f t="array" ref="B456">IFERROR( INDEX('POR Config List'!A:A,MATCH(G456,'POR Config List'!D:D,0)),"")</f>
        <v/>
      </c>
      <c r="C456" s="101" t="str">
        <f t="array" ref="C456">IFERROR(INDEX('label approval artwork'!E:E,MATCH(G456,'label approval artwork'!F:F,0),""),"")</f>
        <v/>
      </c>
      <c r="D456" s="102" t="str">
        <f t="shared" si="3"/>
        <v/>
      </c>
      <c r="E456" s="100" t="str">
        <f t="array" ref="E456">IF(ISBLANK(G456),"",INDEX('POR Config List'!K:K,MATCH(G456,'POR Config List'!D:D,0)))</f>
        <v/>
      </c>
      <c r="F456" s="100" t="str">
        <f t="array" ref="F456">IF(ISBLANK(G456),"",INDEX('POR Config List'!J:J,MATCH(G456,'POR Config List'!D:D,0)))</f>
        <v/>
      </c>
      <c r="G456" s="168"/>
      <c r="H456" s="104" t="str">
        <f t="array" ref="H456">IF(ISBLANK(G456),"",INDEX('MP SKUs'!G:G,MATCH(G456,'MP SKUs'!A:A,0)))</f>
        <v/>
      </c>
      <c r="I456" s="105" t="str">
        <f t="array" ref="I456">IF(ISBLANK(G456),"",INDEX('POR Config List'!O:O,MATCH(G456,'POR Config List'!D:D,0)))</f>
        <v/>
      </c>
      <c r="J456" s="104" t="str">
        <f t="array" ref="J456">IF(ISBLANK(G456),"",INDEX('POR Config List'!H:H,MATCH(G456,'POR Config List'!D:D,0)))</f>
        <v/>
      </c>
      <c r="K456" s="105" t="str">
        <f t="array" ref="K456">IF(ISBLANK(G456),"",INDEX('POR Config List'!G:G,MATCH(G456,'POR Config List'!D:D,0)))</f>
        <v/>
      </c>
      <c r="L456" s="105"/>
      <c r="M456" s="105" t="str">
        <f t="array" ref="M456">IF(ISBLANK(G456),"",INDEX('label approval artwork'!Q:Q,MATCH( G456,'label approval artwork'!F:F,0)))</f>
        <v/>
      </c>
      <c r="N456" s="169" t="str">
        <f t="shared" si="5"/>
        <v/>
      </c>
      <c r="O456" s="102" t="str">
        <f t="array" ref="O456">IF(ISBLANK(G456),"",INDEX('POR Config List'!C:C,MATCH(G456,'POR Config List'!D:D,0)))</f>
        <v/>
      </c>
      <c r="P456" s="105" t="str">
        <f t="shared" si="4"/>
        <v/>
      </c>
      <c r="Q456" s="105" t="str">
        <f t="array" ref="Q456">IF(ISBLANK(G456),"",INDEX('label approval artwork'!J:J,MATCH( G456,'label approval artwork'!F:F,0)))</f>
        <v/>
      </c>
      <c r="R456" s="105" t="str">
        <f t="array" ref="R456">IFERROR( IF(P456&lt;&gt;"EMA",INDEX('label approval artwork'!H:H,MATCH(G456,'label approval artwork'!F:F,0),"")),"")</f>
        <v/>
      </c>
      <c r="S456" s="105"/>
      <c r="T456" s="105" t="str">
        <f t="array" ref="T456">IF(ISBLANK(G456),"",INDEX('POR Config List'!I:I,MATCH(G456,'POR Config List'!D:D,0)))</f>
        <v/>
      </c>
      <c r="AA456" s="100" t="str">
        <f t="array" ref="AA456">IF(ISBLANK(G456),"",INDEX('POR Config List'!E:E,MATCH(G456,'POR Config List'!D:D,0)))</f>
        <v/>
      </c>
      <c r="AC456" s="105"/>
      <c r="AD456" s="100"/>
      <c r="AE456" s="100"/>
      <c r="AF456" s="100"/>
      <c r="AG456" s="100"/>
      <c r="AM456" s="102"/>
      <c r="AN456" s="102"/>
      <c r="AR456" s="119"/>
      <c r="AS456" s="103"/>
    </row>
    <row r="457">
      <c r="A457" s="168"/>
      <c r="B457" s="100" t="str">
        <f t="array" ref="B457">IFERROR( INDEX('POR Config List'!A:A,MATCH(G457,'POR Config List'!D:D,0)),"")</f>
        <v/>
      </c>
      <c r="C457" s="101" t="str">
        <f t="array" ref="C457">IFERROR(INDEX('label approval artwork'!E:E,MATCH(G457,'label approval artwork'!F:F,0),""),"")</f>
        <v/>
      </c>
      <c r="D457" s="102" t="str">
        <f t="shared" si="3"/>
        <v/>
      </c>
      <c r="E457" s="100" t="str">
        <f t="array" ref="E457">IF(ISBLANK(G457),"",INDEX('POR Config List'!K:K,MATCH(G457,'POR Config List'!D:D,0)))</f>
        <v/>
      </c>
      <c r="F457" s="100" t="str">
        <f t="array" ref="F457">IF(ISBLANK(G457),"",INDEX('POR Config List'!J:J,MATCH(G457,'POR Config List'!D:D,0)))</f>
        <v/>
      </c>
      <c r="G457" s="168"/>
      <c r="H457" s="104" t="str">
        <f t="array" ref="H457">IF(ISBLANK(G457),"",INDEX('MP SKUs'!G:G,MATCH(G457,'MP SKUs'!A:A,0)))</f>
        <v/>
      </c>
      <c r="I457" s="105" t="str">
        <f t="array" ref="I457">IF(ISBLANK(G457),"",INDEX('POR Config List'!O:O,MATCH(G457,'POR Config List'!D:D,0)))</f>
        <v/>
      </c>
      <c r="J457" s="104" t="str">
        <f t="array" ref="J457">IF(ISBLANK(G457),"",INDEX('POR Config List'!H:H,MATCH(G457,'POR Config List'!D:D,0)))</f>
        <v/>
      </c>
      <c r="K457" s="105" t="str">
        <f t="array" ref="K457">IF(ISBLANK(G457),"",INDEX('POR Config List'!G:G,MATCH(G457,'POR Config List'!D:D,0)))</f>
        <v/>
      </c>
      <c r="L457" s="105"/>
      <c r="M457" s="105" t="str">
        <f t="array" ref="M457">IF(ISBLANK(G457),"",INDEX('label approval artwork'!Q:Q,MATCH( G457,'label approval artwork'!F:F,0)))</f>
        <v/>
      </c>
      <c r="N457" s="169" t="str">
        <f t="shared" si="5"/>
        <v/>
      </c>
      <c r="O457" s="102" t="str">
        <f t="array" ref="O457">IF(ISBLANK(G457),"",INDEX('POR Config List'!C:C,MATCH(G457,'POR Config List'!D:D,0)))</f>
        <v/>
      </c>
      <c r="P457" s="105" t="str">
        <f t="shared" si="4"/>
        <v/>
      </c>
      <c r="Q457" s="105" t="str">
        <f t="array" ref="Q457">IF(ISBLANK(G457),"",INDEX('label approval artwork'!J:J,MATCH( G457,'label approval artwork'!F:F,0)))</f>
        <v/>
      </c>
      <c r="R457" s="105" t="str">
        <f t="array" ref="R457">IFERROR( IF(P457&lt;&gt;"EMA",INDEX('label approval artwork'!H:H,MATCH(G457,'label approval artwork'!F:F,0),"")),"")</f>
        <v/>
      </c>
      <c r="S457" s="105"/>
      <c r="T457" s="105" t="str">
        <f t="array" ref="T457">IF(ISBLANK(G457),"",INDEX('POR Config List'!I:I,MATCH(G457,'POR Config List'!D:D,0)))</f>
        <v/>
      </c>
      <c r="AA457" s="100" t="str">
        <f t="array" ref="AA457">IF(ISBLANK(G457),"",INDEX('POR Config List'!E:E,MATCH(G457,'POR Config List'!D:D,0)))</f>
        <v/>
      </c>
      <c r="AC457" s="105"/>
      <c r="AD457" s="100"/>
      <c r="AE457" s="100"/>
      <c r="AF457" s="100"/>
      <c r="AG457" s="100"/>
      <c r="AM457" s="102"/>
      <c r="AN457" s="102"/>
      <c r="AR457" s="119"/>
      <c r="AS457" s="103"/>
    </row>
    <row r="458">
      <c r="A458" s="168"/>
      <c r="B458" s="100" t="str">
        <f t="array" ref="B458">IFERROR( INDEX('POR Config List'!A:A,MATCH(G458,'POR Config List'!D:D,0)),"")</f>
        <v/>
      </c>
      <c r="C458" s="101" t="str">
        <f t="array" ref="C458">IFERROR(INDEX('label approval artwork'!E:E,MATCH(G458,'label approval artwork'!F:F,0),""),"")</f>
        <v/>
      </c>
      <c r="D458" s="102" t="str">
        <f t="shared" si="3"/>
        <v/>
      </c>
      <c r="E458" s="100" t="str">
        <f t="array" ref="E458">IF(ISBLANK(G458),"",INDEX('POR Config List'!K:K,MATCH(G458,'POR Config List'!D:D,0)))</f>
        <v/>
      </c>
      <c r="F458" s="100" t="str">
        <f t="array" ref="F458">IF(ISBLANK(G458),"",INDEX('POR Config List'!J:J,MATCH(G458,'POR Config List'!D:D,0)))</f>
        <v/>
      </c>
      <c r="G458" s="168"/>
      <c r="H458" s="104" t="str">
        <f t="array" ref="H458">IF(ISBLANK(G458),"",INDEX('MP SKUs'!G:G,MATCH(G458,'MP SKUs'!A:A,0)))</f>
        <v/>
      </c>
      <c r="I458" s="105" t="str">
        <f t="array" ref="I458">IF(ISBLANK(G458),"",INDEX('POR Config List'!O:O,MATCH(G458,'POR Config List'!D:D,0)))</f>
        <v/>
      </c>
      <c r="J458" s="104" t="str">
        <f t="array" ref="J458">IF(ISBLANK(G458),"",INDEX('POR Config List'!H:H,MATCH(G458,'POR Config List'!D:D,0)))</f>
        <v/>
      </c>
      <c r="K458" s="105" t="str">
        <f t="array" ref="K458">IF(ISBLANK(G458),"",INDEX('POR Config List'!G:G,MATCH(G458,'POR Config List'!D:D,0)))</f>
        <v/>
      </c>
      <c r="L458" s="105"/>
      <c r="M458" s="105" t="str">
        <f t="array" ref="M458">IF(ISBLANK(G458),"",INDEX('label approval artwork'!Q:Q,MATCH( G458,'label approval artwork'!F:F,0)))</f>
        <v/>
      </c>
      <c r="N458" s="169" t="str">
        <f t="shared" si="5"/>
        <v/>
      </c>
      <c r="O458" s="102" t="str">
        <f t="array" ref="O458">IF(ISBLANK(G458),"",INDEX('POR Config List'!C:C,MATCH(G458,'POR Config List'!D:D,0)))</f>
        <v/>
      </c>
      <c r="P458" s="105" t="str">
        <f t="shared" si="4"/>
        <v/>
      </c>
      <c r="Q458" s="105" t="str">
        <f t="array" ref="Q458">IF(ISBLANK(G458),"",INDEX('label approval artwork'!J:J,MATCH( G458,'label approval artwork'!F:F,0)))</f>
        <v/>
      </c>
      <c r="R458" s="105" t="str">
        <f t="array" ref="R458">IFERROR( IF(P458&lt;&gt;"EMA",INDEX('label approval artwork'!H:H,MATCH(G458,'label approval artwork'!F:F,0),"")),"")</f>
        <v/>
      </c>
      <c r="S458" s="105"/>
      <c r="T458" s="105" t="str">
        <f t="array" ref="T458">IF(ISBLANK(G458),"",INDEX('POR Config List'!I:I,MATCH(G458,'POR Config List'!D:D,0)))</f>
        <v/>
      </c>
      <c r="AA458" s="100" t="str">
        <f t="array" ref="AA458">IF(ISBLANK(G458),"",INDEX('POR Config List'!E:E,MATCH(G458,'POR Config List'!D:D,0)))</f>
        <v/>
      </c>
      <c r="AC458" s="105"/>
      <c r="AD458" s="100"/>
      <c r="AE458" s="100"/>
      <c r="AF458" s="100"/>
      <c r="AG458" s="100"/>
      <c r="AM458" s="102"/>
      <c r="AN458" s="102"/>
      <c r="AR458" s="119"/>
      <c r="AS458" s="103"/>
    </row>
    <row r="459">
      <c r="A459" s="168"/>
      <c r="B459" s="100" t="str">
        <f t="array" ref="B459">IFERROR( INDEX('POR Config List'!A:A,MATCH(G459,'POR Config List'!D:D,0)),"")</f>
        <v/>
      </c>
      <c r="C459" s="101" t="str">
        <f t="array" ref="C459">IFERROR(INDEX('label approval artwork'!E:E,MATCH(G459,'label approval artwork'!F:F,0),""),"")</f>
        <v/>
      </c>
      <c r="D459" s="102" t="str">
        <f t="shared" si="3"/>
        <v/>
      </c>
      <c r="E459" s="100" t="str">
        <f t="array" ref="E459">IF(ISBLANK(G459),"",INDEX('POR Config List'!K:K,MATCH(G459,'POR Config List'!D:D,0)))</f>
        <v/>
      </c>
      <c r="F459" s="100" t="str">
        <f t="array" ref="F459">IF(ISBLANK(G459),"",INDEX('POR Config List'!J:J,MATCH(G459,'POR Config List'!D:D,0)))</f>
        <v/>
      </c>
      <c r="G459" s="168"/>
      <c r="H459" s="104" t="str">
        <f t="array" ref="H459">IF(ISBLANK(G459),"",INDEX('MP SKUs'!G:G,MATCH(G459,'MP SKUs'!A:A,0)))</f>
        <v/>
      </c>
      <c r="I459" s="105" t="str">
        <f t="array" ref="I459">IF(ISBLANK(G459),"",INDEX('POR Config List'!O:O,MATCH(G459,'POR Config List'!D:D,0)))</f>
        <v/>
      </c>
      <c r="J459" s="104" t="str">
        <f t="array" ref="J459">IF(ISBLANK(G459),"",INDEX('POR Config List'!H:H,MATCH(G459,'POR Config List'!D:D,0)))</f>
        <v/>
      </c>
      <c r="K459" s="105" t="str">
        <f t="array" ref="K459">IF(ISBLANK(G459),"",INDEX('POR Config List'!G:G,MATCH(G459,'POR Config List'!D:D,0)))</f>
        <v/>
      </c>
      <c r="L459" s="105"/>
      <c r="M459" s="105" t="str">
        <f t="array" ref="M459">IF(ISBLANK(G459),"",INDEX('label approval artwork'!Q:Q,MATCH( G459,'label approval artwork'!F:F,0)))</f>
        <v/>
      </c>
      <c r="N459" s="169" t="str">
        <f t="shared" si="5"/>
        <v/>
      </c>
      <c r="O459" s="102" t="str">
        <f t="array" ref="O459">IF(ISBLANK(G459),"",INDEX('POR Config List'!C:C,MATCH(G459,'POR Config List'!D:D,0)))</f>
        <v/>
      </c>
      <c r="P459" s="105" t="str">
        <f t="shared" si="4"/>
        <v/>
      </c>
      <c r="Q459" s="105" t="str">
        <f t="array" ref="Q459">IF(ISBLANK(G459),"",INDEX('label approval artwork'!J:J,MATCH( G459,'label approval artwork'!F:F,0)))</f>
        <v/>
      </c>
      <c r="R459" s="105" t="str">
        <f t="array" ref="R459">IFERROR( IF(P459&lt;&gt;"EMA",INDEX('label approval artwork'!H:H,MATCH(G459,'label approval artwork'!F:F,0),"")),"")</f>
        <v/>
      </c>
      <c r="S459" s="105"/>
      <c r="T459" s="105" t="str">
        <f t="array" ref="T459">IF(ISBLANK(G459),"",INDEX('POR Config List'!I:I,MATCH(G459,'POR Config List'!D:D,0)))</f>
        <v/>
      </c>
      <c r="AA459" s="100" t="str">
        <f t="array" ref="AA459">IF(ISBLANK(G459),"",INDEX('POR Config List'!E:E,MATCH(G459,'POR Config List'!D:D,0)))</f>
        <v/>
      </c>
      <c r="AC459" s="105"/>
      <c r="AD459" s="100"/>
      <c r="AE459" s="100"/>
      <c r="AF459" s="100"/>
      <c r="AG459" s="100"/>
      <c r="AM459" s="102"/>
      <c r="AN459" s="102"/>
      <c r="AR459" s="119"/>
      <c r="AS459" s="103"/>
    </row>
    <row r="460">
      <c r="A460" s="168"/>
      <c r="B460" s="100" t="str">
        <f t="array" ref="B460">IFERROR( INDEX('POR Config List'!A:A,MATCH(G460,'POR Config List'!D:D,0)),"")</f>
        <v/>
      </c>
      <c r="C460" s="101" t="str">
        <f t="array" ref="C460">IFERROR(INDEX('label approval artwork'!E:E,MATCH(G460,'label approval artwork'!F:F,0),""),"")</f>
        <v/>
      </c>
      <c r="D460" s="102" t="str">
        <f t="shared" si="3"/>
        <v/>
      </c>
      <c r="E460" s="100" t="str">
        <f t="array" ref="E460">IF(ISBLANK(G460),"",INDEX('POR Config List'!K:K,MATCH(G460,'POR Config List'!D:D,0)))</f>
        <v/>
      </c>
      <c r="F460" s="100" t="str">
        <f t="array" ref="F460">IF(ISBLANK(G460),"",INDEX('POR Config List'!J:J,MATCH(G460,'POR Config List'!D:D,0)))</f>
        <v/>
      </c>
      <c r="G460" s="168"/>
      <c r="H460" s="104" t="str">
        <f t="array" ref="H460">IF(ISBLANK(G460),"",INDEX('MP SKUs'!G:G,MATCH(G460,'MP SKUs'!A:A,0)))</f>
        <v/>
      </c>
      <c r="I460" s="105" t="str">
        <f t="array" ref="I460">IF(ISBLANK(G460),"",INDEX('POR Config List'!O:O,MATCH(G460,'POR Config List'!D:D,0)))</f>
        <v/>
      </c>
      <c r="J460" s="104" t="str">
        <f t="array" ref="J460">IF(ISBLANK(G460),"",INDEX('POR Config List'!H:H,MATCH(G460,'POR Config List'!D:D,0)))</f>
        <v/>
      </c>
      <c r="K460" s="105" t="str">
        <f t="array" ref="K460">IF(ISBLANK(G460),"",INDEX('POR Config List'!G:G,MATCH(G460,'POR Config List'!D:D,0)))</f>
        <v/>
      </c>
      <c r="L460" s="105"/>
      <c r="M460" s="105" t="str">
        <f t="array" ref="M460">IF(ISBLANK(G460),"",INDEX('label approval artwork'!Q:Q,MATCH( G460,'label approval artwork'!F:F,0)))</f>
        <v/>
      </c>
      <c r="N460" s="169" t="str">
        <f t="shared" si="5"/>
        <v/>
      </c>
      <c r="O460" s="102" t="str">
        <f t="array" ref="O460">IF(ISBLANK(G460),"",INDEX('POR Config List'!C:C,MATCH(G460,'POR Config List'!D:D,0)))</f>
        <v/>
      </c>
      <c r="P460" s="105" t="str">
        <f t="shared" si="4"/>
        <v/>
      </c>
      <c r="Q460" s="105" t="str">
        <f t="array" ref="Q460">IF(ISBLANK(G460),"",INDEX('label approval artwork'!J:J,MATCH( G460,'label approval artwork'!F:F,0)))</f>
        <v/>
      </c>
      <c r="R460" s="105" t="str">
        <f t="array" ref="R460">IFERROR( IF(P460&lt;&gt;"EMA",INDEX('label approval artwork'!H:H,MATCH(G460,'label approval artwork'!F:F,0),"")),"")</f>
        <v/>
      </c>
      <c r="S460" s="105"/>
      <c r="T460" s="105" t="str">
        <f t="array" ref="T460">IF(ISBLANK(G460),"",INDEX('POR Config List'!I:I,MATCH(G460,'POR Config List'!D:D,0)))</f>
        <v/>
      </c>
      <c r="AA460" s="100" t="str">
        <f t="array" ref="AA460">IF(ISBLANK(G460),"",INDEX('POR Config List'!E:E,MATCH(G460,'POR Config List'!D:D,0)))</f>
        <v/>
      </c>
      <c r="AC460" s="105"/>
      <c r="AD460" s="100"/>
      <c r="AE460" s="100"/>
      <c r="AF460" s="100"/>
      <c r="AG460" s="100"/>
      <c r="AM460" s="102"/>
      <c r="AN460" s="102"/>
      <c r="AR460" s="119"/>
      <c r="AS460" s="103"/>
    </row>
    <row r="461">
      <c r="A461" s="168"/>
      <c r="B461" s="100" t="str">
        <f t="array" ref="B461">IFERROR( INDEX('POR Config List'!A:A,MATCH(G461,'POR Config List'!D:D,0)),"")</f>
        <v/>
      </c>
      <c r="C461" s="101" t="str">
        <f t="array" ref="C461">IFERROR(INDEX('label approval artwork'!E:E,MATCH(G461,'label approval artwork'!F:F,0),""),"")</f>
        <v/>
      </c>
      <c r="D461" s="102" t="str">
        <f t="shared" si="3"/>
        <v/>
      </c>
      <c r="E461" s="100" t="str">
        <f t="array" ref="E461">IF(ISBLANK(G461),"",INDEX('POR Config List'!K:K,MATCH(G461,'POR Config List'!D:D,0)))</f>
        <v/>
      </c>
      <c r="F461" s="100" t="str">
        <f t="array" ref="F461">IF(ISBLANK(G461),"",INDEX('POR Config List'!J:J,MATCH(G461,'POR Config List'!D:D,0)))</f>
        <v/>
      </c>
      <c r="G461" s="168"/>
      <c r="H461" s="104" t="str">
        <f t="array" ref="H461">IF(ISBLANK(G461),"",INDEX('MP SKUs'!G:G,MATCH(G461,'MP SKUs'!A:A,0)))</f>
        <v/>
      </c>
      <c r="I461" s="105" t="str">
        <f t="array" ref="I461">IF(ISBLANK(G461),"",INDEX('POR Config List'!O:O,MATCH(G461,'POR Config List'!D:D,0)))</f>
        <v/>
      </c>
      <c r="J461" s="104" t="str">
        <f t="array" ref="J461">IF(ISBLANK(G461),"",INDEX('POR Config List'!H:H,MATCH(G461,'POR Config List'!D:D,0)))</f>
        <v/>
      </c>
      <c r="K461" s="105" t="str">
        <f t="array" ref="K461">IF(ISBLANK(G461),"",INDEX('POR Config List'!G:G,MATCH(G461,'POR Config List'!D:D,0)))</f>
        <v/>
      </c>
      <c r="L461" s="105"/>
      <c r="M461" s="105" t="str">
        <f t="array" ref="M461">IF(ISBLANK(G461),"",INDEX('label approval artwork'!Q:Q,MATCH( G461,'label approval artwork'!F:F,0)))</f>
        <v/>
      </c>
      <c r="N461" s="169" t="str">
        <f t="shared" si="5"/>
        <v/>
      </c>
      <c r="O461" s="102" t="str">
        <f t="array" ref="O461">IF(ISBLANK(G461),"",INDEX('POR Config List'!C:C,MATCH(G461,'POR Config List'!D:D,0)))</f>
        <v/>
      </c>
      <c r="P461" s="105" t="str">
        <f t="shared" si="4"/>
        <v/>
      </c>
      <c r="Q461" s="105" t="str">
        <f t="array" ref="Q461">IF(ISBLANK(G461),"",INDEX('label approval artwork'!J:J,MATCH( G461,'label approval artwork'!F:F,0)))</f>
        <v/>
      </c>
      <c r="R461" s="105" t="str">
        <f t="array" ref="R461">IFERROR( IF(P461&lt;&gt;"EMA",INDEX('label approval artwork'!H:H,MATCH(G461,'label approval artwork'!F:F,0),"")),"")</f>
        <v/>
      </c>
      <c r="S461" s="105"/>
      <c r="T461" s="105" t="str">
        <f t="array" ref="T461">IF(ISBLANK(G461),"",INDEX('POR Config List'!I:I,MATCH(G461,'POR Config List'!D:D,0)))</f>
        <v/>
      </c>
      <c r="AA461" s="100" t="str">
        <f t="array" ref="AA461">IF(ISBLANK(G461),"",INDEX('POR Config List'!E:E,MATCH(G461,'POR Config List'!D:D,0)))</f>
        <v/>
      </c>
      <c r="AC461" s="105"/>
      <c r="AD461" s="100"/>
      <c r="AE461" s="100"/>
      <c r="AF461" s="100"/>
      <c r="AG461" s="100"/>
      <c r="AM461" s="102"/>
      <c r="AN461" s="102"/>
      <c r="AR461" s="119"/>
      <c r="AS461" s="103"/>
    </row>
    <row r="462">
      <c r="A462" s="168"/>
      <c r="B462" s="100" t="str">
        <f t="array" ref="B462">IFERROR( INDEX('POR Config List'!A:A,MATCH(G462,'POR Config List'!D:D,0)),"")</f>
        <v/>
      </c>
      <c r="C462" s="101" t="str">
        <f t="array" ref="C462">IFERROR(INDEX('label approval artwork'!E:E,MATCH(G462,'label approval artwork'!F:F,0),""),"")</f>
        <v/>
      </c>
      <c r="D462" s="102" t="str">
        <f t="shared" si="3"/>
        <v/>
      </c>
      <c r="E462" s="100" t="str">
        <f t="array" ref="E462">IF(ISBLANK(G462),"",INDEX('POR Config List'!K:K,MATCH(G462,'POR Config List'!D:D,0)))</f>
        <v/>
      </c>
      <c r="F462" s="100" t="str">
        <f t="array" ref="F462">IF(ISBLANK(G462),"",INDEX('POR Config List'!J:J,MATCH(G462,'POR Config List'!D:D,0)))</f>
        <v/>
      </c>
      <c r="G462" s="168"/>
      <c r="H462" s="104" t="str">
        <f t="array" ref="H462">IF(ISBLANK(G462),"",INDEX('MP SKUs'!G:G,MATCH(G462,'MP SKUs'!A:A,0)))</f>
        <v/>
      </c>
      <c r="I462" s="105" t="str">
        <f t="array" ref="I462">IF(ISBLANK(G462),"",INDEX('POR Config List'!O:O,MATCH(G462,'POR Config List'!D:D,0)))</f>
        <v/>
      </c>
      <c r="J462" s="104" t="str">
        <f t="array" ref="J462">IF(ISBLANK(G462),"",INDEX('POR Config List'!H:H,MATCH(G462,'POR Config List'!D:D,0)))</f>
        <v/>
      </c>
      <c r="K462" s="105" t="str">
        <f t="array" ref="K462">IF(ISBLANK(G462),"",INDEX('POR Config List'!G:G,MATCH(G462,'POR Config List'!D:D,0)))</f>
        <v/>
      </c>
      <c r="L462" s="105"/>
      <c r="M462" s="105" t="str">
        <f t="array" ref="M462">IF(ISBLANK(G462),"",INDEX('label approval artwork'!Q:Q,MATCH( G462,'label approval artwork'!F:F,0)))</f>
        <v/>
      </c>
      <c r="N462" s="169" t="str">
        <f t="shared" si="5"/>
        <v/>
      </c>
      <c r="O462" s="102" t="str">
        <f t="array" ref="O462">IF(ISBLANK(G462),"",INDEX('POR Config List'!C:C,MATCH(G462,'POR Config List'!D:D,0)))</f>
        <v/>
      </c>
      <c r="P462" s="105" t="str">
        <f t="shared" si="4"/>
        <v/>
      </c>
      <c r="Q462" s="105" t="str">
        <f t="array" ref="Q462">IF(ISBLANK(G462),"",INDEX('label approval artwork'!J:J,MATCH( G462,'label approval artwork'!F:F,0)))</f>
        <v/>
      </c>
      <c r="R462" s="105" t="str">
        <f t="array" ref="R462">IFERROR( IF(P462&lt;&gt;"EMA",INDEX('label approval artwork'!H:H,MATCH(G462,'label approval artwork'!F:F,0),"")),"")</f>
        <v/>
      </c>
      <c r="S462" s="105"/>
      <c r="T462" s="105" t="str">
        <f t="array" ref="T462">IF(ISBLANK(G462),"",INDEX('POR Config List'!I:I,MATCH(G462,'POR Config List'!D:D,0)))</f>
        <v/>
      </c>
      <c r="AA462" s="100" t="str">
        <f t="array" ref="AA462">IF(ISBLANK(G462),"",INDEX('POR Config List'!E:E,MATCH(G462,'POR Config List'!D:D,0)))</f>
        <v/>
      </c>
      <c r="AC462" s="105"/>
      <c r="AD462" s="100"/>
      <c r="AE462" s="100"/>
      <c r="AF462" s="100"/>
      <c r="AG462" s="100"/>
      <c r="AM462" s="102"/>
      <c r="AN462" s="102"/>
      <c r="AR462" s="119"/>
      <c r="AS462" s="103"/>
    </row>
    <row r="463">
      <c r="A463" s="168"/>
      <c r="B463" s="100" t="str">
        <f t="array" ref="B463">IFERROR( INDEX('POR Config List'!A:A,MATCH(G463,'POR Config List'!D:D,0)),"")</f>
        <v/>
      </c>
      <c r="C463" s="101" t="str">
        <f t="array" ref="C463">IFERROR(INDEX('label approval artwork'!E:E,MATCH(G463,'label approval artwork'!F:F,0),""),"")</f>
        <v/>
      </c>
      <c r="D463" s="102" t="str">
        <f t="shared" si="3"/>
        <v/>
      </c>
      <c r="E463" s="100" t="str">
        <f t="array" ref="E463">IF(ISBLANK(G463),"",INDEX('POR Config List'!K:K,MATCH(G463,'POR Config List'!D:D,0)))</f>
        <v/>
      </c>
      <c r="F463" s="100" t="str">
        <f t="array" ref="F463">IF(ISBLANK(G463),"",INDEX('POR Config List'!J:J,MATCH(G463,'POR Config List'!D:D,0)))</f>
        <v/>
      </c>
      <c r="G463" s="168"/>
      <c r="H463" s="104" t="str">
        <f t="array" ref="H463">IF(ISBLANK(G463),"",INDEX('MP SKUs'!G:G,MATCH(G463,'MP SKUs'!A:A,0)))</f>
        <v/>
      </c>
      <c r="I463" s="105" t="str">
        <f t="array" ref="I463">IF(ISBLANK(G463),"",INDEX('POR Config List'!O:O,MATCH(G463,'POR Config List'!D:D,0)))</f>
        <v/>
      </c>
      <c r="J463" s="104" t="str">
        <f t="array" ref="J463">IF(ISBLANK(G463),"",INDEX('POR Config List'!H:H,MATCH(G463,'POR Config List'!D:D,0)))</f>
        <v/>
      </c>
      <c r="K463" s="105" t="str">
        <f t="array" ref="K463">IF(ISBLANK(G463),"",INDEX('POR Config List'!G:G,MATCH(G463,'POR Config List'!D:D,0)))</f>
        <v/>
      </c>
      <c r="L463" s="105"/>
      <c r="M463" s="105" t="str">
        <f t="array" ref="M463">IF(ISBLANK(G463),"",INDEX('label approval artwork'!Q:Q,MATCH( G463,'label approval artwork'!F:F,0)))</f>
        <v/>
      </c>
      <c r="N463" s="169" t="str">
        <f t="shared" si="5"/>
        <v/>
      </c>
      <c r="O463" s="102" t="str">
        <f t="array" ref="O463">IF(ISBLANK(G463),"",INDEX('POR Config List'!C:C,MATCH(G463,'POR Config List'!D:D,0)))</f>
        <v/>
      </c>
      <c r="P463" s="105" t="str">
        <f t="shared" si="4"/>
        <v/>
      </c>
      <c r="Q463" s="105" t="str">
        <f t="array" ref="Q463">IF(ISBLANK(G463),"",INDEX('label approval artwork'!J:J,MATCH( G463,'label approval artwork'!F:F,0)))</f>
        <v/>
      </c>
      <c r="R463" s="105" t="str">
        <f t="array" ref="R463">IFERROR( IF(P463&lt;&gt;"EMA",INDEX('label approval artwork'!H:H,MATCH(G463,'label approval artwork'!F:F,0),"")),"")</f>
        <v/>
      </c>
      <c r="S463" s="105"/>
      <c r="T463" s="105" t="str">
        <f t="array" ref="T463">IF(ISBLANK(G463),"",INDEX('POR Config List'!I:I,MATCH(G463,'POR Config List'!D:D,0)))</f>
        <v/>
      </c>
      <c r="AA463" s="100" t="str">
        <f t="array" ref="AA463">IF(ISBLANK(G463),"",INDEX('POR Config List'!E:E,MATCH(G463,'POR Config List'!D:D,0)))</f>
        <v/>
      </c>
      <c r="AC463" s="105"/>
      <c r="AD463" s="100"/>
      <c r="AE463" s="100"/>
      <c r="AF463" s="100"/>
      <c r="AG463" s="100"/>
      <c r="AM463" s="102"/>
      <c r="AN463" s="102"/>
      <c r="AR463" s="119"/>
      <c r="AS463" s="103"/>
    </row>
    <row r="464">
      <c r="A464" s="168"/>
      <c r="B464" s="100" t="str">
        <f t="array" ref="B464">IFERROR( INDEX('POR Config List'!A:A,MATCH(G464,'POR Config List'!D:D,0)),"")</f>
        <v/>
      </c>
      <c r="C464" s="101" t="str">
        <f t="array" ref="C464">IFERROR(INDEX('label approval artwork'!E:E,MATCH(G464,'label approval artwork'!F:F,0),""),"")</f>
        <v/>
      </c>
      <c r="D464" s="102" t="str">
        <f t="shared" si="3"/>
        <v/>
      </c>
      <c r="E464" s="100" t="str">
        <f t="array" ref="E464">IF(ISBLANK(G464),"",INDEX('POR Config List'!K:K,MATCH(G464,'POR Config List'!D:D,0)))</f>
        <v/>
      </c>
      <c r="F464" s="100" t="str">
        <f t="array" ref="F464">IF(ISBLANK(G464),"",INDEX('POR Config List'!J:J,MATCH(G464,'POR Config List'!D:D,0)))</f>
        <v/>
      </c>
      <c r="G464" s="168"/>
      <c r="H464" s="104" t="str">
        <f t="array" ref="H464">IF(ISBLANK(G464),"",INDEX('MP SKUs'!G:G,MATCH(G464,'MP SKUs'!A:A,0)))</f>
        <v/>
      </c>
      <c r="I464" s="105" t="str">
        <f t="array" ref="I464">IF(ISBLANK(G464),"",INDEX('POR Config List'!O:O,MATCH(G464,'POR Config List'!D:D,0)))</f>
        <v/>
      </c>
      <c r="J464" s="104" t="str">
        <f t="array" ref="J464">IF(ISBLANK(G464),"",INDEX('POR Config List'!H:H,MATCH(G464,'POR Config List'!D:D,0)))</f>
        <v/>
      </c>
      <c r="K464" s="105" t="str">
        <f t="array" ref="K464">IF(ISBLANK(G464),"",INDEX('POR Config List'!G:G,MATCH(G464,'POR Config List'!D:D,0)))</f>
        <v/>
      </c>
      <c r="L464" s="105"/>
      <c r="M464" s="105" t="str">
        <f t="array" ref="M464">IF(ISBLANK(G464),"",INDEX('label approval artwork'!Q:Q,MATCH( G464,'label approval artwork'!F:F,0)))</f>
        <v/>
      </c>
      <c r="N464" s="169" t="str">
        <f t="shared" si="5"/>
        <v/>
      </c>
      <c r="O464" s="102" t="str">
        <f t="array" ref="O464">IF(ISBLANK(G464),"",INDEX('POR Config List'!C:C,MATCH(G464,'POR Config List'!D:D,0)))</f>
        <v/>
      </c>
      <c r="P464" s="105" t="str">
        <f t="shared" si="4"/>
        <v/>
      </c>
      <c r="Q464" s="105" t="str">
        <f t="array" ref="Q464">IF(ISBLANK(G464),"",INDEX('label approval artwork'!J:J,MATCH( G464,'label approval artwork'!F:F,0)))</f>
        <v/>
      </c>
      <c r="R464" s="105" t="str">
        <f t="array" ref="R464">IFERROR( IF(P464&lt;&gt;"EMA",INDEX('label approval artwork'!H:H,MATCH(G464,'label approval artwork'!F:F,0),"")),"")</f>
        <v/>
      </c>
      <c r="S464" s="105"/>
      <c r="T464" s="105" t="str">
        <f t="array" ref="T464">IF(ISBLANK(G464),"",INDEX('POR Config List'!I:I,MATCH(G464,'POR Config List'!D:D,0)))</f>
        <v/>
      </c>
      <c r="AA464" s="100" t="str">
        <f t="array" ref="AA464">IF(ISBLANK(G464),"",INDEX('POR Config List'!E:E,MATCH(G464,'POR Config List'!D:D,0)))</f>
        <v/>
      </c>
      <c r="AC464" s="105"/>
      <c r="AD464" s="100"/>
      <c r="AE464" s="100"/>
      <c r="AF464" s="100"/>
      <c r="AG464" s="100"/>
      <c r="AM464" s="102"/>
      <c r="AN464" s="102"/>
      <c r="AR464" s="119"/>
      <c r="AS464" s="103"/>
    </row>
    <row r="465">
      <c r="A465" s="168"/>
      <c r="B465" s="100" t="str">
        <f t="array" ref="B465">IFERROR( INDEX('POR Config List'!A:A,MATCH(G465,'POR Config List'!D:D,0)),"")</f>
        <v/>
      </c>
      <c r="C465" s="101" t="str">
        <f t="array" ref="C465">IFERROR(INDEX('label approval artwork'!E:E,MATCH(G465,'label approval artwork'!F:F,0),""),"")</f>
        <v/>
      </c>
      <c r="D465" s="102" t="str">
        <f t="shared" si="3"/>
        <v/>
      </c>
      <c r="E465" s="100" t="str">
        <f t="array" ref="E465">IF(ISBLANK(G465),"",INDEX('POR Config List'!K:K,MATCH(G465,'POR Config List'!D:D,0)))</f>
        <v/>
      </c>
      <c r="F465" s="100" t="str">
        <f t="array" ref="F465">IF(ISBLANK(G465),"",INDEX('POR Config List'!J:J,MATCH(G465,'POR Config List'!D:D,0)))</f>
        <v/>
      </c>
      <c r="G465" s="168"/>
      <c r="H465" s="104" t="str">
        <f t="array" ref="H465">IF(ISBLANK(G465),"",INDEX('MP SKUs'!G:G,MATCH(G465,'MP SKUs'!A:A,0)))</f>
        <v/>
      </c>
      <c r="I465" s="105" t="str">
        <f t="array" ref="I465">IF(ISBLANK(G465),"",INDEX('POR Config List'!O:O,MATCH(G465,'POR Config List'!D:D,0)))</f>
        <v/>
      </c>
      <c r="J465" s="104" t="str">
        <f t="array" ref="J465">IF(ISBLANK(G465),"",INDEX('POR Config List'!H:H,MATCH(G465,'POR Config List'!D:D,0)))</f>
        <v/>
      </c>
      <c r="K465" s="105" t="str">
        <f t="array" ref="K465">IF(ISBLANK(G465),"",INDEX('POR Config List'!G:G,MATCH(G465,'POR Config List'!D:D,0)))</f>
        <v/>
      </c>
      <c r="L465" s="105"/>
      <c r="M465" s="105" t="str">
        <f t="array" ref="M465">IF(ISBLANK(G465),"",INDEX('label approval artwork'!Q:Q,MATCH( G465,'label approval artwork'!F:F,0)))</f>
        <v/>
      </c>
      <c r="N465" s="169" t="str">
        <f t="shared" si="5"/>
        <v/>
      </c>
      <c r="O465" s="102" t="str">
        <f t="array" ref="O465">IF(ISBLANK(G465),"",INDEX('POR Config List'!C:C,MATCH(G465,'POR Config List'!D:D,0)))</f>
        <v/>
      </c>
      <c r="P465" s="105" t="str">
        <f t="shared" si="4"/>
        <v/>
      </c>
      <c r="Q465" s="105" t="str">
        <f t="array" ref="Q465">IF(ISBLANK(G465),"",INDEX('label approval artwork'!J:J,MATCH( G465,'label approval artwork'!F:F,0)))</f>
        <v/>
      </c>
      <c r="R465" s="105" t="str">
        <f t="array" ref="R465">IFERROR( IF(P465&lt;&gt;"EMA",INDEX('label approval artwork'!H:H,MATCH(G465,'label approval artwork'!F:F,0),"")),"")</f>
        <v/>
      </c>
      <c r="S465" s="105"/>
      <c r="T465" s="105" t="str">
        <f t="array" ref="T465">IF(ISBLANK(G465),"",INDEX('POR Config List'!I:I,MATCH(G465,'POR Config List'!D:D,0)))</f>
        <v/>
      </c>
      <c r="AA465" s="100" t="str">
        <f t="array" ref="AA465">IF(ISBLANK(G465),"",INDEX('POR Config List'!E:E,MATCH(G465,'POR Config List'!D:D,0)))</f>
        <v/>
      </c>
      <c r="AC465" s="105"/>
      <c r="AD465" s="100"/>
      <c r="AE465" s="100"/>
      <c r="AF465" s="100"/>
      <c r="AG465" s="100"/>
      <c r="AM465" s="102"/>
      <c r="AN465" s="102"/>
      <c r="AR465" s="119"/>
      <c r="AS465" s="103"/>
    </row>
    <row r="466">
      <c r="A466" s="168"/>
      <c r="B466" s="100" t="str">
        <f t="array" ref="B466">IFERROR( INDEX('POR Config List'!A:A,MATCH(G466,'POR Config List'!D:D,0)),"")</f>
        <v/>
      </c>
      <c r="C466" s="101" t="str">
        <f t="array" ref="C466">IFERROR(INDEX('label approval artwork'!E:E,MATCH(G466,'label approval artwork'!F:F,0),""),"")</f>
        <v/>
      </c>
      <c r="D466" s="102" t="str">
        <f t="shared" si="3"/>
        <v/>
      </c>
      <c r="E466" s="100" t="str">
        <f t="array" ref="E466">IF(ISBLANK(G466),"",INDEX('POR Config List'!K:K,MATCH(G466,'POR Config List'!D:D,0)))</f>
        <v/>
      </c>
      <c r="F466" s="100" t="str">
        <f t="array" ref="F466">IF(ISBLANK(G466),"",INDEX('POR Config List'!J:J,MATCH(G466,'POR Config List'!D:D,0)))</f>
        <v/>
      </c>
      <c r="G466" s="168"/>
      <c r="H466" s="104" t="str">
        <f t="array" ref="H466">IF(ISBLANK(G466),"",INDEX('MP SKUs'!G:G,MATCH(G466,'MP SKUs'!A:A,0)))</f>
        <v/>
      </c>
      <c r="I466" s="105" t="str">
        <f t="array" ref="I466">IF(ISBLANK(G466),"",INDEX('POR Config List'!O:O,MATCH(G466,'POR Config List'!D:D,0)))</f>
        <v/>
      </c>
      <c r="J466" s="104" t="str">
        <f t="array" ref="J466">IF(ISBLANK(G466),"",INDEX('POR Config List'!H:H,MATCH(G466,'POR Config List'!D:D,0)))</f>
        <v/>
      </c>
      <c r="K466" s="105" t="str">
        <f t="array" ref="K466">IF(ISBLANK(G466),"",INDEX('POR Config List'!G:G,MATCH(G466,'POR Config List'!D:D,0)))</f>
        <v/>
      </c>
      <c r="L466" s="105"/>
      <c r="M466" s="105" t="str">
        <f t="array" ref="M466">IF(ISBLANK(G466),"",INDEX('label approval artwork'!Q:Q,MATCH( G466,'label approval artwork'!F:F,0)))</f>
        <v/>
      </c>
      <c r="N466" s="169" t="str">
        <f t="shared" si="5"/>
        <v/>
      </c>
      <c r="O466" s="102" t="str">
        <f t="array" ref="O466">IF(ISBLANK(G466),"",INDEX('POR Config List'!C:C,MATCH(G466,'POR Config List'!D:D,0)))</f>
        <v/>
      </c>
      <c r="P466" s="105" t="str">
        <f t="shared" si="4"/>
        <v/>
      </c>
      <c r="Q466" s="105" t="str">
        <f t="array" ref="Q466">IF(ISBLANK(G466),"",INDEX('label approval artwork'!J:J,MATCH( G466,'label approval artwork'!F:F,0)))</f>
        <v/>
      </c>
      <c r="R466" s="105" t="str">
        <f t="array" ref="R466">IFERROR( IF(P466&lt;&gt;"EMA",INDEX('label approval artwork'!H:H,MATCH(G466,'label approval artwork'!F:F,0),"")),"")</f>
        <v/>
      </c>
      <c r="S466" s="105"/>
      <c r="T466" s="105" t="str">
        <f t="array" ref="T466">IF(ISBLANK(G466),"",INDEX('POR Config List'!I:I,MATCH(G466,'POR Config List'!D:D,0)))</f>
        <v/>
      </c>
      <c r="AA466" s="100" t="str">
        <f t="array" ref="AA466">IF(ISBLANK(G466),"",INDEX('POR Config List'!E:E,MATCH(G466,'POR Config List'!D:D,0)))</f>
        <v/>
      </c>
      <c r="AC466" s="105"/>
      <c r="AD466" s="100"/>
      <c r="AE466" s="100"/>
      <c r="AF466" s="100"/>
      <c r="AG466" s="100"/>
      <c r="AM466" s="102"/>
      <c r="AN466" s="102"/>
      <c r="AR466" s="119"/>
      <c r="AS466" s="103"/>
    </row>
    <row r="467">
      <c r="A467" s="168"/>
      <c r="B467" s="100" t="str">
        <f t="array" ref="B467">IFERROR( INDEX('POR Config List'!A:A,MATCH(G467,'POR Config List'!D:D,0)),"")</f>
        <v/>
      </c>
      <c r="C467" s="101" t="str">
        <f t="array" ref="C467">IFERROR(INDEX('label approval artwork'!E:E,MATCH(G467,'label approval artwork'!F:F,0),""),"")</f>
        <v/>
      </c>
      <c r="D467" s="102" t="str">
        <f t="shared" si="3"/>
        <v/>
      </c>
      <c r="E467" s="100" t="str">
        <f t="array" ref="E467">IF(ISBLANK(G467),"",INDEX('POR Config List'!K:K,MATCH(G467,'POR Config List'!D:D,0)))</f>
        <v/>
      </c>
      <c r="F467" s="100" t="str">
        <f t="array" ref="F467">IF(ISBLANK(G467),"",INDEX('POR Config List'!J:J,MATCH(G467,'POR Config List'!D:D,0)))</f>
        <v/>
      </c>
      <c r="G467" s="168"/>
      <c r="H467" s="104" t="str">
        <f t="array" ref="H467">IF(ISBLANK(G467),"",INDEX('MP SKUs'!G:G,MATCH(G467,'MP SKUs'!A:A,0)))</f>
        <v/>
      </c>
      <c r="I467" s="105" t="str">
        <f t="array" ref="I467">IF(ISBLANK(G467),"",INDEX('POR Config List'!O:O,MATCH(G467,'POR Config List'!D:D,0)))</f>
        <v/>
      </c>
      <c r="J467" s="104" t="str">
        <f t="array" ref="J467">IF(ISBLANK(G467),"",INDEX('POR Config List'!H:H,MATCH(G467,'POR Config List'!D:D,0)))</f>
        <v/>
      </c>
      <c r="K467" s="105" t="str">
        <f t="array" ref="K467">IF(ISBLANK(G467),"",INDEX('POR Config List'!G:G,MATCH(G467,'POR Config List'!D:D,0)))</f>
        <v/>
      </c>
      <c r="L467" s="105"/>
      <c r="M467" s="105" t="str">
        <f t="array" ref="M467">IF(ISBLANK(G467),"",INDEX('label approval artwork'!Q:Q,MATCH( G467,'label approval artwork'!F:F,0)))</f>
        <v/>
      </c>
      <c r="N467" s="169" t="str">
        <f t="shared" si="5"/>
        <v/>
      </c>
      <c r="O467" s="102" t="str">
        <f t="array" ref="O467">IF(ISBLANK(G467),"",INDEX('POR Config List'!C:C,MATCH(G467,'POR Config List'!D:D,0)))</f>
        <v/>
      </c>
      <c r="P467" s="105" t="str">
        <f t="shared" si="4"/>
        <v/>
      </c>
      <c r="Q467" s="105" t="str">
        <f t="array" ref="Q467">IF(ISBLANK(G467),"",INDEX('label approval artwork'!J:J,MATCH( G467,'label approval artwork'!F:F,0)))</f>
        <v/>
      </c>
      <c r="R467" s="105" t="str">
        <f t="array" ref="R467">IFERROR( IF(P467&lt;&gt;"EMA",INDEX('label approval artwork'!H:H,MATCH(G467,'label approval artwork'!F:F,0),"")),"")</f>
        <v/>
      </c>
      <c r="S467" s="105"/>
      <c r="T467" s="105" t="str">
        <f t="array" ref="T467">IF(ISBLANK(G467),"",INDEX('POR Config List'!I:I,MATCH(G467,'POR Config List'!D:D,0)))</f>
        <v/>
      </c>
      <c r="AA467" s="100" t="str">
        <f t="array" ref="AA467">IF(ISBLANK(G467),"",INDEX('POR Config List'!E:E,MATCH(G467,'POR Config List'!D:D,0)))</f>
        <v/>
      </c>
      <c r="AC467" s="105"/>
      <c r="AD467" s="100"/>
      <c r="AE467" s="100"/>
      <c r="AF467" s="100"/>
      <c r="AG467" s="100"/>
      <c r="AM467" s="102"/>
      <c r="AN467" s="102"/>
      <c r="AR467" s="119"/>
      <c r="AS467" s="103"/>
    </row>
    <row r="468">
      <c r="A468" s="168"/>
      <c r="B468" s="100" t="str">
        <f t="array" ref="B468">IFERROR( INDEX('POR Config List'!A:A,MATCH(G468,'POR Config List'!D:D,0)),"")</f>
        <v/>
      </c>
      <c r="C468" s="101" t="str">
        <f t="array" ref="C468">IFERROR(INDEX('label approval artwork'!E:E,MATCH(G468,'label approval artwork'!F:F,0),""),"")</f>
        <v/>
      </c>
      <c r="D468" s="102" t="str">
        <f t="shared" si="3"/>
        <v/>
      </c>
      <c r="E468" s="100" t="str">
        <f t="array" ref="E468">IF(ISBLANK(G468),"",INDEX('POR Config List'!K:K,MATCH(G468,'POR Config List'!D:D,0)))</f>
        <v/>
      </c>
      <c r="F468" s="100" t="str">
        <f t="array" ref="F468">IF(ISBLANK(G468),"",INDEX('POR Config List'!J:J,MATCH(G468,'POR Config List'!D:D,0)))</f>
        <v/>
      </c>
      <c r="G468" s="168"/>
      <c r="H468" s="104" t="str">
        <f t="array" ref="H468">IF(ISBLANK(G468),"",INDEX('MP SKUs'!G:G,MATCH(G468,'MP SKUs'!A:A,0)))</f>
        <v/>
      </c>
      <c r="I468" s="105" t="str">
        <f t="array" ref="I468">IF(ISBLANK(G468),"",INDEX('POR Config List'!O:O,MATCH(G468,'POR Config List'!D:D,0)))</f>
        <v/>
      </c>
      <c r="J468" s="104" t="str">
        <f t="array" ref="J468">IF(ISBLANK(G468),"",INDEX('POR Config List'!H:H,MATCH(G468,'POR Config List'!D:D,0)))</f>
        <v/>
      </c>
      <c r="K468" s="105" t="str">
        <f t="array" ref="K468">IF(ISBLANK(G468),"",INDEX('POR Config List'!G:G,MATCH(G468,'POR Config List'!D:D,0)))</f>
        <v/>
      </c>
      <c r="L468" s="105"/>
      <c r="M468" s="105" t="str">
        <f t="array" ref="M468">IF(ISBLANK(G468),"",INDEX('label approval artwork'!Q:Q,MATCH( G468,'label approval artwork'!F:F,0)))</f>
        <v/>
      </c>
      <c r="N468" s="169" t="str">
        <f t="shared" si="5"/>
        <v/>
      </c>
      <c r="O468" s="102" t="str">
        <f t="array" ref="O468">IF(ISBLANK(G468),"",INDEX('POR Config List'!C:C,MATCH(G468,'POR Config List'!D:D,0)))</f>
        <v/>
      </c>
      <c r="P468" s="105" t="str">
        <f t="shared" si="4"/>
        <v/>
      </c>
      <c r="Q468" s="105" t="str">
        <f t="array" ref="Q468">IF(ISBLANK(G468),"",INDEX('label approval artwork'!J:J,MATCH( G468,'label approval artwork'!F:F,0)))</f>
        <v/>
      </c>
      <c r="R468" s="105" t="str">
        <f t="array" ref="R468">IFERROR( IF(P468&lt;&gt;"EMA",INDEX('label approval artwork'!H:H,MATCH(G468,'label approval artwork'!F:F,0),"")),"")</f>
        <v/>
      </c>
      <c r="S468" s="105"/>
      <c r="T468" s="105" t="str">
        <f t="array" ref="T468">IF(ISBLANK(G468),"",INDEX('POR Config List'!I:I,MATCH(G468,'POR Config List'!D:D,0)))</f>
        <v/>
      </c>
      <c r="AA468" s="100" t="str">
        <f t="array" ref="AA468">IF(ISBLANK(G468),"",INDEX('POR Config List'!E:E,MATCH(G468,'POR Config List'!D:D,0)))</f>
        <v/>
      </c>
      <c r="AC468" s="105"/>
      <c r="AD468" s="100"/>
      <c r="AE468" s="100"/>
      <c r="AF468" s="100"/>
      <c r="AG468" s="100"/>
      <c r="AM468" s="102"/>
      <c r="AN468" s="102"/>
      <c r="AR468" s="119"/>
      <c r="AS468" s="103"/>
    </row>
    <row r="469">
      <c r="A469" s="168"/>
      <c r="B469" s="100" t="str">
        <f t="array" ref="B469">IFERROR( INDEX('POR Config List'!A:A,MATCH(G469,'POR Config List'!D:D,0)),"")</f>
        <v/>
      </c>
      <c r="C469" s="101" t="str">
        <f t="array" ref="C469">IFERROR(INDEX('label approval artwork'!E:E,MATCH(G469,'label approval artwork'!F:F,0),""),"")</f>
        <v/>
      </c>
      <c r="D469" s="102" t="str">
        <f t="shared" si="3"/>
        <v/>
      </c>
      <c r="E469" s="100" t="str">
        <f t="array" ref="E469">IF(ISBLANK(G469),"",INDEX('POR Config List'!K:K,MATCH(G469,'POR Config List'!D:D,0)))</f>
        <v/>
      </c>
      <c r="F469" s="100" t="str">
        <f t="array" ref="F469">IF(ISBLANK(G469),"",INDEX('POR Config List'!J:J,MATCH(G469,'POR Config List'!D:D,0)))</f>
        <v/>
      </c>
      <c r="G469" s="168"/>
      <c r="H469" s="104" t="str">
        <f t="array" ref="H469">IF(ISBLANK(G469),"",INDEX('MP SKUs'!G:G,MATCH(G469,'MP SKUs'!A:A,0)))</f>
        <v/>
      </c>
      <c r="I469" s="105" t="str">
        <f t="array" ref="I469">IF(ISBLANK(G469),"",INDEX('POR Config List'!O:O,MATCH(G469,'POR Config List'!D:D,0)))</f>
        <v/>
      </c>
      <c r="J469" s="104" t="str">
        <f t="array" ref="J469">IF(ISBLANK(G469),"",INDEX('POR Config List'!H:H,MATCH(G469,'POR Config List'!D:D,0)))</f>
        <v/>
      </c>
      <c r="K469" s="105" t="str">
        <f t="array" ref="K469">IF(ISBLANK(G469),"",INDEX('POR Config List'!G:G,MATCH(G469,'POR Config List'!D:D,0)))</f>
        <v/>
      </c>
      <c r="L469" s="105"/>
      <c r="M469" s="105" t="str">
        <f t="array" ref="M469">IF(ISBLANK(G469),"",INDEX('label approval artwork'!Q:Q,MATCH( G469,'label approval artwork'!F:F,0)))</f>
        <v/>
      </c>
      <c r="N469" s="169" t="str">
        <f t="shared" si="5"/>
        <v/>
      </c>
      <c r="O469" s="102" t="str">
        <f t="array" ref="O469">IF(ISBLANK(G469),"",INDEX('POR Config List'!C:C,MATCH(G469,'POR Config List'!D:D,0)))</f>
        <v/>
      </c>
      <c r="P469" s="105" t="str">
        <f t="shared" si="4"/>
        <v/>
      </c>
      <c r="Q469" s="105" t="str">
        <f t="array" ref="Q469">IF(ISBLANK(G469),"",INDEX('label approval artwork'!J:J,MATCH( G469,'label approval artwork'!F:F,0)))</f>
        <v/>
      </c>
      <c r="R469" s="105" t="str">
        <f t="array" ref="R469">IFERROR( IF(P469&lt;&gt;"EMA",INDEX('label approval artwork'!H:H,MATCH(G469,'label approval artwork'!F:F,0),"")),"")</f>
        <v/>
      </c>
      <c r="S469" s="105"/>
      <c r="T469" s="105" t="str">
        <f t="array" ref="T469">IF(ISBLANK(G469),"",INDEX('POR Config List'!I:I,MATCH(G469,'POR Config List'!D:D,0)))</f>
        <v/>
      </c>
      <c r="AA469" s="100" t="str">
        <f t="array" ref="AA469">IF(ISBLANK(G469),"",INDEX('POR Config List'!E:E,MATCH(G469,'POR Config List'!D:D,0)))</f>
        <v/>
      </c>
      <c r="AC469" s="105"/>
      <c r="AD469" s="100"/>
      <c r="AE469" s="100"/>
      <c r="AF469" s="100"/>
      <c r="AG469" s="100"/>
      <c r="AM469" s="102"/>
      <c r="AN469" s="102"/>
      <c r="AR469" s="119"/>
      <c r="AS469" s="103"/>
    </row>
    <row r="470">
      <c r="A470" s="168"/>
      <c r="B470" s="100" t="str">
        <f t="array" ref="B470">IFERROR( INDEX('POR Config List'!A:A,MATCH(G470,'POR Config List'!D:D,0)),"")</f>
        <v/>
      </c>
      <c r="C470" s="101" t="str">
        <f t="array" ref="C470">IFERROR(INDEX('label approval artwork'!E:E,MATCH(G470,'label approval artwork'!F:F,0),""),"")</f>
        <v/>
      </c>
      <c r="D470" s="102" t="str">
        <f t="shared" si="3"/>
        <v/>
      </c>
      <c r="E470" s="100" t="str">
        <f t="array" ref="E470">IF(ISBLANK(G470),"",INDEX('POR Config List'!K:K,MATCH(G470,'POR Config List'!D:D,0)))</f>
        <v/>
      </c>
      <c r="F470" s="100" t="str">
        <f t="array" ref="F470">IF(ISBLANK(G470),"",INDEX('POR Config List'!J:J,MATCH(G470,'POR Config List'!D:D,0)))</f>
        <v/>
      </c>
      <c r="G470" s="168"/>
      <c r="H470" s="104" t="str">
        <f t="array" ref="H470">IF(ISBLANK(G470),"",INDEX('MP SKUs'!G:G,MATCH(G470,'MP SKUs'!A:A,0)))</f>
        <v/>
      </c>
      <c r="I470" s="105" t="str">
        <f t="array" ref="I470">IF(ISBLANK(G470),"",INDEX('POR Config List'!O:O,MATCH(G470,'POR Config List'!D:D,0)))</f>
        <v/>
      </c>
      <c r="J470" s="104" t="str">
        <f t="array" ref="J470">IF(ISBLANK(G470),"",INDEX('POR Config List'!H:H,MATCH(G470,'POR Config List'!D:D,0)))</f>
        <v/>
      </c>
      <c r="K470" s="105" t="str">
        <f t="array" ref="K470">IF(ISBLANK(G470),"",INDEX('POR Config List'!G:G,MATCH(G470,'POR Config List'!D:D,0)))</f>
        <v/>
      </c>
      <c r="L470" s="105"/>
      <c r="M470" s="105" t="str">
        <f t="array" ref="M470">IF(ISBLANK(G470),"",INDEX('label approval artwork'!Q:Q,MATCH( G470,'label approval artwork'!F:F,0)))</f>
        <v/>
      </c>
      <c r="N470" s="169" t="str">
        <f t="shared" si="5"/>
        <v/>
      </c>
      <c r="O470" s="102" t="str">
        <f t="array" ref="O470">IF(ISBLANK(G470),"",INDEX('POR Config List'!C:C,MATCH(G470,'POR Config List'!D:D,0)))</f>
        <v/>
      </c>
      <c r="P470" s="105" t="str">
        <f t="shared" si="4"/>
        <v/>
      </c>
      <c r="Q470" s="105" t="str">
        <f t="array" ref="Q470">IF(ISBLANK(G470),"",INDEX('label approval artwork'!J:J,MATCH( G470,'label approval artwork'!F:F,0)))</f>
        <v/>
      </c>
      <c r="R470" s="105" t="str">
        <f t="array" ref="R470">IFERROR( IF(P470&lt;&gt;"EMA",INDEX('label approval artwork'!H:H,MATCH(G470,'label approval artwork'!F:F,0),"")),"")</f>
        <v/>
      </c>
      <c r="S470" s="105"/>
      <c r="T470" s="105" t="str">
        <f t="array" ref="T470">IF(ISBLANK(G470),"",INDEX('POR Config List'!I:I,MATCH(G470,'POR Config List'!D:D,0)))</f>
        <v/>
      </c>
      <c r="AA470" s="100" t="str">
        <f t="array" ref="AA470">IF(ISBLANK(G470),"",INDEX('POR Config List'!E:E,MATCH(G470,'POR Config List'!D:D,0)))</f>
        <v/>
      </c>
      <c r="AC470" s="105"/>
      <c r="AD470" s="100"/>
      <c r="AE470" s="100"/>
      <c r="AF470" s="100"/>
      <c r="AG470" s="100"/>
      <c r="AM470" s="102"/>
      <c r="AN470" s="102"/>
      <c r="AR470" s="119"/>
      <c r="AS470" s="103"/>
    </row>
    <row r="471">
      <c r="A471" s="168"/>
      <c r="B471" s="100" t="str">
        <f t="array" ref="B471">IFERROR( INDEX('POR Config List'!A:A,MATCH(G471,'POR Config List'!D:D,0)),"")</f>
        <v/>
      </c>
      <c r="C471" s="101" t="str">
        <f t="array" ref="C471">IFERROR(INDEX('label approval artwork'!E:E,MATCH(G471,'label approval artwork'!F:F,0),""),"")</f>
        <v/>
      </c>
      <c r="D471" s="102" t="str">
        <f t="shared" si="3"/>
        <v/>
      </c>
      <c r="E471" s="100" t="str">
        <f t="array" ref="E471">IF(ISBLANK(G471),"",INDEX('POR Config List'!K:K,MATCH(G471,'POR Config List'!D:D,0)))</f>
        <v/>
      </c>
      <c r="F471" s="100" t="str">
        <f t="array" ref="F471">IF(ISBLANK(G471),"",INDEX('POR Config List'!J:J,MATCH(G471,'POR Config List'!D:D,0)))</f>
        <v/>
      </c>
      <c r="G471" s="168"/>
      <c r="H471" s="104" t="str">
        <f t="array" ref="H471">IF(ISBLANK(G471),"",INDEX('MP SKUs'!G:G,MATCH(G471,'MP SKUs'!A:A,0)))</f>
        <v/>
      </c>
      <c r="I471" s="105" t="str">
        <f t="array" ref="I471">IF(ISBLANK(G471),"",INDEX('POR Config List'!O:O,MATCH(G471,'POR Config List'!D:D,0)))</f>
        <v/>
      </c>
      <c r="J471" s="104" t="str">
        <f t="array" ref="J471">IF(ISBLANK(G471),"",INDEX('POR Config List'!H:H,MATCH(G471,'POR Config List'!D:D,0)))</f>
        <v/>
      </c>
      <c r="K471" s="105" t="str">
        <f t="array" ref="K471">IF(ISBLANK(G471),"",INDEX('POR Config List'!G:G,MATCH(G471,'POR Config List'!D:D,0)))</f>
        <v/>
      </c>
      <c r="L471" s="105"/>
      <c r="M471" s="105" t="str">
        <f t="array" ref="M471">IF(ISBLANK(G471),"",INDEX('label approval artwork'!Q:Q,MATCH( G471,'label approval artwork'!F:F,0)))</f>
        <v/>
      </c>
      <c r="N471" s="169" t="str">
        <f t="shared" si="5"/>
        <v/>
      </c>
      <c r="O471" s="102" t="str">
        <f t="array" ref="O471">IF(ISBLANK(G471),"",INDEX('POR Config List'!C:C,MATCH(G471,'POR Config List'!D:D,0)))</f>
        <v/>
      </c>
      <c r="P471" s="105" t="str">
        <f t="shared" si="4"/>
        <v/>
      </c>
      <c r="Q471" s="105" t="str">
        <f t="array" ref="Q471">IF(ISBLANK(G471),"",INDEX('label approval artwork'!J:J,MATCH( G471,'label approval artwork'!F:F,0)))</f>
        <v/>
      </c>
      <c r="R471" s="105" t="str">
        <f t="array" ref="R471">IFERROR( IF(P471&lt;&gt;"EMA",INDEX('label approval artwork'!H:H,MATCH(G471,'label approval artwork'!F:F,0),"")),"")</f>
        <v/>
      </c>
      <c r="S471" s="105"/>
      <c r="T471" s="105" t="str">
        <f t="array" ref="T471">IF(ISBLANK(G471),"",INDEX('POR Config List'!I:I,MATCH(G471,'POR Config List'!D:D,0)))</f>
        <v/>
      </c>
      <c r="AA471" s="100" t="str">
        <f t="array" ref="AA471">IF(ISBLANK(G471),"",INDEX('POR Config List'!E:E,MATCH(G471,'POR Config List'!D:D,0)))</f>
        <v/>
      </c>
      <c r="AC471" s="105"/>
      <c r="AD471" s="100"/>
      <c r="AE471" s="100"/>
      <c r="AF471" s="100"/>
      <c r="AG471" s="100"/>
      <c r="AM471" s="102"/>
      <c r="AN471" s="102"/>
      <c r="AR471" s="119"/>
      <c r="AS471" s="103"/>
    </row>
    <row r="472">
      <c r="A472" s="168"/>
      <c r="B472" s="100" t="str">
        <f t="array" ref="B472">IFERROR( INDEX('POR Config List'!A:A,MATCH(G472,'POR Config List'!D:D,0)),"")</f>
        <v/>
      </c>
      <c r="C472" s="101" t="str">
        <f t="array" ref="C472">IFERROR(INDEX('label approval artwork'!E:E,MATCH(G472,'label approval artwork'!F:F,0),""),"")</f>
        <v/>
      </c>
      <c r="D472" s="102" t="str">
        <f t="shared" si="3"/>
        <v/>
      </c>
      <c r="E472" s="100" t="str">
        <f t="array" ref="E472">IF(ISBLANK(G472),"",INDEX('POR Config List'!K:K,MATCH(G472,'POR Config List'!D:D,0)))</f>
        <v/>
      </c>
      <c r="F472" s="100" t="str">
        <f t="array" ref="F472">IF(ISBLANK(G472),"",INDEX('POR Config List'!J:J,MATCH(G472,'POR Config List'!D:D,0)))</f>
        <v/>
      </c>
      <c r="G472" s="168"/>
      <c r="H472" s="104" t="str">
        <f t="array" ref="H472">IF(ISBLANK(G472),"",INDEX('MP SKUs'!G:G,MATCH(G472,'MP SKUs'!A:A,0)))</f>
        <v/>
      </c>
      <c r="I472" s="105" t="str">
        <f t="array" ref="I472">IF(ISBLANK(G472),"",INDEX('POR Config List'!O:O,MATCH(G472,'POR Config List'!D:D,0)))</f>
        <v/>
      </c>
      <c r="J472" s="104" t="str">
        <f t="array" ref="J472">IF(ISBLANK(G472),"",INDEX('POR Config List'!H:H,MATCH(G472,'POR Config List'!D:D,0)))</f>
        <v/>
      </c>
      <c r="K472" s="105" t="str">
        <f t="array" ref="K472">IF(ISBLANK(G472),"",INDEX('POR Config List'!G:G,MATCH(G472,'POR Config List'!D:D,0)))</f>
        <v/>
      </c>
      <c r="L472" s="105"/>
      <c r="M472" s="105" t="str">
        <f t="array" ref="M472">IF(ISBLANK(G472),"",INDEX('label approval artwork'!Q:Q,MATCH( G472,'label approval artwork'!F:F,0)))</f>
        <v/>
      </c>
      <c r="N472" s="169" t="str">
        <f t="shared" si="5"/>
        <v/>
      </c>
      <c r="O472" s="102" t="str">
        <f t="array" ref="O472">IF(ISBLANK(G472),"",INDEX('POR Config List'!C:C,MATCH(G472,'POR Config List'!D:D,0)))</f>
        <v/>
      </c>
      <c r="P472" s="105" t="str">
        <f t="shared" si="4"/>
        <v/>
      </c>
      <c r="Q472" s="105" t="str">
        <f t="array" ref="Q472">IF(ISBLANK(G472),"",INDEX('label approval artwork'!J:J,MATCH( G472,'label approval artwork'!F:F,0)))</f>
        <v/>
      </c>
      <c r="R472" s="105" t="str">
        <f t="array" ref="R472">IFERROR( IF(P472&lt;&gt;"EMA",INDEX('label approval artwork'!H:H,MATCH(G472,'label approval artwork'!F:F,0),"")),"")</f>
        <v/>
      </c>
      <c r="S472" s="105"/>
      <c r="T472" s="105" t="str">
        <f t="array" ref="T472">IF(ISBLANK(G472),"",INDEX('POR Config List'!I:I,MATCH(G472,'POR Config List'!D:D,0)))</f>
        <v/>
      </c>
      <c r="AA472" s="100" t="str">
        <f t="array" ref="AA472">IF(ISBLANK(G472),"",INDEX('POR Config List'!E:E,MATCH(G472,'POR Config List'!D:D,0)))</f>
        <v/>
      </c>
      <c r="AC472" s="105"/>
      <c r="AD472" s="100"/>
      <c r="AE472" s="100"/>
      <c r="AF472" s="100"/>
      <c r="AG472" s="100"/>
      <c r="AM472" s="102"/>
      <c r="AN472" s="102"/>
      <c r="AR472" s="119"/>
      <c r="AS472" s="103"/>
    </row>
    <row r="473">
      <c r="A473" s="168"/>
      <c r="B473" s="100" t="str">
        <f t="array" ref="B473">IFERROR( INDEX('POR Config List'!A:A,MATCH(G473,'POR Config List'!D:D,0)),"")</f>
        <v/>
      </c>
      <c r="C473" s="101" t="str">
        <f t="array" ref="C473">IFERROR(INDEX('label approval artwork'!E:E,MATCH(G473,'label approval artwork'!F:F,0),""),"")</f>
        <v/>
      </c>
      <c r="D473" s="102" t="str">
        <f t="shared" si="3"/>
        <v/>
      </c>
      <c r="E473" s="100" t="str">
        <f t="array" ref="E473">IF(ISBLANK(G473),"",INDEX('POR Config List'!K:K,MATCH(G473,'POR Config List'!D:D,0)))</f>
        <v/>
      </c>
      <c r="F473" s="100" t="str">
        <f t="array" ref="F473">IF(ISBLANK(G473),"",INDEX('POR Config List'!J:J,MATCH(G473,'POR Config List'!D:D,0)))</f>
        <v/>
      </c>
      <c r="G473" s="168"/>
      <c r="H473" s="104" t="str">
        <f t="array" ref="H473">IF(ISBLANK(G473),"",INDEX('MP SKUs'!G:G,MATCH(G473,'MP SKUs'!A:A,0)))</f>
        <v/>
      </c>
      <c r="I473" s="105" t="str">
        <f t="array" ref="I473">IF(ISBLANK(G473),"",INDEX('POR Config List'!O:O,MATCH(G473,'POR Config List'!D:D,0)))</f>
        <v/>
      </c>
      <c r="J473" s="104" t="str">
        <f t="array" ref="J473">IF(ISBLANK(G473),"",INDEX('POR Config List'!H:H,MATCH(G473,'POR Config List'!D:D,0)))</f>
        <v/>
      </c>
      <c r="K473" s="105" t="str">
        <f t="array" ref="K473">IF(ISBLANK(G473),"",INDEX('POR Config List'!G:G,MATCH(G473,'POR Config List'!D:D,0)))</f>
        <v/>
      </c>
      <c r="L473" s="105"/>
      <c r="M473" s="105" t="str">
        <f t="array" ref="M473">IF(ISBLANK(G473),"",INDEX('label approval artwork'!Q:Q,MATCH( G473,'label approval artwork'!F:F,0)))</f>
        <v/>
      </c>
      <c r="N473" s="169" t="str">
        <f t="shared" si="5"/>
        <v/>
      </c>
      <c r="O473" s="102" t="str">
        <f t="array" ref="O473">IF(ISBLANK(G473),"",INDEX('POR Config List'!C:C,MATCH(G473,'POR Config List'!D:D,0)))</f>
        <v/>
      </c>
      <c r="P473" s="105" t="str">
        <f t="shared" si="4"/>
        <v/>
      </c>
      <c r="Q473" s="105" t="str">
        <f t="array" ref="Q473">IF(ISBLANK(G473),"",INDEX('label approval artwork'!J:J,MATCH( G473,'label approval artwork'!F:F,0)))</f>
        <v/>
      </c>
      <c r="R473" s="105" t="str">
        <f t="array" ref="R473">IFERROR( IF(P473&lt;&gt;"EMA",INDEX('label approval artwork'!H:H,MATCH(G473,'label approval artwork'!F:F,0),"")),"")</f>
        <v/>
      </c>
      <c r="S473" s="105"/>
      <c r="T473" s="105" t="str">
        <f t="array" ref="T473">IF(ISBLANK(G473),"",INDEX('POR Config List'!I:I,MATCH(G473,'POR Config List'!D:D,0)))</f>
        <v/>
      </c>
      <c r="AA473" s="100" t="str">
        <f t="array" ref="AA473">IF(ISBLANK(G473),"",INDEX('POR Config List'!E:E,MATCH(G473,'POR Config List'!D:D,0)))</f>
        <v/>
      </c>
      <c r="AC473" s="105"/>
      <c r="AD473" s="100"/>
      <c r="AE473" s="100"/>
      <c r="AF473" s="100"/>
      <c r="AG473" s="100"/>
      <c r="AM473" s="102"/>
      <c r="AN473" s="102"/>
      <c r="AR473" s="119"/>
      <c r="AS473" s="103"/>
    </row>
    <row r="474">
      <c r="A474" s="168"/>
      <c r="B474" s="100" t="str">
        <f t="array" ref="B474">IFERROR( INDEX('POR Config List'!A:A,MATCH(G474,'POR Config List'!D:D,0)),"")</f>
        <v/>
      </c>
      <c r="C474" s="101" t="str">
        <f t="array" ref="C474">IFERROR(INDEX('label approval artwork'!E:E,MATCH(G474,'label approval artwork'!F:F,0),""),"")</f>
        <v/>
      </c>
      <c r="D474" s="102" t="str">
        <f t="shared" si="3"/>
        <v/>
      </c>
      <c r="E474" s="100" t="str">
        <f t="array" ref="E474">IF(ISBLANK(G474),"",INDEX('POR Config List'!K:K,MATCH(G474,'POR Config List'!D:D,0)))</f>
        <v/>
      </c>
      <c r="F474" s="100" t="str">
        <f t="array" ref="F474">IF(ISBLANK(G474),"",INDEX('POR Config List'!J:J,MATCH(G474,'POR Config List'!D:D,0)))</f>
        <v/>
      </c>
      <c r="G474" s="168"/>
      <c r="H474" s="104" t="str">
        <f t="array" ref="H474">IF(ISBLANK(G474),"",INDEX('MP SKUs'!G:G,MATCH(G474,'MP SKUs'!A:A,0)))</f>
        <v/>
      </c>
      <c r="I474" s="105" t="str">
        <f t="array" ref="I474">IF(ISBLANK(G474),"",INDEX('POR Config List'!O:O,MATCH(G474,'POR Config List'!D:D,0)))</f>
        <v/>
      </c>
      <c r="J474" s="104" t="str">
        <f t="array" ref="J474">IF(ISBLANK(G474),"",INDEX('POR Config List'!H:H,MATCH(G474,'POR Config List'!D:D,0)))</f>
        <v/>
      </c>
      <c r="K474" s="105" t="str">
        <f t="array" ref="K474">IF(ISBLANK(G474),"",INDEX('POR Config List'!G:G,MATCH(G474,'POR Config List'!D:D,0)))</f>
        <v/>
      </c>
      <c r="L474" s="105"/>
      <c r="M474" s="105" t="str">
        <f t="array" ref="M474">IF(ISBLANK(G474),"",INDEX('label approval artwork'!Q:Q,MATCH( G474,'label approval artwork'!F:F,0)))</f>
        <v/>
      </c>
      <c r="N474" s="169" t="str">
        <f t="shared" si="5"/>
        <v/>
      </c>
      <c r="O474" s="102" t="str">
        <f t="array" ref="O474">IF(ISBLANK(G474),"",INDEX('POR Config List'!C:C,MATCH(G474,'POR Config List'!D:D,0)))</f>
        <v/>
      </c>
      <c r="P474" s="105" t="str">
        <f t="shared" si="4"/>
        <v/>
      </c>
      <c r="Q474" s="105" t="str">
        <f t="array" ref="Q474">IF(ISBLANK(G474),"",INDEX('label approval artwork'!J:J,MATCH( G474,'label approval artwork'!F:F,0)))</f>
        <v/>
      </c>
      <c r="R474" s="105" t="str">
        <f t="array" ref="R474">IFERROR( IF(P474&lt;&gt;"EMA",INDEX('label approval artwork'!H:H,MATCH(G474,'label approval artwork'!F:F,0),"")),"")</f>
        <v/>
      </c>
      <c r="S474" s="105"/>
      <c r="T474" s="105" t="str">
        <f t="array" ref="T474">IF(ISBLANK(G474),"",INDEX('POR Config List'!I:I,MATCH(G474,'POR Config List'!D:D,0)))</f>
        <v/>
      </c>
      <c r="AA474" s="100" t="str">
        <f t="array" ref="AA474">IF(ISBLANK(G474),"",INDEX('POR Config List'!E:E,MATCH(G474,'POR Config List'!D:D,0)))</f>
        <v/>
      </c>
      <c r="AC474" s="105"/>
      <c r="AD474" s="100"/>
      <c r="AE474" s="100"/>
      <c r="AF474" s="100"/>
      <c r="AG474" s="100"/>
      <c r="AM474" s="102"/>
      <c r="AN474" s="102"/>
      <c r="AR474" s="119"/>
      <c r="AS474" s="103"/>
    </row>
    <row r="475">
      <c r="A475" s="168"/>
      <c r="B475" s="100" t="str">
        <f t="array" ref="B475">IFERROR( INDEX('POR Config List'!A:A,MATCH(G475,'POR Config List'!D:D,0)),"")</f>
        <v/>
      </c>
      <c r="C475" s="101" t="str">
        <f t="array" ref="C475">IFERROR(INDEX('label approval artwork'!E:E,MATCH(G475,'label approval artwork'!F:F,0),""),"")</f>
        <v/>
      </c>
      <c r="D475" s="102" t="str">
        <f t="shared" si="3"/>
        <v/>
      </c>
      <c r="E475" s="100" t="str">
        <f t="array" ref="E475">IF(ISBLANK(G475),"",INDEX('POR Config List'!K:K,MATCH(G475,'POR Config List'!D:D,0)))</f>
        <v/>
      </c>
      <c r="F475" s="100" t="str">
        <f t="array" ref="F475">IF(ISBLANK(G475),"",INDEX('POR Config List'!J:J,MATCH(G475,'POR Config List'!D:D,0)))</f>
        <v/>
      </c>
      <c r="G475" s="168"/>
      <c r="H475" s="104" t="str">
        <f t="array" ref="H475">IF(ISBLANK(G475),"",INDEX('MP SKUs'!G:G,MATCH(G475,'MP SKUs'!A:A,0)))</f>
        <v/>
      </c>
      <c r="I475" s="105" t="str">
        <f t="array" ref="I475">IF(ISBLANK(G475),"",INDEX('POR Config List'!O:O,MATCH(G475,'POR Config List'!D:D,0)))</f>
        <v/>
      </c>
      <c r="J475" s="104" t="str">
        <f t="array" ref="J475">IF(ISBLANK(G475),"",INDEX('POR Config List'!H:H,MATCH(G475,'POR Config List'!D:D,0)))</f>
        <v/>
      </c>
      <c r="K475" s="105" t="str">
        <f t="array" ref="K475">IF(ISBLANK(G475),"",INDEX('POR Config List'!G:G,MATCH(G475,'POR Config List'!D:D,0)))</f>
        <v/>
      </c>
      <c r="L475" s="105"/>
      <c r="M475" s="105" t="str">
        <f t="array" ref="M475">IF(ISBLANK(G475),"",INDEX('label approval artwork'!Q:Q,MATCH( G475,'label approval artwork'!F:F,0)))</f>
        <v/>
      </c>
      <c r="N475" s="169" t="str">
        <f t="shared" si="5"/>
        <v/>
      </c>
      <c r="O475" s="102" t="str">
        <f t="array" ref="O475">IF(ISBLANK(G475),"",INDEX('POR Config List'!C:C,MATCH(G475,'POR Config List'!D:D,0)))</f>
        <v/>
      </c>
      <c r="P475" s="105" t="str">
        <f t="shared" si="4"/>
        <v/>
      </c>
      <c r="Q475" s="105" t="str">
        <f t="array" ref="Q475">IF(ISBLANK(G475),"",INDEX('label approval artwork'!J:J,MATCH( G475,'label approval artwork'!F:F,0)))</f>
        <v/>
      </c>
      <c r="R475" s="105" t="str">
        <f t="array" ref="R475">IFERROR( IF(P475&lt;&gt;"EMA",INDEX('label approval artwork'!H:H,MATCH(G475,'label approval artwork'!F:F,0),"")),"")</f>
        <v/>
      </c>
      <c r="S475" s="105"/>
      <c r="T475" s="105" t="str">
        <f t="array" ref="T475">IF(ISBLANK(G475),"",INDEX('POR Config List'!I:I,MATCH(G475,'POR Config List'!D:D,0)))</f>
        <v/>
      </c>
      <c r="AA475" s="100" t="str">
        <f t="array" ref="AA475">IF(ISBLANK(G475),"",INDEX('POR Config List'!E:E,MATCH(G475,'POR Config List'!D:D,0)))</f>
        <v/>
      </c>
      <c r="AC475" s="105"/>
      <c r="AD475" s="100"/>
      <c r="AE475" s="100"/>
      <c r="AF475" s="100"/>
      <c r="AG475" s="100"/>
      <c r="AM475" s="102"/>
      <c r="AN475" s="102"/>
      <c r="AR475" s="119"/>
      <c r="AS475" s="103"/>
    </row>
    <row r="476">
      <c r="A476" s="168"/>
      <c r="B476" s="100" t="str">
        <f t="array" ref="B476">IFERROR( INDEX('POR Config List'!A:A,MATCH(G476,'POR Config List'!D:D,0)),"")</f>
        <v/>
      </c>
      <c r="C476" s="101" t="str">
        <f t="array" ref="C476">IFERROR(INDEX('label approval artwork'!E:E,MATCH(G476,'label approval artwork'!F:F,0),""),"")</f>
        <v/>
      </c>
      <c r="D476" s="102" t="str">
        <f t="shared" si="3"/>
        <v/>
      </c>
      <c r="E476" s="100" t="str">
        <f t="array" ref="E476">IF(ISBLANK(G476),"",INDEX('POR Config List'!K:K,MATCH(G476,'POR Config List'!D:D,0)))</f>
        <v/>
      </c>
      <c r="F476" s="100" t="str">
        <f t="array" ref="F476">IF(ISBLANK(G476),"",INDEX('POR Config List'!J:J,MATCH(G476,'POR Config List'!D:D,0)))</f>
        <v/>
      </c>
      <c r="G476" s="168"/>
      <c r="H476" s="104" t="str">
        <f t="array" ref="H476">IF(ISBLANK(G476),"",INDEX('MP SKUs'!G:G,MATCH(G476,'MP SKUs'!A:A,0)))</f>
        <v/>
      </c>
      <c r="I476" s="105" t="str">
        <f t="array" ref="I476">IF(ISBLANK(G476),"",INDEX('POR Config List'!O:O,MATCH(G476,'POR Config List'!D:D,0)))</f>
        <v/>
      </c>
      <c r="J476" s="104" t="str">
        <f t="array" ref="J476">IF(ISBLANK(G476),"",INDEX('POR Config List'!H:H,MATCH(G476,'POR Config List'!D:D,0)))</f>
        <v/>
      </c>
      <c r="K476" s="105" t="str">
        <f t="array" ref="K476">IF(ISBLANK(G476),"",INDEX('POR Config List'!G:G,MATCH(G476,'POR Config List'!D:D,0)))</f>
        <v/>
      </c>
      <c r="L476" s="105"/>
      <c r="M476" s="105" t="str">
        <f t="array" ref="M476">IF(ISBLANK(G476),"",INDEX('label approval artwork'!Q:Q,MATCH( G476,'label approval artwork'!F:F,0)))</f>
        <v/>
      </c>
      <c r="N476" s="169" t="str">
        <f t="shared" si="5"/>
        <v/>
      </c>
      <c r="O476" s="102" t="str">
        <f t="array" ref="O476">IF(ISBLANK(G476),"",INDEX('POR Config List'!C:C,MATCH(G476,'POR Config List'!D:D,0)))</f>
        <v/>
      </c>
      <c r="P476" s="105" t="str">
        <f t="shared" si="4"/>
        <v/>
      </c>
      <c r="Q476" s="105" t="str">
        <f t="array" ref="Q476">IF(ISBLANK(G476),"",INDEX('label approval artwork'!J:J,MATCH( G476,'label approval artwork'!F:F,0)))</f>
        <v/>
      </c>
      <c r="R476" s="105" t="str">
        <f t="array" ref="R476">IFERROR( IF(P476&lt;&gt;"EMA",INDEX('label approval artwork'!H:H,MATCH(G476,'label approval artwork'!F:F,0),"")),"")</f>
        <v/>
      </c>
      <c r="S476" s="105"/>
      <c r="T476" s="105" t="str">
        <f t="array" ref="T476">IF(ISBLANK(G476),"",INDEX('POR Config List'!I:I,MATCH(G476,'POR Config List'!D:D,0)))</f>
        <v/>
      </c>
      <c r="AA476" s="100" t="str">
        <f t="array" ref="AA476">IF(ISBLANK(G476),"",INDEX('POR Config List'!E:E,MATCH(G476,'POR Config List'!D:D,0)))</f>
        <v/>
      </c>
      <c r="AC476" s="105"/>
      <c r="AD476" s="100"/>
      <c r="AE476" s="100"/>
      <c r="AF476" s="100"/>
      <c r="AG476" s="100"/>
      <c r="AM476" s="102"/>
      <c r="AN476" s="102"/>
      <c r="AR476" s="119"/>
      <c r="AS476" s="103"/>
    </row>
    <row r="477">
      <c r="A477" s="168"/>
      <c r="B477" s="100" t="str">
        <f t="array" ref="B477">IFERROR( INDEX('POR Config List'!A:A,MATCH(G477,'POR Config List'!D:D,0)),"")</f>
        <v/>
      </c>
      <c r="C477" s="101" t="str">
        <f t="array" ref="C477">IFERROR(INDEX('label approval artwork'!E:E,MATCH(G477,'label approval artwork'!F:F,0),""),"")</f>
        <v/>
      </c>
      <c r="D477" s="102" t="str">
        <f t="shared" si="3"/>
        <v/>
      </c>
      <c r="E477" s="100" t="str">
        <f t="array" ref="E477">IF(ISBLANK(G477),"",INDEX('POR Config List'!K:K,MATCH(G477,'POR Config List'!D:D,0)))</f>
        <v/>
      </c>
      <c r="F477" s="100" t="str">
        <f t="array" ref="F477">IF(ISBLANK(G477),"",INDEX('POR Config List'!J:J,MATCH(G477,'POR Config List'!D:D,0)))</f>
        <v/>
      </c>
      <c r="G477" s="168"/>
      <c r="H477" s="104" t="str">
        <f t="array" ref="H477">IF(ISBLANK(G477),"",INDEX('MP SKUs'!G:G,MATCH(G477,'MP SKUs'!A:A,0)))</f>
        <v/>
      </c>
      <c r="I477" s="105" t="str">
        <f t="array" ref="I477">IF(ISBLANK(G477),"",INDEX('POR Config List'!O:O,MATCH(G477,'POR Config List'!D:D,0)))</f>
        <v/>
      </c>
      <c r="J477" s="104" t="str">
        <f t="array" ref="J477">IF(ISBLANK(G477),"",INDEX('POR Config List'!H:H,MATCH(G477,'POR Config List'!D:D,0)))</f>
        <v/>
      </c>
      <c r="K477" s="105" t="str">
        <f t="array" ref="K477">IF(ISBLANK(G477),"",INDEX('POR Config List'!G:G,MATCH(G477,'POR Config List'!D:D,0)))</f>
        <v/>
      </c>
      <c r="L477" s="105"/>
      <c r="M477" s="105" t="str">
        <f t="array" ref="M477">IF(ISBLANK(G477),"",INDEX('label approval artwork'!Q:Q,MATCH( G477,'label approval artwork'!F:F,0)))</f>
        <v/>
      </c>
      <c r="N477" s="169" t="str">
        <f t="shared" si="5"/>
        <v/>
      </c>
      <c r="O477" s="102" t="str">
        <f t="array" ref="O477">IF(ISBLANK(G477),"",INDEX('POR Config List'!C:C,MATCH(G477,'POR Config List'!D:D,0)))</f>
        <v/>
      </c>
      <c r="P477" s="105" t="str">
        <f t="shared" si="4"/>
        <v/>
      </c>
      <c r="Q477" s="105" t="str">
        <f t="array" ref="Q477">IF(ISBLANK(G477),"",INDEX('label approval artwork'!J:J,MATCH( G477,'label approval artwork'!F:F,0)))</f>
        <v/>
      </c>
      <c r="R477" s="105" t="str">
        <f t="array" ref="R477">IFERROR( IF(P477&lt;&gt;"EMA",INDEX('label approval artwork'!H:H,MATCH(G477,'label approval artwork'!F:F,0),"")),"")</f>
        <v/>
      </c>
      <c r="S477" s="105"/>
      <c r="T477" s="105" t="str">
        <f t="array" ref="T477">IF(ISBLANK(G477),"",INDEX('POR Config List'!I:I,MATCH(G477,'POR Config List'!D:D,0)))</f>
        <v/>
      </c>
      <c r="AA477" s="100" t="str">
        <f t="array" ref="AA477">IF(ISBLANK(G477),"",INDEX('POR Config List'!E:E,MATCH(G477,'POR Config List'!D:D,0)))</f>
        <v/>
      </c>
      <c r="AC477" s="105"/>
      <c r="AD477" s="100"/>
      <c r="AE477" s="100"/>
      <c r="AF477" s="100"/>
      <c r="AG477" s="100"/>
      <c r="AM477" s="102"/>
      <c r="AN477" s="102"/>
      <c r="AR477" s="119"/>
      <c r="AS477" s="103"/>
    </row>
    <row r="478">
      <c r="A478" s="168"/>
      <c r="B478" s="100" t="str">
        <f t="array" ref="B478">IFERROR( INDEX('POR Config List'!A:A,MATCH(G478,'POR Config List'!D:D,0)),"")</f>
        <v/>
      </c>
      <c r="C478" s="101" t="str">
        <f t="array" ref="C478">IFERROR(INDEX('label approval artwork'!E:E,MATCH(G478,'label approval artwork'!F:F,0),""),"")</f>
        <v/>
      </c>
      <c r="D478" s="102" t="str">
        <f t="shared" si="3"/>
        <v/>
      </c>
      <c r="E478" s="100" t="str">
        <f t="array" ref="E478">IF(ISBLANK(G478),"",INDEX('POR Config List'!K:K,MATCH(G478,'POR Config List'!D:D,0)))</f>
        <v/>
      </c>
      <c r="F478" s="100" t="str">
        <f t="array" ref="F478">IF(ISBLANK(G478),"",INDEX('POR Config List'!J:J,MATCH(G478,'POR Config List'!D:D,0)))</f>
        <v/>
      </c>
      <c r="G478" s="168"/>
      <c r="H478" s="104" t="str">
        <f t="array" ref="H478">IF(ISBLANK(G478),"",INDEX('MP SKUs'!G:G,MATCH(G478,'MP SKUs'!A:A,0)))</f>
        <v/>
      </c>
      <c r="I478" s="105" t="str">
        <f t="array" ref="I478">IF(ISBLANK(G478),"",INDEX('POR Config List'!O:O,MATCH(G478,'POR Config List'!D:D,0)))</f>
        <v/>
      </c>
      <c r="J478" s="104" t="str">
        <f t="array" ref="J478">IF(ISBLANK(G478),"",INDEX('POR Config List'!H:H,MATCH(G478,'POR Config List'!D:D,0)))</f>
        <v/>
      </c>
      <c r="K478" s="105" t="str">
        <f t="array" ref="K478">IF(ISBLANK(G478),"",INDEX('POR Config List'!G:G,MATCH(G478,'POR Config List'!D:D,0)))</f>
        <v/>
      </c>
      <c r="L478" s="105"/>
      <c r="M478" s="105" t="str">
        <f t="array" ref="M478">IF(ISBLANK(G478),"",INDEX('label approval artwork'!Q:Q,MATCH( G478,'label approval artwork'!F:F,0)))</f>
        <v/>
      </c>
      <c r="N478" s="169" t="str">
        <f t="shared" si="5"/>
        <v/>
      </c>
      <c r="O478" s="102" t="str">
        <f t="array" ref="O478">IF(ISBLANK(G478),"",INDEX('POR Config List'!C:C,MATCH(G478,'POR Config List'!D:D,0)))</f>
        <v/>
      </c>
      <c r="P478" s="105" t="str">
        <f t="shared" si="4"/>
        <v/>
      </c>
      <c r="Q478" s="105" t="str">
        <f t="array" ref="Q478">IF(ISBLANK(G478),"",INDEX('label approval artwork'!J:J,MATCH( G478,'label approval artwork'!F:F,0)))</f>
        <v/>
      </c>
      <c r="R478" s="105" t="str">
        <f t="array" ref="R478">IFERROR( IF(P478&lt;&gt;"EMA",INDEX('label approval artwork'!H:H,MATCH(G478,'label approval artwork'!F:F,0),"")),"")</f>
        <v/>
      </c>
      <c r="S478" s="105"/>
      <c r="T478" s="105" t="str">
        <f t="array" ref="T478">IF(ISBLANK(G478),"",INDEX('POR Config List'!I:I,MATCH(G478,'POR Config List'!D:D,0)))</f>
        <v/>
      </c>
      <c r="AA478" s="100" t="str">
        <f t="array" ref="AA478">IF(ISBLANK(G478),"",INDEX('POR Config List'!E:E,MATCH(G478,'POR Config List'!D:D,0)))</f>
        <v/>
      </c>
      <c r="AC478" s="105"/>
      <c r="AD478" s="100"/>
      <c r="AE478" s="100"/>
      <c r="AF478" s="100"/>
      <c r="AG478" s="100"/>
      <c r="AM478" s="102"/>
      <c r="AN478" s="102"/>
      <c r="AR478" s="119"/>
      <c r="AS478" s="103"/>
    </row>
    <row r="479">
      <c r="A479" s="168"/>
      <c r="B479" s="100" t="str">
        <f t="array" ref="B479">IFERROR( INDEX('POR Config List'!A:A,MATCH(G479,'POR Config List'!D:D,0)),"")</f>
        <v/>
      </c>
      <c r="C479" s="101" t="str">
        <f t="array" ref="C479">IFERROR(INDEX('label approval artwork'!E:E,MATCH(G479,'label approval artwork'!F:F,0),""),"")</f>
        <v/>
      </c>
      <c r="D479" s="102" t="str">
        <f t="shared" si="3"/>
        <v/>
      </c>
      <c r="E479" s="100" t="str">
        <f t="array" ref="E479">IF(ISBLANK(G479),"",INDEX('POR Config List'!K:K,MATCH(G479,'POR Config List'!D:D,0)))</f>
        <v/>
      </c>
      <c r="F479" s="100" t="str">
        <f t="array" ref="F479">IF(ISBLANK(G479),"",INDEX('POR Config List'!J:J,MATCH(G479,'POR Config List'!D:D,0)))</f>
        <v/>
      </c>
      <c r="G479" s="168"/>
      <c r="H479" s="104" t="str">
        <f t="array" ref="H479">IF(ISBLANK(G479),"",INDEX('MP SKUs'!G:G,MATCH(G479,'MP SKUs'!A:A,0)))</f>
        <v/>
      </c>
      <c r="I479" s="105" t="str">
        <f t="array" ref="I479">IF(ISBLANK(G479),"",INDEX('POR Config List'!O:O,MATCH(G479,'POR Config List'!D:D,0)))</f>
        <v/>
      </c>
      <c r="J479" s="104" t="str">
        <f t="array" ref="J479">IF(ISBLANK(G479),"",INDEX('POR Config List'!H:H,MATCH(G479,'POR Config List'!D:D,0)))</f>
        <v/>
      </c>
      <c r="K479" s="105" t="str">
        <f t="array" ref="K479">IF(ISBLANK(G479),"",INDEX('POR Config List'!G:G,MATCH(G479,'POR Config List'!D:D,0)))</f>
        <v/>
      </c>
      <c r="L479" s="105"/>
      <c r="M479" s="105" t="str">
        <f t="array" ref="M479">IF(ISBLANK(G479),"",INDEX('label approval artwork'!Q:Q,MATCH( G479,'label approval artwork'!F:F,0)))</f>
        <v/>
      </c>
      <c r="N479" s="169" t="str">
        <f t="shared" si="5"/>
        <v/>
      </c>
      <c r="O479" s="102" t="str">
        <f t="array" ref="O479">IF(ISBLANK(G479),"",INDEX('POR Config List'!C:C,MATCH(G479,'POR Config List'!D:D,0)))</f>
        <v/>
      </c>
      <c r="P479" s="105" t="str">
        <f t="shared" si="4"/>
        <v/>
      </c>
      <c r="Q479" s="105" t="str">
        <f t="array" ref="Q479">IF(ISBLANK(G479),"",INDEX('label approval artwork'!J:J,MATCH( G479,'label approval artwork'!F:F,0)))</f>
        <v/>
      </c>
      <c r="R479" s="105" t="str">
        <f t="array" ref="R479">IFERROR( IF(P479&lt;&gt;"EMA",INDEX('label approval artwork'!H:H,MATCH(G479,'label approval artwork'!F:F,0),"")),"")</f>
        <v/>
      </c>
      <c r="S479" s="105"/>
      <c r="T479" s="105" t="str">
        <f t="array" ref="T479">IF(ISBLANK(G479),"",INDEX('POR Config List'!I:I,MATCH(G479,'POR Config List'!D:D,0)))</f>
        <v/>
      </c>
      <c r="AA479" s="100" t="str">
        <f t="array" ref="AA479">IF(ISBLANK(G479),"",INDEX('POR Config List'!E:E,MATCH(G479,'POR Config List'!D:D,0)))</f>
        <v/>
      </c>
      <c r="AC479" s="105"/>
      <c r="AD479" s="100"/>
      <c r="AE479" s="100"/>
      <c r="AF479" s="100"/>
      <c r="AG479" s="100"/>
      <c r="AM479" s="102"/>
      <c r="AN479" s="102"/>
      <c r="AR479" s="119"/>
      <c r="AS479" s="103"/>
    </row>
    <row r="480">
      <c r="A480" s="168"/>
      <c r="B480" s="100" t="str">
        <f t="array" ref="B480">IFERROR( INDEX('POR Config List'!A:A,MATCH(G480,'POR Config List'!D:D,0)),"")</f>
        <v/>
      </c>
      <c r="C480" s="101" t="str">
        <f t="array" ref="C480">IFERROR(INDEX('label approval artwork'!E:E,MATCH(G480,'label approval artwork'!F:F,0),""),"")</f>
        <v/>
      </c>
      <c r="D480" s="102" t="str">
        <f t="shared" si="3"/>
        <v/>
      </c>
      <c r="E480" s="100" t="str">
        <f t="array" ref="E480">IF(ISBLANK(G480),"",INDEX('POR Config List'!K:K,MATCH(G480,'POR Config List'!D:D,0)))</f>
        <v/>
      </c>
      <c r="F480" s="100" t="str">
        <f t="array" ref="F480">IF(ISBLANK(G480),"",INDEX('POR Config List'!J:J,MATCH(G480,'POR Config List'!D:D,0)))</f>
        <v/>
      </c>
      <c r="G480" s="168"/>
      <c r="H480" s="104" t="str">
        <f t="array" ref="H480">IF(ISBLANK(G480),"",INDEX('MP SKUs'!G:G,MATCH(G480,'MP SKUs'!A:A,0)))</f>
        <v/>
      </c>
      <c r="I480" s="105" t="str">
        <f t="array" ref="I480">IF(ISBLANK(G480),"",INDEX('POR Config List'!O:O,MATCH(G480,'POR Config List'!D:D,0)))</f>
        <v/>
      </c>
      <c r="J480" s="104" t="str">
        <f t="array" ref="J480">IF(ISBLANK(G480),"",INDEX('POR Config List'!H:H,MATCH(G480,'POR Config List'!D:D,0)))</f>
        <v/>
      </c>
      <c r="K480" s="105" t="str">
        <f t="array" ref="K480">IF(ISBLANK(G480),"",INDEX('POR Config List'!G:G,MATCH(G480,'POR Config List'!D:D,0)))</f>
        <v/>
      </c>
      <c r="L480" s="105"/>
      <c r="M480" s="105" t="str">
        <f t="array" ref="M480">IF(ISBLANK(G480),"",INDEX('label approval artwork'!Q:Q,MATCH( G480,'label approval artwork'!F:F,0)))</f>
        <v/>
      </c>
      <c r="N480" s="169" t="str">
        <f t="shared" si="5"/>
        <v/>
      </c>
      <c r="O480" s="102" t="str">
        <f t="array" ref="O480">IF(ISBLANK(G480),"",INDEX('POR Config List'!C:C,MATCH(G480,'POR Config List'!D:D,0)))</f>
        <v/>
      </c>
      <c r="P480" s="105" t="str">
        <f t="shared" si="4"/>
        <v/>
      </c>
      <c r="Q480" s="105" t="str">
        <f t="array" ref="Q480">IF(ISBLANK(G480),"",INDEX('label approval artwork'!J:J,MATCH( G480,'label approval artwork'!F:F,0)))</f>
        <v/>
      </c>
      <c r="R480" s="105" t="str">
        <f t="array" ref="R480">IFERROR( IF(P480&lt;&gt;"EMA",INDEX('label approval artwork'!H:H,MATCH(G480,'label approval artwork'!F:F,0),"")),"")</f>
        <v/>
      </c>
      <c r="S480" s="105"/>
      <c r="T480" s="105" t="str">
        <f t="array" ref="T480">IF(ISBLANK(G480),"",INDEX('POR Config List'!I:I,MATCH(G480,'POR Config List'!D:D,0)))</f>
        <v/>
      </c>
      <c r="AA480" s="100" t="str">
        <f t="array" ref="AA480">IF(ISBLANK(G480),"",INDEX('POR Config List'!E:E,MATCH(G480,'POR Config List'!D:D,0)))</f>
        <v/>
      </c>
      <c r="AC480" s="105"/>
      <c r="AD480" s="100"/>
      <c r="AE480" s="100"/>
      <c r="AF480" s="100"/>
      <c r="AG480" s="100"/>
      <c r="AM480" s="102"/>
      <c r="AN480" s="102"/>
      <c r="AR480" s="119"/>
      <c r="AS480" s="103"/>
    </row>
    <row r="481">
      <c r="A481" s="168"/>
      <c r="B481" s="100" t="str">
        <f t="array" ref="B481">IFERROR( INDEX('POR Config List'!A:A,MATCH(G481,'POR Config List'!D:D,0)),"")</f>
        <v/>
      </c>
      <c r="C481" s="101" t="str">
        <f t="array" ref="C481">IFERROR(INDEX('label approval artwork'!E:E,MATCH(G481,'label approval artwork'!F:F,0),""),"")</f>
        <v/>
      </c>
      <c r="D481" s="102" t="str">
        <f t="shared" si="3"/>
        <v/>
      </c>
      <c r="E481" s="100" t="str">
        <f t="array" ref="E481">IF(ISBLANK(G481),"",INDEX('POR Config List'!K:K,MATCH(G481,'POR Config List'!D:D,0)))</f>
        <v/>
      </c>
      <c r="F481" s="100" t="str">
        <f t="array" ref="F481">IF(ISBLANK(G481),"",INDEX('POR Config List'!J:J,MATCH(G481,'POR Config List'!D:D,0)))</f>
        <v/>
      </c>
      <c r="G481" s="168"/>
      <c r="H481" s="104" t="str">
        <f t="array" ref="H481">IF(ISBLANK(G481),"",INDEX('MP SKUs'!G:G,MATCH(G481,'MP SKUs'!A:A,0)))</f>
        <v/>
      </c>
      <c r="I481" s="105" t="str">
        <f t="array" ref="I481">IF(ISBLANK(G481),"",INDEX('POR Config List'!O:O,MATCH(G481,'POR Config List'!D:D,0)))</f>
        <v/>
      </c>
      <c r="J481" s="104" t="str">
        <f t="array" ref="J481">IF(ISBLANK(G481),"",INDEX('POR Config List'!H:H,MATCH(G481,'POR Config List'!D:D,0)))</f>
        <v/>
      </c>
      <c r="K481" s="105" t="str">
        <f t="array" ref="K481">IF(ISBLANK(G481),"",INDEX('POR Config List'!G:G,MATCH(G481,'POR Config List'!D:D,0)))</f>
        <v/>
      </c>
      <c r="L481" s="105"/>
      <c r="M481" s="105" t="str">
        <f t="array" ref="M481">IF(ISBLANK(G481),"",INDEX('label approval artwork'!Q:Q,MATCH( G481,'label approval artwork'!F:F,0)))</f>
        <v/>
      </c>
      <c r="N481" s="169" t="str">
        <f t="shared" si="5"/>
        <v/>
      </c>
      <c r="O481" s="102" t="str">
        <f t="array" ref="O481">IF(ISBLANK(G481),"",INDEX('POR Config List'!C:C,MATCH(G481,'POR Config List'!D:D,0)))</f>
        <v/>
      </c>
      <c r="P481" s="105" t="str">
        <f t="shared" si="4"/>
        <v/>
      </c>
      <c r="Q481" s="105" t="str">
        <f t="array" ref="Q481">IF(ISBLANK(G481),"",INDEX('label approval artwork'!J:J,MATCH( G481,'label approval artwork'!F:F,0)))</f>
        <v/>
      </c>
      <c r="R481" s="105" t="str">
        <f t="array" ref="R481">IFERROR( IF(P481&lt;&gt;"EMA",INDEX('label approval artwork'!H:H,MATCH(G481,'label approval artwork'!F:F,0),"")),"")</f>
        <v/>
      </c>
      <c r="S481" s="105"/>
      <c r="T481" s="105" t="str">
        <f t="array" ref="T481">IF(ISBLANK(G481),"",INDEX('POR Config List'!I:I,MATCH(G481,'POR Config List'!D:D,0)))</f>
        <v/>
      </c>
      <c r="AA481" s="100" t="str">
        <f t="array" ref="AA481">IF(ISBLANK(G481),"",INDEX('POR Config List'!E:E,MATCH(G481,'POR Config List'!D:D,0)))</f>
        <v/>
      </c>
      <c r="AC481" s="105"/>
      <c r="AD481" s="100"/>
      <c r="AE481" s="100"/>
      <c r="AF481" s="100"/>
      <c r="AG481" s="100"/>
      <c r="AM481" s="102"/>
      <c r="AN481" s="102"/>
      <c r="AR481" s="119"/>
      <c r="AS481" s="103"/>
    </row>
    <row r="482">
      <c r="A482" s="168"/>
      <c r="B482" s="100" t="str">
        <f t="array" ref="B482">IFERROR( INDEX('POR Config List'!A:A,MATCH(G482,'POR Config List'!D:D,0)),"")</f>
        <v/>
      </c>
      <c r="C482" s="101" t="str">
        <f t="array" ref="C482">IFERROR(INDEX('label approval artwork'!E:E,MATCH(G482,'label approval artwork'!F:F,0),""),"")</f>
        <v/>
      </c>
      <c r="D482" s="102" t="str">
        <f t="shared" si="3"/>
        <v/>
      </c>
      <c r="E482" s="100" t="str">
        <f t="array" ref="E482">IF(ISBLANK(G482),"",INDEX('POR Config List'!K:K,MATCH(G482,'POR Config List'!D:D,0)))</f>
        <v/>
      </c>
      <c r="F482" s="100" t="str">
        <f t="array" ref="F482">IF(ISBLANK(G482),"",INDEX('POR Config List'!J:J,MATCH(G482,'POR Config List'!D:D,0)))</f>
        <v/>
      </c>
      <c r="G482" s="168"/>
      <c r="H482" s="104" t="str">
        <f t="array" ref="H482">IF(ISBLANK(G482),"",INDEX('MP SKUs'!G:G,MATCH(G482,'MP SKUs'!A:A,0)))</f>
        <v/>
      </c>
      <c r="I482" s="105" t="str">
        <f t="array" ref="I482">IF(ISBLANK(G482),"",INDEX('POR Config List'!O:O,MATCH(G482,'POR Config List'!D:D,0)))</f>
        <v/>
      </c>
      <c r="J482" s="104" t="str">
        <f t="array" ref="J482">IF(ISBLANK(G482),"",INDEX('POR Config List'!H:H,MATCH(G482,'POR Config List'!D:D,0)))</f>
        <v/>
      </c>
      <c r="K482" s="105" t="str">
        <f t="array" ref="K482">IF(ISBLANK(G482),"",INDEX('POR Config List'!G:G,MATCH(G482,'POR Config List'!D:D,0)))</f>
        <v/>
      </c>
      <c r="L482" s="105"/>
      <c r="M482" s="105" t="str">
        <f t="array" ref="M482">IF(ISBLANK(G482),"",INDEX('label approval artwork'!Q:Q,MATCH( G482,'label approval artwork'!F:F,0)))</f>
        <v/>
      </c>
      <c r="N482" s="169" t="str">
        <f t="shared" si="5"/>
        <v/>
      </c>
      <c r="O482" s="102" t="str">
        <f t="array" ref="O482">IF(ISBLANK(G482),"",INDEX('POR Config List'!C:C,MATCH(G482,'POR Config List'!D:D,0)))</f>
        <v/>
      </c>
      <c r="P482" s="105" t="str">
        <f t="shared" si="4"/>
        <v/>
      </c>
      <c r="Q482" s="105" t="str">
        <f t="array" ref="Q482">IF(ISBLANK(G482),"",INDEX('label approval artwork'!J:J,MATCH( G482,'label approval artwork'!F:F,0)))</f>
        <v/>
      </c>
      <c r="R482" s="105" t="str">
        <f t="array" ref="R482">IFERROR( IF(P482&lt;&gt;"EMA",INDEX('label approval artwork'!H:H,MATCH(G482,'label approval artwork'!F:F,0),"")),"")</f>
        <v/>
      </c>
      <c r="S482" s="105"/>
      <c r="T482" s="105" t="str">
        <f t="array" ref="T482">IF(ISBLANK(G482),"",INDEX('POR Config List'!I:I,MATCH(G482,'POR Config List'!D:D,0)))</f>
        <v/>
      </c>
      <c r="AA482" s="100" t="str">
        <f t="array" ref="AA482">IF(ISBLANK(G482),"",INDEX('POR Config List'!E:E,MATCH(G482,'POR Config List'!D:D,0)))</f>
        <v/>
      </c>
      <c r="AC482" s="105"/>
      <c r="AD482" s="100"/>
      <c r="AE482" s="100"/>
      <c r="AF482" s="100"/>
      <c r="AG482" s="100"/>
      <c r="AM482" s="102"/>
      <c r="AN482" s="102"/>
      <c r="AR482" s="119"/>
      <c r="AS482" s="103"/>
    </row>
    <row r="483">
      <c r="A483" s="168"/>
      <c r="B483" s="100" t="str">
        <f t="array" ref="B483">IFERROR( INDEX('POR Config List'!A:A,MATCH(G483,'POR Config List'!D:D,0)),"")</f>
        <v/>
      </c>
      <c r="C483" s="101" t="str">
        <f t="array" ref="C483">IFERROR(INDEX('label approval artwork'!E:E,MATCH(G483,'label approval artwork'!F:F,0),""),"")</f>
        <v/>
      </c>
      <c r="D483" s="102" t="str">
        <f t="shared" si="3"/>
        <v/>
      </c>
      <c r="E483" s="100" t="str">
        <f t="array" ref="E483">IF(ISBLANK(G483),"",INDEX('POR Config List'!K:K,MATCH(G483,'POR Config List'!D:D,0)))</f>
        <v/>
      </c>
      <c r="F483" s="100" t="str">
        <f t="array" ref="F483">IF(ISBLANK(G483),"",INDEX('POR Config List'!J:J,MATCH(G483,'POR Config List'!D:D,0)))</f>
        <v/>
      </c>
      <c r="G483" s="168"/>
      <c r="H483" s="104" t="str">
        <f t="array" ref="H483">IF(ISBLANK(G483),"",INDEX('MP SKUs'!G:G,MATCH(G483,'MP SKUs'!A:A,0)))</f>
        <v/>
      </c>
      <c r="I483" s="105" t="str">
        <f t="array" ref="I483">IF(ISBLANK(G483),"",INDEX('POR Config List'!O:O,MATCH(G483,'POR Config List'!D:D,0)))</f>
        <v/>
      </c>
      <c r="J483" s="104" t="str">
        <f t="array" ref="J483">IF(ISBLANK(G483),"",INDEX('POR Config List'!H:H,MATCH(G483,'POR Config List'!D:D,0)))</f>
        <v/>
      </c>
      <c r="K483" s="105" t="str">
        <f t="array" ref="K483">IF(ISBLANK(G483),"",INDEX('POR Config List'!G:G,MATCH(G483,'POR Config List'!D:D,0)))</f>
        <v/>
      </c>
      <c r="L483" s="105"/>
      <c r="M483" s="105" t="str">
        <f t="array" ref="M483">IF(ISBLANK(G483),"",INDEX('label approval artwork'!Q:Q,MATCH( G483,'label approval artwork'!F:F,0)))</f>
        <v/>
      </c>
      <c r="N483" s="169" t="str">
        <f t="shared" si="5"/>
        <v/>
      </c>
      <c r="O483" s="102" t="str">
        <f t="array" ref="O483">IF(ISBLANK(G483),"",INDEX('POR Config List'!C:C,MATCH(G483,'POR Config List'!D:D,0)))</f>
        <v/>
      </c>
      <c r="P483" s="105" t="str">
        <f t="shared" si="4"/>
        <v/>
      </c>
      <c r="Q483" s="105" t="str">
        <f t="array" ref="Q483">IF(ISBLANK(G483),"",INDEX('label approval artwork'!J:J,MATCH( G483,'label approval artwork'!F:F,0)))</f>
        <v/>
      </c>
      <c r="R483" s="105" t="str">
        <f t="array" ref="R483">IFERROR( IF(P483&lt;&gt;"EMA",INDEX('label approval artwork'!H:H,MATCH(G483,'label approval artwork'!F:F,0),"")),"")</f>
        <v/>
      </c>
      <c r="S483" s="105"/>
      <c r="T483" s="105" t="str">
        <f t="array" ref="T483">IF(ISBLANK(G483),"",INDEX('POR Config List'!I:I,MATCH(G483,'POR Config List'!D:D,0)))</f>
        <v/>
      </c>
      <c r="AA483" s="100" t="str">
        <f t="array" ref="AA483">IF(ISBLANK(G483),"",INDEX('POR Config List'!E:E,MATCH(G483,'POR Config List'!D:D,0)))</f>
        <v/>
      </c>
      <c r="AC483" s="105"/>
      <c r="AD483" s="100"/>
      <c r="AE483" s="100"/>
      <c r="AF483" s="100"/>
      <c r="AG483" s="100"/>
      <c r="AM483" s="102"/>
      <c r="AN483" s="102"/>
      <c r="AR483" s="119"/>
      <c r="AS483" s="103"/>
    </row>
    <row r="484">
      <c r="A484" s="168"/>
      <c r="B484" s="100" t="str">
        <f t="array" ref="B484">IFERROR( INDEX('POR Config List'!A:A,MATCH(G484,'POR Config List'!D:D,0)),"")</f>
        <v/>
      </c>
      <c r="C484" s="101" t="str">
        <f t="array" ref="C484">IFERROR(INDEX('label approval artwork'!E:E,MATCH(G484,'label approval artwork'!F:F,0),""),"")</f>
        <v/>
      </c>
      <c r="D484" s="102" t="str">
        <f t="shared" si="3"/>
        <v/>
      </c>
      <c r="E484" s="100" t="str">
        <f t="array" ref="E484">IF(ISBLANK(G484),"",INDEX('POR Config List'!K:K,MATCH(G484,'POR Config List'!D:D,0)))</f>
        <v/>
      </c>
      <c r="F484" s="100" t="str">
        <f t="array" ref="F484">IF(ISBLANK(G484),"",INDEX('POR Config List'!J:J,MATCH(G484,'POR Config List'!D:D,0)))</f>
        <v/>
      </c>
      <c r="G484" s="168"/>
      <c r="H484" s="104" t="str">
        <f t="array" ref="H484">IF(ISBLANK(G484),"",INDEX('MP SKUs'!G:G,MATCH(G484,'MP SKUs'!A:A,0)))</f>
        <v/>
      </c>
      <c r="I484" s="105" t="str">
        <f t="array" ref="I484">IF(ISBLANK(G484),"",INDEX('POR Config List'!O:O,MATCH(G484,'POR Config List'!D:D,0)))</f>
        <v/>
      </c>
      <c r="J484" s="104" t="str">
        <f t="array" ref="J484">IF(ISBLANK(G484),"",INDEX('POR Config List'!H:H,MATCH(G484,'POR Config List'!D:D,0)))</f>
        <v/>
      </c>
      <c r="K484" s="105" t="str">
        <f t="array" ref="K484">IF(ISBLANK(G484),"",INDEX('POR Config List'!G:G,MATCH(G484,'POR Config List'!D:D,0)))</f>
        <v/>
      </c>
      <c r="L484" s="105"/>
      <c r="M484" s="105" t="str">
        <f t="array" ref="M484">IF(ISBLANK(G484),"",INDEX('label approval artwork'!Q:Q,MATCH( G484,'label approval artwork'!F:F,0)))</f>
        <v/>
      </c>
      <c r="N484" s="169" t="str">
        <f t="shared" si="5"/>
        <v/>
      </c>
      <c r="O484" s="102" t="str">
        <f t="array" ref="O484">IF(ISBLANK(G484),"",INDEX('POR Config List'!C:C,MATCH(G484,'POR Config List'!D:D,0)))</f>
        <v/>
      </c>
      <c r="P484" s="105" t="str">
        <f t="shared" si="4"/>
        <v/>
      </c>
      <c r="Q484" s="105" t="str">
        <f t="array" ref="Q484">IF(ISBLANK(G484),"",INDEX('label approval artwork'!J:J,MATCH( G484,'label approval artwork'!F:F,0)))</f>
        <v/>
      </c>
      <c r="R484" s="105" t="str">
        <f t="array" ref="R484">IFERROR( IF(P484&lt;&gt;"EMA",INDEX('label approval artwork'!H:H,MATCH(G484,'label approval artwork'!F:F,0),"")),"")</f>
        <v/>
      </c>
      <c r="S484" s="105"/>
      <c r="T484" s="105" t="str">
        <f t="array" ref="T484">IF(ISBLANK(G484),"",INDEX('POR Config List'!I:I,MATCH(G484,'POR Config List'!D:D,0)))</f>
        <v/>
      </c>
      <c r="AA484" s="100" t="str">
        <f t="array" ref="AA484">IF(ISBLANK(G484),"",INDEX('POR Config List'!E:E,MATCH(G484,'POR Config List'!D:D,0)))</f>
        <v/>
      </c>
      <c r="AC484" s="105"/>
      <c r="AD484" s="100"/>
      <c r="AE484" s="100"/>
      <c r="AF484" s="100"/>
      <c r="AG484" s="100"/>
      <c r="AM484" s="102"/>
      <c r="AN484" s="102"/>
      <c r="AR484" s="119"/>
      <c r="AS484" s="103"/>
    </row>
    <row r="485">
      <c r="A485" s="168"/>
      <c r="B485" s="100" t="str">
        <f t="array" ref="B485">IFERROR( INDEX('POR Config List'!A:A,MATCH(G485,'POR Config List'!D:D,0)),"")</f>
        <v/>
      </c>
      <c r="C485" s="101" t="str">
        <f t="array" ref="C485">IFERROR(INDEX('label approval artwork'!E:E,MATCH(G485,'label approval artwork'!F:F,0),""),"")</f>
        <v/>
      </c>
      <c r="D485" s="102" t="str">
        <f t="shared" si="3"/>
        <v/>
      </c>
      <c r="E485" s="100" t="str">
        <f t="array" ref="E485">IF(ISBLANK(G485),"",INDEX('POR Config List'!K:K,MATCH(G485,'POR Config List'!D:D,0)))</f>
        <v/>
      </c>
      <c r="F485" s="100" t="str">
        <f t="array" ref="F485">IF(ISBLANK(G485),"",INDEX('POR Config List'!J:J,MATCH(G485,'POR Config List'!D:D,0)))</f>
        <v/>
      </c>
      <c r="G485" s="168"/>
      <c r="H485" s="104" t="str">
        <f t="array" ref="H485">IF(ISBLANK(G485),"",INDEX('MP SKUs'!G:G,MATCH(G485,'MP SKUs'!A:A,0)))</f>
        <v/>
      </c>
      <c r="I485" s="105" t="str">
        <f t="array" ref="I485">IF(ISBLANK(G485),"",INDEX('POR Config List'!O:O,MATCH(G485,'POR Config List'!D:D,0)))</f>
        <v/>
      </c>
      <c r="J485" s="104" t="str">
        <f t="array" ref="J485">IF(ISBLANK(G485),"",INDEX('POR Config List'!H:H,MATCH(G485,'POR Config List'!D:D,0)))</f>
        <v/>
      </c>
      <c r="K485" s="105" t="str">
        <f t="array" ref="K485">IF(ISBLANK(G485),"",INDEX('POR Config List'!G:G,MATCH(G485,'POR Config List'!D:D,0)))</f>
        <v/>
      </c>
      <c r="L485" s="105"/>
      <c r="M485" s="105" t="str">
        <f t="array" ref="M485">IF(ISBLANK(G485),"",INDEX('label approval artwork'!Q:Q,MATCH( G485,'label approval artwork'!F:F,0)))</f>
        <v/>
      </c>
      <c r="N485" s="169" t="str">
        <f t="shared" si="5"/>
        <v/>
      </c>
      <c r="O485" s="102" t="str">
        <f t="array" ref="O485">IF(ISBLANK(G485),"",INDEX('POR Config List'!C:C,MATCH(G485,'POR Config List'!D:D,0)))</f>
        <v/>
      </c>
      <c r="P485" s="105" t="str">
        <f t="shared" si="4"/>
        <v/>
      </c>
      <c r="Q485" s="105" t="str">
        <f t="array" ref="Q485">IF(ISBLANK(G485),"",INDEX('label approval artwork'!J:J,MATCH( G485,'label approval artwork'!F:F,0)))</f>
        <v/>
      </c>
      <c r="R485" s="105" t="str">
        <f t="array" ref="R485">IFERROR( IF(P485&lt;&gt;"EMA",INDEX('label approval artwork'!H:H,MATCH(G485,'label approval artwork'!F:F,0),"")),"")</f>
        <v/>
      </c>
      <c r="S485" s="105"/>
      <c r="T485" s="105" t="str">
        <f t="array" ref="T485">IF(ISBLANK(G485),"",INDEX('POR Config List'!I:I,MATCH(G485,'POR Config List'!D:D,0)))</f>
        <v/>
      </c>
      <c r="AA485" s="100" t="str">
        <f t="array" ref="AA485">IF(ISBLANK(G485),"",INDEX('POR Config List'!E:E,MATCH(G485,'POR Config List'!D:D,0)))</f>
        <v/>
      </c>
      <c r="AC485" s="105"/>
      <c r="AD485" s="100"/>
      <c r="AE485" s="100"/>
      <c r="AF485" s="100"/>
      <c r="AG485" s="100"/>
      <c r="AM485" s="102"/>
      <c r="AN485" s="102"/>
      <c r="AR485" s="119"/>
      <c r="AS485" s="103"/>
    </row>
    <row r="486">
      <c r="A486" s="168"/>
      <c r="B486" s="100" t="str">
        <f t="array" ref="B486">IFERROR( INDEX('POR Config List'!A:A,MATCH(G486,'POR Config List'!D:D,0)),"")</f>
        <v/>
      </c>
      <c r="C486" s="101" t="str">
        <f t="array" ref="C486">IFERROR(INDEX('label approval artwork'!E:E,MATCH(G486,'label approval artwork'!F:F,0),""),"")</f>
        <v/>
      </c>
      <c r="D486" s="102" t="str">
        <f t="shared" si="3"/>
        <v/>
      </c>
      <c r="E486" s="100" t="str">
        <f t="array" ref="E486">IF(ISBLANK(G486),"",INDEX('POR Config List'!K:K,MATCH(G486,'POR Config List'!D:D,0)))</f>
        <v/>
      </c>
      <c r="F486" s="100" t="str">
        <f t="array" ref="F486">IF(ISBLANK(G486),"",INDEX('POR Config List'!J:J,MATCH(G486,'POR Config List'!D:D,0)))</f>
        <v/>
      </c>
      <c r="G486" s="168"/>
      <c r="H486" s="104" t="str">
        <f t="array" ref="H486">IF(ISBLANK(G486),"",INDEX('MP SKUs'!G:G,MATCH(G486,'MP SKUs'!A:A,0)))</f>
        <v/>
      </c>
      <c r="I486" s="105" t="str">
        <f t="array" ref="I486">IF(ISBLANK(G486),"",INDEX('POR Config List'!O:O,MATCH(G486,'POR Config List'!D:D,0)))</f>
        <v/>
      </c>
      <c r="J486" s="104" t="str">
        <f t="array" ref="J486">IF(ISBLANK(G486),"",INDEX('POR Config List'!H:H,MATCH(G486,'POR Config List'!D:D,0)))</f>
        <v/>
      </c>
      <c r="K486" s="105" t="str">
        <f t="array" ref="K486">IF(ISBLANK(G486),"",INDEX('POR Config List'!G:G,MATCH(G486,'POR Config List'!D:D,0)))</f>
        <v/>
      </c>
      <c r="L486" s="105"/>
      <c r="M486" s="105" t="str">
        <f t="array" ref="M486">IF(ISBLANK(G486),"",INDEX('label approval artwork'!Q:Q,MATCH( G486,'label approval artwork'!F:F,0)))</f>
        <v/>
      </c>
      <c r="N486" s="169" t="str">
        <f t="shared" si="5"/>
        <v/>
      </c>
      <c r="O486" s="102" t="str">
        <f t="array" ref="O486">IF(ISBLANK(G486),"",INDEX('POR Config List'!C:C,MATCH(G486,'POR Config List'!D:D,0)))</f>
        <v/>
      </c>
      <c r="P486" s="105" t="str">
        <f t="shared" si="4"/>
        <v/>
      </c>
      <c r="Q486" s="105" t="str">
        <f t="array" ref="Q486">IF(ISBLANK(G486),"",INDEX('label approval artwork'!J:J,MATCH( G486,'label approval artwork'!F:F,0)))</f>
        <v/>
      </c>
      <c r="R486" s="105" t="str">
        <f t="array" ref="R486">IFERROR( IF(P486&lt;&gt;"EMA",INDEX('label approval artwork'!H:H,MATCH(G486,'label approval artwork'!F:F,0),"")),"")</f>
        <v/>
      </c>
      <c r="S486" s="105"/>
      <c r="T486" s="105" t="str">
        <f t="array" ref="T486">IF(ISBLANK(G486),"",INDEX('POR Config List'!I:I,MATCH(G486,'POR Config List'!D:D,0)))</f>
        <v/>
      </c>
      <c r="AA486" s="100" t="str">
        <f t="array" ref="AA486">IF(ISBLANK(G486),"",INDEX('POR Config List'!E:E,MATCH(G486,'POR Config List'!D:D,0)))</f>
        <v/>
      </c>
      <c r="AC486" s="105"/>
      <c r="AD486" s="100"/>
      <c r="AE486" s="100"/>
      <c r="AF486" s="100"/>
      <c r="AG486" s="100"/>
      <c r="AM486" s="102"/>
      <c r="AN486" s="102"/>
      <c r="AR486" s="119"/>
      <c r="AS486" s="103"/>
    </row>
    <row r="487">
      <c r="A487" s="168"/>
      <c r="B487" s="100" t="str">
        <f t="array" ref="B487">IFERROR( INDEX('POR Config List'!A:A,MATCH(G487,'POR Config List'!D:D,0)),"")</f>
        <v/>
      </c>
      <c r="C487" s="101" t="str">
        <f t="array" ref="C487">IFERROR(INDEX('label approval artwork'!E:E,MATCH(G487,'label approval artwork'!F:F,0),""),"")</f>
        <v/>
      </c>
      <c r="D487" s="102" t="str">
        <f t="shared" si="3"/>
        <v/>
      </c>
      <c r="E487" s="100" t="str">
        <f t="array" ref="E487">IF(ISBLANK(G487),"",INDEX('POR Config List'!K:K,MATCH(G487,'POR Config List'!D:D,0)))</f>
        <v/>
      </c>
      <c r="F487" s="100" t="str">
        <f t="array" ref="F487">IF(ISBLANK(G487),"",INDEX('POR Config List'!J:J,MATCH(G487,'POR Config List'!D:D,0)))</f>
        <v/>
      </c>
      <c r="G487" s="168"/>
      <c r="H487" s="104" t="str">
        <f t="array" ref="H487">IF(ISBLANK(G487),"",INDEX('MP SKUs'!G:G,MATCH(G487,'MP SKUs'!A:A,0)))</f>
        <v/>
      </c>
      <c r="I487" s="105" t="str">
        <f t="array" ref="I487">IF(ISBLANK(G487),"",INDEX('POR Config List'!O:O,MATCH(G487,'POR Config List'!D:D,0)))</f>
        <v/>
      </c>
      <c r="J487" s="104" t="str">
        <f t="array" ref="J487">IF(ISBLANK(G487),"",INDEX('POR Config List'!H:H,MATCH(G487,'POR Config List'!D:D,0)))</f>
        <v/>
      </c>
      <c r="K487" s="105" t="str">
        <f t="array" ref="K487">IF(ISBLANK(G487),"",INDEX('POR Config List'!G:G,MATCH(G487,'POR Config List'!D:D,0)))</f>
        <v/>
      </c>
      <c r="L487" s="105"/>
      <c r="M487" s="105" t="str">
        <f t="array" ref="M487">IF(ISBLANK(G487),"",INDEX('label approval artwork'!Q:Q,MATCH( G487,'label approval artwork'!F:F,0)))</f>
        <v/>
      </c>
      <c r="N487" s="169" t="str">
        <f t="shared" si="5"/>
        <v/>
      </c>
      <c r="O487" s="102" t="str">
        <f t="array" ref="O487">IF(ISBLANK(G487),"",INDEX('POR Config List'!C:C,MATCH(G487,'POR Config List'!D:D,0)))</f>
        <v/>
      </c>
      <c r="P487" s="105" t="str">
        <f t="shared" si="4"/>
        <v/>
      </c>
      <c r="Q487" s="105" t="str">
        <f t="array" ref="Q487">IF(ISBLANK(G487),"",INDEX('label approval artwork'!J:J,MATCH( G487,'label approval artwork'!F:F,0)))</f>
        <v/>
      </c>
      <c r="R487" s="105" t="str">
        <f t="array" ref="R487">IFERROR( IF(P487&lt;&gt;"EMA",INDEX('label approval artwork'!H:H,MATCH(G487,'label approval artwork'!F:F,0),"")),"")</f>
        <v/>
      </c>
      <c r="S487" s="105"/>
      <c r="T487" s="105" t="str">
        <f t="array" ref="T487">IF(ISBLANK(G487),"",INDEX('POR Config List'!I:I,MATCH(G487,'POR Config List'!D:D,0)))</f>
        <v/>
      </c>
      <c r="AA487" s="100" t="str">
        <f t="array" ref="AA487">IF(ISBLANK(G487),"",INDEX('POR Config List'!E:E,MATCH(G487,'POR Config List'!D:D,0)))</f>
        <v/>
      </c>
      <c r="AC487" s="105"/>
      <c r="AD487" s="100"/>
      <c r="AE487" s="100"/>
      <c r="AF487" s="100"/>
      <c r="AG487" s="100"/>
      <c r="AM487" s="102"/>
      <c r="AN487" s="102"/>
      <c r="AR487" s="119"/>
      <c r="AS487" s="103"/>
    </row>
    <row r="488">
      <c r="A488" s="168"/>
      <c r="B488" s="100" t="str">
        <f t="array" ref="B488">IFERROR( INDEX('POR Config List'!A:A,MATCH(G488,'POR Config List'!D:D,0)),"")</f>
        <v/>
      </c>
      <c r="C488" s="101" t="str">
        <f t="array" ref="C488">IFERROR(INDEX('label approval artwork'!E:E,MATCH(G488,'label approval artwork'!F:F,0),""),"")</f>
        <v/>
      </c>
      <c r="D488" s="102" t="str">
        <f t="shared" si="3"/>
        <v/>
      </c>
      <c r="E488" s="100" t="str">
        <f t="array" ref="E488">IF(ISBLANK(G488),"",INDEX('POR Config List'!K:K,MATCH(G488,'POR Config List'!D:D,0)))</f>
        <v/>
      </c>
      <c r="F488" s="100" t="str">
        <f t="array" ref="F488">IF(ISBLANK(G488),"",INDEX('POR Config List'!J:J,MATCH(G488,'POR Config List'!D:D,0)))</f>
        <v/>
      </c>
      <c r="G488" s="168"/>
      <c r="H488" s="104" t="str">
        <f t="array" ref="H488">IF(ISBLANK(G488),"",INDEX('MP SKUs'!G:G,MATCH(G488,'MP SKUs'!A:A,0)))</f>
        <v/>
      </c>
      <c r="I488" s="105" t="str">
        <f t="array" ref="I488">IF(ISBLANK(G488),"",INDEX('POR Config List'!O:O,MATCH(G488,'POR Config List'!D:D,0)))</f>
        <v/>
      </c>
      <c r="J488" s="104" t="str">
        <f t="array" ref="J488">IF(ISBLANK(G488),"",INDEX('POR Config List'!H:H,MATCH(G488,'POR Config List'!D:D,0)))</f>
        <v/>
      </c>
      <c r="K488" s="105" t="str">
        <f t="array" ref="K488">IF(ISBLANK(G488),"",INDEX('POR Config List'!G:G,MATCH(G488,'POR Config List'!D:D,0)))</f>
        <v/>
      </c>
      <c r="L488" s="105"/>
      <c r="M488" s="105" t="str">
        <f t="array" ref="M488">IF(ISBLANK(G488),"",INDEX('label approval artwork'!Q:Q,MATCH( G488,'label approval artwork'!F:F,0)))</f>
        <v/>
      </c>
      <c r="N488" s="169" t="str">
        <f t="shared" si="5"/>
        <v/>
      </c>
      <c r="O488" s="102" t="str">
        <f t="array" ref="O488">IF(ISBLANK(G488),"",INDEX('POR Config List'!C:C,MATCH(G488,'POR Config List'!D:D,0)))</f>
        <v/>
      </c>
      <c r="P488" s="105" t="str">
        <f t="shared" si="4"/>
        <v/>
      </c>
      <c r="Q488" s="105" t="str">
        <f t="array" ref="Q488">IF(ISBLANK(G488),"",INDEX('label approval artwork'!J:J,MATCH( G488,'label approval artwork'!F:F,0)))</f>
        <v/>
      </c>
      <c r="R488" s="105" t="str">
        <f t="array" ref="R488">IFERROR( IF(P488&lt;&gt;"EMA",INDEX('label approval artwork'!H:H,MATCH(G488,'label approval artwork'!F:F,0),"")),"")</f>
        <v/>
      </c>
      <c r="S488" s="105"/>
      <c r="T488" s="105" t="str">
        <f t="array" ref="T488">IF(ISBLANK(G488),"",INDEX('POR Config List'!I:I,MATCH(G488,'POR Config List'!D:D,0)))</f>
        <v/>
      </c>
      <c r="AA488" s="100" t="str">
        <f t="array" ref="AA488">IF(ISBLANK(G488),"",INDEX('POR Config List'!E:E,MATCH(G488,'POR Config List'!D:D,0)))</f>
        <v/>
      </c>
      <c r="AC488" s="105"/>
      <c r="AD488" s="100"/>
      <c r="AE488" s="100"/>
      <c r="AF488" s="100"/>
      <c r="AG488" s="100"/>
      <c r="AM488" s="102"/>
      <c r="AN488" s="102"/>
      <c r="AR488" s="119"/>
      <c r="AS488" s="103"/>
    </row>
    <row r="489">
      <c r="A489" s="168"/>
      <c r="B489" s="100" t="str">
        <f t="array" ref="B489">IFERROR( INDEX('POR Config List'!A:A,MATCH(G489,'POR Config List'!D:D,0)),"")</f>
        <v/>
      </c>
      <c r="C489" s="101" t="str">
        <f t="array" ref="C489">IFERROR(INDEX('label approval artwork'!E:E,MATCH(G489,'label approval artwork'!F:F,0),""),"")</f>
        <v/>
      </c>
      <c r="D489" s="102" t="str">
        <f t="shared" si="3"/>
        <v/>
      </c>
      <c r="E489" s="100" t="str">
        <f t="array" ref="E489">IF(ISBLANK(G489),"",INDEX('POR Config List'!K:K,MATCH(G489,'POR Config List'!D:D,0)))</f>
        <v/>
      </c>
      <c r="F489" s="100" t="str">
        <f t="array" ref="F489">IF(ISBLANK(G489),"",INDEX('POR Config List'!J:J,MATCH(G489,'POR Config List'!D:D,0)))</f>
        <v/>
      </c>
      <c r="G489" s="168"/>
      <c r="H489" s="104" t="str">
        <f t="array" ref="H489">IF(ISBLANK(G489),"",INDEX('MP SKUs'!G:G,MATCH(G489,'MP SKUs'!A:A,0)))</f>
        <v/>
      </c>
      <c r="I489" s="105" t="str">
        <f t="array" ref="I489">IF(ISBLANK(G489),"",INDEX('POR Config List'!O:O,MATCH(G489,'POR Config List'!D:D,0)))</f>
        <v/>
      </c>
      <c r="J489" s="104" t="str">
        <f t="array" ref="J489">IF(ISBLANK(G489),"",INDEX('POR Config List'!H:H,MATCH(G489,'POR Config List'!D:D,0)))</f>
        <v/>
      </c>
      <c r="K489" s="105" t="str">
        <f t="array" ref="K489">IF(ISBLANK(G489),"",INDEX('POR Config List'!G:G,MATCH(G489,'POR Config List'!D:D,0)))</f>
        <v/>
      </c>
      <c r="L489" s="105"/>
      <c r="M489" s="105" t="str">
        <f t="array" ref="M489">IF(ISBLANK(G489),"",INDEX('label approval artwork'!Q:Q,MATCH( G489,'label approval artwork'!F:F,0)))</f>
        <v/>
      </c>
      <c r="N489" s="169" t="str">
        <f t="shared" si="5"/>
        <v/>
      </c>
      <c r="O489" s="102" t="str">
        <f t="array" ref="O489">IF(ISBLANK(G489),"",INDEX('POR Config List'!C:C,MATCH(G489,'POR Config List'!D:D,0)))</f>
        <v/>
      </c>
      <c r="P489" s="105" t="str">
        <f t="shared" si="4"/>
        <v/>
      </c>
      <c r="Q489" s="105" t="str">
        <f t="array" ref="Q489">IF(ISBLANK(G489),"",INDEX('label approval artwork'!J:J,MATCH( G489,'label approval artwork'!F:F,0)))</f>
        <v/>
      </c>
      <c r="R489" s="105" t="str">
        <f t="array" ref="R489">IFERROR( IF(P489&lt;&gt;"EMA",INDEX('label approval artwork'!H:H,MATCH(G489,'label approval artwork'!F:F,0),"")),"")</f>
        <v/>
      </c>
      <c r="S489" s="105"/>
      <c r="T489" s="105" t="str">
        <f t="array" ref="T489">IF(ISBLANK(G489),"",INDEX('POR Config List'!I:I,MATCH(G489,'POR Config List'!D:D,0)))</f>
        <v/>
      </c>
      <c r="AA489" s="100" t="str">
        <f t="array" ref="AA489">IF(ISBLANK(G489),"",INDEX('POR Config List'!E:E,MATCH(G489,'POR Config List'!D:D,0)))</f>
        <v/>
      </c>
      <c r="AC489" s="105"/>
      <c r="AD489" s="100"/>
      <c r="AE489" s="100"/>
      <c r="AF489" s="100"/>
      <c r="AG489" s="100"/>
      <c r="AM489" s="102"/>
      <c r="AN489" s="102"/>
      <c r="AR489" s="119"/>
      <c r="AS489" s="103"/>
    </row>
    <row r="490">
      <c r="A490" s="168"/>
      <c r="B490" s="100" t="str">
        <f t="array" ref="B490">IFERROR( INDEX('POR Config List'!A:A,MATCH(G490,'POR Config List'!D:D,0)),"")</f>
        <v/>
      </c>
      <c r="C490" s="101" t="str">
        <f t="array" ref="C490">IFERROR(INDEX('label approval artwork'!E:E,MATCH(G490,'label approval artwork'!F:F,0),""),"")</f>
        <v/>
      </c>
      <c r="D490" s="102" t="str">
        <f t="shared" si="3"/>
        <v/>
      </c>
      <c r="E490" s="100" t="str">
        <f t="array" ref="E490">IF(ISBLANK(G490),"",INDEX('POR Config List'!K:K,MATCH(G490,'POR Config List'!D:D,0)))</f>
        <v/>
      </c>
      <c r="F490" s="100" t="str">
        <f t="array" ref="F490">IF(ISBLANK(G490),"",INDEX('POR Config List'!J:J,MATCH(G490,'POR Config List'!D:D,0)))</f>
        <v/>
      </c>
      <c r="G490" s="168"/>
      <c r="H490" s="104" t="str">
        <f t="array" ref="H490">IF(ISBLANK(G490),"",INDEX('MP SKUs'!G:G,MATCH(G490,'MP SKUs'!A:A,0)))</f>
        <v/>
      </c>
      <c r="I490" s="105" t="str">
        <f t="array" ref="I490">IF(ISBLANK(G490),"",INDEX('POR Config List'!O:O,MATCH(G490,'POR Config List'!D:D,0)))</f>
        <v/>
      </c>
      <c r="J490" s="104" t="str">
        <f t="array" ref="J490">IF(ISBLANK(G490),"",INDEX('POR Config List'!H:H,MATCH(G490,'POR Config List'!D:D,0)))</f>
        <v/>
      </c>
      <c r="K490" s="105" t="str">
        <f t="array" ref="K490">IF(ISBLANK(G490),"",INDEX('POR Config List'!G:G,MATCH(G490,'POR Config List'!D:D,0)))</f>
        <v/>
      </c>
      <c r="L490" s="105"/>
      <c r="M490" s="105" t="str">
        <f t="array" ref="M490">IF(ISBLANK(G490),"",INDEX('label approval artwork'!Q:Q,MATCH( G490,'label approval artwork'!F:F,0)))</f>
        <v/>
      </c>
      <c r="N490" s="169" t="str">
        <f t="shared" si="5"/>
        <v/>
      </c>
      <c r="O490" s="102" t="str">
        <f t="array" ref="O490">IF(ISBLANK(G490),"",INDEX('POR Config List'!C:C,MATCH(G490,'POR Config List'!D:D,0)))</f>
        <v/>
      </c>
      <c r="P490" s="105" t="str">
        <f t="shared" si="4"/>
        <v/>
      </c>
      <c r="Q490" s="105" t="str">
        <f t="array" ref="Q490">IF(ISBLANK(G490),"",INDEX('label approval artwork'!J:J,MATCH( G490,'label approval artwork'!F:F,0)))</f>
        <v/>
      </c>
      <c r="R490" s="105" t="str">
        <f t="array" ref="R490">IFERROR( IF(P490&lt;&gt;"EMA",INDEX('label approval artwork'!H:H,MATCH(G490,'label approval artwork'!F:F,0),"")),"")</f>
        <v/>
      </c>
      <c r="S490" s="105"/>
      <c r="T490" s="105" t="str">
        <f t="array" ref="T490">IF(ISBLANK(G490),"",INDEX('POR Config List'!I:I,MATCH(G490,'POR Config List'!D:D,0)))</f>
        <v/>
      </c>
      <c r="AA490" s="100" t="str">
        <f t="array" ref="AA490">IF(ISBLANK(G490),"",INDEX('POR Config List'!E:E,MATCH(G490,'POR Config List'!D:D,0)))</f>
        <v/>
      </c>
      <c r="AC490" s="105"/>
      <c r="AD490" s="100"/>
      <c r="AE490" s="100"/>
      <c r="AF490" s="100"/>
      <c r="AG490" s="100"/>
      <c r="AM490" s="102"/>
      <c r="AN490" s="102"/>
      <c r="AR490" s="119"/>
      <c r="AS490" s="103"/>
    </row>
    <row r="491">
      <c r="A491" s="168"/>
      <c r="B491" s="100" t="str">
        <f t="array" ref="B491">IFERROR( INDEX('POR Config List'!A:A,MATCH(G491,'POR Config List'!D:D,0)),"")</f>
        <v/>
      </c>
      <c r="C491" s="101" t="str">
        <f t="array" ref="C491">IFERROR(INDEX('label approval artwork'!E:E,MATCH(G491,'label approval artwork'!F:F,0),""),"")</f>
        <v/>
      </c>
      <c r="D491" s="102" t="str">
        <f t="shared" si="3"/>
        <v/>
      </c>
      <c r="E491" s="100" t="str">
        <f t="array" ref="E491">IF(ISBLANK(G491),"",INDEX('POR Config List'!K:K,MATCH(G491,'POR Config List'!D:D,0)))</f>
        <v/>
      </c>
      <c r="F491" s="100" t="str">
        <f t="array" ref="F491">IF(ISBLANK(G491),"",INDEX('POR Config List'!J:J,MATCH(G491,'POR Config List'!D:D,0)))</f>
        <v/>
      </c>
      <c r="G491" s="168"/>
      <c r="H491" s="104" t="str">
        <f t="array" ref="H491">IF(ISBLANK(G491),"",INDEX('MP SKUs'!G:G,MATCH(G491,'MP SKUs'!A:A,0)))</f>
        <v/>
      </c>
      <c r="I491" s="105" t="str">
        <f t="array" ref="I491">IF(ISBLANK(G491),"",INDEX('POR Config List'!O:O,MATCH(G491,'POR Config List'!D:D,0)))</f>
        <v/>
      </c>
      <c r="J491" s="104" t="str">
        <f t="array" ref="J491">IF(ISBLANK(G491),"",INDEX('POR Config List'!H:H,MATCH(G491,'POR Config List'!D:D,0)))</f>
        <v/>
      </c>
      <c r="K491" s="105" t="str">
        <f t="array" ref="K491">IF(ISBLANK(G491),"",INDEX('POR Config List'!G:G,MATCH(G491,'POR Config List'!D:D,0)))</f>
        <v/>
      </c>
      <c r="L491" s="105"/>
      <c r="M491" s="105" t="str">
        <f t="array" ref="M491">IF(ISBLANK(G491),"",INDEX('label approval artwork'!Q:Q,MATCH( G491,'label approval artwork'!F:F,0)))</f>
        <v/>
      </c>
      <c r="N491" s="169" t="str">
        <f t="shared" si="5"/>
        <v/>
      </c>
      <c r="O491" s="102" t="str">
        <f t="array" ref="O491">IF(ISBLANK(G491),"",INDEX('POR Config List'!C:C,MATCH(G491,'POR Config List'!D:D,0)))</f>
        <v/>
      </c>
      <c r="P491" s="105" t="str">
        <f t="shared" si="4"/>
        <v/>
      </c>
      <c r="Q491" s="105" t="str">
        <f t="array" ref="Q491">IF(ISBLANK(G491),"",INDEX('label approval artwork'!J:J,MATCH( G491,'label approval artwork'!F:F,0)))</f>
        <v/>
      </c>
      <c r="R491" s="105" t="str">
        <f t="array" ref="R491">IFERROR( IF(P491&lt;&gt;"EMA",INDEX('label approval artwork'!H:H,MATCH(G491,'label approval artwork'!F:F,0),"")),"")</f>
        <v/>
      </c>
      <c r="S491" s="105"/>
      <c r="T491" s="105" t="str">
        <f t="array" ref="T491">IF(ISBLANK(G491),"",INDEX('POR Config List'!I:I,MATCH(G491,'POR Config List'!D:D,0)))</f>
        <v/>
      </c>
      <c r="AA491" s="100" t="str">
        <f t="array" ref="AA491">IF(ISBLANK(G491),"",INDEX('POR Config List'!E:E,MATCH(G491,'POR Config List'!D:D,0)))</f>
        <v/>
      </c>
      <c r="AC491" s="105"/>
      <c r="AD491" s="100"/>
      <c r="AE491" s="100"/>
      <c r="AF491" s="100"/>
      <c r="AG491" s="100"/>
      <c r="AM491" s="102"/>
      <c r="AN491" s="102"/>
      <c r="AR491" s="119"/>
      <c r="AS491" s="103"/>
    </row>
    <row r="492">
      <c r="A492" s="168"/>
      <c r="B492" s="100" t="str">
        <f t="array" ref="B492">IFERROR( INDEX('POR Config List'!A:A,MATCH(G492,'POR Config List'!D:D,0)),"")</f>
        <v/>
      </c>
      <c r="C492" s="101" t="str">
        <f t="array" ref="C492">IFERROR(INDEX('label approval artwork'!E:E,MATCH(G492,'label approval artwork'!F:F,0),""),"")</f>
        <v/>
      </c>
      <c r="D492" s="102" t="str">
        <f t="shared" si="3"/>
        <v/>
      </c>
      <c r="E492" s="100" t="str">
        <f t="array" ref="E492">IF(ISBLANK(G492),"",INDEX('POR Config List'!K:K,MATCH(G492,'POR Config List'!D:D,0)))</f>
        <v/>
      </c>
      <c r="F492" s="100" t="str">
        <f t="array" ref="F492">IF(ISBLANK(G492),"",INDEX('POR Config List'!J:J,MATCH(G492,'POR Config List'!D:D,0)))</f>
        <v/>
      </c>
      <c r="G492" s="168"/>
      <c r="H492" s="104" t="str">
        <f t="array" ref="H492">IF(ISBLANK(G492),"",INDEX('MP SKUs'!G:G,MATCH(G492,'MP SKUs'!A:A,0)))</f>
        <v/>
      </c>
      <c r="I492" s="105" t="str">
        <f t="array" ref="I492">IF(ISBLANK(G492),"",INDEX('POR Config List'!O:O,MATCH(G492,'POR Config List'!D:D,0)))</f>
        <v/>
      </c>
      <c r="J492" s="104" t="str">
        <f t="array" ref="J492">IF(ISBLANK(G492),"",INDEX('POR Config List'!H:H,MATCH(G492,'POR Config List'!D:D,0)))</f>
        <v/>
      </c>
      <c r="K492" s="105" t="str">
        <f t="array" ref="K492">IF(ISBLANK(G492),"",INDEX('POR Config List'!G:G,MATCH(G492,'POR Config List'!D:D,0)))</f>
        <v/>
      </c>
      <c r="L492" s="105"/>
      <c r="M492" s="105" t="str">
        <f t="array" ref="M492">IF(ISBLANK(G492),"",INDEX('label approval artwork'!Q:Q,MATCH( G492,'label approval artwork'!F:F,0)))</f>
        <v/>
      </c>
      <c r="N492" s="169" t="str">
        <f t="shared" si="5"/>
        <v/>
      </c>
      <c r="O492" s="102" t="str">
        <f t="array" ref="O492">IF(ISBLANK(G492),"",INDEX('POR Config List'!C:C,MATCH(G492,'POR Config List'!D:D,0)))</f>
        <v/>
      </c>
      <c r="P492" s="105" t="str">
        <f t="shared" si="4"/>
        <v/>
      </c>
      <c r="Q492" s="105" t="str">
        <f t="array" ref="Q492">IF(ISBLANK(G492),"",INDEX('label approval artwork'!J:J,MATCH( G492,'label approval artwork'!F:F,0)))</f>
        <v/>
      </c>
      <c r="R492" s="105" t="str">
        <f t="array" ref="R492">IFERROR( IF(P492&lt;&gt;"EMA",INDEX('label approval artwork'!H:H,MATCH(G492,'label approval artwork'!F:F,0),"")),"")</f>
        <v/>
      </c>
      <c r="S492" s="105"/>
      <c r="T492" s="105" t="str">
        <f t="array" ref="T492">IF(ISBLANK(G492),"",INDEX('POR Config List'!I:I,MATCH(G492,'POR Config List'!D:D,0)))</f>
        <v/>
      </c>
      <c r="AA492" s="100" t="str">
        <f t="array" ref="AA492">IF(ISBLANK(G492),"",INDEX('POR Config List'!E:E,MATCH(G492,'POR Config List'!D:D,0)))</f>
        <v/>
      </c>
      <c r="AC492" s="105"/>
      <c r="AD492" s="100"/>
      <c r="AE492" s="100"/>
      <c r="AF492" s="100"/>
      <c r="AG492" s="100"/>
      <c r="AM492" s="102"/>
      <c r="AN492" s="102"/>
      <c r="AR492" s="119"/>
      <c r="AS492" s="103"/>
    </row>
    <row r="493">
      <c r="A493" s="168"/>
      <c r="B493" s="100" t="str">
        <f t="array" ref="B493">IFERROR( INDEX('POR Config List'!A:A,MATCH(G493,'POR Config List'!D:D,0)),"")</f>
        <v/>
      </c>
      <c r="C493" s="101" t="str">
        <f t="array" ref="C493">IFERROR(INDEX('label approval artwork'!E:E,MATCH(G493,'label approval artwork'!F:F,0),""),"")</f>
        <v/>
      </c>
      <c r="D493" s="102" t="str">
        <f t="shared" si="3"/>
        <v/>
      </c>
      <c r="E493" s="100" t="str">
        <f t="array" ref="E493">IF(ISBLANK(G493),"",INDEX('POR Config List'!K:K,MATCH(G493,'POR Config List'!D:D,0)))</f>
        <v/>
      </c>
      <c r="F493" s="100" t="str">
        <f t="array" ref="F493">IF(ISBLANK(G493),"",INDEX('POR Config List'!J:J,MATCH(G493,'POR Config List'!D:D,0)))</f>
        <v/>
      </c>
      <c r="G493" s="168"/>
      <c r="H493" s="104" t="str">
        <f t="array" ref="H493">IF(ISBLANK(G493),"",INDEX('MP SKUs'!G:G,MATCH(G493,'MP SKUs'!A:A,0)))</f>
        <v/>
      </c>
      <c r="I493" s="105" t="str">
        <f t="array" ref="I493">IF(ISBLANK(G493),"",INDEX('POR Config List'!O:O,MATCH(G493,'POR Config List'!D:D,0)))</f>
        <v/>
      </c>
      <c r="J493" s="104" t="str">
        <f t="array" ref="J493">IF(ISBLANK(G493),"",INDEX('POR Config List'!H:H,MATCH(G493,'POR Config List'!D:D,0)))</f>
        <v/>
      </c>
      <c r="K493" s="105" t="str">
        <f t="array" ref="K493">IF(ISBLANK(G493),"",INDEX('POR Config List'!G:G,MATCH(G493,'POR Config List'!D:D,0)))</f>
        <v/>
      </c>
      <c r="L493" s="105"/>
      <c r="M493" s="105" t="str">
        <f t="array" ref="M493">IF(ISBLANK(G493),"",INDEX('label approval artwork'!Q:Q,MATCH( G493,'label approval artwork'!F:F,0)))</f>
        <v/>
      </c>
      <c r="N493" s="169" t="str">
        <f t="shared" si="5"/>
        <v/>
      </c>
      <c r="O493" s="102" t="str">
        <f t="array" ref="O493">IF(ISBLANK(G493),"",INDEX('POR Config List'!C:C,MATCH(G493,'POR Config List'!D:D,0)))</f>
        <v/>
      </c>
      <c r="P493" s="105" t="str">
        <f t="shared" si="4"/>
        <v/>
      </c>
      <c r="Q493" s="105" t="str">
        <f t="array" ref="Q493">IF(ISBLANK(G493),"",INDEX('label approval artwork'!J:J,MATCH( G493,'label approval artwork'!F:F,0)))</f>
        <v/>
      </c>
      <c r="R493" s="105" t="str">
        <f t="array" ref="R493">IFERROR( IF(P493&lt;&gt;"EMA",INDEX('label approval artwork'!H:H,MATCH(G493,'label approval artwork'!F:F,0),"")),"")</f>
        <v/>
      </c>
      <c r="S493" s="105"/>
      <c r="T493" s="105" t="str">
        <f t="array" ref="T493">IF(ISBLANK(G493),"",INDEX('POR Config List'!I:I,MATCH(G493,'POR Config List'!D:D,0)))</f>
        <v/>
      </c>
      <c r="AA493" s="100" t="str">
        <f t="array" ref="AA493">IF(ISBLANK(G493),"",INDEX('POR Config List'!E:E,MATCH(G493,'POR Config List'!D:D,0)))</f>
        <v/>
      </c>
      <c r="AC493" s="105"/>
      <c r="AD493" s="100"/>
      <c r="AE493" s="100"/>
      <c r="AF493" s="100"/>
      <c r="AG493" s="100"/>
      <c r="AM493" s="102"/>
      <c r="AN493" s="102"/>
      <c r="AR493" s="119"/>
      <c r="AS493" s="103"/>
    </row>
    <row r="494">
      <c r="A494" s="168"/>
      <c r="B494" s="100" t="str">
        <f t="array" ref="B494">IFERROR( INDEX('POR Config List'!A:A,MATCH(G494,'POR Config List'!D:D,0)),"")</f>
        <v/>
      </c>
      <c r="C494" s="101" t="str">
        <f t="array" ref="C494">IFERROR(INDEX('label approval artwork'!E:E,MATCH(G494,'label approval artwork'!F:F,0),""),"")</f>
        <v/>
      </c>
      <c r="D494" s="102" t="str">
        <f t="shared" si="3"/>
        <v/>
      </c>
      <c r="E494" s="100" t="str">
        <f t="array" ref="E494">IF(ISBLANK(G494),"",INDEX('POR Config List'!K:K,MATCH(G494,'POR Config List'!D:D,0)))</f>
        <v/>
      </c>
      <c r="F494" s="100" t="str">
        <f t="array" ref="F494">IF(ISBLANK(G494),"",INDEX('POR Config List'!J:J,MATCH(G494,'POR Config List'!D:D,0)))</f>
        <v/>
      </c>
      <c r="G494" s="168"/>
      <c r="H494" s="104" t="str">
        <f t="array" ref="H494">IF(ISBLANK(G494),"",INDEX('MP SKUs'!G:G,MATCH(G494,'MP SKUs'!A:A,0)))</f>
        <v/>
      </c>
      <c r="I494" s="105" t="str">
        <f t="array" ref="I494">IF(ISBLANK(G494),"",INDEX('POR Config List'!O:O,MATCH(G494,'POR Config List'!D:D,0)))</f>
        <v/>
      </c>
      <c r="J494" s="104" t="str">
        <f t="array" ref="J494">IF(ISBLANK(G494),"",INDEX('POR Config List'!H:H,MATCH(G494,'POR Config List'!D:D,0)))</f>
        <v/>
      </c>
      <c r="K494" s="105" t="str">
        <f t="array" ref="K494">IF(ISBLANK(G494),"",INDEX('POR Config List'!G:G,MATCH(G494,'POR Config List'!D:D,0)))</f>
        <v/>
      </c>
      <c r="L494" s="105"/>
      <c r="M494" s="105" t="str">
        <f t="array" ref="M494">IF(ISBLANK(G494),"",INDEX('label approval artwork'!Q:Q,MATCH( G494,'label approval artwork'!F:F,0)))</f>
        <v/>
      </c>
      <c r="N494" s="169" t="str">
        <f t="shared" si="5"/>
        <v/>
      </c>
      <c r="O494" s="102" t="str">
        <f t="array" ref="O494">IF(ISBLANK(G494),"",INDEX('POR Config List'!C:C,MATCH(G494,'POR Config List'!D:D,0)))</f>
        <v/>
      </c>
      <c r="P494" s="105" t="str">
        <f t="shared" si="4"/>
        <v/>
      </c>
      <c r="Q494" s="105" t="str">
        <f t="array" ref="Q494">IF(ISBLANK(G494),"",INDEX('label approval artwork'!J:J,MATCH( G494,'label approval artwork'!F:F,0)))</f>
        <v/>
      </c>
      <c r="R494" s="105" t="str">
        <f t="array" ref="R494">IFERROR( IF(P494&lt;&gt;"EMA",INDEX('label approval artwork'!H:H,MATCH(G494,'label approval artwork'!F:F,0),"")),"")</f>
        <v/>
      </c>
      <c r="S494" s="105"/>
      <c r="T494" s="105" t="str">
        <f t="array" ref="T494">IF(ISBLANK(G494),"",INDEX('POR Config List'!I:I,MATCH(G494,'POR Config List'!D:D,0)))</f>
        <v/>
      </c>
      <c r="AA494" s="100" t="str">
        <f t="array" ref="AA494">IF(ISBLANK(G494),"",INDEX('POR Config List'!E:E,MATCH(G494,'POR Config List'!D:D,0)))</f>
        <v/>
      </c>
      <c r="AC494" s="105"/>
      <c r="AD494" s="100"/>
      <c r="AE494" s="100"/>
      <c r="AF494" s="100"/>
      <c r="AG494" s="100"/>
      <c r="AM494" s="102"/>
      <c r="AN494" s="102"/>
      <c r="AR494" s="119"/>
      <c r="AS494" s="103"/>
    </row>
    <row r="495">
      <c r="A495" s="168"/>
      <c r="B495" s="100" t="str">
        <f t="array" ref="B495">IFERROR( INDEX('POR Config List'!A:A,MATCH(G495,'POR Config List'!D:D,0)),"")</f>
        <v/>
      </c>
      <c r="C495" s="101" t="str">
        <f t="array" ref="C495">IFERROR(INDEX('label approval artwork'!E:E,MATCH(G495,'label approval artwork'!F:F,0),""),"")</f>
        <v/>
      </c>
      <c r="D495" s="102" t="str">
        <f t="shared" si="3"/>
        <v/>
      </c>
      <c r="E495" s="100" t="str">
        <f t="array" ref="E495">IF(ISBLANK(G495),"",INDEX('POR Config List'!K:K,MATCH(G495,'POR Config List'!D:D,0)))</f>
        <v/>
      </c>
      <c r="F495" s="100" t="str">
        <f t="array" ref="F495">IF(ISBLANK(G495),"",INDEX('POR Config List'!J:J,MATCH(G495,'POR Config List'!D:D,0)))</f>
        <v/>
      </c>
      <c r="G495" s="168"/>
      <c r="H495" s="104" t="str">
        <f t="array" ref="H495">IF(ISBLANK(G495),"",INDEX('MP SKUs'!G:G,MATCH(G495,'MP SKUs'!A:A,0)))</f>
        <v/>
      </c>
      <c r="I495" s="105" t="str">
        <f t="array" ref="I495">IF(ISBLANK(G495),"",INDEX('POR Config List'!O:O,MATCH(G495,'POR Config List'!D:D,0)))</f>
        <v/>
      </c>
      <c r="J495" s="104" t="str">
        <f t="array" ref="J495">IF(ISBLANK(G495),"",INDEX('POR Config List'!H:H,MATCH(G495,'POR Config List'!D:D,0)))</f>
        <v/>
      </c>
      <c r="K495" s="105" t="str">
        <f t="array" ref="K495">IF(ISBLANK(G495),"",INDEX('POR Config List'!G:G,MATCH(G495,'POR Config List'!D:D,0)))</f>
        <v/>
      </c>
      <c r="L495" s="105"/>
      <c r="M495" s="105" t="str">
        <f t="array" ref="M495">IF(ISBLANK(G495),"",INDEX('label approval artwork'!Q:Q,MATCH( G495,'label approval artwork'!F:F,0)))</f>
        <v/>
      </c>
      <c r="N495" s="169" t="str">
        <f t="shared" si="5"/>
        <v/>
      </c>
      <c r="O495" s="102" t="str">
        <f t="array" ref="O495">IF(ISBLANK(G495),"",INDEX('POR Config List'!C:C,MATCH(G495,'POR Config List'!D:D,0)))</f>
        <v/>
      </c>
      <c r="P495" s="105" t="str">
        <f t="shared" si="4"/>
        <v/>
      </c>
      <c r="Q495" s="105" t="str">
        <f t="array" ref="Q495">IF(ISBLANK(G495),"",INDEX('label approval artwork'!J:J,MATCH( G495,'label approval artwork'!F:F,0)))</f>
        <v/>
      </c>
      <c r="R495" s="105" t="str">
        <f t="array" ref="R495">IFERROR( IF(P495&lt;&gt;"EMA",INDEX('label approval artwork'!H:H,MATCH(G495,'label approval artwork'!F:F,0),"")),"")</f>
        <v/>
      </c>
      <c r="S495" s="105"/>
      <c r="T495" s="105" t="str">
        <f t="array" ref="T495">IF(ISBLANK(G495),"",INDEX('POR Config List'!I:I,MATCH(G495,'POR Config List'!D:D,0)))</f>
        <v/>
      </c>
      <c r="AA495" s="100" t="str">
        <f t="array" ref="AA495">IF(ISBLANK(G495),"",INDEX('POR Config List'!E:E,MATCH(G495,'POR Config List'!D:D,0)))</f>
        <v/>
      </c>
      <c r="AC495" s="105"/>
      <c r="AD495" s="100"/>
      <c r="AE495" s="100"/>
      <c r="AF495" s="100"/>
      <c r="AG495" s="100"/>
      <c r="AM495" s="102"/>
      <c r="AN495" s="102"/>
      <c r="AR495" s="119"/>
      <c r="AS495" s="103"/>
    </row>
    <row r="496">
      <c r="A496" s="168"/>
      <c r="B496" s="100" t="str">
        <f t="array" ref="B496">IFERROR( INDEX('POR Config List'!A:A,MATCH(G496,'POR Config List'!D:D,0)),"")</f>
        <v/>
      </c>
      <c r="C496" s="101" t="str">
        <f t="array" ref="C496">IFERROR(INDEX('label approval artwork'!E:E,MATCH(G496,'label approval artwork'!F:F,0),""),"")</f>
        <v/>
      </c>
      <c r="D496" s="102" t="str">
        <f t="shared" si="3"/>
        <v/>
      </c>
      <c r="E496" s="100" t="str">
        <f t="array" ref="E496">IF(ISBLANK(G496),"",INDEX('POR Config List'!K:K,MATCH(G496,'POR Config List'!D:D,0)))</f>
        <v/>
      </c>
      <c r="F496" s="100" t="str">
        <f t="array" ref="F496">IF(ISBLANK(G496),"",INDEX('POR Config List'!J:J,MATCH(G496,'POR Config List'!D:D,0)))</f>
        <v/>
      </c>
      <c r="G496" s="168"/>
      <c r="H496" s="104" t="str">
        <f t="array" ref="H496">IF(ISBLANK(G496),"",INDEX('MP SKUs'!G:G,MATCH(G496,'MP SKUs'!A:A,0)))</f>
        <v/>
      </c>
      <c r="I496" s="105" t="str">
        <f t="array" ref="I496">IF(ISBLANK(G496),"",INDEX('POR Config List'!O:O,MATCH(G496,'POR Config List'!D:D,0)))</f>
        <v/>
      </c>
      <c r="J496" s="104" t="str">
        <f t="array" ref="J496">IF(ISBLANK(G496),"",INDEX('POR Config List'!H:H,MATCH(G496,'POR Config List'!D:D,0)))</f>
        <v/>
      </c>
      <c r="K496" s="105" t="str">
        <f t="array" ref="K496">IF(ISBLANK(G496),"",INDEX('POR Config List'!G:G,MATCH(G496,'POR Config List'!D:D,0)))</f>
        <v/>
      </c>
      <c r="L496" s="105"/>
      <c r="M496" s="105" t="str">
        <f t="array" ref="M496">IF(ISBLANK(G496),"",INDEX('label approval artwork'!Q:Q,MATCH( G496,'label approval artwork'!F:F,0)))</f>
        <v/>
      </c>
      <c r="N496" s="169" t="str">
        <f t="shared" si="5"/>
        <v/>
      </c>
      <c r="O496" s="102" t="str">
        <f t="array" ref="O496">IF(ISBLANK(G496),"",INDEX('POR Config List'!C:C,MATCH(G496,'POR Config List'!D:D,0)))</f>
        <v/>
      </c>
      <c r="P496" s="105" t="str">
        <f t="shared" si="4"/>
        <v/>
      </c>
      <c r="Q496" s="105" t="str">
        <f t="array" ref="Q496">IF(ISBLANK(G496),"",INDEX('label approval artwork'!J:J,MATCH( G496,'label approval artwork'!F:F,0)))</f>
        <v/>
      </c>
      <c r="R496" s="105" t="str">
        <f t="array" ref="R496">IFERROR( IF(P496&lt;&gt;"EMA",INDEX('label approval artwork'!H:H,MATCH(G496,'label approval artwork'!F:F,0),"")),"")</f>
        <v/>
      </c>
      <c r="S496" s="105"/>
      <c r="T496" s="105" t="str">
        <f t="array" ref="T496">IF(ISBLANK(G496),"",INDEX('POR Config List'!I:I,MATCH(G496,'POR Config List'!D:D,0)))</f>
        <v/>
      </c>
      <c r="AA496" s="100" t="str">
        <f t="array" ref="AA496">IF(ISBLANK(G496),"",INDEX('POR Config List'!E:E,MATCH(G496,'POR Config List'!D:D,0)))</f>
        <v/>
      </c>
      <c r="AC496" s="105"/>
      <c r="AD496" s="100"/>
      <c r="AE496" s="100"/>
      <c r="AF496" s="100"/>
      <c r="AG496" s="100"/>
      <c r="AM496" s="102"/>
      <c r="AN496" s="102"/>
      <c r="AR496" s="119"/>
      <c r="AS496" s="103"/>
    </row>
    <row r="497">
      <c r="A497" s="168"/>
      <c r="B497" s="100" t="str">
        <f t="array" ref="B497">IFERROR( INDEX('POR Config List'!A:A,MATCH(G497,'POR Config List'!D:D,0)),"")</f>
        <v/>
      </c>
      <c r="C497" s="101" t="str">
        <f t="array" ref="C497">IFERROR(INDEX('label approval artwork'!E:E,MATCH(G497,'label approval artwork'!F:F,0),""),"")</f>
        <v/>
      </c>
      <c r="D497" s="102" t="str">
        <f t="shared" si="3"/>
        <v/>
      </c>
      <c r="E497" s="100" t="str">
        <f t="array" ref="E497">IF(ISBLANK(G497),"",INDEX('POR Config List'!K:K,MATCH(G497,'POR Config List'!D:D,0)))</f>
        <v/>
      </c>
      <c r="F497" s="100" t="str">
        <f t="array" ref="F497">IF(ISBLANK(G497),"",INDEX('POR Config List'!J:J,MATCH(G497,'POR Config List'!D:D,0)))</f>
        <v/>
      </c>
      <c r="G497" s="168"/>
      <c r="H497" s="104" t="str">
        <f t="array" ref="H497">IF(ISBLANK(G497),"",INDEX('MP SKUs'!G:G,MATCH(G497,'MP SKUs'!A:A,0)))</f>
        <v/>
      </c>
      <c r="I497" s="105" t="str">
        <f t="array" ref="I497">IF(ISBLANK(G497),"",INDEX('POR Config List'!O:O,MATCH(G497,'POR Config List'!D:D,0)))</f>
        <v/>
      </c>
      <c r="J497" s="104" t="str">
        <f t="array" ref="J497">IF(ISBLANK(G497),"",INDEX('POR Config List'!H:H,MATCH(G497,'POR Config List'!D:D,0)))</f>
        <v/>
      </c>
      <c r="K497" s="105" t="str">
        <f t="array" ref="K497">IF(ISBLANK(G497),"",INDEX('POR Config List'!G:G,MATCH(G497,'POR Config List'!D:D,0)))</f>
        <v/>
      </c>
      <c r="L497" s="105"/>
      <c r="M497" s="105" t="str">
        <f t="array" ref="M497">IF(ISBLANK(G497),"",INDEX('label approval artwork'!Q:Q,MATCH( G497,'label approval artwork'!F:F,0)))</f>
        <v/>
      </c>
      <c r="N497" s="169" t="str">
        <f t="shared" si="5"/>
        <v/>
      </c>
      <c r="O497" s="102" t="str">
        <f t="array" ref="O497">IF(ISBLANK(G497),"",INDEX('POR Config List'!C:C,MATCH(G497,'POR Config List'!D:D,0)))</f>
        <v/>
      </c>
      <c r="P497" s="105" t="str">
        <f t="shared" si="4"/>
        <v/>
      </c>
      <c r="Q497" s="105" t="str">
        <f t="array" ref="Q497">IF(ISBLANK(G497),"",INDEX('label approval artwork'!J:J,MATCH( G497,'label approval artwork'!F:F,0)))</f>
        <v/>
      </c>
      <c r="R497" s="105" t="str">
        <f t="array" ref="R497">IFERROR( IF(P497&lt;&gt;"EMA",INDEX('label approval artwork'!H:H,MATCH(G497,'label approval artwork'!F:F,0),"")),"")</f>
        <v/>
      </c>
      <c r="S497" s="105"/>
      <c r="T497" s="105" t="str">
        <f t="array" ref="T497">IF(ISBLANK(G497),"",INDEX('POR Config List'!I:I,MATCH(G497,'POR Config List'!D:D,0)))</f>
        <v/>
      </c>
      <c r="AA497" s="100" t="str">
        <f t="array" ref="AA497">IF(ISBLANK(G497),"",INDEX('POR Config List'!E:E,MATCH(G497,'POR Config List'!D:D,0)))</f>
        <v/>
      </c>
      <c r="AC497" s="105"/>
      <c r="AD497" s="100"/>
      <c r="AE497" s="100"/>
      <c r="AF497" s="100"/>
      <c r="AG497" s="100"/>
      <c r="AM497" s="102"/>
      <c r="AN497" s="102"/>
      <c r="AR497" s="119"/>
      <c r="AS497" s="103"/>
    </row>
    <row r="498">
      <c r="A498" s="168"/>
      <c r="B498" s="100" t="str">
        <f t="array" ref="B498">IFERROR( INDEX('POR Config List'!A:A,MATCH(G498,'POR Config List'!D:D,0)),"")</f>
        <v/>
      </c>
      <c r="C498" s="101" t="str">
        <f t="array" ref="C498">IFERROR(INDEX('label approval artwork'!E:E,MATCH(G498,'label approval artwork'!F:F,0),""),"")</f>
        <v/>
      </c>
      <c r="D498" s="102" t="str">
        <f t="shared" si="3"/>
        <v/>
      </c>
      <c r="E498" s="100" t="str">
        <f t="array" ref="E498">IF(ISBLANK(G498),"",INDEX('POR Config List'!K:K,MATCH(G498,'POR Config List'!D:D,0)))</f>
        <v/>
      </c>
      <c r="F498" s="100" t="str">
        <f t="array" ref="F498">IF(ISBLANK(G498),"",INDEX('POR Config List'!J:J,MATCH(G498,'POR Config List'!D:D,0)))</f>
        <v/>
      </c>
      <c r="G498" s="168"/>
      <c r="H498" s="104" t="str">
        <f t="array" ref="H498">IF(ISBLANK(G498),"",INDEX('MP SKUs'!G:G,MATCH(G498,'MP SKUs'!A:A,0)))</f>
        <v/>
      </c>
      <c r="I498" s="105" t="str">
        <f t="array" ref="I498">IF(ISBLANK(G498),"",INDEX('POR Config List'!O:O,MATCH(G498,'POR Config List'!D:D,0)))</f>
        <v/>
      </c>
      <c r="J498" s="104" t="str">
        <f t="array" ref="J498">IF(ISBLANK(G498),"",INDEX('POR Config List'!H:H,MATCH(G498,'POR Config List'!D:D,0)))</f>
        <v/>
      </c>
      <c r="K498" s="105" t="str">
        <f t="array" ref="K498">IF(ISBLANK(G498),"",INDEX('POR Config List'!G:G,MATCH(G498,'POR Config List'!D:D,0)))</f>
        <v/>
      </c>
      <c r="L498" s="105"/>
      <c r="M498" s="105" t="str">
        <f t="array" ref="M498">IF(ISBLANK(G498),"",INDEX('label approval artwork'!Q:Q,MATCH( G498,'label approval artwork'!F:F,0)))</f>
        <v/>
      </c>
      <c r="N498" s="169" t="str">
        <f t="shared" si="5"/>
        <v/>
      </c>
      <c r="O498" s="102" t="str">
        <f t="array" ref="O498">IF(ISBLANK(G498),"",INDEX('POR Config List'!C:C,MATCH(G498,'POR Config List'!D:D,0)))</f>
        <v/>
      </c>
      <c r="P498" s="105" t="str">
        <f t="shared" si="4"/>
        <v/>
      </c>
      <c r="Q498" s="105" t="str">
        <f t="array" ref="Q498">IF(ISBLANK(G498),"",INDEX('label approval artwork'!J:J,MATCH( G498,'label approval artwork'!F:F,0)))</f>
        <v/>
      </c>
      <c r="R498" s="105" t="str">
        <f t="array" ref="R498">IFERROR( IF(P498&lt;&gt;"EMA",INDEX('label approval artwork'!H:H,MATCH(G498,'label approval artwork'!F:F,0),"")),"")</f>
        <v/>
      </c>
      <c r="S498" s="105"/>
      <c r="T498" s="105" t="str">
        <f t="array" ref="T498">IF(ISBLANK(G498),"",INDEX('POR Config List'!I:I,MATCH(G498,'POR Config List'!D:D,0)))</f>
        <v/>
      </c>
      <c r="AA498" s="100" t="str">
        <f t="array" ref="AA498">IF(ISBLANK(G498),"",INDEX('POR Config List'!E:E,MATCH(G498,'POR Config List'!D:D,0)))</f>
        <v/>
      </c>
      <c r="AC498" s="105"/>
      <c r="AD498" s="100"/>
      <c r="AE498" s="100"/>
      <c r="AF498" s="100"/>
      <c r="AG498" s="100"/>
      <c r="AM498" s="102"/>
      <c r="AN498" s="102"/>
      <c r="AR498" s="119"/>
      <c r="AS498" s="103"/>
    </row>
    <row r="499">
      <c r="A499" s="168"/>
      <c r="B499" s="100" t="str">
        <f t="array" ref="B499">IFERROR( INDEX('POR Config List'!A:A,MATCH(G499,'POR Config List'!D:D,0)),"")</f>
        <v/>
      </c>
      <c r="C499" s="101" t="str">
        <f t="array" ref="C499">IFERROR(INDEX('label approval artwork'!E:E,MATCH(G499,'label approval artwork'!F:F,0),""),"")</f>
        <v/>
      </c>
      <c r="D499" s="102" t="str">
        <f t="shared" si="3"/>
        <v/>
      </c>
      <c r="E499" s="100" t="str">
        <f t="array" ref="E499">IF(ISBLANK(G499),"",INDEX('POR Config List'!K:K,MATCH(G499,'POR Config List'!D:D,0)))</f>
        <v/>
      </c>
      <c r="F499" s="100" t="str">
        <f t="array" ref="F499">IF(ISBLANK(G499),"",INDEX('POR Config List'!J:J,MATCH(G499,'POR Config List'!D:D,0)))</f>
        <v/>
      </c>
      <c r="G499" s="168"/>
      <c r="H499" s="104" t="str">
        <f t="array" ref="H499">IF(ISBLANK(G499),"",INDEX('MP SKUs'!G:G,MATCH(G499,'MP SKUs'!A:A,0)))</f>
        <v/>
      </c>
      <c r="I499" s="105" t="str">
        <f t="array" ref="I499">IF(ISBLANK(G499),"",INDEX('POR Config List'!O:O,MATCH(G499,'POR Config List'!D:D,0)))</f>
        <v/>
      </c>
      <c r="J499" s="104" t="str">
        <f t="array" ref="J499">IF(ISBLANK(G499),"",INDEX('POR Config List'!H:H,MATCH(G499,'POR Config List'!D:D,0)))</f>
        <v/>
      </c>
      <c r="K499" s="105" t="str">
        <f t="array" ref="K499">IF(ISBLANK(G499),"",INDEX('POR Config List'!G:G,MATCH(G499,'POR Config List'!D:D,0)))</f>
        <v/>
      </c>
      <c r="L499" s="105"/>
      <c r="M499" s="105" t="str">
        <f t="array" ref="M499">IF(ISBLANK(G499),"",INDEX('label approval artwork'!Q:Q,MATCH( G499,'label approval artwork'!F:F,0)))</f>
        <v/>
      </c>
      <c r="N499" s="169" t="str">
        <f t="shared" si="5"/>
        <v/>
      </c>
      <c r="O499" s="102" t="str">
        <f t="array" ref="O499">IF(ISBLANK(G499),"",INDEX('POR Config List'!C:C,MATCH(G499,'POR Config List'!D:D,0)))</f>
        <v/>
      </c>
      <c r="P499" s="105" t="str">
        <f t="shared" si="4"/>
        <v/>
      </c>
      <c r="Q499" s="105" t="str">
        <f t="array" ref="Q499">IF(ISBLANK(G499),"",INDEX('label approval artwork'!J:J,MATCH( G499,'label approval artwork'!F:F,0)))</f>
        <v/>
      </c>
      <c r="R499" s="105" t="str">
        <f t="array" ref="R499">IFERROR( IF(P499&lt;&gt;"EMA",INDEX('label approval artwork'!H:H,MATCH(G499,'label approval artwork'!F:F,0),"")),"")</f>
        <v/>
      </c>
      <c r="S499" s="105"/>
      <c r="T499" s="105" t="str">
        <f t="array" ref="T499">IF(ISBLANK(G499),"",INDEX('POR Config List'!I:I,MATCH(G499,'POR Config List'!D:D,0)))</f>
        <v/>
      </c>
      <c r="AA499" s="100" t="str">
        <f t="array" ref="AA499">IF(ISBLANK(G499),"",INDEX('POR Config List'!E:E,MATCH(G499,'POR Config List'!D:D,0)))</f>
        <v/>
      </c>
      <c r="AC499" s="105"/>
      <c r="AD499" s="100"/>
      <c r="AE499" s="100"/>
      <c r="AF499" s="100"/>
      <c r="AG499" s="100"/>
      <c r="AM499" s="102"/>
      <c r="AN499" s="102"/>
      <c r="AR499" s="119"/>
      <c r="AS499" s="103"/>
    </row>
    <row r="500">
      <c r="A500" s="168"/>
      <c r="B500" s="100" t="str">
        <f t="array" ref="B500">IFERROR( INDEX('POR Config List'!A:A,MATCH(G500,'POR Config List'!D:D,0)),"")</f>
        <v/>
      </c>
      <c r="C500" s="101" t="str">
        <f t="array" ref="C500">IFERROR(INDEX('label approval artwork'!E:E,MATCH(G500,'label approval artwork'!F:F,0),""),"")</f>
        <v/>
      </c>
      <c r="D500" s="102" t="str">
        <f t="shared" si="3"/>
        <v/>
      </c>
      <c r="E500" s="100" t="str">
        <f t="array" ref="E500">IF(ISBLANK(G500),"",INDEX('POR Config List'!K:K,MATCH(G500,'POR Config List'!D:D,0)))</f>
        <v/>
      </c>
      <c r="F500" s="100" t="str">
        <f t="array" ref="F500">IF(ISBLANK(G500),"",INDEX('POR Config List'!J:J,MATCH(G500,'POR Config List'!D:D,0)))</f>
        <v/>
      </c>
      <c r="G500" s="168"/>
      <c r="H500" s="104" t="str">
        <f t="array" ref="H500">IF(ISBLANK(G500),"",INDEX('MP SKUs'!G:G,MATCH(G500,'MP SKUs'!A:A,0)))</f>
        <v/>
      </c>
      <c r="I500" s="105" t="str">
        <f t="array" ref="I500">IF(ISBLANK(G500),"",INDEX('POR Config List'!O:O,MATCH(G500,'POR Config List'!D:D,0)))</f>
        <v/>
      </c>
      <c r="J500" s="104" t="str">
        <f t="array" ref="J500">IF(ISBLANK(G500),"",INDEX('POR Config List'!H:H,MATCH(G500,'POR Config List'!D:D,0)))</f>
        <v/>
      </c>
      <c r="K500" s="105" t="str">
        <f t="array" ref="K500">IF(ISBLANK(G500),"",INDEX('POR Config List'!G:G,MATCH(G500,'POR Config List'!D:D,0)))</f>
        <v/>
      </c>
      <c r="L500" s="105"/>
      <c r="M500" s="105" t="str">
        <f t="array" ref="M500">IF(ISBLANK(G500),"",INDEX('label approval artwork'!Q:Q,MATCH( G500,'label approval artwork'!F:F,0)))</f>
        <v/>
      </c>
      <c r="N500" s="169" t="str">
        <f t="shared" si="5"/>
        <v/>
      </c>
      <c r="O500" s="102" t="str">
        <f t="array" ref="O500">IF(ISBLANK(G500),"",INDEX('POR Config List'!C:C,MATCH(G500,'POR Config List'!D:D,0)))</f>
        <v/>
      </c>
      <c r="P500" s="105" t="str">
        <f t="shared" si="4"/>
        <v/>
      </c>
      <c r="Q500" s="105" t="str">
        <f t="array" ref="Q500">IF(ISBLANK(G500),"",INDEX('label approval artwork'!J:J,MATCH( G500,'label approval artwork'!F:F,0)))</f>
        <v/>
      </c>
      <c r="R500" s="105" t="str">
        <f t="array" ref="R500">IFERROR( IF(P500&lt;&gt;"EMA",INDEX('label approval artwork'!H:H,MATCH(G500,'label approval artwork'!F:F,0),"")),"")</f>
        <v/>
      </c>
      <c r="S500" s="105"/>
      <c r="T500" s="105" t="str">
        <f t="array" ref="T500">IF(ISBLANK(G500),"",INDEX('POR Config List'!I:I,MATCH(G500,'POR Config List'!D:D,0)))</f>
        <v/>
      </c>
      <c r="AA500" s="100" t="str">
        <f t="array" ref="AA500">IF(ISBLANK(G500),"",INDEX('POR Config List'!E:E,MATCH(G500,'POR Config List'!D:D,0)))</f>
        <v/>
      </c>
      <c r="AC500" s="105"/>
      <c r="AD500" s="100"/>
      <c r="AE500" s="100"/>
      <c r="AF500" s="100"/>
      <c r="AG500" s="100"/>
      <c r="AM500" s="102"/>
      <c r="AN500" s="102"/>
      <c r="AR500" s="119"/>
      <c r="AS500" s="103"/>
    </row>
    <row r="501">
      <c r="A501" s="168"/>
      <c r="B501" s="100" t="str">
        <f t="array" ref="B501">IFERROR( INDEX('POR Config List'!A:A,MATCH(G501,'POR Config List'!D:D,0)),"")</f>
        <v/>
      </c>
      <c r="C501" s="101" t="str">
        <f t="array" ref="C501">IFERROR(INDEX('label approval artwork'!E:E,MATCH(G501,'label approval artwork'!F:F,0),""),"")</f>
        <v/>
      </c>
      <c r="D501" s="102" t="str">
        <f t="shared" si="3"/>
        <v/>
      </c>
      <c r="E501" s="100" t="str">
        <f t="array" ref="E501">IF(ISBLANK(G501),"",INDEX('POR Config List'!K:K,MATCH(G501,'POR Config List'!D:D,0)))</f>
        <v/>
      </c>
      <c r="F501" s="100" t="str">
        <f t="array" ref="F501">IF(ISBLANK(G501),"",INDEX('POR Config List'!J:J,MATCH(G501,'POR Config List'!D:D,0)))</f>
        <v/>
      </c>
      <c r="G501" s="168"/>
      <c r="H501" s="104" t="str">
        <f t="array" ref="H501">IF(ISBLANK(G501),"",INDEX('MP SKUs'!G:G,MATCH(G501,'MP SKUs'!A:A,0)))</f>
        <v/>
      </c>
      <c r="I501" s="105" t="str">
        <f t="array" ref="I501">IF(ISBLANK(G501),"",INDEX('POR Config List'!O:O,MATCH(G501,'POR Config List'!D:D,0)))</f>
        <v/>
      </c>
      <c r="J501" s="104" t="str">
        <f t="array" ref="J501">IF(ISBLANK(G501),"",INDEX('POR Config List'!H:H,MATCH(G501,'POR Config List'!D:D,0)))</f>
        <v/>
      </c>
      <c r="K501" s="105" t="str">
        <f t="array" ref="K501">IF(ISBLANK(G501),"",INDEX('POR Config List'!G:G,MATCH(G501,'POR Config List'!D:D,0)))</f>
        <v/>
      </c>
      <c r="L501" s="105"/>
      <c r="M501" s="105" t="str">
        <f t="array" ref="M501">IF(ISBLANK(G501),"",INDEX('label approval artwork'!Q:Q,MATCH( G501,'label approval artwork'!F:F,0)))</f>
        <v/>
      </c>
      <c r="N501" s="169" t="str">
        <f t="shared" si="5"/>
        <v/>
      </c>
      <c r="O501" s="102" t="str">
        <f t="array" ref="O501">IF(ISBLANK(G501),"",INDEX('POR Config List'!C:C,MATCH(G501,'POR Config List'!D:D,0)))</f>
        <v/>
      </c>
      <c r="P501" s="105" t="str">
        <f t="shared" si="4"/>
        <v/>
      </c>
      <c r="Q501" s="105" t="str">
        <f t="array" ref="Q501">IF(ISBLANK(G501),"",INDEX('label approval artwork'!J:J,MATCH( G501,'label approval artwork'!F:F,0)))</f>
        <v/>
      </c>
      <c r="R501" s="105" t="str">
        <f t="array" ref="R501">IFERROR( IF(P501&lt;&gt;"EMA",INDEX('label approval artwork'!H:H,MATCH(G501,'label approval artwork'!F:F,0),"")),"")</f>
        <v/>
      </c>
      <c r="S501" s="105"/>
      <c r="T501" s="105" t="str">
        <f t="array" ref="T501">IF(ISBLANK(G501),"",INDEX('POR Config List'!I:I,MATCH(G501,'POR Config List'!D:D,0)))</f>
        <v/>
      </c>
      <c r="AA501" s="100" t="str">
        <f t="array" ref="AA501">IF(ISBLANK(G501),"",INDEX('POR Config List'!E:E,MATCH(G501,'POR Config List'!D:D,0)))</f>
        <v/>
      </c>
      <c r="AC501" s="105"/>
      <c r="AD501" s="100"/>
      <c r="AE501" s="100"/>
      <c r="AF501" s="100"/>
      <c r="AG501" s="100"/>
      <c r="AM501" s="102"/>
      <c r="AN501" s="102"/>
      <c r="AR501" s="119"/>
      <c r="AS501" s="103"/>
    </row>
    <row r="502">
      <c r="A502" s="168"/>
      <c r="B502" s="100" t="str">
        <f t="array" ref="B502">IFERROR( INDEX('POR Config List'!A:A,MATCH(G502,'POR Config List'!D:D,0)),"")</f>
        <v/>
      </c>
      <c r="C502" s="101" t="str">
        <f t="array" ref="C502">IFERROR(INDEX('label approval artwork'!E:E,MATCH(G502,'label approval artwork'!F:F,0),""),"")</f>
        <v/>
      </c>
      <c r="D502" s="102" t="str">
        <f t="shared" si="3"/>
        <v/>
      </c>
      <c r="E502" s="100" t="str">
        <f t="array" ref="E502">IF(ISBLANK(G502),"",INDEX('POR Config List'!K:K,MATCH(G502,'POR Config List'!D:D,0)))</f>
        <v/>
      </c>
      <c r="F502" s="100" t="str">
        <f t="array" ref="F502">IF(ISBLANK(G502),"",INDEX('POR Config List'!J:J,MATCH(G502,'POR Config List'!D:D,0)))</f>
        <v/>
      </c>
      <c r="G502" s="168"/>
      <c r="H502" s="104" t="str">
        <f t="array" ref="H502">IF(ISBLANK(G502),"",INDEX('MP SKUs'!G:G,MATCH(G502,'MP SKUs'!A:A,0)))</f>
        <v/>
      </c>
      <c r="I502" s="105" t="str">
        <f t="array" ref="I502">IF(ISBLANK(G502),"",INDEX('POR Config List'!O:O,MATCH(G502,'POR Config List'!D:D,0)))</f>
        <v/>
      </c>
      <c r="J502" s="104" t="str">
        <f t="array" ref="J502">IF(ISBLANK(G502),"",INDEX('POR Config List'!H:H,MATCH(G502,'POR Config List'!D:D,0)))</f>
        <v/>
      </c>
      <c r="K502" s="105" t="str">
        <f t="array" ref="K502">IF(ISBLANK(G502),"",INDEX('POR Config List'!G:G,MATCH(G502,'POR Config List'!D:D,0)))</f>
        <v/>
      </c>
      <c r="L502" s="105"/>
      <c r="M502" s="105" t="str">
        <f t="array" ref="M502">IF(ISBLANK(G502),"",INDEX('label approval artwork'!Q:Q,MATCH( G502,'label approval artwork'!F:F,0)))</f>
        <v/>
      </c>
      <c r="N502" s="169" t="str">
        <f t="shared" si="5"/>
        <v/>
      </c>
      <c r="O502" s="102" t="str">
        <f t="array" ref="O502">IF(ISBLANK(G502),"",INDEX('POR Config List'!C:C,MATCH(G502,'POR Config List'!D:D,0)))</f>
        <v/>
      </c>
      <c r="P502" s="105" t="str">
        <f t="shared" si="4"/>
        <v/>
      </c>
      <c r="Q502" s="105" t="str">
        <f t="array" ref="Q502">IF(ISBLANK(G502),"",INDEX('label approval artwork'!J:J,MATCH( G502,'label approval artwork'!F:F,0)))</f>
        <v/>
      </c>
      <c r="R502" s="105" t="str">
        <f t="array" ref="R502">IFERROR( IF(P502&lt;&gt;"EMA",INDEX('label approval artwork'!H:H,MATCH(G502,'label approval artwork'!F:F,0),"")),"")</f>
        <v/>
      </c>
      <c r="S502" s="105"/>
      <c r="T502" s="105" t="str">
        <f t="array" ref="T502">IF(ISBLANK(G502),"",INDEX('POR Config List'!I:I,MATCH(G502,'POR Config List'!D:D,0)))</f>
        <v/>
      </c>
      <c r="AA502" s="100" t="str">
        <f t="array" ref="AA502">IF(ISBLANK(G502),"",INDEX('POR Config List'!E:E,MATCH(G502,'POR Config List'!D:D,0)))</f>
        <v/>
      </c>
      <c r="AC502" s="105"/>
      <c r="AD502" s="100"/>
      <c r="AE502" s="100"/>
      <c r="AF502" s="100"/>
      <c r="AG502" s="100"/>
      <c r="AM502" s="102"/>
      <c r="AN502" s="102"/>
      <c r="AR502" s="119"/>
      <c r="AS502" s="103"/>
    </row>
    <row r="503">
      <c r="A503" s="168"/>
      <c r="B503" s="100" t="str">
        <f t="array" ref="B503">IFERROR( INDEX('POR Config List'!A:A,MATCH(G503,'POR Config List'!D:D,0)),"")</f>
        <v/>
      </c>
      <c r="C503" s="101" t="str">
        <f t="array" ref="C503">IFERROR(INDEX('label approval artwork'!E:E,MATCH(G503,'label approval artwork'!F:F,0),""),"")</f>
        <v/>
      </c>
      <c r="D503" s="102" t="str">
        <f t="shared" si="3"/>
        <v/>
      </c>
      <c r="E503" s="100" t="str">
        <f t="array" ref="E503">IF(ISBLANK(G503),"",INDEX('POR Config List'!K:K,MATCH(G503,'POR Config List'!D:D,0)))</f>
        <v/>
      </c>
      <c r="F503" s="100" t="str">
        <f t="array" ref="F503">IF(ISBLANK(G503),"",INDEX('POR Config List'!J:J,MATCH(G503,'POR Config List'!D:D,0)))</f>
        <v/>
      </c>
      <c r="G503" s="168"/>
      <c r="H503" s="104" t="str">
        <f t="array" ref="H503">IF(ISBLANK(G503),"",INDEX('MP SKUs'!G:G,MATCH(G503,'MP SKUs'!A:A,0)))</f>
        <v/>
      </c>
      <c r="I503" s="105" t="str">
        <f t="array" ref="I503">IF(ISBLANK(G503),"",INDEX('POR Config List'!O:O,MATCH(G503,'POR Config List'!D:D,0)))</f>
        <v/>
      </c>
      <c r="J503" s="104" t="str">
        <f t="array" ref="J503">IF(ISBLANK(G503),"",INDEX('POR Config List'!H:H,MATCH(G503,'POR Config List'!D:D,0)))</f>
        <v/>
      </c>
      <c r="K503" s="105" t="str">
        <f t="array" ref="K503">IF(ISBLANK(G503),"",INDEX('POR Config List'!G:G,MATCH(G503,'POR Config List'!D:D,0)))</f>
        <v/>
      </c>
      <c r="L503" s="105"/>
      <c r="M503" s="105" t="str">
        <f t="array" ref="M503">IF(ISBLANK(G503),"",INDEX('label approval artwork'!Q:Q,MATCH( G503,'label approval artwork'!F:F,0)))</f>
        <v/>
      </c>
      <c r="N503" s="169" t="str">
        <f t="shared" si="5"/>
        <v/>
      </c>
      <c r="O503" s="102" t="str">
        <f t="array" ref="O503">IF(ISBLANK(G503),"",INDEX('POR Config List'!C:C,MATCH(G503,'POR Config List'!D:D,0)))</f>
        <v/>
      </c>
      <c r="P503" s="105" t="str">
        <f t="shared" si="4"/>
        <v/>
      </c>
      <c r="Q503" s="105" t="str">
        <f t="array" ref="Q503">IF(ISBLANK(G503),"",INDEX('label approval artwork'!J:J,MATCH( G503,'label approval artwork'!F:F,0)))</f>
        <v/>
      </c>
      <c r="R503" s="105" t="str">
        <f t="array" ref="R503">IFERROR( IF(P503&lt;&gt;"EMA",INDEX('label approval artwork'!H:H,MATCH(G503,'label approval artwork'!F:F,0),"")),"")</f>
        <v/>
      </c>
      <c r="S503" s="105"/>
      <c r="T503" s="105" t="str">
        <f t="array" ref="T503">IF(ISBLANK(G503),"",INDEX('POR Config List'!I:I,MATCH(G503,'POR Config List'!D:D,0)))</f>
        <v/>
      </c>
      <c r="AA503" s="100" t="str">
        <f t="array" ref="AA503">IF(ISBLANK(G503),"",INDEX('POR Config List'!E:E,MATCH(G503,'POR Config List'!D:D,0)))</f>
        <v/>
      </c>
      <c r="AC503" s="105"/>
      <c r="AD503" s="100"/>
      <c r="AE503" s="100"/>
      <c r="AF503" s="100"/>
      <c r="AG503" s="100"/>
      <c r="AM503" s="102"/>
      <c r="AN503" s="102"/>
      <c r="AR503" s="119"/>
      <c r="AS503" s="103"/>
    </row>
    <row r="504">
      <c r="A504" s="168"/>
      <c r="B504" s="100" t="str">
        <f t="array" ref="B504">IFERROR( INDEX('POR Config List'!A:A,MATCH(G504,'POR Config List'!D:D,0)),"")</f>
        <v/>
      </c>
      <c r="C504" s="101" t="str">
        <f t="array" ref="C504">IFERROR(INDEX('label approval artwork'!E:E,MATCH(G504,'label approval artwork'!F:F,0),""),"")</f>
        <v/>
      </c>
      <c r="D504" s="102" t="str">
        <f t="shared" si="3"/>
        <v/>
      </c>
      <c r="E504" s="100" t="str">
        <f t="array" ref="E504">IF(ISBLANK(G504),"",INDEX('POR Config List'!K:K,MATCH(G504,'POR Config List'!D:D,0)))</f>
        <v/>
      </c>
      <c r="F504" s="100" t="str">
        <f t="array" ref="F504">IF(ISBLANK(G504),"",INDEX('POR Config List'!J:J,MATCH(G504,'POR Config List'!D:D,0)))</f>
        <v/>
      </c>
      <c r="G504" s="168"/>
      <c r="H504" s="104" t="str">
        <f t="array" ref="H504">IF(ISBLANK(G504),"",INDEX('MP SKUs'!G:G,MATCH(G504,'MP SKUs'!A:A,0)))</f>
        <v/>
      </c>
      <c r="I504" s="105" t="str">
        <f t="array" ref="I504">IF(ISBLANK(G504),"",INDEX('POR Config List'!O:O,MATCH(G504,'POR Config List'!D:D,0)))</f>
        <v/>
      </c>
      <c r="J504" s="104" t="str">
        <f t="array" ref="J504">IF(ISBLANK(G504),"",INDEX('POR Config List'!H:H,MATCH(G504,'POR Config List'!D:D,0)))</f>
        <v/>
      </c>
      <c r="K504" s="105" t="str">
        <f t="array" ref="K504">IF(ISBLANK(G504),"",INDEX('POR Config List'!G:G,MATCH(G504,'POR Config List'!D:D,0)))</f>
        <v/>
      </c>
      <c r="L504" s="105"/>
      <c r="M504" s="105" t="str">
        <f t="array" ref="M504">IF(ISBLANK(G504),"",INDEX('label approval artwork'!Q:Q,MATCH( G504,'label approval artwork'!F:F,0)))</f>
        <v/>
      </c>
      <c r="N504" s="169" t="str">
        <f t="shared" si="5"/>
        <v/>
      </c>
      <c r="O504" s="102" t="str">
        <f t="array" ref="O504">IF(ISBLANK(G504),"",INDEX('POR Config List'!C:C,MATCH(G504,'POR Config List'!D:D,0)))</f>
        <v/>
      </c>
      <c r="P504" s="105" t="str">
        <f t="shared" si="4"/>
        <v/>
      </c>
      <c r="Q504" s="105" t="str">
        <f t="array" ref="Q504">IF(ISBLANK(G504),"",INDEX('label approval artwork'!J:J,MATCH( G504,'label approval artwork'!F:F,0)))</f>
        <v/>
      </c>
      <c r="R504" s="105" t="str">
        <f t="array" ref="R504">IFERROR( IF(P504&lt;&gt;"EMA",INDEX('label approval artwork'!H:H,MATCH(G504,'label approval artwork'!F:F,0),"")),"")</f>
        <v/>
      </c>
      <c r="S504" s="105"/>
      <c r="T504" s="105" t="str">
        <f t="array" ref="T504">IF(ISBLANK(G504),"",INDEX('POR Config List'!I:I,MATCH(G504,'POR Config List'!D:D,0)))</f>
        <v/>
      </c>
      <c r="AA504" s="100" t="str">
        <f t="array" ref="AA504">IF(ISBLANK(G504),"",INDEX('POR Config List'!E:E,MATCH(G504,'POR Config List'!D:D,0)))</f>
        <v/>
      </c>
      <c r="AC504" s="105"/>
      <c r="AD504" s="100"/>
      <c r="AE504" s="100"/>
      <c r="AF504" s="100"/>
      <c r="AG504" s="100"/>
      <c r="AM504" s="102"/>
      <c r="AN504" s="102"/>
      <c r="AR504" s="119"/>
      <c r="AS504" s="103"/>
    </row>
    <row r="505">
      <c r="A505" s="168"/>
      <c r="B505" s="100" t="str">
        <f t="array" ref="B505">IFERROR( INDEX('POR Config List'!A:A,MATCH(G505,'POR Config List'!D:D,0)),"")</f>
        <v/>
      </c>
      <c r="C505" s="101" t="str">
        <f t="array" ref="C505">IFERROR(INDEX('label approval artwork'!E:E,MATCH(G505,'label approval artwork'!F:F,0),""),"")</f>
        <v/>
      </c>
      <c r="D505" s="102" t="str">
        <f t="shared" si="3"/>
        <v/>
      </c>
      <c r="E505" s="100" t="str">
        <f t="array" ref="E505">IF(ISBLANK(G505),"",INDEX('POR Config List'!K:K,MATCH(G505,'POR Config List'!D:D,0)))</f>
        <v/>
      </c>
      <c r="F505" s="100" t="str">
        <f t="array" ref="F505">IF(ISBLANK(G505),"",INDEX('POR Config List'!J:J,MATCH(G505,'POR Config List'!D:D,0)))</f>
        <v/>
      </c>
      <c r="G505" s="168"/>
      <c r="H505" s="104" t="str">
        <f t="array" ref="H505">IF(ISBLANK(G505),"",INDEX('MP SKUs'!G:G,MATCH(G505,'MP SKUs'!A:A,0)))</f>
        <v/>
      </c>
      <c r="I505" s="105" t="str">
        <f t="array" ref="I505">IF(ISBLANK(G505),"",INDEX('POR Config List'!O:O,MATCH(G505,'POR Config List'!D:D,0)))</f>
        <v/>
      </c>
      <c r="J505" s="104" t="str">
        <f t="array" ref="J505">IF(ISBLANK(G505),"",INDEX('POR Config List'!H:H,MATCH(G505,'POR Config List'!D:D,0)))</f>
        <v/>
      </c>
      <c r="K505" s="105" t="str">
        <f t="array" ref="K505">IF(ISBLANK(G505),"",INDEX('POR Config List'!G:G,MATCH(G505,'POR Config List'!D:D,0)))</f>
        <v/>
      </c>
      <c r="L505" s="105"/>
      <c r="M505" s="105" t="str">
        <f t="array" ref="M505">IF(ISBLANK(G505),"",INDEX('label approval artwork'!Q:Q,MATCH( G505,'label approval artwork'!F:F,0)))</f>
        <v/>
      </c>
      <c r="N505" s="169" t="str">
        <f t="shared" si="5"/>
        <v/>
      </c>
      <c r="O505" s="102" t="str">
        <f t="array" ref="O505">IF(ISBLANK(G505),"",INDEX('POR Config List'!C:C,MATCH(G505,'POR Config List'!D:D,0)))</f>
        <v/>
      </c>
      <c r="P505" s="105" t="str">
        <f t="shared" si="4"/>
        <v/>
      </c>
      <c r="Q505" s="105" t="str">
        <f t="array" ref="Q505">IF(ISBLANK(G505),"",INDEX('label approval artwork'!J:J,MATCH( G505,'label approval artwork'!F:F,0)))</f>
        <v/>
      </c>
      <c r="R505" s="105" t="str">
        <f t="array" ref="R505">IFERROR( IF(P505&lt;&gt;"EMA",INDEX('label approval artwork'!H:H,MATCH(G505,'label approval artwork'!F:F,0),"")),"")</f>
        <v/>
      </c>
      <c r="S505" s="105"/>
      <c r="T505" s="105" t="str">
        <f t="array" ref="T505">IF(ISBLANK(G505),"",INDEX('POR Config List'!I:I,MATCH(G505,'POR Config List'!D:D,0)))</f>
        <v/>
      </c>
      <c r="AA505" s="100" t="str">
        <f t="array" ref="AA505">IF(ISBLANK(G505),"",INDEX('POR Config List'!E:E,MATCH(G505,'POR Config List'!D:D,0)))</f>
        <v/>
      </c>
      <c r="AC505" s="105"/>
      <c r="AD505" s="100"/>
      <c r="AE505" s="100"/>
      <c r="AF505" s="100"/>
      <c r="AG505" s="100"/>
      <c r="AM505" s="102"/>
      <c r="AN505" s="102"/>
      <c r="AR505" s="119"/>
      <c r="AS505" s="103"/>
    </row>
    <row r="506">
      <c r="A506" s="168"/>
      <c r="B506" s="100" t="str">
        <f t="array" ref="B506">IFERROR( INDEX('POR Config List'!A:A,MATCH(G506,'POR Config List'!D:D,0)),"")</f>
        <v/>
      </c>
      <c r="C506" s="101" t="str">
        <f t="array" ref="C506">IFERROR(INDEX('label approval artwork'!E:E,MATCH(G506,'label approval artwork'!F:F,0),""),"")</f>
        <v/>
      </c>
      <c r="D506" s="102" t="str">
        <f t="shared" si="3"/>
        <v/>
      </c>
      <c r="E506" s="100" t="str">
        <f t="array" ref="E506">IF(ISBLANK(G506),"",INDEX('POR Config List'!K:K,MATCH(G506,'POR Config List'!D:D,0)))</f>
        <v/>
      </c>
      <c r="F506" s="100" t="str">
        <f t="array" ref="F506">IF(ISBLANK(G506),"",INDEX('POR Config List'!J:J,MATCH(G506,'POR Config List'!D:D,0)))</f>
        <v/>
      </c>
      <c r="G506" s="168"/>
      <c r="H506" s="104" t="str">
        <f t="array" ref="H506">IF(ISBLANK(G506),"",INDEX('MP SKUs'!G:G,MATCH(G506,'MP SKUs'!A:A,0)))</f>
        <v/>
      </c>
      <c r="I506" s="105" t="str">
        <f t="array" ref="I506">IF(ISBLANK(G506),"",INDEX('POR Config List'!O:O,MATCH(G506,'POR Config List'!D:D,0)))</f>
        <v/>
      </c>
      <c r="J506" s="104" t="str">
        <f t="array" ref="J506">IF(ISBLANK(G506),"",INDEX('POR Config List'!H:H,MATCH(G506,'POR Config List'!D:D,0)))</f>
        <v/>
      </c>
      <c r="K506" s="105" t="str">
        <f t="array" ref="K506">IF(ISBLANK(G506),"",INDEX('POR Config List'!G:G,MATCH(G506,'POR Config List'!D:D,0)))</f>
        <v/>
      </c>
      <c r="L506" s="105"/>
      <c r="M506" s="105" t="str">
        <f t="array" ref="M506">IF(ISBLANK(G506),"",INDEX('label approval artwork'!Q:Q,MATCH( G506,'label approval artwork'!F:F,0)))</f>
        <v/>
      </c>
      <c r="N506" s="169" t="str">
        <f t="shared" si="5"/>
        <v/>
      </c>
      <c r="O506" s="102" t="str">
        <f t="array" ref="O506">IF(ISBLANK(G506),"",INDEX('POR Config List'!C:C,MATCH(G506,'POR Config List'!D:D,0)))</f>
        <v/>
      </c>
      <c r="P506" s="105" t="str">
        <f t="shared" si="4"/>
        <v/>
      </c>
      <c r="Q506" s="105" t="str">
        <f t="array" ref="Q506">IF(ISBLANK(G506),"",INDEX('label approval artwork'!J:J,MATCH( G506,'label approval artwork'!F:F,0)))</f>
        <v/>
      </c>
      <c r="R506" s="105" t="str">
        <f t="array" ref="R506">IFERROR( IF(P506&lt;&gt;"EMA",INDEX('label approval artwork'!H:H,MATCH(G506,'label approval artwork'!F:F,0),"")),"")</f>
        <v/>
      </c>
      <c r="S506" s="105"/>
      <c r="T506" s="105" t="str">
        <f t="array" ref="T506">IF(ISBLANK(G506),"",INDEX('POR Config List'!I:I,MATCH(G506,'POR Config List'!D:D,0)))</f>
        <v/>
      </c>
      <c r="AA506" s="100" t="str">
        <f t="array" ref="AA506">IF(ISBLANK(G506),"",INDEX('POR Config List'!E:E,MATCH(G506,'POR Config List'!D:D,0)))</f>
        <v/>
      </c>
      <c r="AC506" s="105"/>
      <c r="AD506" s="100"/>
      <c r="AE506" s="100"/>
      <c r="AF506" s="100"/>
      <c r="AG506" s="100"/>
      <c r="AM506" s="102"/>
      <c r="AN506" s="102"/>
      <c r="AR506" s="119"/>
      <c r="AS506" s="103"/>
    </row>
    <row r="507">
      <c r="A507" s="168"/>
      <c r="B507" s="100" t="str">
        <f t="array" ref="B507">IFERROR( INDEX('POR Config List'!A:A,MATCH(G507,'POR Config List'!D:D,0)),"")</f>
        <v/>
      </c>
      <c r="C507" s="101" t="str">
        <f t="array" ref="C507">IFERROR(INDEX('label approval artwork'!E:E,MATCH(G507,'label approval artwork'!F:F,0),""),"")</f>
        <v/>
      </c>
      <c r="D507" s="102" t="str">
        <f t="shared" si="3"/>
        <v/>
      </c>
      <c r="E507" s="100" t="str">
        <f t="array" ref="E507">IF(ISBLANK(G507),"",INDEX('POR Config List'!K:K,MATCH(G507,'POR Config List'!D:D,0)))</f>
        <v/>
      </c>
      <c r="F507" s="100" t="str">
        <f t="array" ref="F507">IF(ISBLANK(G507),"",INDEX('POR Config List'!J:J,MATCH(G507,'POR Config List'!D:D,0)))</f>
        <v/>
      </c>
      <c r="G507" s="168"/>
      <c r="H507" s="104" t="str">
        <f t="array" ref="H507">IF(ISBLANK(G507),"",INDEX('MP SKUs'!G:G,MATCH(G507,'MP SKUs'!A:A,0)))</f>
        <v/>
      </c>
      <c r="I507" s="105" t="str">
        <f t="array" ref="I507">IF(ISBLANK(G507),"",INDEX('POR Config List'!O:O,MATCH(G507,'POR Config List'!D:D,0)))</f>
        <v/>
      </c>
      <c r="J507" s="104" t="str">
        <f t="array" ref="J507">IF(ISBLANK(G507),"",INDEX('POR Config List'!H:H,MATCH(G507,'POR Config List'!D:D,0)))</f>
        <v/>
      </c>
      <c r="K507" s="105" t="str">
        <f t="array" ref="K507">IF(ISBLANK(G507),"",INDEX('POR Config List'!G:G,MATCH(G507,'POR Config List'!D:D,0)))</f>
        <v/>
      </c>
      <c r="L507" s="105"/>
      <c r="M507" s="105" t="str">
        <f t="array" ref="M507">IF(ISBLANK(G507),"",INDEX('label approval artwork'!Q:Q,MATCH( G507,'label approval artwork'!F:F,0)))</f>
        <v/>
      </c>
      <c r="N507" s="169" t="str">
        <f t="shared" si="5"/>
        <v/>
      </c>
      <c r="O507" s="102" t="str">
        <f t="array" ref="O507">IF(ISBLANK(G507),"",INDEX('POR Config List'!C:C,MATCH(G507,'POR Config List'!D:D,0)))</f>
        <v/>
      </c>
      <c r="P507" s="105" t="str">
        <f t="shared" si="4"/>
        <v/>
      </c>
      <c r="Q507" s="105" t="str">
        <f t="array" ref="Q507">IF(ISBLANK(G507),"",INDEX('label approval artwork'!J:J,MATCH( G507,'label approval artwork'!F:F,0)))</f>
        <v/>
      </c>
      <c r="R507" s="105" t="str">
        <f t="array" ref="R507">IFERROR( IF(P507&lt;&gt;"EMA",INDEX('label approval artwork'!H:H,MATCH(G507,'label approval artwork'!F:F,0),"")),"")</f>
        <v/>
      </c>
      <c r="S507" s="105"/>
      <c r="T507" s="105" t="str">
        <f t="array" ref="T507">IF(ISBLANK(G507),"",INDEX('POR Config List'!I:I,MATCH(G507,'POR Config List'!D:D,0)))</f>
        <v/>
      </c>
      <c r="AA507" s="100" t="str">
        <f t="array" ref="AA507">IF(ISBLANK(G507),"",INDEX('POR Config List'!E:E,MATCH(G507,'POR Config List'!D:D,0)))</f>
        <v/>
      </c>
      <c r="AC507" s="105"/>
      <c r="AD507" s="100"/>
      <c r="AE507" s="100"/>
      <c r="AF507" s="100"/>
      <c r="AG507" s="100"/>
      <c r="AM507" s="102"/>
      <c r="AN507" s="102"/>
      <c r="AR507" s="119"/>
      <c r="AS507" s="103"/>
    </row>
    <row r="508">
      <c r="A508" s="168"/>
      <c r="B508" s="100" t="str">
        <f t="array" ref="B508">IFERROR( INDEX('POR Config List'!A:A,MATCH(G508,'POR Config List'!D:D,0)),"")</f>
        <v/>
      </c>
      <c r="C508" s="101" t="str">
        <f t="array" ref="C508">IFERROR(INDEX('label approval artwork'!E:E,MATCH(G508,'label approval artwork'!F:F,0),""),"")</f>
        <v/>
      </c>
      <c r="D508" s="102" t="str">
        <f t="shared" si="3"/>
        <v/>
      </c>
      <c r="E508" s="100" t="str">
        <f t="array" ref="E508">IF(ISBLANK(G508),"",INDEX('POR Config List'!K:K,MATCH(G508,'POR Config List'!D:D,0)))</f>
        <v/>
      </c>
      <c r="F508" s="100" t="str">
        <f t="array" ref="F508">IF(ISBLANK(G508),"",INDEX('POR Config List'!J:J,MATCH(G508,'POR Config List'!D:D,0)))</f>
        <v/>
      </c>
      <c r="G508" s="168"/>
      <c r="H508" s="104" t="str">
        <f t="array" ref="H508">IF(ISBLANK(G508),"",INDEX('MP SKUs'!G:G,MATCH(G508,'MP SKUs'!A:A,0)))</f>
        <v/>
      </c>
      <c r="I508" s="105" t="str">
        <f t="array" ref="I508">IF(ISBLANK(G508),"",INDEX('POR Config List'!O:O,MATCH(G508,'POR Config List'!D:D,0)))</f>
        <v/>
      </c>
      <c r="J508" s="104" t="str">
        <f t="array" ref="J508">IF(ISBLANK(G508),"",INDEX('POR Config List'!H:H,MATCH(G508,'POR Config List'!D:D,0)))</f>
        <v/>
      </c>
      <c r="K508" s="105" t="str">
        <f t="array" ref="K508">IF(ISBLANK(G508),"",INDEX('POR Config List'!G:G,MATCH(G508,'POR Config List'!D:D,0)))</f>
        <v/>
      </c>
      <c r="L508" s="105"/>
      <c r="M508" s="105" t="str">
        <f t="array" ref="M508">IF(ISBLANK(G508),"",INDEX('label approval artwork'!Q:Q,MATCH( G508,'label approval artwork'!F:F,0)))</f>
        <v/>
      </c>
      <c r="N508" s="169" t="str">
        <f t="shared" si="5"/>
        <v/>
      </c>
      <c r="O508" s="102" t="str">
        <f t="array" ref="O508">IF(ISBLANK(G508),"",INDEX('POR Config List'!C:C,MATCH(G508,'POR Config List'!D:D,0)))</f>
        <v/>
      </c>
      <c r="P508" s="105" t="str">
        <f t="shared" si="4"/>
        <v/>
      </c>
      <c r="Q508" s="105" t="str">
        <f t="array" ref="Q508">IF(ISBLANK(G508),"",INDEX('label approval artwork'!J:J,MATCH( G508,'label approval artwork'!F:F,0)))</f>
        <v/>
      </c>
      <c r="R508" s="105" t="str">
        <f t="array" ref="R508">IFERROR( IF(P508&lt;&gt;"EMA",INDEX('label approval artwork'!H:H,MATCH(G508,'label approval artwork'!F:F,0),"")),"")</f>
        <v/>
      </c>
      <c r="S508" s="105"/>
      <c r="T508" s="105" t="str">
        <f t="array" ref="T508">IF(ISBLANK(G508),"",INDEX('POR Config List'!I:I,MATCH(G508,'POR Config List'!D:D,0)))</f>
        <v/>
      </c>
      <c r="AA508" s="100" t="str">
        <f t="array" ref="AA508">IF(ISBLANK(G508),"",INDEX('POR Config List'!E:E,MATCH(G508,'POR Config List'!D:D,0)))</f>
        <v/>
      </c>
      <c r="AC508" s="105"/>
      <c r="AD508" s="100"/>
      <c r="AE508" s="100"/>
      <c r="AF508" s="100"/>
      <c r="AG508" s="100"/>
      <c r="AM508" s="102"/>
      <c r="AN508" s="102"/>
      <c r="AR508" s="119"/>
      <c r="AS508" s="103"/>
    </row>
    <row r="509">
      <c r="A509" s="168"/>
      <c r="B509" s="100" t="str">
        <f t="array" ref="B509">IFERROR( INDEX('POR Config List'!A:A,MATCH(G509,'POR Config List'!D:D,0)),"")</f>
        <v/>
      </c>
      <c r="C509" s="101" t="str">
        <f t="array" ref="C509">IFERROR(INDEX('label approval artwork'!E:E,MATCH(G509,'label approval artwork'!F:F,0),""),"")</f>
        <v/>
      </c>
      <c r="D509" s="102" t="str">
        <f t="shared" si="3"/>
        <v/>
      </c>
      <c r="E509" s="100" t="str">
        <f t="array" ref="E509">IF(ISBLANK(G509),"",INDEX('POR Config List'!K:K,MATCH(G509,'POR Config List'!D:D,0)))</f>
        <v/>
      </c>
      <c r="F509" s="100" t="str">
        <f t="array" ref="F509">IF(ISBLANK(G509),"",INDEX('POR Config List'!J:J,MATCH(G509,'POR Config List'!D:D,0)))</f>
        <v/>
      </c>
      <c r="G509" s="168"/>
      <c r="H509" s="104" t="str">
        <f t="array" ref="H509">IF(ISBLANK(G509),"",INDEX('MP SKUs'!G:G,MATCH(G509,'MP SKUs'!A:A,0)))</f>
        <v/>
      </c>
      <c r="I509" s="105" t="str">
        <f t="array" ref="I509">IF(ISBLANK(G509),"",INDEX('POR Config List'!O:O,MATCH(G509,'POR Config List'!D:D,0)))</f>
        <v/>
      </c>
      <c r="J509" s="104" t="str">
        <f t="array" ref="J509">IF(ISBLANK(G509),"",INDEX('POR Config List'!H:H,MATCH(G509,'POR Config List'!D:D,0)))</f>
        <v/>
      </c>
      <c r="K509" s="105" t="str">
        <f t="array" ref="K509">IF(ISBLANK(G509),"",INDEX('POR Config List'!G:G,MATCH(G509,'POR Config List'!D:D,0)))</f>
        <v/>
      </c>
      <c r="L509" s="105"/>
      <c r="M509" s="105" t="str">
        <f t="array" ref="M509">IF(ISBLANK(G509),"",INDEX('label approval artwork'!Q:Q,MATCH( G509,'label approval artwork'!F:F,0)))</f>
        <v/>
      </c>
      <c r="N509" s="169" t="str">
        <f t="shared" si="5"/>
        <v/>
      </c>
      <c r="O509" s="102" t="str">
        <f t="array" ref="O509">IF(ISBLANK(G509),"",INDEX('POR Config List'!C:C,MATCH(G509,'POR Config List'!D:D,0)))</f>
        <v/>
      </c>
      <c r="P509" s="105" t="str">
        <f t="shared" si="4"/>
        <v/>
      </c>
      <c r="Q509" s="105" t="str">
        <f t="array" ref="Q509">IF(ISBLANK(G509),"",INDEX('label approval artwork'!J:J,MATCH( G509,'label approval artwork'!F:F,0)))</f>
        <v/>
      </c>
      <c r="R509" s="105" t="str">
        <f t="array" ref="R509">IFERROR( IF(P509&lt;&gt;"EMA",INDEX('label approval artwork'!H:H,MATCH(G509,'label approval artwork'!F:F,0),"")),"")</f>
        <v/>
      </c>
      <c r="S509" s="105"/>
      <c r="T509" s="105" t="str">
        <f t="array" ref="T509">IF(ISBLANK(G509),"",INDEX('POR Config List'!I:I,MATCH(G509,'POR Config List'!D:D,0)))</f>
        <v/>
      </c>
      <c r="AA509" s="100" t="str">
        <f t="array" ref="AA509">IF(ISBLANK(G509),"",INDEX('POR Config List'!E:E,MATCH(G509,'POR Config List'!D:D,0)))</f>
        <v/>
      </c>
      <c r="AC509" s="105"/>
      <c r="AD509" s="100"/>
      <c r="AE509" s="100"/>
      <c r="AF509" s="100"/>
      <c r="AG509" s="100"/>
      <c r="AM509" s="102"/>
      <c r="AN509" s="102"/>
      <c r="AR509" s="119"/>
      <c r="AS509" s="103"/>
    </row>
    <row r="510">
      <c r="A510" s="168"/>
      <c r="B510" s="100" t="str">
        <f t="array" ref="B510">IFERROR( INDEX('POR Config List'!A:A,MATCH(G510,'POR Config List'!D:D,0)),"")</f>
        <v/>
      </c>
      <c r="C510" s="101" t="str">
        <f t="array" ref="C510">IFERROR(INDEX('label approval artwork'!E:E,MATCH(G510,'label approval artwork'!F:F,0),""),"")</f>
        <v/>
      </c>
      <c r="D510" s="102" t="str">
        <f t="shared" si="3"/>
        <v/>
      </c>
      <c r="E510" s="100" t="str">
        <f t="array" ref="E510">IF(ISBLANK(G510),"",INDEX('POR Config List'!K:K,MATCH(G510,'POR Config List'!D:D,0)))</f>
        <v/>
      </c>
      <c r="F510" s="100" t="str">
        <f t="array" ref="F510">IF(ISBLANK(G510),"",INDEX('POR Config List'!J:J,MATCH(G510,'POR Config List'!D:D,0)))</f>
        <v/>
      </c>
      <c r="G510" s="168"/>
      <c r="H510" s="104" t="str">
        <f t="array" ref="H510">IF(ISBLANK(G510),"",INDEX('MP SKUs'!G:G,MATCH(G510,'MP SKUs'!A:A,0)))</f>
        <v/>
      </c>
      <c r="I510" s="105" t="str">
        <f t="array" ref="I510">IF(ISBLANK(G510),"",INDEX('POR Config List'!O:O,MATCH(G510,'POR Config List'!D:D,0)))</f>
        <v/>
      </c>
      <c r="J510" s="104" t="str">
        <f t="array" ref="J510">IF(ISBLANK(G510),"",INDEX('POR Config List'!H:H,MATCH(G510,'POR Config List'!D:D,0)))</f>
        <v/>
      </c>
      <c r="K510" s="105" t="str">
        <f t="array" ref="K510">IF(ISBLANK(G510),"",INDEX('POR Config List'!G:G,MATCH(G510,'POR Config List'!D:D,0)))</f>
        <v/>
      </c>
      <c r="L510" s="105"/>
      <c r="M510" s="105" t="str">
        <f t="array" ref="M510">IF(ISBLANK(G510),"",INDEX('label approval artwork'!Q:Q,MATCH( G510,'label approval artwork'!F:F,0)))</f>
        <v/>
      </c>
      <c r="N510" s="169" t="str">
        <f t="shared" si="5"/>
        <v/>
      </c>
      <c r="O510" s="102" t="str">
        <f t="array" ref="O510">IF(ISBLANK(G510),"",INDEX('POR Config List'!C:C,MATCH(G510,'POR Config List'!D:D,0)))</f>
        <v/>
      </c>
      <c r="P510" s="105" t="str">
        <f t="shared" si="4"/>
        <v/>
      </c>
      <c r="Q510" s="105" t="str">
        <f t="array" ref="Q510">IF(ISBLANK(G510),"",INDEX('label approval artwork'!J:J,MATCH( G510,'label approval artwork'!F:F,0)))</f>
        <v/>
      </c>
      <c r="R510" s="105" t="str">
        <f t="array" ref="R510">IFERROR( IF(P510&lt;&gt;"EMA",INDEX('label approval artwork'!H:H,MATCH(G510,'label approval artwork'!F:F,0),"")),"")</f>
        <v/>
      </c>
      <c r="S510" s="105"/>
      <c r="T510" s="105" t="str">
        <f t="array" ref="T510">IF(ISBLANK(G510),"",INDEX('POR Config List'!I:I,MATCH(G510,'POR Config List'!D:D,0)))</f>
        <v/>
      </c>
      <c r="AA510" s="100" t="str">
        <f t="array" ref="AA510">IF(ISBLANK(G510),"",INDEX('POR Config List'!E:E,MATCH(G510,'POR Config List'!D:D,0)))</f>
        <v/>
      </c>
      <c r="AC510" s="105"/>
      <c r="AD510" s="100"/>
      <c r="AE510" s="100"/>
      <c r="AF510" s="100"/>
      <c r="AG510" s="100"/>
      <c r="AM510" s="102"/>
      <c r="AN510" s="102"/>
      <c r="AR510" s="119"/>
      <c r="AS510" s="103"/>
    </row>
    <row r="511">
      <c r="A511" s="168"/>
      <c r="B511" s="100" t="str">
        <f t="array" ref="B511">IFERROR( INDEX('POR Config List'!A:A,MATCH(G511,'POR Config List'!D:D,0)),"")</f>
        <v/>
      </c>
      <c r="C511" s="101" t="str">
        <f t="array" ref="C511">IFERROR(INDEX('label approval artwork'!E:E,MATCH(G511,'label approval artwork'!F:F,0),""),"")</f>
        <v/>
      </c>
      <c r="D511" s="102" t="str">
        <f t="shared" si="3"/>
        <v/>
      </c>
      <c r="E511" s="100" t="str">
        <f t="array" ref="E511">IF(ISBLANK(G511),"",INDEX('POR Config List'!K:K,MATCH(G511,'POR Config List'!D:D,0)))</f>
        <v/>
      </c>
      <c r="F511" s="100" t="str">
        <f t="array" ref="F511">IF(ISBLANK(G511),"",INDEX('POR Config List'!J:J,MATCH(G511,'POR Config List'!D:D,0)))</f>
        <v/>
      </c>
      <c r="G511" s="168"/>
      <c r="H511" s="104" t="str">
        <f t="array" ref="H511">IF(ISBLANK(G511),"",INDEX('MP SKUs'!G:G,MATCH(G511,'MP SKUs'!A:A,0)))</f>
        <v/>
      </c>
      <c r="I511" s="105" t="str">
        <f t="array" ref="I511">IF(ISBLANK(G511),"",INDEX('POR Config List'!O:O,MATCH(G511,'POR Config List'!D:D,0)))</f>
        <v/>
      </c>
      <c r="J511" s="104" t="str">
        <f t="array" ref="J511">IF(ISBLANK(G511),"",INDEX('POR Config List'!H:H,MATCH(G511,'POR Config List'!D:D,0)))</f>
        <v/>
      </c>
      <c r="K511" s="105" t="str">
        <f t="array" ref="K511">IF(ISBLANK(G511),"",INDEX('POR Config List'!G:G,MATCH(G511,'POR Config List'!D:D,0)))</f>
        <v/>
      </c>
      <c r="L511" s="105"/>
      <c r="M511" s="105" t="str">
        <f t="array" ref="M511">IF(ISBLANK(G511),"",INDEX('label approval artwork'!Q:Q,MATCH( G511,'label approval artwork'!F:F,0)))</f>
        <v/>
      </c>
      <c r="N511" s="169" t="str">
        <f t="shared" si="5"/>
        <v/>
      </c>
      <c r="O511" s="102" t="str">
        <f t="array" ref="O511">IF(ISBLANK(G511),"",INDEX('POR Config List'!C:C,MATCH(G511,'POR Config List'!D:D,0)))</f>
        <v/>
      </c>
      <c r="P511" s="105" t="str">
        <f t="shared" si="4"/>
        <v/>
      </c>
      <c r="Q511" s="105" t="str">
        <f t="array" ref="Q511">IF(ISBLANK(G511),"",INDEX('label approval artwork'!J:J,MATCH( G511,'label approval artwork'!F:F,0)))</f>
        <v/>
      </c>
      <c r="R511" s="105" t="str">
        <f t="array" ref="R511">IFERROR( IF(P511&lt;&gt;"EMA",INDEX('label approval artwork'!H:H,MATCH(G511,'label approval artwork'!F:F,0),"")),"")</f>
        <v/>
      </c>
      <c r="S511" s="105"/>
      <c r="T511" s="105" t="str">
        <f t="array" ref="T511">IF(ISBLANK(G511),"",INDEX('POR Config List'!I:I,MATCH(G511,'POR Config List'!D:D,0)))</f>
        <v/>
      </c>
      <c r="AA511" s="100" t="str">
        <f t="array" ref="AA511">IF(ISBLANK(G511),"",INDEX('POR Config List'!E:E,MATCH(G511,'POR Config List'!D:D,0)))</f>
        <v/>
      </c>
      <c r="AC511" s="105"/>
      <c r="AD511" s="100"/>
      <c r="AE511" s="100"/>
      <c r="AF511" s="100"/>
      <c r="AG511" s="100"/>
      <c r="AM511" s="102"/>
      <c r="AN511" s="102"/>
      <c r="AR511" s="119"/>
      <c r="AS511" s="103"/>
    </row>
    <row r="512">
      <c r="A512" s="168"/>
      <c r="B512" s="100" t="str">
        <f t="array" ref="B512">IFERROR( INDEX('POR Config List'!A:A,MATCH(G512,'POR Config List'!D:D,0)),"")</f>
        <v/>
      </c>
      <c r="C512" s="101" t="str">
        <f t="array" ref="C512">IFERROR(INDEX('label approval artwork'!E:E,MATCH(G512,'label approval artwork'!F:F,0),""),"")</f>
        <v/>
      </c>
      <c r="D512" s="102" t="str">
        <f t="shared" si="3"/>
        <v/>
      </c>
      <c r="E512" s="100" t="str">
        <f t="array" ref="E512">IF(ISBLANK(G512),"",INDEX('POR Config List'!K:K,MATCH(G512,'POR Config List'!D:D,0)))</f>
        <v/>
      </c>
      <c r="F512" s="100" t="str">
        <f t="array" ref="F512">IF(ISBLANK(G512),"",INDEX('POR Config List'!J:J,MATCH(G512,'POR Config List'!D:D,0)))</f>
        <v/>
      </c>
      <c r="G512" s="168"/>
      <c r="H512" s="104" t="str">
        <f t="array" ref="H512">IF(ISBLANK(G512),"",INDEX('MP SKUs'!G:G,MATCH(G512,'MP SKUs'!A:A,0)))</f>
        <v/>
      </c>
      <c r="I512" s="105" t="str">
        <f t="array" ref="I512">IF(ISBLANK(G512),"",INDEX('POR Config List'!O:O,MATCH(G512,'POR Config List'!D:D,0)))</f>
        <v/>
      </c>
      <c r="J512" s="104" t="str">
        <f t="array" ref="J512">IF(ISBLANK(G512),"",INDEX('POR Config List'!H:H,MATCH(G512,'POR Config List'!D:D,0)))</f>
        <v/>
      </c>
      <c r="K512" s="105" t="str">
        <f t="array" ref="K512">IF(ISBLANK(G512),"",INDEX('POR Config List'!G:G,MATCH(G512,'POR Config List'!D:D,0)))</f>
        <v/>
      </c>
      <c r="L512" s="105"/>
      <c r="M512" s="105" t="str">
        <f t="array" ref="M512">IF(ISBLANK(G512),"",INDEX('label approval artwork'!Q:Q,MATCH( G512,'label approval artwork'!F:F,0)))</f>
        <v/>
      </c>
      <c r="N512" s="169" t="str">
        <f t="shared" si="5"/>
        <v/>
      </c>
      <c r="O512" s="102" t="str">
        <f t="array" ref="O512">IF(ISBLANK(G512),"",INDEX('POR Config List'!C:C,MATCH(G512,'POR Config List'!D:D,0)))</f>
        <v/>
      </c>
      <c r="P512" s="105" t="str">
        <f t="shared" si="4"/>
        <v/>
      </c>
      <c r="Q512" s="105" t="str">
        <f t="array" ref="Q512">IF(ISBLANK(G512),"",INDEX('label approval artwork'!J:J,MATCH( G512,'label approval artwork'!F:F,0)))</f>
        <v/>
      </c>
      <c r="R512" s="105" t="str">
        <f t="array" ref="R512">IFERROR( IF(P512&lt;&gt;"EMA",INDEX('label approval artwork'!H:H,MATCH(G512,'label approval artwork'!F:F,0),"")),"")</f>
        <v/>
      </c>
      <c r="S512" s="105"/>
      <c r="T512" s="105" t="str">
        <f t="array" ref="T512">IF(ISBLANK(G512),"",INDEX('POR Config List'!I:I,MATCH(G512,'POR Config List'!D:D,0)))</f>
        <v/>
      </c>
      <c r="AA512" s="100" t="str">
        <f t="array" ref="AA512">IF(ISBLANK(G512),"",INDEX('POR Config List'!E:E,MATCH(G512,'POR Config List'!D:D,0)))</f>
        <v/>
      </c>
      <c r="AC512" s="105"/>
      <c r="AD512" s="100"/>
      <c r="AE512" s="100"/>
      <c r="AF512" s="100"/>
      <c r="AG512" s="100"/>
      <c r="AM512" s="102"/>
      <c r="AN512" s="102"/>
      <c r="AR512" s="119"/>
      <c r="AS512" s="103"/>
    </row>
    <row r="513">
      <c r="A513" s="168"/>
      <c r="B513" s="100" t="str">
        <f t="array" ref="B513">IFERROR( INDEX('POR Config List'!A:A,MATCH(G513,'POR Config List'!D:D,0)),"")</f>
        <v/>
      </c>
      <c r="C513" s="101" t="str">
        <f t="array" ref="C513">IFERROR(INDEX('label approval artwork'!E:E,MATCH(G513,'label approval artwork'!F:F,0),""),"")</f>
        <v/>
      </c>
      <c r="D513" s="102" t="str">
        <f t="shared" si="3"/>
        <v/>
      </c>
      <c r="E513" s="100" t="str">
        <f t="array" ref="E513">IF(ISBLANK(G513),"",INDEX('POR Config List'!K:K,MATCH(G513,'POR Config List'!D:D,0)))</f>
        <v/>
      </c>
      <c r="F513" s="100" t="str">
        <f t="array" ref="F513">IF(ISBLANK(G513),"",INDEX('POR Config List'!J:J,MATCH(G513,'POR Config List'!D:D,0)))</f>
        <v/>
      </c>
      <c r="G513" s="168"/>
      <c r="H513" s="104" t="str">
        <f t="array" ref="H513">IF(ISBLANK(G513),"",INDEX('MP SKUs'!G:G,MATCH(G513,'MP SKUs'!A:A,0)))</f>
        <v/>
      </c>
      <c r="I513" s="105" t="str">
        <f t="array" ref="I513">IF(ISBLANK(G513),"",INDEX('POR Config List'!O:O,MATCH(G513,'POR Config List'!D:D,0)))</f>
        <v/>
      </c>
      <c r="J513" s="104" t="str">
        <f t="array" ref="J513">IF(ISBLANK(G513),"",INDEX('POR Config List'!H:H,MATCH(G513,'POR Config List'!D:D,0)))</f>
        <v/>
      </c>
      <c r="K513" s="105" t="str">
        <f t="array" ref="K513">IF(ISBLANK(G513),"",INDEX('POR Config List'!G:G,MATCH(G513,'POR Config List'!D:D,0)))</f>
        <v/>
      </c>
      <c r="L513" s="105"/>
      <c r="M513" s="105" t="str">
        <f t="array" ref="M513">IF(ISBLANK(G513),"",INDEX('label approval artwork'!Q:Q,MATCH( G513,'label approval artwork'!F:F,0)))</f>
        <v/>
      </c>
      <c r="N513" s="169" t="str">
        <f t="shared" si="5"/>
        <v/>
      </c>
      <c r="O513" s="102" t="str">
        <f t="array" ref="O513">IF(ISBLANK(G513),"",INDEX('POR Config List'!C:C,MATCH(G513,'POR Config List'!D:D,0)))</f>
        <v/>
      </c>
      <c r="P513" s="105" t="str">
        <f t="shared" si="4"/>
        <v/>
      </c>
      <c r="Q513" s="105" t="str">
        <f t="array" ref="Q513">IF(ISBLANK(G513),"",INDEX('label approval artwork'!J:J,MATCH( G513,'label approval artwork'!F:F,0)))</f>
        <v/>
      </c>
      <c r="R513" s="105" t="str">
        <f t="array" ref="R513">IFERROR( IF(P513&lt;&gt;"EMA",INDEX('label approval artwork'!H:H,MATCH(G513,'label approval artwork'!F:F,0),"")),"")</f>
        <v/>
      </c>
      <c r="S513" s="105"/>
      <c r="T513" s="105" t="str">
        <f t="array" ref="T513">IF(ISBLANK(G513),"",INDEX('POR Config List'!I:I,MATCH(G513,'POR Config List'!D:D,0)))</f>
        <v/>
      </c>
      <c r="AA513" s="100" t="str">
        <f t="array" ref="AA513">IF(ISBLANK(G513),"",INDEX('POR Config List'!E:E,MATCH(G513,'POR Config List'!D:D,0)))</f>
        <v/>
      </c>
      <c r="AC513" s="105"/>
      <c r="AD513" s="100"/>
      <c r="AE513" s="100"/>
      <c r="AF513" s="100"/>
      <c r="AG513" s="100"/>
      <c r="AM513" s="102"/>
      <c r="AN513" s="102"/>
      <c r="AR513" s="119"/>
      <c r="AS513" s="103"/>
    </row>
    <row r="514">
      <c r="A514" s="168"/>
      <c r="B514" s="100" t="str">
        <f t="array" ref="B514">IFERROR( INDEX('POR Config List'!A:A,MATCH(G514,'POR Config List'!D:D,0)),"")</f>
        <v/>
      </c>
      <c r="C514" s="101" t="str">
        <f t="array" ref="C514">IFERROR(INDEX('label approval artwork'!E:E,MATCH(G514,'label approval artwork'!F:F,0),""),"")</f>
        <v/>
      </c>
      <c r="D514" s="102" t="str">
        <f t="shared" si="3"/>
        <v/>
      </c>
      <c r="E514" s="100" t="str">
        <f t="array" ref="E514">IF(ISBLANK(G514),"",INDEX('POR Config List'!K:K,MATCH(G514,'POR Config List'!D:D,0)))</f>
        <v/>
      </c>
      <c r="F514" s="100" t="str">
        <f t="array" ref="F514">IF(ISBLANK(G514),"",INDEX('POR Config List'!J:J,MATCH(G514,'POR Config List'!D:D,0)))</f>
        <v/>
      </c>
      <c r="G514" s="168"/>
      <c r="H514" s="104" t="str">
        <f t="array" ref="H514">IF(ISBLANK(G514),"",INDEX('MP SKUs'!G:G,MATCH(G514,'MP SKUs'!A:A,0)))</f>
        <v/>
      </c>
      <c r="I514" s="105" t="str">
        <f t="array" ref="I514">IF(ISBLANK(G514),"",INDEX('POR Config List'!O:O,MATCH(G514,'POR Config List'!D:D,0)))</f>
        <v/>
      </c>
      <c r="J514" s="104" t="str">
        <f t="array" ref="J514">IF(ISBLANK(G514),"",INDEX('POR Config List'!H:H,MATCH(G514,'POR Config List'!D:D,0)))</f>
        <v/>
      </c>
      <c r="K514" s="105" t="str">
        <f t="array" ref="K514">IF(ISBLANK(G514),"",INDEX('POR Config List'!G:G,MATCH(G514,'POR Config List'!D:D,0)))</f>
        <v/>
      </c>
      <c r="L514" s="105"/>
      <c r="M514" s="105" t="str">
        <f t="array" ref="M514">IF(ISBLANK(G514),"",INDEX('label approval artwork'!Q:Q,MATCH( G514,'label approval artwork'!F:F,0)))</f>
        <v/>
      </c>
      <c r="N514" s="169" t="str">
        <f t="shared" si="5"/>
        <v/>
      </c>
      <c r="O514" s="102" t="str">
        <f t="array" ref="O514">IF(ISBLANK(G514),"",INDEX('POR Config List'!C:C,MATCH(G514,'POR Config List'!D:D,0)))</f>
        <v/>
      </c>
      <c r="P514" s="105" t="str">
        <f t="shared" si="4"/>
        <v/>
      </c>
      <c r="Q514" s="105" t="str">
        <f t="array" ref="Q514">IF(ISBLANK(G514),"",INDEX('label approval artwork'!J:J,MATCH( G514,'label approval artwork'!F:F,0)))</f>
        <v/>
      </c>
      <c r="R514" s="105" t="str">
        <f t="array" ref="R514">IFERROR( IF(P514&lt;&gt;"EMA",INDEX('label approval artwork'!H:H,MATCH(G514,'label approval artwork'!F:F,0),"")),"")</f>
        <v/>
      </c>
      <c r="S514" s="105"/>
      <c r="T514" s="105" t="str">
        <f t="array" ref="T514">IF(ISBLANK(G514),"",INDEX('POR Config List'!I:I,MATCH(G514,'POR Config List'!D:D,0)))</f>
        <v/>
      </c>
      <c r="AA514" s="100" t="str">
        <f t="array" ref="AA514">IF(ISBLANK(G514),"",INDEX('POR Config List'!E:E,MATCH(G514,'POR Config List'!D:D,0)))</f>
        <v/>
      </c>
      <c r="AC514" s="105"/>
      <c r="AD514" s="100"/>
      <c r="AE514" s="100"/>
      <c r="AF514" s="100"/>
      <c r="AG514" s="100"/>
      <c r="AM514" s="102"/>
      <c r="AN514" s="102"/>
      <c r="AR514" s="119"/>
      <c r="AS514" s="103"/>
    </row>
    <row r="515">
      <c r="A515" s="168"/>
      <c r="B515" s="100" t="str">
        <f t="array" ref="B515">IFERROR( INDEX('POR Config List'!A:A,MATCH(G515,'POR Config List'!D:D,0)),"")</f>
        <v/>
      </c>
      <c r="C515" s="101" t="str">
        <f t="array" ref="C515">IFERROR(INDEX('label approval artwork'!E:E,MATCH(G515,'label approval artwork'!F:F,0),""),"")</f>
        <v/>
      </c>
      <c r="D515" s="102" t="str">
        <f t="shared" si="3"/>
        <v/>
      </c>
      <c r="E515" s="100" t="str">
        <f t="array" ref="E515">IF(ISBLANK(G515),"",INDEX('POR Config List'!K:K,MATCH(G515,'POR Config List'!D:D,0)))</f>
        <v/>
      </c>
      <c r="F515" s="100" t="str">
        <f t="array" ref="F515">IF(ISBLANK(G515),"",INDEX('POR Config List'!J:J,MATCH(G515,'POR Config List'!D:D,0)))</f>
        <v/>
      </c>
      <c r="G515" s="168"/>
      <c r="H515" s="104" t="str">
        <f t="array" ref="H515">IF(ISBLANK(G515),"",INDEX('MP SKUs'!G:G,MATCH(G515,'MP SKUs'!A:A,0)))</f>
        <v/>
      </c>
      <c r="I515" s="105" t="str">
        <f t="array" ref="I515">IF(ISBLANK(G515),"",INDEX('POR Config List'!O:O,MATCH(G515,'POR Config List'!D:D,0)))</f>
        <v/>
      </c>
      <c r="J515" s="104" t="str">
        <f t="array" ref="J515">IF(ISBLANK(G515),"",INDEX('POR Config List'!H:H,MATCH(G515,'POR Config List'!D:D,0)))</f>
        <v/>
      </c>
      <c r="K515" s="105" t="str">
        <f t="array" ref="K515">IF(ISBLANK(G515),"",INDEX('POR Config List'!G:G,MATCH(G515,'POR Config List'!D:D,0)))</f>
        <v/>
      </c>
      <c r="L515" s="105"/>
      <c r="M515" s="105" t="str">
        <f t="array" ref="M515">IF(ISBLANK(G515),"",INDEX('label approval artwork'!Q:Q,MATCH( G515,'label approval artwork'!F:F,0)))</f>
        <v/>
      </c>
      <c r="N515" s="169" t="str">
        <f t="shared" si="5"/>
        <v/>
      </c>
      <c r="O515" s="102" t="str">
        <f t="array" ref="O515">IF(ISBLANK(G515),"",INDEX('POR Config List'!C:C,MATCH(G515,'POR Config List'!D:D,0)))</f>
        <v/>
      </c>
      <c r="P515" s="105" t="str">
        <f t="shared" si="4"/>
        <v/>
      </c>
      <c r="Q515" s="105" t="str">
        <f t="array" ref="Q515">IF(ISBLANK(G515),"",INDEX('label approval artwork'!J:J,MATCH( G515,'label approval artwork'!F:F,0)))</f>
        <v/>
      </c>
      <c r="R515" s="105" t="str">
        <f t="array" ref="R515">IFERROR( IF(P515&lt;&gt;"EMA",INDEX('label approval artwork'!H:H,MATCH(G515,'label approval artwork'!F:F,0),"")),"")</f>
        <v/>
      </c>
      <c r="S515" s="105"/>
      <c r="T515" s="105" t="str">
        <f t="array" ref="T515">IF(ISBLANK(G515),"",INDEX('POR Config List'!I:I,MATCH(G515,'POR Config List'!D:D,0)))</f>
        <v/>
      </c>
      <c r="AA515" s="100" t="str">
        <f t="array" ref="AA515">IF(ISBLANK(G515),"",INDEX('POR Config List'!E:E,MATCH(G515,'POR Config List'!D:D,0)))</f>
        <v/>
      </c>
      <c r="AC515" s="105"/>
      <c r="AD515" s="100"/>
      <c r="AE515" s="100"/>
      <c r="AF515" s="100"/>
      <c r="AG515" s="100"/>
      <c r="AM515" s="102"/>
      <c r="AN515" s="102"/>
      <c r="AR515" s="119"/>
      <c r="AS515" s="103"/>
    </row>
    <row r="516">
      <c r="A516" s="168"/>
      <c r="B516" s="100" t="str">
        <f t="array" ref="B516">IFERROR( INDEX('POR Config List'!A:A,MATCH(G516,'POR Config List'!D:D,0)),"")</f>
        <v/>
      </c>
      <c r="C516" s="101" t="str">
        <f t="array" ref="C516">IFERROR(INDEX('label approval artwork'!E:E,MATCH(G516,'label approval artwork'!F:F,0),""),"")</f>
        <v/>
      </c>
      <c r="D516" s="102" t="str">
        <f t="shared" si="3"/>
        <v/>
      </c>
      <c r="E516" s="100" t="str">
        <f t="array" ref="E516">IF(ISBLANK(G516),"",INDEX('POR Config List'!K:K,MATCH(G516,'POR Config List'!D:D,0)))</f>
        <v/>
      </c>
      <c r="F516" s="100" t="str">
        <f t="array" ref="F516">IF(ISBLANK(G516),"",INDEX('POR Config List'!J:J,MATCH(G516,'POR Config List'!D:D,0)))</f>
        <v/>
      </c>
      <c r="G516" s="168"/>
      <c r="H516" s="104" t="str">
        <f t="array" ref="H516">IF(ISBLANK(G516),"",INDEX('MP SKUs'!G:G,MATCH(G516,'MP SKUs'!A:A,0)))</f>
        <v/>
      </c>
      <c r="I516" s="105" t="str">
        <f t="array" ref="I516">IF(ISBLANK(G516),"",INDEX('POR Config List'!O:O,MATCH(G516,'POR Config List'!D:D,0)))</f>
        <v/>
      </c>
      <c r="J516" s="104" t="str">
        <f t="array" ref="J516">IF(ISBLANK(G516),"",INDEX('POR Config List'!H:H,MATCH(G516,'POR Config List'!D:D,0)))</f>
        <v/>
      </c>
      <c r="K516" s="105" t="str">
        <f t="array" ref="K516">IF(ISBLANK(G516),"",INDEX('POR Config List'!G:G,MATCH(G516,'POR Config List'!D:D,0)))</f>
        <v/>
      </c>
      <c r="L516" s="105"/>
      <c r="M516" s="105" t="str">
        <f t="array" ref="M516">IF(ISBLANK(G516),"",INDEX('label approval artwork'!Q:Q,MATCH( G516,'label approval artwork'!F:F,0)))</f>
        <v/>
      </c>
      <c r="N516" s="169" t="str">
        <f t="shared" si="5"/>
        <v/>
      </c>
      <c r="O516" s="102" t="str">
        <f t="array" ref="O516">IF(ISBLANK(G516),"",INDEX('POR Config List'!C:C,MATCH(G516,'POR Config List'!D:D,0)))</f>
        <v/>
      </c>
      <c r="P516" s="105" t="str">
        <f t="shared" si="4"/>
        <v/>
      </c>
      <c r="Q516" s="105" t="str">
        <f t="array" ref="Q516">IF(ISBLANK(G516),"",INDEX('label approval artwork'!J:J,MATCH( G516,'label approval artwork'!F:F,0)))</f>
        <v/>
      </c>
      <c r="R516" s="105" t="str">
        <f t="array" ref="R516">IFERROR( IF(P516&lt;&gt;"EMA",INDEX('label approval artwork'!H:H,MATCH(G516,'label approval artwork'!F:F,0),"")),"")</f>
        <v/>
      </c>
      <c r="S516" s="105"/>
      <c r="T516" s="105" t="str">
        <f t="array" ref="T516">IF(ISBLANK(G516),"",INDEX('POR Config List'!I:I,MATCH(G516,'POR Config List'!D:D,0)))</f>
        <v/>
      </c>
      <c r="AA516" s="100" t="str">
        <f t="array" ref="AA516">IF(ISBLANK(G516),"",INDEX('POR Config List'!E:E,MATCH(G516,'POR Config List'!D:D,0)))</f>
        <v/>
      </c>
      <c r="AC516" s="105"/>
      <c r="AD516" s="100"/>
      <c r="AE516" s="100"/>
      <c r="AF516" s="100"/>
      <c r="AG516" s="100"/>
      <c r="AM516" s="102"/>
      <c r="AN516" s="102"/>
      <c r="AR516" s="119"/>
      <c r="AS516" s="103"/>
    </row>
    <row r="517">
      <c r="A517" s="168"/>
      <c r="B517" s="100" t="str">
        <f t="array" ref="B517">IFERROR( INDEX('POR Config List'!A:A,MATCH(G517,'POR Config List'!D:D,0)),"")</f>
        <v/>
      </c>
      <c r="C517" s="101" t="str">
        <f t="array" ref="C517">IFERROR(INDEX('label approval artwork'!E:E,MATCH(G517,'label approval artwork'!F:F,0),""),"")</f>
        <v/>
      </c>
      <c r="D517" s="102" t="str">
        <f t="shared" si="3"/>
        <v/>
      </c>
      <c r="E517" s="100" t="str">
        <f t="array" ref="E517">IF(ISBLANK(G517),"",INDEX('POR Config List'!K:K,MATCH(G517,'POR Config List'!D:D,0)))</f>
        <v/>
      </c>
      <c r="F517" s="100" t="str">
        <f t="array" ref="F517">IF(ISBLANK(G517),"",INDEX('POR Config List'!J:J,MATCH(G517,'POR Config List'!D:D,0)))</f>
        <v/>
      </c>
      <c r="G517" s="168"/>
      <c r="H517" s="104" t="str">
        <f t="array" ref="H517">IF(ISBLANK(G517),"",INDEX('MP SKUs'!G:G,MATCH(G517,'MP SKUs'!A:A,0)))</f>
        <v/>
      </c>
      <c r="I517" s="105" t="str">
        <f t="array" ref="I517">IF(ISBLANK(G517),"",INDEX('POR Config List'!O:O,MATCH(G517,'POR Config List'!D:D,0)))</f>
        <v/>
      </c>
      <c r="J517" s="104" t="str">
        <f t="array" ref="J517">IF(ISBLANK(G517),"",INDEX('POR Config List'!H:H,MATCH(G517,'POR Config List'!D:D,0)))</f>
        <v/>
      </c>
      <c r="K517" s="105" t="str">
        <f t="array" ref="K517">IF(ISBLANK(G517),"",INDEX('POR Config List'!G:G,MATCH(G517,'POR Config List'!D:D,0)))</f>
        <v/>
      </c>
      <c r="L517" s="105"/>
      <c r="M517" s="105" t="str">
        <f t="array" ref="M517">IF(ISBLANK(G517),"",INDEX('label approval artwork'!Q:Q,MATCH( G517,'label approval artwork'!F:F,0)))</f>
        <v/>
      </c>
      <c r="N517" s="169" t="str">
        <f t="shared" si="5"/>
        <v/>
      </c>
      <c r="O517" s="102" t="str">
        <f t="array" ref="O517">IF(ISBLANK(G517),"",INDEX('POR Config List'!C:C,MATCH(G517,'POR Config List'!D:D,0)))</f>
        <v/>
      </c>
      <c r="P517" s="105" t="str">
        <f t="shared" si="4"/>
        <v/>
      </c>
      <c r="Q517" s="105" t="str">
        <f t="array" ref="Q517">IF(ISBLANK(G517),"",INDEX('label approval artwork'!J:J,MATCH( G517,'label approval artwork'!F:F,0)))</f>
        <v/>
      </c>
      <c r="R517" s="105" t="str">
        <f t="array" ref="R517">IFERROR( IF(P517&lt;&gt;"EMA",INDEX('label approval artwork'!H:H,MATCH(G517,'label approval artwork'!F:F,0),"")),"")</f>
        <v/>
      </c>
      <c r="S517" s="105"/>
      <c r="T517" s="105" t="str">
        <f t="array" ref="T517">IF(ISBLANK(G517),"",INDEX('POR Config List'!I:I,MATCH(G517,'POR Config List'!D:D,0)))</f>
        <v/>
      </c>
      <c r="AA517" s="100" t="str">
        <f t="array" ref="AA517">IF(ISBLANK(G517),"",INDEX('POR Config List'!E:E,MATCH(G517,'POR Config List'!D:D,0)))</f>
        <v/>
      </c>
      <c r="AC517" s="105"/>
      <c r="AD517" s="100"/>
      <c r="AE517" s="100"/>
      <c r="AF517" s="100"/>
      <c r="AG517" s="100"/>
      <c r="AM517" s="102"/>
      <c r="AN517" s="102"/>
      <c r="AR517" s="119"/>
      <c r="AS517" s="103"/>
    </row>
    <row r="518">
      <c r="A518" s="168"/>
      <c r="B518" s="100" t="str">
        <f t="array" ref="B518">IFERROR( INDEX('POR Config List'!A:A,MATCH(G518,'POR Config List'!D:D,0)),"")</f>
        <v/>
      </c>
      <c r="C518" s="101" t="str">
        <f t="array" ref="C518">IFERROR(INDEX('label approval artwork'!E:E,MATCH(G518,'label approval artwork'!F:F,0),""),"")</f>
        <v/>
      </c>
      <c r="D518" s="102" t="str">
        <f t="shared" si="3"/>
        <v/>
      </c>
      <c r="E518" s="100" t="str">
        <f t="array" ref="E518">IF(ISBLANK(G518),"",INDEX('POR Config List'!K:K,MATCH(G518,'POR Config List'!D:D,0)))</f>
        <v/>
      </c>
      <c r="F518" s="100" t="str">
        <f t="array" ref="F518">IF(ISBLANK(G518),"",INDEX('POR Config List'!J:J,MATCH(G518,'POR Config List'!D:D,0)))</f>
        <v/>
      </c>
      <c r="G518" s="168"/>
      <c r="H518" s="104" t="str">
        <f t="array" ref="H518">IF(ISBLANK(G518),"",INDEX('MP SKUs'!G:G,MATCH(G518,'MP SKUs'!A:A,0)))</f>
        <v/>
      </c>
      <c r="I518" s="105" t="str">
        <f t="array" ref="I518">IF(ISBLANK(G518),"",INDEX('POR Config List'!O:O,MATCH(G518,'POR Config List'!D:D,0)))</f>
        <v/>
      </c>
      <c r="J518" s="104" t="str">
        <f t="array" ref="J518">IF(ISBLANK(G518),"",INDEX('POR Config List'!H:H,MATCH(G518,'POR Config List'!D:D,0)))</f>
        <v/>
      </c>
      <c r="K518" s="105" t="str">
        <f t="array" ref="K518">IF(ISBLANK(G518),"",INDEX('POR Config List'!G:G,MATCH(G518,'POR Config List'!D:D,0)))</f>
        <v/>
      </c>
      <c r="L518" s="105"/>
      <c r="M518" s="105" t="str">
        <f t="array" ref="M518">IF(ISBLANK(G518),"",INDEX('label approval artwork'!Q:Q,MATCH( G518,'label approval artwork'!F:F,0)))</f>
        <v/>
      </c>
      <c r="N518" s="169" t="str">
        <f t="shared" si="5"/>
        <v/>
      </c>
      <c r="O518" s="102" t="str">
        <f t="array" ref="O518">IF(ISBLANK(G518),"",INDEX('POR Config List'!C:C,MATCH(G518,'POR Config List'!D:D,0)))</f>
        <v/>
      </c>
      <c r="P518" s="105" t="str">
        <f t="shared" si="4"/>
        <v/>
      </c>
      <c r="Q518" s="105" t="str">
        <f t="array" ref="Q518">IF(ISBLANK(G518),"",INDEX('label approval artwork'!J:J,MATCH( G518,'label approval artwork'!F:F,0)))</f>
        <v/>
      </c>
      <c r="R518" s="105" t="str">
        <f t="array" ref="R518">IFERROR( IF(P518&lt;&gt;"EMA",INDEX('label approval artwork'!H:H,MATCH(G518,'label approval artwork'!F:F,0),"")),"")</f>
        <v/>
      </c>
      <c r="S518" s="105"/>
      <c r="T518" s="105" t="str">
        <f t="array" ref="T518">IF(ISBLANK(G518),"",INDEX('POR Config List'!I:I,MATCH(G518,'POR Config List'!D:D,0)))</f>
        <v/>
      </c>
      <c r="AA518" s="100" t="str">
        <f t="array" ref="AA518">IF(ISBLANK(G518),"",INDEX('POR Config List'!E:E,MATCH(G518,'POR Config List'!D:D,0)))</f>
        <v/>
      </c>
      <c r="AC518" s="105"/>
      <c r="AD518" s="100"/>
      <c r="AE518" s="100"/>
      <c r="AF518" s="100"/>
      <c r="AG518" s="100"/>
      <c r="AM518" s="102"/>
      <c r="AN518" s="102"/>
      <c r="AR518" s="119"/>
      <c r="AS518" s="103"/>
    </row>
    <row r="519">
      <c r="A519" s="168"/>
      <c r="B519" s="100" t="str">
        <f t="array" ref="B519">IFERROR( INDEX('POR Config List'!A:A,MATCH(G519,'POR Config List'!D:D,0)),"")</f>
        <v/>
      </c>
      <c r="C519" s="101" t="str">
        <f t="array" ref="C519">IFERROR(INDEX('label approval artwork'!E:E,MATCH(G519,'label approval artwork'!F:F,0),""),"")</f>
        <v/>
      </c>
      <c r="D519" s="102" t="str">
        <f t="shared" si="3"/>
        <v/>
      </c>
      <c r="E519" s="100" t="str">
        <f t="array" ref="E519">IF(ISBLANK(G519),"",INDEX('POR Config List'!K:K,MATCH(G519,'POR Config List'!D:D,0)))</f>
        <v/>
      </c>
      <c r="F519" s="100" t="str">
        <f t="array" ref="F519">IF(ISBLANK(G519),"",INDEX('POR Config List'!J:J,MATCH(G519,'POR Config List'!D:D,0)))</f>
        <v/>
      </c>
      <c r="G519" s="168"/>
      <c r="H519" s="104" t="str">
        <f t="array" ref="H519">IF(ISBLANK(G519),"",INDEX('MP SKUs'!G:G,MATCH(G519,'MP SKUs'!A:A,0)))</f>
        <v/>
      </c>
      <c r="I519" s="105" t="str">
        <f t="array" ref="I519">IF(ISBLANK(G519),"",INDEX('POR Config List'!O:O,MATCH(G519,'POR Config List'!D:D,0)))</f>
        <v/>
      </c>
      <c r="J519" s="104" t="str">
        <f t="array" ref="J519">IF(ISBLANK(G519),"",INDEX('POR Config List'!H:H,MATCH(G519,'POR Config List'!D:D,0)))</f>
        <v/>
      </c>
      <c r="K519" s="105" t="str">
        <f t="array" ref="K519">IF(ISBLANK(G519),"",INDEX('POR Config List'!G:G,MATCH(G519,'POR Config List'!D:D,0)))</f>
        <v/>
      </c>
      <c r="L519" s="105"/>
      <c r="M519" s="105" t="str">
        <f t="array" ref="M519">IF(ISBLANK(G519),"",INDEX('label approval artwork'!Q:Q,MATCH( G519,'label approval artwork'!F:F,0)))</f>
        <v/>
      </c>
      <c r="N519" s="169" t="str">
        <f t="shared" si="5"/>
        <v/>
      </c>
      <c r="O519" s="102" t="str">
        <f t="array" ref="O519">IF(ISBLANK(G519),"",INDEX('POR Config List'!C:C,MATCH(G519,'POR Config List'!D:D,0)))</f>
        <v/>
      </c>
      <c r="P519" s="105" t="str">
        <f t="shared" si="4"/>
        <v/>
      </c>
      <c r="Q519" s="105" t="str">
        <f t="array" ref="Q519">IF(ISBLANK(G519),"",INDEX('label approval artwork'!J:J,MATCH( G519,'label approval artwork'!F:F,0)))</f>
        <v/>
      </c>
      <c r="R519" s="105" t="str">
        <f t="array" ref="R519">IFERROR( IF(P519&lt;&gt;"EMA",INDEX('label approval artwork'!H:H,MATCH(G519,'label approval artwork'!F:F,0),"")),"")</f>
        <v/>
      </c>
      <c r="S519" s="105"/>
      <c r="T519" s="105" t="str">
        <f t="array" ref="T519">IF(ISBLANK(G519),"",INDEX('POR Config List'!I:I,MATCH(G519,'POR Config List'!D:D,0)))</f>
        <v/>
      </c>
      <c r="AA519" s="100" t="str">
        <f t="array" ref="AA519">IF(ISBLANK(G519),"",INDEX('POR Config List'!E:E,MATCH(G519,'POR Config List'!D:D,0)))</f>
        <v/>
      </c>
      <c r="AC519" s="105"/>
      <c r="AD519" s="100"/>
      <c r="AE519" s="100"/>
      <c r="AF519" s="100"/>
      <c r="AG519" s="100"/>
      <c r="AM519" s="102"/>
      <c r="AN519" s="102"/>
      <c r="AR519" s="119"/>
      <c r="AS519" s="103"/>
    </row>
    <row r="520">
      <c r="A520" s="168"/>
      <c r="B520" s="100" t="str">
        <f t="array" ref="B520">IFERROR( INDEX('POR Config List'!A:A,MATCH(G520,'POR Config List'!D:D,0)),"")</f>
        <v/>
      </c>
      <c r="C520" s="101" t="str">
        <f t="array" ref="C520">IFERROR(INDEX('label approval artwork'!E:E,MATCH(G520,'label approval artwork'!F:F,0),""),"")</f>
        <v/>
      </c>
      <c r="D520" s="102" t="str">
        <f t="shared" si="3"/>
        <v/>
      </c>
      <c r="E520" s="100" t="str">
        <f t="array" ref="E520">IF(ISBLANK(G520),"",INDEX('POR Config List'!K:K,MATCH(G520,'POR Config List'!D:D,0)))</f>
        <v/>
      </c>
      <c r="F520" s="100" t="str">
        <f t="array" ref="F520">IF(ISBLANK(G520),"",INDEX('POR Config List'!J:J,MATCH(G520,'POR Config List'!D:D,0)))</f>
        <v/>
      </c>
      <c r="G520" s="168"/>
      <c r="H520" s="104" t="str">
        <f t="array" ref="H520">IF(ISBLANK(G520),"",INDEX('MP SKUs'!G:G,MATCH(G520,'MP SKUs'!A:A,0)))</f>
        <v/>
      </c>
      <c r="I520" s="105" t="str">
        <f t="array" ref="I520">IF(ISBLANK(G520),"",INDEX('POR Config List'!O:O,MATCH(G520,'POR Config List'!D:D,0)))</f>
        <v/>
      </c>
      <c r="J520" s="104" t="str">
        <f t="array" ref="J520">IF(ISBLANK(G520),"",INDEX('POR Config List'!H:H,MATCH(G520,'POR Config List'!D:D,0)))</f>
        <v/>
      </c>
      <c r="K520" s="105" t="str">
        <f t="array" ref="K520">IF(ISBLANK(G520),"",INDEX('POR Config List'!G:G,MATCH(G520,'POR Config List'!D:D,0)))</f>
        <v/>
      </c>
      <c r="L520" s="105"/>
      <c r="M520" s="105" t="str">
        <f t="array" ref="M520">IF(ISBLANK(G520),"",INDEX('label approval artwork'!Q:Q,MATCH( G520,'label approval artwork'!F:F,0)))</f>
        <v/>
      </c>
      <c r="N520" s="169" t="str">
        <f t="shared" si="5"/>
        <v/>
      </c>
      <c r="O520" s="102" t="str">
        <f t="array" ref="O520">IF(ISBLANK(G520),"",INDEX('POR Config List'!C:C,MATCH(G520,'POR Config List'!D:D,0)))</f>
        <v/>
      </c>
      <c r="P520" s="105" t="str">
        <f t="shared" si="4"/>
        <v/>
      </c>
      <c r="Q520" s="105" t="str">
        <f t="array" ref="Q520">IF(ISBLANK(G520),"",INDEX('label approval artwork'!J:J,MATCH( G520,'label approval artwork'!F:F,0)))</f>
        <v/>
      </c>
      <c r="R520" s="105" t="str">
        <f t="array" ref="R520">IFERROR( IF(P520&lt;&gt;"EMA",INDEX('label approval artwork'!H:H,MATCH(G520,'label approval artwork'!F:F,0),"")),"")</f>
        <v/>
      </c>
      <c r="S520" s="105"/>
      <c r="T520" s="105" t="str">
        <f t="array" ref="T520">IF(ISBLANK(G520),"",INDEX('POR Config List'!I:I,MATCH(G520,'POR Config List'!D:D,0)))</f>
        <v/>
      </c>
      <c r="AA520" s="100" t="str">
        <f t="array" ref="AA520">IF(ISBLANK(G520),"",INDEX('POR Config List'!E:E,MATCH(G520,'POR Config List'!D:D,0)))</f>
        <v/>
      </c>
      <c r="AC520" s="105"/>
      <c r="AD520" s="100"/>
      <c r="AE520" s="100"/>
      <c r="AF520" s="100"/>
      <c r="AG520" s="100"/>
      <c r="AM520" s="102"/>
      <c r="AN520" s="102"/>
      <c r="AR520" s="119"/>
      <c r="AS520" s="103"/>
    </row>
    <row r="521">
      <c r="A521" s="168"/>
      <c r="B521" s="100" t="str">
        <f t="array" ref="B521">IFERROR( INDEX('POR Config List'!A:A,MATCH(G521,'POR Config List'!D:D,0)),"")</f>
        <v/>
      </c>
      <c r="C521" s="101" t="str">
        <f t="array" ref="C521">IFERROR(INDEX('label approval artwork'!E:E,MATCH(G521,'label approval artwork'!F:F,0),""),"")</f>
        <v/>
      </c>
      <c r="D521" s="102" t="str">
        <f t="shared" si="3"/>
        <v/>
      </c>
      <c r="E521" s="100" t="str">
        <f t="array" ref="E521">IF(ISBLANK(G521),"",INDEX('POR Config List'!K:K,MATCH(G521,'POR Config List'!D:D,0)))</f>
        <v/>
      </c>
      <c r="F521" s="100" t="str">
        <f t="array" ref="F521">IF(ISBLANK(G521),"",INDEX('POR Config List'!J:J,MATCH(G521,'POR Config List'!D:D,0)))</f>
        <v/>
      </c>
      <c r="G521" s="168"/>
      <c r="H521" s="104" t="str">
        <f t="array" ref="H521">IF(ISBLANK(G521),"",INDEX('MP SKUs'!G:G,MATCH(G521,'MP SKUs'!A:A,0)))</f>
        <v/>
      </c>
      <c r="I521" s="105" t="str">
        <f t="array" ref="I521">IF(ISBLANK(G521),"",INDEX('POR Config List'!O:O,MATCH(G521,'POR Config List'!D:D,0)))</f>
        <v/>
      </c>
      <c r="J521" s="104" t="str">
        <f t="array" ref="J521">IF(ISBLANK(G521),"",INDEX('POR Config List'!H:H,MATCH(G521,'POR Config List'!D:D,0)))</f>
        <v/>
      </c>
      <c r="K521" s="105" t="str">
        <f t="array" ref="K521">IF(ISBLANK(G521),"",INDEX('POR Config List'!G:G,MATCH(G521,'POR Config List'!D:D,0)))</f>
        <v/>
      </c>
      <c r="L521" s="105"/>
      <c r="M521" s="105" t="str">
        <f t="array" ref="M521">IF(ISBLANK(G521),"",INDEX('label approval artwork'!Q:Q,MATCH( G521,'label approval artwork'!F:F,0)))</f>
        <v/>
      </c>
      <c r="N521" s="169" t="str">
        <f t="shared" si="5"/>
        <v/>
      </c>
      <c r="O521" s="102" t="str">
        <f t="array" ref="O521">IF(ISBLANK(G521),"",INDEX('POR Config List'!C:C,MATCH(G521,'POR Config List'!D:D,0)))</f>
        <v/>
      </c>
      <c r="P521" s="105" t="str">
        <f t="shared" si="4"/>
        <v/>
      </c>
      <c r="Q521" s="105" t="str">
        <f t="array" ref="Q521">IF(ISBLANK(G521),"",INDEX('label approval artwork'!J:J,MATCH( G521,'label approval artwork'!F:F,0)))</f>
        <v/>
      </c>
      <c r="R521" s="105" t="str">
        <f t="array" ref="R521">IFERROR( IF(P521&lt;&gt;"EMA",INDEX('label approval artwork'!H:H,MATCH(G521,'label approval artwork'!F:F,0),"")),"")</f>
        <v/>
      </c>
      <c r="S521" s="105"/>
      <c r="T521" s="105" t="str">
        <f t="array" ref="T521">IF(ISBLANK(G521),"",INDEX('POR Config List'!I:I,MATCH(G521,'POR Config List'!D:D,0)))</f>
        <v/>
      </c>
      <c r="AA521" s="100" t="str">
        <f t="array" ref="AA521">IF(ISBLANK(G521),"",INDEX('POR Config List'!E:E,MATCH(G521,'POR Config List'!D:D,0)))</f>
        <v/>
      </c>
      <c r="AC521" s="105"/>
      <c r="AD521" s="100"/>
      <c r="AE521" s="100"/>
      <c r="AF521" s="100"/>
      <c r="AG521" s="100"/>
      <c r="AM521" s="102"/>
      <c r="AN521" s="102"/>
      <c r="AR521" s="119"/>
      <c r="AS521" s="103"/>
    </row>
    <row r="522">
      <c r="A522" s="168"/>
      <c r="B522" s="100" t="str">
        <f t="array" ref="B522">IFERROR( INDEX('POR Config List'!A:A,MATCH(G522,'POR Config List'!D:D,0)),"")</f>
        <v/>
      </c>
      <c r="C522" s="101" t="str">
        <f t="array" ref="C522">IFERROR(INDEX('label approval artwork'!E:E,MATCH(G522,'label approval artwork'!F:F,0),""),"")</f>
        <v/>
      </c>
      <c r="D522" s="102" t="str">
        <f t="shared" si="3"/>
        <v/>
      </c>
      <c r="E522" s="100" t="str">
        <f t="array" ref="E522">IF(ISBLANK(G522),"",INDEX('POR Config List'!K:K,MATCH(G522,'POR Config List'!D:D,0)))</f>
        <v/>
      </c>
      <c r="F522" s="100" t="str">
        <f t="array" ref="F522">IF(ISBLANK(G522),"",INDEX('POR Config List'!J:J,MATCH(G522,'POR Config List'!D:D,0)))</f>
        <v/>
      </c>
      <c r="G522" s="168"/>
      <c r="H522" s="104" t="str">
        <f t="array" ref="H522">IF(ISBLANK(G522),"",INDEX('MP SKUs'!G:G,MATCH(G522,'MP SKUs'!A:A,0)))</f>
        <v/>
      </c>
      <c r="I522" s="105" t="str">
        <f t="array" ref="I522">IF(ISBLANK(G522),"",INDEX('POR Config List'!O:O,MATCH(G522,'POR Config List'!D:D,0)))</f>
        <v/>
      </c>
      <c r="J522" s="104" t="str">
        <f t="array" ref="J522">IF(ISBLANK(G522),"",INDEX('POR Config List'!H:H,MATCH(G522,'POR Config List'!D:D,0)))</f>
        <v/>
      </c>
      <c r="K522" s="105" t="str">
        <f t="array" ref="K522">IF(ISBLANK(G522),"",INDEX('POR Config List'!G:G,MATCH(G522,'POR Config List'!D:D,0)))</f>
        <v/>
      </c>
      <c r="L522" s="105"/>
      <c r="M522" s="105" t="str">
        <f t="array" ref="M522">IF(ISBLANK(G522),"",INDEX('label approval artwork'!Q:Q,MATCH( G522,'label approval artwork'!F:F,0)))</f>
        <v/>
      </c>
      <c r="N522" s="169" t="str">
        <f t="shared" si="5"/>
        <v/>
      </c>
      <c r="O522" s="102" t="str">
        <f t="array" ref="O522">IF(ISBLANK(G522),"",INDEX('POR Config List'!C:C,MATCH(G522,'POR Config List'!D:D,0)))</f>
        <v/>
      </c>
      <c r="P522" s="105" t="str">
        <f t="shared" si="4"/>
        <v/>
      </c>
      <c r="Q522" s="105" t="str">
        <f t="array" ref="Q522">IF(ISBLANK(G522),"",INDEX('label approval artwork'!J:J,MATCH( G522,'label approval artwork'!F:F,0)))</f>
        <v/>
      </c>
      <c r="R522" s="105" t="str">
        <f t="array" ref="R522">IFERROR( IF(P522&lt;&gt;"EMA",INDEX('label approval artwork'!H:H,MATCH(G522,'label approval artwork'!F:F,0),"")),"")</f>
        <v/>
      </c>
      <c r="S522" s="105"/>
      <c r="T522" s="105" t="str">
        <f t="array" ref="T522">IF(ISBLANK(G522),"",INDEX('POR Config List'!I:I,MATCH(G522,'POR Config List'!D:D,0)))</f>
        <v/>
      </c>
      <c r="AA522" s="100" t="str">
        <f t="array" ref="AA522">IF(ISBLANK(G522),"",INDEX('POR Config List'!E:E,MATCH(G522,'POR Config List'!D:D,0)))</f>
        <v/>
      </c>
      <c r="AC522" s="105"/>
      <c r="AD522" s="100"/>
      <c r="AE522" s="100"/>
      <c r="AF522" s="100"/>
      <c r="AG522" s="100"/>
      <c r="AM522" s="102"/>
      <c r="AN522" s="102"/>
      <c r="AR522" s="119"/>
      <c r="AS522" s="103"/>
    </row>
    <row r="523">
      <c r="A523" s="168"/>
      <c r="B523" s="100" t="str">
        <f t="array" ref="B523">IFERROR( INDEX('POR Config List'!A:A,MATCH(G523,'POR Config List'!D:D,0)),"")</f>
        <v/>
      </c>
      <c r="C523" s="101" t="str">
        <f t="array" ref="C523">IFERROR(INDEX('label approval artwork'!E:E,MATCH(G523,'label approval artwork'!F:F,0),""),"")</f>
        <v/>
      </c>
      <c r="D523" s="102" t="str">
        <f t="shared" si="3"/>
        <v/>
      </c>
      <c r="E523" s="100" t="str">
        <f t="array" ref="E523">IF(ISBLANK(G523),"",INDEX('POR Config List'!K:K,MATCH(G523,'POR Config List'!D:D,0)))</f>
        <v/>
      </c>
      <c r="F523" s="100" t="str">
        <f t="array" ref="F523">IF(ISBLANK(G523),"",INDEX('POR Config List'!J:J,MATCH(G523,'POR Config List'!D:D,0)))</f>
        <v/>
      </c>
      <c r="G523" s="168"/>
      <c r="H523" s="104" t="str">
        <f t="array" ref="H523">IF(ISBLANK(G523),"",INDEX('MP SKUs'!G:G,MATCH(G523,'MP SKUs'!A:A,0)))</f>
        <v/>
      </c>
      <c r="I523" s="105" t="str">
        <f t="array" ref="I523">IF(ISBLANK(G523),"",INDEX('POR Config List'!O:O,MATCH(G523,'POR Config List'!D:D,0)))</f>
        <v/>
      </c>
      <c r="J523" s="104" t="str">
        <f t="array" ref="J523">IF(ISBLANK(G523),"",INDEX('POR Config List'!H:H,MATCH(G523,'POR Config List'!D:D,0)))</f>
        <v/>
      </c>
      <c r="K523" s="105" t="str">
        <f t="array" ref="K523">IF(ISBLANK(G523),"",INDEX('POR Config List'!G:G,MATCH(G523,'POR Config List'!D:D,0)))</f>
        <v/>
      </c>
      <c r="L523" s="105"/>
      <c r="M523" s="105" t="str">
        <f t="array" ref="M523">IF(ISBLANK(G523),"",INDEX('label approval artwork'!Q:Q,MATCH( G523,'label approval artwork'!F:F,0)))</f>
        <v/>
      </c>
      <c r="N523" s="169" t="str">
        <f t="shared" si="5"/>
        <v/>
      </c>
      <c r="O523" s="102" t="str">
        <f t="array" ref="O523">IF(ISBLANK(G523),"",INDEX('POR Config List'!C:C,MATCH(G523,'POR Config List'!D:D,0)))</f>
        <v/>
      </c>
      <c r="P523" s="105" t="str">
        <f t="shared" si="4"/>
        <v/>
      </c>
      <c r="Q523" s="105" t="str">
        <f t="array" ref="Q523">IF(ISBLANK(G523),"",INDEX('label approval artwork'!J:J,MATCH( G523,'label approval artwork'!F:F,0)))</f>
        <v/>
      </c>
      <c r="R523" s="105" t="str">
        <f t="array" ref="R523">IFERROR( IF(P523&lt;&gt;"EMA",INDEX('label approval artwork'!H:H,MATCH(G523,'label approval artwork'!F:F,0),"")),"")</f>
        <v/>
      </c>
      <c r="S523" s="105"/>
      <c r="T523" s="105" t="str">
        <f t="array" ref="T523">IF(ISBLANK(G523),"",INDEX('POR Config List'!I:I,MATCH(G523,'POR Config List'!D:D,0)))</f>
        <v/>
      </c>
      <c r="AA523" s="100" t="str">
        <f t="array" ref="AA523">IF(ISBLANK(G523),"",INDEX('POR Config List'!E:E,MATCH(G523,'POR Config List'!D:D,0)))</f>
        <v/>
      </c>
      <c r="AC523" s="105"/>
      <c r="AD523" s="100"/>
      <c r="AE523" s="100"/>
      <c r="AF523" s="100"/>
      <c r="AG523" s="100"/>
      <c r="AM523" s="102"/>
      <c r="AN523" s="102"/>
      <c r="AR523" s="119"/>
      <c r="AS523" s="103"/>
    </row>
    <row r="524">
      <c r="A524" s="168"/>
      <c r="B524" s="100" t="str">
        <f t="array" ref="B524">IFERROR( INDEX('POR Config List'!A:A,MATCH(G524,'POR Config List'!D:D,0)),"")</f>
        <v/>
      </c>
      <c r="C524" s="101" t="str">
        <f t="array" ref="C524">IFERROR(INDEX('label approval artwork'!E:E,MATCH(G524,'label approval artwork'!F:F,0),""),"")</f>
        <v/>
      </c>
      <c r="D524" s="102" t="str">
        <f t="shared" si="3"/>
        <v/>
      </c>
      <c r="E524" s="100" t="str">
        <f t="array" ref="E524">IF(ISBLANK(G524),"",INDEX('POR Config List'!K:K,MATCH(G524,'POR Config List'!D:D,0)))</f>
        <v/>
      </c>
      <c r="F524" s="100" t="str">
        <f t="array" ref="F524">IF(ISBLANK(G524),"",INDEX('POR Config List'!J:J,MATCH(G524,'POR Config List'!D:D,0)))</f>
        <v/>
      </c>
      <c r="G524" s="168"/>
      <c r="H524" s="104" t="str">
        <f t="array" ref="H524">IF(ISBLANK(G524),"",INDEX('MP SKUs'!G:G,MATCH(G524,'MP SKUs'!A:A,0)))</f>
        <v/>
      </c>
      <c r="I524" s="105" t="str">
        <f t="array" ref="I524">IF(ISBLANK(G524),"",INDEX('POR Config List'!O:O,MATCH(G524,'POR Config List'!D:D,0)))</f>
        <v/>
      </c>
      <c r="J524" s="104" t="str">
        <f t="array" ref="J524">IF(ISBLANK(G524),"",INDEX('POR Config List'!H:H,MATCH(G524,'POR Config List'!D:D,0)))</f>
        <v/>
      </c>
      <c r="K524" s="105" t="str">
        <f t="array" ref="K524">IF(ISBLANK(G524),"",INDEX('POR Config List'!G:G,MATCH(G524,'POR Config List'!D:D,0)))</f>
        <v/>
      </c>
      <c r="L524" s="105"/>
      <c r="M524" s="105" t="str">
        <f t="array" ref="M524">IF(ISBLANK(G524),"",INDEX('label approval artwork'!Q:Q,MATCH( G524,'label approval artwork'!F:F,0)))</f>
        <v/>
      </c>
      <c r="N524" s="169" t="str">
        <f t="shared" si="5"/>
        <v/>
      </c>
      <c r="O524" s="102" t="str">
        <f t="array" ref="O524">IF(ISBLANK(G524),"",INDEX('POR Config List'!C:C,MATCH(G524,'POR Config List'!D:D,0)))</f>
        <v/>
      </c>
      <c r="P524" s="105" t="str">
        <f t="shared" si="4"/>
        <v/>
      </c>
      <c r="Q524" s="105" t="str">
        <f t="array" ref="Q524">IF(ISBLANK(G524),"",INDEX('label approval artwork'!J:J,MATCH( G524,'label approval artwork'!F:F,0)))</f>
        <v/>
      </c>
      <c r="R524" s="105" t="str">
        <f t="array" ref="R524">IFERROR( IF(P524&lt;&gt;"EMA",INDEX('label approval artwork'!H:H,MATCH(G524,'label approval artwork'!F:F,0),"")),"")</f>
        <v/>
      </c>
      <c r="S524" s="105"/>
      <c r="T524" s="105" t="str">
        <f t="array" ref="T524">IF(ISBLANK(G524),"",INDEX('POR Config List'!I:I,MATCH(G524,'POR Config List'!D:D,0)))</f>
        <v/>
      </c>
      <c r="AA524" s="100" t="str">
        <f t="array" ref="AA524">IF(ISBLANK(G524),"",INDEX('POR Config List'!E:E,MATCH(G524,'POR Config List'!D:D,0)))</f>
        <v/>
      </c>
      <c r="AC524" s="105"/>
      <c r="AD524" s="100"/>
      <c r="AE524" s="100"/>
      <c r="AF524" s="100"/>
      <c r="AG524" s="100"/>
      <c r="AM524" s="102"/>
      <c r="AN524" s="102"/>
      <c r="AR524" s="119"/>
      <c r="AS524" s="103"/>
    </row>
    <row r="525">
      <c r="A525" s="168"/>
      <c r="B525" s="100" t="str">
        <f t="array" ref="B525">IFERROR( INDEX('POR Config List'!A:A,MATCH(G525,'POR Config List'!D:D,0)),"")</f>
        <v/>
      </c>
      <c r="C525" s="101" t="str">
        <f t="array" ref="C525">IFERROR(INDEX('label approval artwork'!E:E,MATCH(G525,'label approval artwork'!F:F,0),""),"")</f>
        <v/>
      </c>
      <c r="D525" s="102" t="str">
        <f t="shared" si="3"/>
        <v/>
      </c>
      <c r="E525" s="100" t="str">
        <f t="array" ref="E525">IF(ISBLANK(G525),"",INDEX('POR Config List'!K:K,MATCH(G525,'POR Config List'!D:D,0)))</f>
        <v/>
      </c>
      <c r="F525" s="100" t="str">
        <f t="array" ref="F525">IF(ISBLANK(G525),"",INDEX('POR Config List'!J:J,MATCH(G525,'POR Config List'!D:D,0)))</f>
        <v/>
      </c>
      <c r="G525" s="168"/>
      <c r="H525" s="104" t="str">
        <f t="array" ref="H525">IF(ISBLANK(G525),"",INDEX('MP SKUs'!G:G,MATCH(G525,'MP SKUs'!A:A,0)))</f>
        <v/>
      </c>
      <c r="I525" s="105" t="str">
        <f t="array" ref="I525">IF(ISBLANK(G525),"",INDEX('POR Config List'!O:O,MATCH(G525,'POR Config List'!D:D,0)))</f>
        <v/>
      </c>
      <c r="J525" s="104" t="str">
        <f t="array" ref="J525">IF(ISBLANK(G525),"",INDEX('POR Config List'!H:H,MATCH(G525,'POR Config List'!D:D,0)))</f>
        <v/>
      </c>
      <c r="K525" s="105" t="str">
        <f t="array" ref="K525">IF(ISBLANK(G525),"",INDEX('POR Config List'!G:G,MATCH(G525,'POR Config List'!D:D,0)))</f>
        <v/>
      </c>
      <c r="L525" s="105"/>
      <c r="M525" s="105" t="str">
        <f t="array" ref="M525">IF(ISBLANK(G525),"",INDEX('label approval artwork'!Q:Q,MATCH( G525,'label approval artwork'!F:F,0)))</f>
        <v/>
      </c>
      <c r="N525" s="169" t="str">
        <f t="shared" si="5"/>
        <v/>
      </c>
      <c r="O525" s="102" t="str">
        <f t="array" ref="O525">IF(ISBLANK(G525),"",INDEX('POR Config List'!C:C,MATCH(G525,'POR Config List'!D:D,0)))</f>
        <v/>
      </c>
      <c r="P525" s="105" t="str">
        <f t="shared" si="4"/>
        <v/>
      </c>
      <c r="Q525" s="105" t="str">
        <f t="array" ref="Q525">IF(ISBLANK(G525),"",INDEX('label approval artwork'!J:J,MATCH( G525,'label approval artwork'!F:F,0)))</f>
        <v/>
      </c>
      <c r="R525" s="105" t="str">
        <f t="array" ref="R525">IFERROR( IF(P525&lt;&gt;"EMA",INDEX('label approval artwork'!H:H,MATCH(G525,'label approval artwork'!F:F,0),"")),"")</f>
        <v/>
      </c>
      <c r="S525" s="105"/>
      <c r="T525" s="105" t="str">
        <f t="array" ref="T525">IF(ISBLANK(G525),"",INDEX('POR Config List'!I:I,MATCH(G525,'POR Config List'!D:D,0)))</f>
        <v/>
      </c>
      <c r="AA525" s="100" t="str">
        <f t="array" ref="AA525">IF(ISBLANK(G525),"",INDEX('POR Config List'!E:E,MATCH(G525,'POR Config List'!D:D,0)))</f>
        <v/>
      </c>
      <c r="AC525" s="105"/>
      <c r="AD525" s="100"/>
      <c r="AE525" s="100"/>
      <c r="AF525" s="100"/>
      <c r="AG525" s="100"/>
      <c r="AM525" s="102"/>
      <c r="AN525" s="102"/>
      <c r="AR525" s="119"/>
      <c r="AS525" s="103"/>
    </row>
    <row r="526">
      <c r="A526" s="168"/>
      <c r="B526" s="100" t="str">
        <f t="array" ref="B526">IFERROR( INDEX('POR Config List'!A:A,MATCH(G526,'POR Config List'!D:D,0)),"")</f>
        <v/>
      </c>
      <c r="C526" s="101" t="str">
        <f t="array" ref="C526">IFERROR(INDEX('label approval artwork'!E:E,MATCH(G526,'label approval artwork'!F:F,0),""),"")</f>
        <v/>
      </c>
      <c r="D526" s="102" t="str">
        <f t="shared" si="3"/>
        <v/>
      </c>
      <c r="E526" s="100" t="str">
        <f t="array" ref="E526">IF(ISBLANK(G526),"",INDEX('POR Config List'!K:K,MATCH(G526,'POR Config List'!D:D,0)))</f>
        <v/>
      </c>
      <c r="F526" s="100" t="str">
        <f t="array" ref="F526">IF(ISBLANK(G526),"",INDEX('POR Config List'!J:J,MATCH(G526,'POR Config List'!D:D,0)))</f>
        <v/>
      </c>
      <c r="G526" s="168"/>
      <c r="H526" s="104" t="str">
        <f t="array" ref="H526">IF(ISBLANK(G526),"",INDEX('MP SKUs'!G:G,MATCH(G526,'MP SKUs'!A:A,0)))</f>
        <v/>
      </c>
      <c r="I526" s="105" t="str">
        <f t="array" ref="I526">IF(ISBLANK(G526),"",INDEX('POR Config List'!O:O,MATCH(G526,'POR Config List'!D:D,0)))</f>
        <v/>
      </c>
      <c r="J526" s="104" t="str">
        <f t="array" ref="J526">IF(ISBLANK(G526),"",INDEX('POR Config List'!H:H,MATCH(G526,'POR Config List'!D:D,0)))</f>
        <v/>
      </c>
      <c r="K526" s="105" t="str">
        <f t="array" ref="K526">IF(ISBLANK(G526),"",INDEX('POR Config List'!G:G,MATCH(G526,'POR Config List'!D:D,0)))</f>
        <v/>
      </c>
      <c r="L526" s="105"/>
      <c r="M526" s="105" t="str">
        <f t="array" ref="M526">IF(ISBLANK(G526),"",INDEX('label approval artwork'!Q:Q,MATCH( G526,'label approval artwork'!F:F,0)))</f>
        <v/>
      </c>
      <c r="N526" s="169" t="str">
        <f t="shared" si="5"/>
        <v/>
      </c>
      <c r="O526" s="102" t="str">
        <f t="array" ref="O526">IF(ISBLANK(G526),"",INDEX('POR Config List'!C:C,MATCH(G526,'POR Config List'!D:D,0)))</f>
        <v/>
      </c>
      <c r="P526" s="105" t="str">
        <f t="shared" si="4"/>
        <v/>
      </c>
      <c r="Q526" s="105" t="str">
        <f t="array" ref="Q526">IF(ISBLANK(G526),"",INDEX('label approval artwork'!J:J,MATCH( G526,'label approval artwork'!F:F,0)))</f>
        <v/>
      </c>
      <c r="R526" s="105" t="str">
        <f t="array" ref="R526">IFERROR( IF(P526&lt;&gt;"EMA",INDEX('label approval artwork'!H:H,MATCH(G526,'label approval artwork'!F:F,0),"")),"")</f>
        <v/>
      </c>
      <c r="S526" s="105"/>
      <c r="T526" s="105" t="str">
        <f t="array" ref="T526">IF(ISBLANK(G526),"",INDEX('POR Config List'!I:I,MATCH(G526,'POR Config List'!D:D,0)))</f>
        <v/>
      </c>
      <c r="AA526" s="100" t="str">
        <f t="array" ref="AA526">IF(ISBLANK(G526),"",INDEX('POR Config List'!E:E,MATCH(G526,'POR Config List'!D:D,0)))</f>
        <v/>
      </c>
      <c r="AC526" s="105"/>
      <c r="AD526" s="100"/>
      <c r="AE526" s="100"/>
      <c r="AF526" s="100"/>
      <c r="AG526" s="100"/>
      <c r="AM526" s="102"/>
      <c r="AN526" s="102"/>
      <c r="AR526" s="119"/>
      <c r="AS526" s="103"/>
    </row>
    <row r="527">
      <c r="A527" s="168"/>
      <c r="B527" s="100" t="str">
        <f t="array" ref="B527">IFERROR( INDEX('POR Config List'!A:A,MATCH(G527,'POR Config List'!D:D,0)),"")</f>
        <v/>
      </c>
      <c r="C527" s="101" t="str">
        <f t="array" ref="C527">IFERROR(INDEX('label approval artwork'!E:E,MATCH(G527,'label approval artwork'!F:F,0),""),"")</f>
        <v/>
      </c>
      <c r="D527" s="102" t="str">
        <f t="shared" si="3"/>
        <v/>
      </c>
      <c r="E527" s="100" t="str">
        <f t="array" ref="E527">IF(ISBLANK(G527),"",INDEX('POR Config List'!K:K,MATCH(G527,'POR Config List'!D:D,0)))</f>
        <v/>
      </c>
      <c r="F527" s="100" t="str">
        <f t="array" ref="F527">IF(ISBLANK(G527),"",INDEX('POR Config List'!J:J,MATCH(G527,'POR Config List'!D:D,0)))</f>
        <v/>
      </c>
      <c r="G527" s="168"/>
      <c r="H527" s="104" t="str">
        <f t="array" ref="H527">IF(ISBLANK(G527),"",INDEX('MP SKUs'!G:G,MATCH(G527,'MP SKUs'!A:A,0)))</f>
        <v/>
      </c>
      <c r="I527" s="105" t="str">
        <f t="array" ref="I527">IF(ISBLANK(G527),"",INDEX('POR Config List'!O:O,MATCH(G527,'POR Config List'!D:D,0)))</f>
        <v/>
      </c>
      <c r="J527" s="104" t="str">
        <f t="array" ref="J527">IF(ISBLANK(G527),"",INDEX('POR Config List'!H:H,MATCH(G527,'POR Config List'!D:D,0)))</f>
        <v/>
      </c>
      <c r="K527" s="105" t="str">
        <f t="array" ref="K527">IF(ISBLANK(G527),"",INDEX('POR Config List'!G:G,MATCH(G527,'POR Config List'!D:D,0)))</f>
        <v/>
      </c>
      <c r="L527" s="105"/>
      <c r="M527" s="105" t="str">
        <f t="array" ref="M527">IF(ISBLANK(G527),"",INDEX('label approval artwork'!Q:Q,MATCH( G527,'label approval artwork'!F:F,0)))</f>
        <v/>
      </c>
      <c r="N527" s="169" t="str">
        <f t="shared" si="5"/>
        <v/>
      </c>
      <c r="O527" s="102" t="str">
        <f t="array" ref="O527">IF(ISBLANK(G527),"",INDEX('POR Config List'!C:C,MATCH(G527,'POR Config List'!D:D,0)))</f>
        <v/>
      </c>
      <c r="P527" s="105" t="str">
        <f t="shared" si="4"/>
        <v/>
      </c>
      <c r="Q527" s="105" t="str">
        <f t="array" ref="Q527">IF(ISBLANK(G527),"",INDEX('label approval artwork'!J:J,MATCH( G527,'label approval artwork'!F:F,0)))</f>
        <v/>
      </c>
      <c r="R527" s="105" t="str">
        <f t="array" ref="R527">IFERROR( IF(P527&lt;&gt;"EMA",INDEX('label approval artwork'!H:H,MATCH(G527,'label approval artwork'!F:F,0),"")),"")</f>
        <v/>
      </c>
      <c r="S527" s="105"/>
      <c r="T527" s="105" t="str">
        <f t="array" ref="T527">IF(ISBLANK(G527),"",INDEX('POR Config List'!I:I,MATCH(G527,'POR Config List'!D:D,0)))</f>
        <v/>
      </c>
      <c r="AA527" s="100" t="str">
        <f t="array" ref="AA527">IF(ISBLANK(G527),"",INDEX('POR Config List'!E:E,MATCH(G527,'POR Config List'!D:D,0)))</f>
        <v/>
      </c>
      <c r="AC527" s="105"/>
      <c r="AD527" s="100"/>
      <c r="AE527" s="100"/>
      <c r="AF527" s="100"/>
      <c r="AG527" s="100"/>
      <c r="AM527" s="102"/>
      <c r="AN527" s="102"/>
      <c r="AR527" s="119"/>
      <c r="AS527" s="103"/>
    </row>
    <row r="528">
      <c r="A528" s="168"/>
      <c r="B528" s="100" t="str">
        <f t="array" ref="B528">IFERROR( INDEX('POR Config List'!A:A,MATCH(G528,'POR Config List'!D:D,0)),"")</f>
        <v/>
      </c>
      <c r="C528" s="101" t="str">
        <f t="array" ref="C528">IFERROR(INDEX('label approval artwork'!E:E,MATCH(G528,'label approval artwork'!F:F,0),""),"")</f>
        <v/>
      </c>
      <c r="D528" s="102" t="str">
        <f t="shared" si="3"/>
        <v/>
      </c>
      <c r="E528" s="100" t="str">
        <f t="array" ref="E528">IF(ISBLANK(G528),"",INDEX('POR Config List'!K:K,MATCH(G528,'POR Config List'!D:D,0)))</f>
        <v/>
      </c>
      <c r="F528" s="100" t="str">
        <f t="array" ref="F528">IF(ISBLANK(G528),"",INDEX('POR Config List'!J:J,MATCH(G528,'POR Config List'!D:D,0)))</f>
        <v/>
      </c>
      <c r="G528" s="168"/>
      <c r="H528" s="104" t="str">
        <f t="array" ref="H528">IF(ISBLANK(G528),"",INDEX('MP SKUs'!G:G,MATCH(G528,'MP SKUs'!A:A,0)))</f>
        <v/>
      </c>
      <c r="I528" s="105" t="str">
        <f t="array" ref="I528">IF(ISBLANK(G528),"",INDEX('POR Config List'!O:O,MATCH(G528,'POR Config List'!D:D,0)))</f>
        <v/>
      </c>
      <c r="J528" s="104" t="str">
        <f t="array" ref="J528">IF(ISBLANK(G528),"",INDEX('POR Config List'!H:H,MATCH(G528,'POR Config List'!D:D,0)))</f>
        <v/>
      </c>
      <c r="K528" s="105" t="str">
        <f t="array" ref="K528">IF(ISBLANK(G528),"",INDEX('POR Config List'!G:G,MATCH(G528,'POR Config List'!D:D,0)))</f>
        <v/>
      </c>
      <c r="L528" s="105"/>
      <c r="M528" s="105" t="str">
        <f t="array" ref="M528">IF(ISBLANK(G528),"",INDEX('label approval artwork'!Q:Q,MATCH( G528,'label approval artwork'!F:F,0)))</f>
        <v/>
      </c>
      <c r="N528" s="169" t="str">
        <f t="shared" si="5"/>
        <v/>
      </c>
      <c r="O528" s="102" t="str">
        <f t="array" ref="O528">IF(ISBLANK(G528),"",INDEX('POR Config List'!C:C,MATCH(G528,'POR Config List'!D:D,0)))</f>
        <v/>
      </c>
      <c r="P528" s="105" t="str">
        <f t="shared" si="4"/>
        <v/>
      </c>
      <c r="Q528" s="105" t="str">
        <f t="array" ref="Q528">IF(ISBLANK(G528),"",INDEX('label approval artwork'!J:J,MATCH( G528,'label approval artwork'!F:F,0)))</f>
        <v/>
      </c>
      <c r="R528" s="105" t="str">
        <f t="array" ref="R528">IFERROR( IF(P528&lt;&gt;"EMA",INDEX('label approval artwork'!H:H,MATCH(G528,'label approval artwork'!F:F,0),"")),"")</f>
        <v/>
      </c>
      <c r="S528" s="105"/>
      <c r="T528" s="105" t="str">
        <f t="array" ref="T528">IF(ISBLANK(G528),"",INDEX('POR Config List'!I:I,MATCH(G528,'POR Config List'!D:D,0)))</f>
        <v/>
      </c>
      <c r="AA528" s="100" t="str">
        <f t="array" ref="AA528">IF(ISBLANK(G528),"",INDEX('POR Config List'!E:E,MATCH(G528,'POR Config List'!D:D,0)))</f>
        <v/>
      </c>
      <c r="AC528" s="105"/>
      <c r="AD528" s="100"/>
      <c r="AE528" s="100"/>
      <c r="AF528" s="100"/>
      <c r="AG528" s="100"/>
      <c r="AM528" s="102"/>
      <c r="AN528" s="102"/>
      <c r="AR528" s="119"/>
      <c r="AS528" s="103"/>
    </row>
    <row r="529">
      <c r="A529" s="168"/>
      <c r="B529" s="100" t="str">
        <f t="array" ref="B529">IFERROR( INDEX('POR Config List'!A:A,MATCH(G529,'POR Config List'!D:D,0)),"")</f>
        <v/>
      </c>
      <c r="C529" s="101" t="str">
        <f t="array" ref="C529">IFERROR(INDEX('label approval artwork'!E:E,MATCH(G529,'label approval artwork'!F:F,0),""),"")</f>
        <v/>
      </c>
      <c r="D529" s="102" t="str">
        <f t="shared" si="3"/>
        <v/>
      </c>
      <c r="E529" s="100" t="str">
        <f t="array" ref="E529">IF(ISBLANK(G529),"",INDEX('POR Config List'!K:K,MATCH(G529,'POR Config List'!D:D,0)))</f>
        <v/>
      </c>
      <c r="F529" s="100" t="str">
        <f t="array" ref="F529">IF(ISBLANK(G529),"",INDEX('POR Config List'!J:J,MATCH(G529,'POR Config List'!D:D,0)))</f>
        <v/>
      </c>
      <c r="G529" s="168"/>
      <c r="H529" s="104" t="str">
        <f t="array" ref="H529">IF(ISBLANK(G529),"",INDEX('MP SKUs'!G:G,MATCH(G529,'MP SKUs'!A:A,0)))</f>
        <v/>
      </c>
      <c r="I529" s="105" t="str">
        <f t="array" ref="I529">IF(ISBLANK(G529),"",INDEX('POR Config List'!O:O,MATCH(G529,'POR Config List'!D:D,0)))</f>
        <v/>
      </c>
      <c r="J529" s="104" t="str">
        <f t="array" ref="J529">IF(ISBLANK(G529),"",INDEX('POR Config List'!H:H,MATCH(G529,'POR Config List'!D:D,0)))</f>
        <v/>
      </c>
      <c r="K529" s="105" t="str">
        <f t="array" ref="K529">IF(ISBLANK(G529),"",INDEX('POR Config List'!G:G,MATCH(G529,'POR Config List'!D:D,0)))</f>
        <v/>
      </c>
      <c r="L529" s="105"/>
      <c r="M529" s="105" t="str">
        <f t="array" ref="M529">IF(ISBLANK(G529),"",INDEX('label approval artwork'!Q:Q,MATCH( G529,'label approval artwork'!F:F,0)))</f>
        <v/>
      </c>
      <c r="N529" s="169" t="str">
        <f t="shared" si="5"/>
        <v/>
      </c>
      <c r="O529" s="102" t="str">
        <f t="array" ref="O529">IF(ISBLANK(G529),"",INDEX('POR Config List'!C:C,MATCH(G529,'POR Config List'!D:D,0)))</f>
        <v/>
      </c>
      <c r="P529" s="105" t="str">
        <f t="shared" si="4"/>
        <v/>
      </c>
      <c r="Q529" s="105" t="str">
        <f t="array" ref="Q529">IF(ISBLANK(G529),"",INDEX('label approval artwork'!J:J,MATCH( G529,'label approval artwork'!F:F,0)))</f>
        <v/>
      </c>
      <c r="R529" s="105" t="str">
        <f t="array" ref="R529">IFERROR( IF(P529&lt;&gt;"EMA",INDEX('label approval artwork'!H:H,MATCH(G529,'label approval artwork'!F:F,0),"")),"")</f>
        <v/>
      </c>
      <c r="S529" s="105"/>
      <c r="T529" s="105" t="str">
        <f t="array" ref="T529">IF(ISBLANK(G529),"",INDEX('POR Config List'!I:I,MATCH(G529,'POR Config List'!D:D,0)))</f>
        <v/>
      </c>
      <c r="AA529" s="100" t="str">
        <f t="array" ref="AA529">IF(ISBLANK(G529),"",INDEX('POR Config List'!E:E,MATCH(G529,'POR Config List'!D:D,0)))</f>
        <v/>
      </c>
      <c r="AC529" s="105"/>
      <c r="AD529" s="100"/>
      <c r="AE529" s="100"/>
      <c r="AF529" s="100"/>
      <c r="AG529" s="100"/>
      <c r="AM529" s="102"/>
      <c r="AN529" s="102"/>
      <c r="AR529" s="119"/>
      <c r="AS529" s="103"/>
    </row>
    <row r="530">
      <c r="A530" s="168"/>
      <c r="B530" s="100" t="str">
        <f t="array" ref="B530">IFERROR( INDEX('POR Config List'!A:A,MATCH(G530,'POR Config List'!D:D,0)),"")</f>
        <v/>
      </c>
      <c r="C530" s="101" t="str">
        <f t="array" ref="C530">IFERROR(INDEX('label approval artwork'!E:E,MATCH(G530,'label approval artwork'!F:F,0),""),"")</f>
        <v/>
      </c>
      <c r="D530" s="102" t="str">
        <f t="shared" si="3"/>
        <v/>
      </c>
      <c r="E530" s="100" t="str">
        <f t="array" ref="E530">IF(ISBLANK(G530),"",INDEX('POR Config List'!K:K,MATCH(G530,'POR Config List'!D:D,0)))</f>
        <v/>
      </c>
      <c r="F530" s="100" t="str">
        <f t="array" ref="F530">IF(ISBLANK(G530),"",INDEX('POR Config List'!J:J,MATCH(G530,'POR Config List'!D:D,0)))</f>
        <v/>
      </c>
      <c r="G530" s="168"/>
      <c r="H530" s="104" t="str">
        <f t="array" ref="H530">IF(ISBLANK(G530),"",INDEX('MP SKUs'!G:G,MATCH(G530,'MP SKUs'!A:A,0)))</f>
        <v/>
      </c>
      <c r="I530" s="105" t="str">
        <f t="array" ref="I530">IF(ISBLANK(G530),"",INDEX('POR Config List'!O:O,MATCH(G530,'POR Config List'!D:D,0)))</f>
        <v/>
      </c>
      <c r="J530" s="104" t="str">
        <f t="array" ref="J530">IF(ISBLANK(G530),"",INDEX('POR Config List'!H:H,MATCH(G530,'POR Config List'!D:D,0)))</f>
        <v/>
      </c>
      <c r="K530" s="105" t="str">
        <f t="array" ref="K530">IF(ISBLANK(G530),"",INDEX('POR Config List'!G:G,MATCH(G530,'POR Config List'!D:D,0)))</f>
        <v/>
      </c>
      <c r="L530" s="105"/>
      <c r="M530" s="105" t="str">
        <f t="array" ref="M530">IF(ISBLANK(G530),"",INDEX('label approval artwork'!Q:Q,MATCH( G530,'label approval artwork'!F:F,0)))</f>
        <v/>
      </c>
      <c r="N530" s="169" t="str">
        <f t="shared" si="5"/>
        <v/>
      </c>
      <c r="O530" s="102" t="str">
        <f t="array" ref="O530">IF(ISBLANK(G530),"",INDEX('POR Config List'!C:C,MATCH(G530,'POR Config List'!D:D,0)))</f>
        <v/>
      </c>
      <c r="P530" s="105" t="str">
        <f t="shared" si="4"/>
        <v/>
      </c>
      <c r="Q530" s="105" t="str">
        <f t="array" ref="Q530">IF(ISBLANK(G530),"",INDEX('label approval artwork'!J:J,MATCH( G530,'label approval artwork'!F:F,0)))</f>
        <v/>
      </c>
      <c r="R530" s="105" t="str">
        <f t="array" ref="R530">IFERROR( IF(P530&lt;&gt;"EMA",INDEX('label approval artwork'!H:H,MATCH(G530,'label approval artwork'!F:F,0),"")),"")</f>
        <v/>
      </c>
      <c r="S530" s="105"/>
      <c r="T530" s="105" t="str">
        <f t="array" ref="T530">IF(ISBLANK(G530),"",INDEX('POR Config List'!I:I,MATCH(G530,'POR Config List'!D:D,0)))</f>
        <v/>
      </c>
      <c r="AA530" s="100" t="str">
        <f t="array" ref="AA530">IF(ISBLANK(G530),"",INDEX('POR Config List'!E:E,MATCH(G530,'POR Config List'!D:D,0)))</f>
        <v/>
      </c>
      <c r="AC530" s="105"/>
      <c r="AD530" s="100"/>
      <c r="AE530" s="100"/>
      <c r="AF530" s="100"/>
      <c r="AG530" s="100"/>
      <c r="AM530" s="102"/>
      <c r="AN530" s="102"/>
      <c r="AR530" s="119"/>
      <c r="AS530" s="103"/>
    </row>
    <row r="531">
      <c r="A531" s="168"/>
      <c r="B531" s="100" t="str">
        <f t="array" ref="B531">IFERROR( INDEX('POR Config List'!A:A,MATCH(G531,'POR Config List'!D:D,0)),"")</f>
        <v/>
      </c>
      <c r="C531" s="101" t="str">
        <f t="array" ref="C531">IFERROR(INDEX('label approval artwork'!E:E,MATCH(G531,'label approval artwork'!F:F,0),""),"")</f>
        <v/>
      </c>
      <c r="D531" s="102" t="str">
        <f t="shared" si="3"/>
        <v/>
      </c>
      <c r="E531" s="100" t="str">
        <f t="array" ref="E531">IF(ISBLANK(G531),"",INDEX('POR Config List'!K:K,MATCH(G531,'POR Config List'!D:D,0)))</f>
        <v/>
      </c>
      <c r="F531" s="100" t="str">
        <f t="array" ref="F531">IF(ISBLANK(G531),"",INDEX('POR Config List'!J:J,MATCH(G531,'POR Config List'!D:D,0)))</f>
        <v/>
      </c>
      <c r="G531" s="168"/>
      <c r="H531" s="104" t="str">
        <f t="array" ref="H531">IF(ISBLANK(G531),"",INDEX('MP SKUs'!G:G,MATCH(G531,'MP SKUs'!A:A,0)))</f>
        <v/>
      </c>
      <c r="I531" s="105" t="str">
        <f t="array" ref="I531">IF(ISBLANK(G531),"",INDEX('POR Config List'!O:O,MATCH(G531,'POR Config List'!D:D,0)))</f>
        <v/>
      </c>
      <c r="J531" s="104" t="str">
        <f t="array" ref="J531">IF(ISBLANK(G531),"",INDEX('POR Config List'!H:H,MATCH(G531,'POR Config List'!D:D,0)))</f>
        <v/>
      </c>
      <c r="K531" s="105" t="str">
        <f t="array" ref="K531">IF(ISBLANK(G531),"",INDEX('POR Config List'!G:G,MATCH(G531,'POR Config List'!D:D,0)))</f>
        <v/>
      </c>
      <c r="L531" s="105"/>
      <c r="M531" s="105" t="str">
        <f t="array" ref="M531">IF(ISBLANK(G531),"",INDEX('label approval artwork'!Q:Q,MATCH( G531,'label approval artwork'!F:F,0)))</f>
        <v/>
      </c>
      <c r="N531" s="169" t="str">
        <f t="shared" si="5"/>
        <v/>
      </c>
      <c r="O531" s="102" t="str">
        <f t="array" ref="O531">IF(ISBLANK(G531),"",INDEX('POR Config List'!C:C,MATCH(G531,'POR Config List'!D:D,0)))</f>
        <v/>
      </c>
      <c r="P531" s="105" t="str">
        <f t="shared" si="4"/>
        <v/>
      </c>
      <c r="Q531" s="105" t="str">
        <f t="array" ref="Q531">IF(ISBLANK(G531),"",INDEX('label approval artwork'!J:J,MATCH( G531,'label approval artwork'!F:F,0)))</f>
        <v/>
      </c>
      <c r="R531" s="105" t="str">
        <f t="array" ref="R531">IFERROR( IF(P531&lt;&gt;"EMA",INDEX('label approval artwork'!H:H,MATCH(G531,'label approval artwork'!F:F,0),"")),"")</f>
        <v/>
      </c>
      <c r="S531" s="105"/>
      <c r="T531" s="105" t="str">
        <f t="array" ref="T531">IF(ISBLANK(G531),"",INDEX('POR Config List'!I:I,MATCH(G531,'POR Config List'!D:D,0)))</f>
        <v/>
      </c>
      <c r="AA531" s="100" t="str">
        <f t="array" ref="AA531">IF(ISBLANK(G531),"",INDEX('POR Config List'!E:E,MATCH(G531,'POR Config List'!D:D,0)))</f>
        <v/>
      </c>
      <c r="AC531" s="105"/>
      <c r="AD531" s="100"/>
      <c r="AE531" s="100"/>
      <c r="AF531" s="100"/>
      <c r="AG531" s="100"/>
      <c r="AM531" s="102"/>
      <c r="AN531" s="102"/>
      <c r="AR531" s="119"/>
      <c r="AS531" s="103"/>
    </row>
    <row r="532">
      <c r="A532" s="168"/>
      <c r="B532" s="100" t="str">
        <f t="array" ref="B532">IFERROR( INDEX('POR Config List'!A:A,MATCH(G532,'POR Config List'!D:D,0)),"")</f>
        <v/>
      </c>
      <c r="C532" s="101" t="str">
        <f t="array" ref="C532">IFERROR(INDEX('label approval artwork'!E:E,MATCH(G532,'label approval artwork'!F:F,0),""),"")</f>
        <v/>
      </c>
      <c r="D532" s="102" t="str">
        <f t="shared" si="3"/>
        <v/>
      </c>
      <c r="E532" s="100" t="str">
        <f t="array" ref="E532">IF(ISBLANK(G532),"",INDEX('POR Config List'!K:K,MATCH(G532,'POR Config List'!D:D,0)))</f>
        <v/>
      </c>
      <c r="F532" s="100" t="str">
        <f t="array" ref="F532">IF(ISBLANK(G532),"",INDEX('POR Config List'!J:J,MATCH(G532,'POR Config List'!D:D,0)))</f>
        <v/>
      </c>
      <c r="G532" s="168"/>
      <c r="H532" s="104" t="str">
        <f t="array" ref="H532">IF(ISBLANK(G532),"",INDEX('MP SKUs'!G:G,MATCH(G532,'MP SKUs'!A:A,0)))</f>
        <v/>
      </c>
      <c r="I532" s="105" t="str">
        <f t="array" ref="I532">IF(ISBLANK(G532),"",INDEX('POR Config List'!O:O,MATCH(G532,'POR Config List'!D:D,0)))</f>
        <v/>
      </c>
      <c r="J532" s="104" t="str">
        <f t="array" ref="J532">IF(ISBLANK(G532),"",INDEX('POR Config List'!H:H,MATCH(G532,'POR Config List'!D:D,0)))</f>
        <v/>
      </c>
      <c r="K532" s="105" t="str">
        <f t="array" ref="K532">IF(ISBLANK(G532),"",INDEX('POR Config List'!G:G,MATCH(G532,'POR Config List'!D:D,0)))</f>
        <v/>
      </c>
      <c r="L532" s="105"/>
      <c r="M532" s="105" t="str">
        <f t="array" ref="M532">IF(ISBLANK(G532),"",INDEX('label approval artwork'!Q:Q,MATCH( G532,'label approval artwork'!F:F,0)))</f>
        <v/>
      </c>
      <c r="N532" s="169" t="str">
        <f t="shared" si="5"/>
        <v/>
      </c>
      <c r="O532" s="102" t="str">
        <f t="array" ref="O532">IF(ISBLANK(G532),"",INDEX('POR Config List'!C:C,MATCH(G532,'POR Config List'!D:D,0)))</f>
        <v/>
      </c>
      <c r="P532" s="105" t="str">
        <f t="shared" si="4"/>
        <v/>
      </c>
      <c r="Q532" s="105" t="str">
        <f t="array" ref="Q532">IF(ISBLANK(G532),"",INDEX('label approval artwork'!J:J,MATCH( G532,'label approval artwork'!F:F,0)))</f>
        <v/>
      </c>
      <c r="R532" s="105" t="str">
        <f t="array" ref="R532">IFERROR( IF(P532&lt;&gt;"EMA",INDEX('label approval artwork'!H:H,MATCH(G532,'label approval artwork'!F:F,0),"")),"")</f>
        <v/>
      </c>
      <c r="S532" s="105"/>
      <c r="T532" s="105" t="str">
        <f t="array" ref="T532">IF(ISBLANK(G532),"",INDEX('POR Config List'!I:I,MATCH(G532,'POR Config List'!D:D,0)))</f>
        <v/>
      </c>
      <c r="AA532" s="100" t="str">
        <f t="array" ref="AA532">IF(ISBLANK(G532),"",INDEX('POR Config List'!E:E,MATCH(G532,'POR Config List'!D:D,0)))</f>
        <v/>
      </c>
      <c r="AC532" s="105"/>
      <c r="AD532" s="100"/>
      <c r="AE532" s="100"/>
      <c r="AF532" s="100"/>
      <c r="AG532" s="100"/>
      <c r="AM532" s="102"/>
      <c r="AN532" s="102"/>
      <c r="AR532" s="119"/>
      <c r="AS532" s="103"/>
    </row>
    <row r="533">
      <c r="A533" s="168"/>
      <c r="B533" s="100" t="str">
        <f t="array" ref="B533">IFERROR( INDEX('POR Config List'!A:A,MATCH(G533,'POR Config List'!D:D,0)),"")</f>
        <v/>
      </c>
      <c r="C533" s="101" t="str">
        <f t="array" ref="C533">IFERROR(INDEX('label approval artwork'!E:E,MATCH(G533,'label approval artwork'!F:F,0),""),"")</f>
        <v/>
      </c>
      <c r="D533" s="102" t="str">
        <f t="shared" si="3"/>
        <v/>
      </c>
      <c r="E533" s="100" t="str">
        <f t="array" ref="E533">IF(ISBLANK(G533),"",INDEX('POR Config List'!K:K,MATCH(G533,'POR Config List'!D:D,0)))</f>
        <v/>
      </c>
      <c r="F533" s="100" t="str">
        <f t="array" ref="F533">IF(ISBLANK(G533),"",INDEX('POR Config List'!J:J,MATCH(G533,'POR Config List'!D:D,0)))</f>
        <v/>
      </c>
      <c r="G533" s="168"/>
      <c r="H533" s="104" t="str">
        <f t="array" ref="H533">IF(ISBLANK(G533),"",INDEX('MP SKUs'!G:G,MATCH(G533,'MP SKUs'!A:A,0)))</f>
        <v/>
      </c>
      <c r="I533" s="105" t="str">
        <f t="array" ref="I533">IF(ISBLANK(G533),"",INDEX('POR Config List'!O:O,MATCH(G533,'POR Config List'!D:D,0)))</f>
        <v/>
      </c>
      <c r="J533" s="104" t="str">
        <f t="array" ref="J533">IF(ISBLANK(G533),"",INDEX('POR Config List'!H:H,MATCH(G533,'POR Config List'!D:D,0)))</f>
        <v/>
      </c>
      <c r="K533" s="105" t="str">
        <f t="array" ref="K533">IF(ISBLANK(G533),"",INDEX('POR Config List'!G:G,MATCH(G533,'POR Config List'!D:D,0)))</f>
        <v/>
      </c>
      <c r="L533" s="105"/>
      <c r="M533" s="105" t="str">
        <f t="array" ref="M533">IF(ISBLANK(G533),"",INDEX('label approval artwork'!Q:Q,MATCH( G533,'label approval artwork'!F:F,0)))</f>
        <v/>
      </c>
      <c r="N533" s="169" t="str">
        <f t="shared" si="5"/>
        <v/>
      </c>
      <c r="O533" s="102" t="str">
        <f t="array" ref="O533">IF(ISBLANK(G533),"",INDEX('POR Config List'!C:C,MATCH(G533,'POR Config List'!D:D,0)))</f>
        <v/>
      </c>
      <c r="P533" s="105" t="str">
        <f t="shared" si="4"/>
        <v/>
      </c>
      <c r="Q533" s="105" t="str">
        <f t="array" ref="Q533">IF(ISBLANK(G533),"",INDEX('label approval artwork'!J:J,MATCH( G533,'label approval artwork'!F:F,0)))</f>
        <v/>
      </c>
      <c r="R533" s="105" t="str">
        <f t="array" ref="R533">IFERROR( IF(P533&lt;&gt;"EMA",INDEX('label approval artwork'!H:H,MATCH(G533,'label approval artwork'!F:F,0),"")),"")</f>
        <v/>
      </c>
      <c r="S533" s="105"/>
      <c r="T533" s="105" t="str">
        <f t="array" ref="T533">IF(ISBLANK(G533),"",INDEX('POR Config List'!I:I,MATCH(G533,'POR Config List'!D:D,0)))</f>
        <v/>
      </c>
      <c r="AA533" s="100" t="str">
        <f t="array" ref="AA533">IF(ISBLANK(G533),"",INDEX('POR Config List'!E:E,MATCH(G533,'POR Config List'!D:D,0)))</f>
        <v/>
      </c>
      <c r="AC533" s="105"/>
      <c r="AD533" s="100"/>
      <c r="AE533" s="100"/>
      <c r="AF533" s="100"/>
      <c r="AG533" s="100"/>
      <c r="AM533" s="102"/>
      <c r="AN533" s="102"/>
      <c r="AR533" s="119"/>
      <c r="AS533" s="103"/>
    </row>
    <row r="534">
      <c r="A534" s="168"/>
      <c r="B534" s="100" t="str">
        <f t="array" ref="B534">IFERROR( INDEX('POR Config List'!A:A,MATCH(G534,'POR Config List'!D:D,0)),"")</f>
        <v/>
      </c>
      <c r="C534" s="101" t="str">
        <f t="array" ref="C534">IFERROR(INDEX('label approval artwork'!E:E,MATCH(G534,'label approval artwork'!F:F,0),""),"")</f>
        <v/>
      </c>
      <c r="D534" s="102" t="str">
        <f t="shared" si="3"/>
        <v/>
      </c>
      <c r="E534" s="100" t="str">
        <f t="array" ref="E534">IF(ISBLANK(G534),"",INDEX('POR Config List'!K:K,MATCH(G534,'POR Config List'!D:D,0)))</f>
        <v/>
      </c>
      <c r="F534" s="100" t="str">
        <f t="array" ref="F534">IF(ISBLANK(G534),"",INDEX('POR Config List'!J:J,MATCH(G534,'POR Config List'!D:D,0)))</f>
        <v/>
      </c>
      <c r="G534" s="168"/>
      <c r="H534" s="104" t="str">
        <f t="array" ref="H534">IF(ISBLANK(G534),"",INDEX('MP SKUs'!G:G,MATCH(G534,'MP SKUs'!A:A,0)))</f>
        <v/>
      </c>
      <c r="I534" s="105" t="str">
        <f t="array" ref="I534">IF(ISBLANK(G534),"",INDEX('POR Config List'!O:O,MATCH(G534,'POR Config List'!D:D,0)))</f>
        <v/>
      </c>
      <c r="J534" s="104" t="str">
        <f t="array" ref="J534">IF(ISBLANK(G534),"",INDEX('POR Config List'!H:H,MATCH(G534,'POR Config List'!D:D,0)))</f>
        <v/>
      </c>
      <c r="K534" s="105" t="str">
        <f t="array" ref="K534">IF(ISBLANK(G534),"",INDEX('POR Config List'!G:G,MATCH(G534,'POR Config List'!D:D,0)))</f>
        <v/>
      </c>
      <c r="L534" s="105"/>
      <c r="M534" s="105" t="str">
        <f t="array" ref="M534">IF(ISBLANK(G534),"",INDEX('label approval artwork'!Q:Q,MATCH( G534,'label approval artwork'!F:F,0)))</f>
        <v/>
      </c>
      <c r="N534" s="169" t="str">
        <f t="shared" si="5"/>
        <v/>
      </c>
      <c r="O534" s="102" t="str">
        <f t="array" ref="O534">IF(ISBLANK(G534),"",INDEX('POR Config List'!C:C,MATCH(G534,'POR Config List'!D:D,0)))</f>
        <v/>
      </c>
      <c r="P534" s="105" t="str">
        <f t="shared" si="4"/>
        <v/>
      </c>
      <c r="Q534" s="105" t="str">
        <f t="array" ref="Q534">IF(ISBLANK(G534),"",INDEX('label approval artwork'!J:J,MATCH( G534,'label approval artwork'!F:F,0)))</f>
        <v/>
      </c>
      <c r="R534" s="105" t="str">
        <f t="array" ref="R534">IFERROR( IF(P534&lt;&gt;"EMA",INDEX('label approval artwork'!H:H,MATCH(G534,'label approval artwork'!F:F,0),"")),"")</f>
        <v/>
      </c>
      <c r="S534" s="105"/>
      <c r="T534" s="105" t="str">
        <f t="array" ref="T534">IF(ISBLANK(G534),"",INDEX('POR Config List'!I:I,MATCH(G534,'POR Config List'!D:D,0)))</f>
        <v/>
      </c>
      <c r="AA534" s="100" t="str">
        <f t="array" ref="AA534">IF(ISBLANK(G534),"",INDEX('POR Config List'!E:E,MATCH(G534,'POR Config List'!D:D,0)))</f>
        <v/>
      </c>
      <c r="AC534" s="105"/>
      <c r="AD534" s="100"/>
      <c r="AE534" s="100"/>
      <c r="AF534" s="100"/>
      <c r="AG534" s="100"/>
      <c r="AM534" s="102"/>
      <c r="AN534" s="102"/>
      <c r="AR534" s="119"/>
      <c r="AS534" s="103"/>
    </row>
    <row r="535">
      <c r="A535" s="168"/>
      <c r="B535" s="100" t="str">
        <f t="array" ref="B535">IFERROR( INDEX('POR Config List'!A:A,MATCH(G535,'POR Config List'!D:D,0)),"")</f>
        <v/>
      </c>
      <c r="C535" s="101" t="str">
        <f t="array" ref="C535">IFERROR(INDEX('label approval artwork'!E:E,MATCH(G535,'label approval artwork'!F:F,0),""),"")</f>
        <v/>
      </c>
      <c r="D535" s="102" t="str">
        <f t="shared" si="3"/>
        <v/>
      </c>
      <c r="E535" s="100" t="str">
        <f t="array" ref="E535">IF(ISBLANK(G535),"",INDEX('POR Config List'!K:K,MATCH(G535,'POR Config List'!D:D,0)))</f>
        <v/>
      </c>
      <c r="F535" s="100" t="str">
        <f t="array" ref="F535">IF(ISBLANK(G535),"",INDEX('POR Config List'!J:J,MATCH(G535,'POR Config List'!D:D,0)))</f>
        <v/>
      </c>
      <c r="G535" s="168"/>
      <c r="H535" s="104" t="str">
        <f t="array" ref="H535">IF(ISBLANK(G535),"",INDEX('MP SKUs'!G:G,MATCH(G535,'MP SKUs'!A:A,0)))</f>
        <v/>
      </c>
      <c r="I535" s="105" t="str">
        <f t="array" ref="I535">IF(ISBLANK(G535),"",INDEX('POR Config List'!O:O,MATCH(G535,'POR Config List'!D:D,0)))</f>
        <v/>
      </c>
      <c r="J535" s="104" t="str">
        <f t="array" ref="J535">IF(ISBLANK(G535),"",INDEX('POR Config List'!H:H,MATCH(G535,'POR Config List'!D:D,0)))</f>
        <v/>
      </c>
      <c r="K535" s="105" t="str">
        <f t="array" ref="K535">IF(ISBLANK(G535),"",INDEX('POR Config List'!G:G,MATCH(G535,'POR Config List'!D:D,0)))</f>
        <v/>
      </c>
      <c r="L535" s="105"/>
      <c r="M535" s="105" t="str">
        <f t="array" ref="M535">IF(ISBLANK(G535),"",INDEX('label approval artwork'!Q:Q,MATCH( G535,'label approval artwork'!F:F,0)))</f>
        <v/>
      </c>
      <c r="N535" s="169" t="str">
        <f t="shared" si="5"/>
        <v/>
      </c>
      <c r="O535" s="102" t="str">
        <f t="array" ref="O535">IF(ISBLANK(G535),"",INDEX('POR Config List'!C:C,MATCH(G535,'POR Config List'!D:D,0)))</f>
        <v/>
      </c>
      <c r="P535" s="105" t="str">
        <f t="shared" si="4"/>
        <v/>
      </c>
      <c r="Q535" s="105" t="str">
        <f t="array" ref="Q535">IF(ISBLANK(G535),"",INDEX('label approval artwork'!J:J,MATCH( G535,'label approval artwork'!F:F,0)))</f>
        <v/>
      </c>
      <c r="R535" s="105" t="str">
        <f t="array" ref="R535">IFERROR( IF(P535&lt;&gt;"EMA",INDEX('label approval artwork'!H:H,MATCH(G535,'label approval artwork'!F:F,0),"")),"")</f>
        <v/>
      </c>
      <c r="S535" s="105"/>
      <c r="T535" s="105" t="str">
        <f t="array" ref="T535">IF(ISBLANK(G535),"",INDEX('POR Config List'!I:I,MATCH(G535,'POR Config List'!D:D,0)))</f>
        <v/>
      </c>
      <c r="AA535" s="100" t="str">
        <f t="array" ref="AA535">IF(ISBLANK(G535),"",INDEX('POR Config List'!E:E,MATCH(G535,'POR Config List'!D:D,0)))</f>
        <v/>
      </c>
      <c r="AC535" s="105"/>
      <c r="AD535" s="100"/>
      <c r="AE535" s="100"/>
      <c r="AF535" s="100"/>
      <c r="AG535" s="100"/>
      <c r="AM535" s="102"/>
      <c r="AN535" s="102"/>
      <c r="AR535" s="119"/>
      <c r="AS535" s="103"/>
    </row>
    <row r="536">
      <c r="A536" s="168"/>
      <c r="B536" s="100" t="str">
        <f t="array" ref="B536">IFERROR( INDEX('POR Config List'!A:A,MATCH(G536,'POR Config List'!D:D,0)),"")</f>
        <v/>
      </c>
      <c r="C536" s="101" t="str">
        <f t="array" ref="C536">IFERROR(INDEX('label approval artwork'!E:E,MATCH(G536,'label approval artwork'!F:F,0),""),"")</f>
        <v/>
      </c>
      <c r="D536" s="102" t="str">
        <f t="shared" si="3"/>
        <v/>
      </c>
      <c r="E536" s="100" t="str">
        <f t="array" ref="E536">IF(ISBLANK(G536),"",INDEX('POR Config List'!K:K,MATCH(G536,'POR Config List'!D:D,0)))</f>
        <v/>
      </c>
      <c r="F536" s="100" t="str">
        <f t="array" ref="F536">IF(ISBLANK(G536),"",INDEX('POR Config List'!J:J,MATCH(G536,'POR Config List'!D:D,0)))</f>
        <v/>
      </c>
      <c r="G536" s="168"/>
      <c r="H536" s="104" t="str">
        <f t="array" ref="H536">IF(ISBLANK(G536),"",INDEX('MP SKUs'!G:G,MATCH(G536,'MP SKUs'!A:A,0)))</f>
        <v/>
      </c>
      <c r="I536" s="105" t="str">
        <f t="array" ref="I536">IF(ISBLANK(G536),"",INDEX('POR Config List'!O:O,MATCH(G536,'POR Config List'!D:D,0)))</f>
        <v/>
      </c>
      <c r="J536" s="104" t="str">
        <f t="array" ref="J536">IF(ISBLANK(G536),"",INDEX('POR Config List'!H:H,MATCH(G536,'POR Config List'!D:D,0)))</f>
        <v/>
      </c>
      <c r="K536" s="105" t="str">
        <f t="array" ref="K536">IF(ISBLANK(G536),"",INDEX('POR Config List'!G:G,MATCH(G536,'POR Config List'!D:D,0)))</f>
        <v/>
      </c>
      <c r="L536" s="105"/>
      <c r="M536" s="105" t="str">
        <f t="array" ref="M536">IF(ISBLANK(G536),"",INDEX('label approval artwork'!Q:Q,MATCH( G536,'label approval artwork'!F:F,0)))</f>
        <v/>
      </c>
      <c r="N536" s="169" t="str">
        <f t="shared" si="5"/>
        <v/>
      </c>
      <c r="O536" s="102" t="str">
        <f t="array" ref="O536">IF(ISBLANK(G536),"",INDEX('POR Config List'!C:C,MATCH(G536,'POR Config List'!D:D,0)))</f>
        <v/>
      </c>
      <c r="P536" s="105" t="str">
        <f t="shared" si="4"/>
        <v/>
      </c>
      <c r="Q536" s="105" t="str">
        <f t="array" ref="Q536">IF(ISBLANK(G536),"",INDEX('label approval artwork'!J:J,MATCH( G536,'label approval artwork'!F:F,0)))</f>
        <v/>
      </c>
      <c r="R536" s="105" t="str">
        <f t="array" ref="R536">IFERROR( IF(P536&lt;&gt;"EMA",INDEX('label approval artwork'!H:H,MATCH(G536,'label approval artwork'!F:F,0),"")),"")</f>
        <v/>
      </c>
      <c r="S536" s="105"/>
      <c r="T536" s="105" t="str">
        <f t="array" ref="T536">IF(ISBLANK(G536),"",INDEX('POR Config List'!I:I,MATCH(G536,'POR Config List'!D:D,0)))</f>
        <v/>
      </c>
      <c r="AA536" s="100" t="str">
        <f t="array" ref="AA536">IF(ISBLANK(G536),"",INDEX('POR Config List'!E:E,MATCH(G536,'POR Config List'!D:D,0)))</f>
        <v/>
      </c>
      <c r="AC536" s="105"/>
      <c r="AD536" s="100"/>
      <c r="AE536" s="100"/>
      <c r="AF536" s="100"/>
      <c r="AG536" s="100"/>
      <c r="AM536" s="102"/>
      <c r="AN536" s="102"/>
      <c r="AR536" s="119"/>
      <c r="AS536" s="103"/>
    </row>
    <row r="537">
      <c r="A537" s="168"/>
      <c r="B537" s="100" t="str">
        <f t="array" ref="B537">IFERROR( INDEX('POR Config List'!A:A,MATCH(G537,'POR Config List'!D:D,0)),"")</f>
        <v/>
      </c>
      <c r="C537" s="101" t="str">
        <f t="array" ref="C537">IFERROR(INDEX('label approval artwork'!E:E,MATCH(G537,'label approval artwork'!F:F,0),""),"")</f>
        <v/>
      </c>
      <c r="D537" s="102" t="str">
        <f t="shared" si="3"/>
        <v/>
      </c>
      <c r="E537" s="100" t="str">
        <f t="array" ref="E537">IF(ISBLANK(G537),"",INDEX('POR Config List'!K:K,MATCH(G537,'POR Config List'!D:D,0)))</f>
        <v/>
      </c>
      <c r="F537" s="100" t="str">
        <f t="array" ref="F537">IF(ISBLANK(G537),"",INDEX('POR Config List'!J:J,MATCH(G537,'POR Config List'!D:D,0)))</f>
        <v/>
      </c>
      <c r="G537" s="168"/>
      <c r="H537" s="104" t="str">
        <f t="array" ref="H537">IF(ISBLANK(G537),"",INDEX('MP SKUs'!G:G,MATCH(G537,'MP SKUs'!A:A,0)))</f>
        <v/>
      </c>
      <c r="I537" s="105" t="str">
        <f t="array" ref="I537">IF(ISBLANK(G537),"",INDEX('POR Config List'!O:O,MATCH(G537,'POR Config List'!D:D,0)))</f>
        <v/>
      </c>
      <c r="J537" s="104" t="str">
        <f t="array" ref="J537">IF(ISBLANK(G537),"",INDEX('POR Config List'!H:H,MATCH(G537,'POR Config List'!D:D,0)))</f>
        <v/>
      </c>
      <c r="K537" s="105" t="str">
        <f t="array" ref="K537">IF(ISBLANK(G537),"",INDEX('POR Config List'!G:G,MATCH(G537,'POR Config List'!D:D,0)))</f>
        <v/>
      </c>
      <c r="L537" s="105"/>
      <c r="M537" s="105" t="str">
        <f t="array" ref="M537">IF(ISBLANK(G537),"",INDEX('label approval artwork'!Q:Q,MATCH( G537,'label approval artwork'!F:F,0)))</f>
        <v/>
      </c>
      <c r="N537" s="169" t="str">
        <f t="shared" si="5"/>
        <v/>
      </c>
      <c r="O537" s="102" t="str">
        <f t="array" ref="O537">IF(ISBLANK(G537),"",INDEX('POR Config List'!C:C,MATCH(G537,'POR Config List'!D:D,0)))</f>
        <v/>
      </c>
      <c r="P537" s="105" t="str">
        <f t="shared" si="4"/>
        <v/>
      </c>
      <c r="Q537" s="105" t="str">
        <f t="array" ref="Q537">IF(ISBLANK(G537),"",INDEX('label approval artwork'!J:J,MATCH( G537,'label approval artwork'!F:F,0)))</f>
        <v/>
      </c>
      <c r="R537" s="105" t="str">
        <f t="array" ref="R537">IFERROR( IF(P537&lt;&gt;"EMA",INDEX('label approval artwork'!H:H,MATCH(G537,'label approval artwork'!F:F,0),"")),"")</f>
        <v/>
      </c>
      <c r="S537" s="105"/>
      <c r="T537" s="105" t="str">
        <f t="array" ref="T537">IF(ISBLANK(G537),"",INDEX('POR Config List'!I:I,MATCH(G537,'POR Config List'!D:D,0)))</f>
        <v/>
      </c>
      <c r="AA537" s="100" t="str">
        <f t="array" ref="AA537">IF(ISBLANK(G537),"",INDEX('POR Config List'!E:E,MATCH(G537,'POR Config List'!D:D,0)))</f>
        <v/>
      </c>
      <c r="AC537" s="105"/>
      <c r="AD537" s="100"/>
      <c r="AE537" s="100"/>
      <c r="AF537" s="100"/>
      <c r="AG537" s="100"/>
      <c r="AM537" s="102"/>
      <c r="AN537" s="102"/>
      <c r="AR537" s="119"/>
      <c r="AS537" s="103"/>
    </row>
    <row r="538">
      <c r="A538" s="168"/>
      <c r="B538" s="100" t="str">
        <f t="array" ref="B538">IFERROR( INDEX('POR Config List'!A:A,MATCH(G538,'POR Config List'!D:D,0)),"")</f>
        <v/>
      </c>
      <c r="C538" s="101" t="str">
        <f t="array" ref="C538">IFERROR(INDEX('label approval artwork'!E:E,MATCH(G538,'label approval artwork'!F:F,0),""),"")</f>
        <v/>
      </c>
      <c r="D538" s="102" t="str">
        <f t="shared" si="3"/>
        <v/>
      </c>
      <c r="E538" s="100" t="str">
        <f t="array" ref="E538">IF(ISBLANK(G538),"",INDEX('POR Config List'!K:K,MATCH(G538,'POR Config List'!D:D,0)))</f>
        <v/>
      </c>
      <c r="F538" s="100" t="str">
        <f t="array" ref="F538">IF(ISBLANK(G538),"",INDEX('POR Config List'!J:J,MATCH(G538,'POR Config List'!D:D,0)))</f>
        <v/>
      </c>
      <c r="G538" s="168"/>
      <c r="H538" s="104" t="str">
        <f t="array" ref="H538">IF(ISBLANK(G538),"",INDEX('MP SKUs'!G:G,MATCH(G538,'MP SKUs'!A:A,0)))</f>
        <v/>
      </c>
      <c r="I538" s="105" t="str">
        <f t="array" ref="I538">IF(ISBLANK(G538),"",INDEX('POR Config List'!O:O,MATCH(G538,'POR Config List'!D:D,0)))</f>
        <v/>
      </c>
      <c r="J538" s="104" t="str">
        <f t="array" ref="J538">IF(ISBLANK(G538),"",INDEX('POR Config List'!H:H,MATCH(G538,'POR Config List'!D:D,0)))</f>
        <v/>
      </c>
      <c r="K538" s="105" t="str">
        <f t="array" ref="K538">IF(ISBLANK(G538),"",INDEX('POR Config List'!G:G,MATCH(G538,'POR Config List'!D:D,0)))</f>
        <v/>
      </c>
      <c r="L538" s="105"/>
      <c r="M538" s="105" t="str">
        <f t="array" ref="M538">IF(ISBLANK(G538),"",INDEX('label approval artwork'!Q:Q,MATCH( G538,'label approval artwork'!F:F,0)))</f>
        <v/>
      </c>
      <c r="N538" s="169" t="str">
        <f t="shared" si="5"/>
        <v/>
      </c>
      <c r="O538" s="102" t="str">
        <f t="array" ref="O538">IF(ISBLANK(G538),"",INDEX('POR Config List'!C:C,MATCH(G538,'POR Config List'!D:D,0)))</f>
        <v/>
      </c>
      <c r="P538" s="105" t="str">
        <f t="shared" si="4"/>
        <v/>
      </c>
      <c r="Q538" s="105" t="str">
        <f t="array" ref="Q538">IF(ISBLANK(G538),"",INDEX('label approval artwork'!J:J,MATCH( G538,'label approval artwork'!F:F,0)))</f>
        <v/>
      </c>
      <c r="R538" s="105" t="str">
        <f t="array" ref="R538">IFERROR( IF(P538&lt;&gt;"EMA",INDEX('label approval artwork'!H:H,MATCH(G538,'label approval artwork'!F:F,0),"")),"")</f>
        <v/>
      </c>
      <c r="S538" s="105"/>
      <c r="T538" s="105" t="str">
        <f t="array" ref="T538">IF(ISBLANK(G538),"",INDEX('POR Config List'!I:I,MATCH(G538,'POR Config List'!D:D,0)))</f>
        <v/>
      </c>
      <c r="AA538" s="100" t="str">
        <f t="array" ref="AA538">IF(ISBLANK(G538),"",INDEX('POR Config List'!E:E,MATCH(G538,'POR Config List'!D:D,0)))</f>
        <v/>
      </c>
      <c r="AC538" s="105"/>
      <c r="AD538" s="100"/>
      <c r="AE538" s="100"/>
      <c r="AF538" s="100"/>
      <c r="AG538" s="100"/>
      <c r="AM538" s="102"/>
      <c r="AN538" s="102"/>
      <c r="AR538" s="119"/>
      <c r="AS538" s="103"/>
    </row>
    <row r="539">
      <c r="A539" s="168"/>
      <c r="B539" s="100" t="str">
        <f t="array" ref="B539">IFERROR( INDEX('POR Config List'!A:A,MATCH(G539,'POR Config List'!D:D,0)),"")</f>
        <v/>
      </c>
      <c r="C539" s="101" t="str">
        <f t="array" ref="C539">IFERROR(INDEX('label approval artwork'!E:E,MATCH(G539,'label approval artwork'!F:F,0),""),"")</f>
        <v/>
      </c>
      <c r="D539" s="102" t="str">
        <f t="shared" si="3"/>
        <v/>
      </c>
      <c r="E539" s="100" t="str">
        <f t="array" ref="E539">IF(ISBLANK(G539),"",INDEX('POR Config List'!K:K,MATCH(G539,'POR Config List'!D:D,0)))</f>
        <v/>
      </c>
      <c r="F539" s="100" t="str">
        <f t="array" ref="F539">IF(ISBLANK(G539),"",INDEX('POR Config List'!J:J,MATCH(G539,'POR Config List'!D:D,0)))</f>
        <v/>
      </c>
      <c r="G539" s="168"/>
      <c r="H539" s="104" t="str">
        <f t="array" ref="H539">IF(ISBLANK(G539),"",INDEX('MP SKUs'!G:G,MATCH(G539,'MP SKUs'!A:A,0)))</f>
        <v/>
      </c>
      <c r="I539" s="105" t="str">
        <f t="array" ref="I539">IF(ISBLANK(G539),"",INDEX('POR Config List'!O:O,MATCH(G539,'POR Config List'!D:D,0)))</f>
        <v/>
      </c>
      <c r="J539" s="104" t="str">
        <f t="array" ref="J539">IF(ISBLANK(G539),"",INDEX('POR Config List'!H:H,MATCH(G539,'POR Config List'!D:D,0)))</f>
        <v/>
      </c>
      <c r="K539" s="105" t="str">
        <f t="array" ref="K539">IF(ISBLANK(G539),"",INDEX('POR Config List'!G:G,MATCH(G539,'POR Config List'!D:D,0)))</f>
        <v/>
      </c>
      <c r="L539" s="105"/>
      <c r="M539" s="105" t="str">
        <f t="array" ref="M539">IF(ISBLANK(G539),"",INDEX('label approval artwork'!Q:Q,MATCH( G539,'label approval artwork'!F:F,0)))</f>
        <v/>
      </c>
      <c r="N539" s="169" t="str">
        <f t="shared" si="5"/>
        <v/>
      </c>
      <c r="O539" s="102" t="str">
        <f t="array" ref="O539">IF(ISBLANK(G539),"",INDEX('POR Config List'!C:C,MATCH(G539,'POR Config List'!D:D,0)))</f>
        <v/>
      </c>
      <c r="P539" s="105" t="str">
        <f t="shared" si="4"/>
        <v/>
      </c>
      <c r="Q539" s="105" t="str">
        <f t="array" ref="Q539">IF(ISBLANK(G539),"",INDEX('label approval artwork'!J:J,MATCH( G539,'label approval artwork'!F:F,0)))</f>
        <v/>
      </c>
      <c r="R539" s="105" t="str">
        <f t="array" ref="R539">IFERROR( IF(P539&lt;&gt;"EMA",INDEX('label approval artwork'!H:H,MATCH(G539,'label approval artwork'!F:F,0),"")),"")</f>
        <v/>
      </c>
      <c r="S539" s="105"/>
      <c r="T539" s="105" t="str">
        <f t="array" ref="T539">IF(ISBLANK(G539),"",INDEX('POR Config List'!I:I,MATCH(G539,'POR Config List'!D:D,0)))</f>
        <v/>
      </c>
      <c r="AA539" s="100" t="str">
        <f t="array" ref="AA539">IF(ISBLANK(G539),"",INDEX('POR Config List'!E:E,MATCH(G539,'POR Config List'!D:D,0)))</f>
        <v/>
      </c>
      <c r="AC539" s="105"/>
      <c r="AD539" s="100"/>
      <c r="AE539" s="100"/>
      <c r="AF539" s="100"/>
      <c r="AG539" s="100"/>
      <c r="AM539" s="102"/>
      <c r="AN539" s="102"/>
      <c r="AR539" s="119"/>
      <c r="AS539" s="103"/>
    </row>
    <row r="540">
      <c r="A540" s="168"/>
      <c r="B540" s="100" t="str">
        <f t="array" ref="B540">IFERROR( INDEX('POR Config List'!A:A,MATCH(G540,'POR Config List'!D:D,0)),"")</f>
        <v/>
      </c>
      <c r="C540" s="101" t="str">
        <f t="array" ref="C540">IFERROR(INDEX('label approval artwork'!E:E,MATCH(G540,'label approval artwork'!F:F,0),""),"")</f>
        <v/>
      </c>
      <c r="D540" s="102" t="str">
        <f t="shared" si="3"/>
        <v/>
      </c>
      <c r="E540" s="100" t="str">
        <f t="array" ref="E540">IF(ISBLANK(G540),"",INDEX('POR Config List'!K:K,MATCH(G540,'POR Config List'!D:D,0)))</f>
        <v/>
      </c>
      <c r="F540" s="100" t="str">
        <f t="array" ref="F540">IF(ISBLANK(G540),"",INDEX('POR Config List'!J:J,MATCH(G540,'POR Config List'!D:D,0)))</f>
        <v/>
      </c>
      <c r="G540" s="168"/>
      <c r="H540" s="104" t="str">
        <f t="array" ref="H540">IF(ISBLANK(G540),"",INDEX('MP SKUs'!G:G,MATCH(G540,'MP SKUs'!A:A,0)))</f>
        <v/>
      </c>
      <c r="I540" s="105" t="str">
        <f t="array" ref="I540">IF(ISBLANK(G540),"",INDEX('POR Config List'!O:O,MATCH(G540,'POR Config List'!D:D,0)))</f>
        <v/>
      </c>
      <c r="J540" s="104" t="str">
        <f t="array" ref="J540">IF(ISBLANK(G540),"",INDEX('POR Config List'!H:H,MATCH(G540,'POR Config List'!D:D,0)))</f>
        <v/>
      </c>
      <c r="K540" s="105" t="str">
        <f t="array" ref="K540">IF(ISBLANK(G540),"",INDEX('POR Config List'!G:G,MATCH(G540,'POR Config List'!D:D,0)))</f>
        <v/>
      </c>
      <c r="L540" s="105"/>
      <c r="M540" s="105" t="str">
        <f t="array" ref="M540">IF(ISBLANK(G540),"",INDEX('label approval artwork'!Q:Q,MATCH( G540,'label approval artwork'!F:F,0)))</f>
        <v/>
      </c>
      <c r="N540" s="169" t="str">
        <f t="shared" si="5"/>
        <v/>
      </c>
      <c r="O540" s="102" t="str">
        <f t="array" ref="O540">IF(ISBLANK(G540),"",INDEX('POR Config List'!C:C,MATCH(G540,'POR Config List'!D:D,0)))</f>
        <v/>
      </c>
      <c r="P540" s="105" t="str">
        <f t="shared" si="4"/>
        <v/>
      </c>
      <c r="Q540" s="105" t="str">
        <f t="array" ref="Q540">IF(ISBLANK(G540),"",INDEX('label approval artwork'!J:J,MATCH( G540,'label approval artwork'!F:F,0)))</f>
        <v/>
      </c>
      <c r="R540" s="105" t="str">
        <f t="array" ref="R540">IFERROR( IF(P540&lt;&gt;"EMA",INDEX('label approval artwork'!H:H,MATCH(G540,'label approval artwork'!F:F,0),"")),"")</f>
        <v/>
      </c>
      <c r="S540" s="105"/>
      <c r="T540" s="105" t="str">
        <f t="array" ref="T540">IF(ISBLANK(G540),"",INDEX('POR Config List'!I:I,MATCH(G540,'POR Config List'!D:D,0)))</f>
        <v/>
      </c>
      <c r="AA540" s="100" t="str">
        <f t="array" ref="AA540">IF(ISBLANK(G540),"",INDEX('POR Config List'!E:E,MATCH(G540,'POR Config List'!D:D,0)))</f>
        <v/>
      </c>
      <c r="AC540" s="105"/>
      <c r="AD540" s="100"/>
      <c r="AE540" s="100"/>
      <c r="AF540" s="100"/>
      <c r="AG540" s="100"/>
      <c r="AM540" s="102"/>
      <c r="AN540" s="102"/>
      <c r="AR540" s="119"/>
      <c r="AS540" s="103"/>
    </row>
    <row r="541">
      <c r="A541" s="168"/>
      <c r="B541" s="100" t="str">
        <f t="array" ref="B541">IFERROR( INDEX('POR Config List'!A:A,MATCH(G541,'POR Config List'!D:D,0)),"")</f>
        <v/>
      </c>
      <c r="C541" s="101" t="str">
        <f t="array" ref="C541">IFERROR(INDEX('label approval artwork'!E:E,MATCH(G541,'label approval artwork'!F:F,0),""),"")</f>
        <v/>
      </c>
      <c r="D541" s="102" t="str">
        <f t="shared" si="3"/>
        <v/>
      </c>
      <c r="E541" s="100" t="str">
        <f t="array" ref="E541">IF(ISBLANK(G541),"",INDEX('POR Config List'!K:K,MATCH(G541,'POR Config List'!D:D,0)))</f>
        <v/>
      </c>
      <c r="F541" s="100" t="str">
        <f t="array" ref="F541">IF(ISBLANK(G541),"",INDEX('POR Config List'!J:J,MATCH(G541,'POR Config List'!D:D,0)))</f>
        <v/>
      </c>
      <c r="G541" s="168"/>
      <c r="H541" s="104" t="str">
        <f t="array" ref="H541">IF(ISBLANK(G541),"",INDEX('MP SKUs'!G:G,MATCH(G541,'MP SKUs'!A:A,0)))</f>
        <v/>
      </c>
      <c r="I541" s="105" t="str">
        <f t="array" ref="I541">IF(ISBLANK(G541),"",INDEX('POR Config List'!O:O,MATCH(G541,'POR Config List'!D:D,0)))</f>
        <v/>
      </c>
      <c r="J541" s="104" t="str">
        <f t="array" ref="J541">IF(ISBLANK(G541),"",INDEX('POR Config List'!H:H,MATCH(G541,'POR Config List'!D:D,0)))</f>
        <v/>
      </c>
      <c r="K541" s="105" t="str">
        <f t="array" ref="K541">IF(ISBLANK(G541),"",INDEX('POR Config List'!G:G,MATCH(G541,'POR Config List'!D:D,0)))</f>
        <v/>
      </c>
      <c r="L541" s="105"/>
      <c r="M541" s="105" t="str">
        <f t="array" ref="M541">IF(ISBLANK(G541),"",INDEX('label approval artwork'!Q:Q,MATCH( G541,'label approval artwork'!F:F,0)))</f>
        <v/>
      </c>
      <c r="N541" s="169" t="str">
        <f t="shared" si="5"/>
        <v/>
      </c>
      <c r="O541" s="102" t="str">
        <f t="array" ref="O541">IF(ISBLANK(G541),"",INDEX('POR Config List'!C:C,MATCH(G541,'POR Config List'!D:D,0)))</f>
        <v/>
      </c>
      <c r="P541" s="105" t="str">
        <f t="shared" si="4"/>
        <v/>
      </c>
      <c r="Q541" s="105" t="str">
        <f t="array" ref="Q541">IF(ISBLANK(G541),"",INDEX('label approval artwork'!J:J,MATCH( G541,'label approval artwork'!F:F,0)))</f>
        <v/>
      </c>
      <c r="R541" s="105" t="str">
        <f t="array" ref="R541">IFERROR( IF(P541&lt;&gt;"EMA",INDEX('label approval artwork'!H:H,MATCH(G541,'label approval artwork'!F:F,0),"")),"")</f>
        <v/>
      </c>
      <c r="S541" s="105"/>
      <c r="T541" s="105" t="str">
        <f t="array" ref="T541">IF(ISBLANK(G541),"",INDEX('POR Config List'!I:I,MATCH(G541,'POR Config List'!D:D,0)))</f>
        <v/>
      </c>
      <c r="AA541" s="100" t="str">
        <f t="array" ref="AA541">IF(ISBLANK(G541),"",INDEX('POR Config List'!E:E,MATCH(G541,'POR Config List'!D:D,0)))</f>
        <v/>
      </c>
      <c r="AC541" s="105"/>
      <c r="AD541" s="100"/>
      <c r="AE541" s="100"/>
      <c r="AF541" s="100"/>
      <c r="AG541" s="100"/>
      <c r="AM541" s="102"/>
      <c r="AN541" s="102"/>
      <c r="AR541" s="119"/>
      <c r="AS541" s="103"/>
    </row>
    <row r="542">
      <c r="A542" s="168"/>
      <c r="B542" s="100" t="str">
        <f t="array" ref="B542">IFERROR( INDEX('POR Config List'!A:A,MATCH(G542,'POR Config List'!D:D,0)),"")</f>
        <v/>
      </c>
      <c r="C542" s="101" t="str">
        <f t="array" ref="C542">IFERROR(INDEX('label approval artwork'!E:E,MATCH(G542,'label approval artwork'!F:F,0),""),"")</f>
        <v/>
      </c>
      <c r="D542" s="102" t="str">
        <f t="shared" si="3"/>
        <v/>
      </c>
      <c r="E542" s="100" t="str">
        <f t="array" ref="E542">IF(ISBLANK(G542),"",INDEX('POR Config List'!K:K,MATCH(G542,'POR Config List'!D:D,0)))</f>
        <v/>
      </c>
      <c r="F542" s="100" t="str">
        <f t="array" ref="F542">IF(ISBLANK(G542),"",INDEX('POR Config List'!J:J,MATCH(G542,'POR Config List'!D:D,0)))</f>
        <v/>
      </c>
      <c r="G542" s="168"/>
      <c r="H542" s="104" t="str">
        <f t="array" ref="H542">IF(ISBLANK(G542),"",INDEX('MP SKUs'!G:G,MATCH(G542,'MP SKUs'!A:A,0)))</f>
        <v/>
      </c>
      <c r="I542" s="105" t="str">
        <f t="array" ref="I542">IF(ISBLANK(G542),"",INDEX('POR Config List'!O:O,MATCH(G542,'POR Config List'!D:D,0)))</f>
        <v/>
      </c>
      <c r="J542" s="104" t="str">
        <f t="array" ref="J542">IF(ISBLANK(G542),"",INDEX('POR Config List'!H:H,MATCH(G542,'POR Config List'!D:D,0)))</f>
        <v/>
      </c>
      <c r="K542" s="105" t="str">
        <f t="array" ref="K542">IF(ISBLANK(G542),"",INDEX('POR Config List'!G:G,MATCH(G542,'POR Config List'!D:D,0)))</f>
        <v/>
      </c>
      <c r="L542" s="105"/>
      <c r="M542" s="105" t="str">
        <f t="array" ref="M542">IF(ISBLANK(G542),"",INDEX('label approval artwork'!Q:Q,MATCH( G542,'label approval artwork'!F:F,0)))</f>
        <v/>
      </c>
      <c r="N542" s="169" t="str">
        <f t="shared" si="5"/>
        <v/>
      </c>
      <c r="O542" s="102" t="str">
        <f t="array" ref="O542">IF(ISBLANK(G542),"",INDEX('POR Config List'!C:C,MATCH(G542,'POR Config List'!D:D,0)))</f>
        <v/>
      </c>
      <c r="P542" s="105" t="str">
        <f t="shared" si="4"/>
        <v/>
      </c>
      <c r="Q542" s="105" t="str">
        <f t="array" ref="Q542">IF(ISBLANK(G542),"",INDEX('label approval artwork'!J:J,MATCH( G542,'label approval artwork'!F:F,0)))</f>
        <v/>
      </c>
      <c r="R542" s="105" t="str">
        <f t="array" ref="R542">IFERROR( IF(P542&lt;&gt;"EMA",INDEX('label approval artwork'!H:H,MATCH(G542,'label approval artwork'!F:F,0),"")),"")</f>
        <v/>
      </c>
      <c r="S542" s="105"/>
      <c r="T542" s="105" t="str">
        <f t="array" ref="T542">IF(ISBLANK(G542),"",INDEX('POR Config List'!I:I,MATCH(G542,'POR Config List'!D:D,0)))</f>
        <v/>
      </c>
      <c r="AA542" s="100" t="str">
        <f t="array" ref="AA542">IF(ISBLANK(G542),"",INDEX('POR Config List'!E:E,MATCH(G542,'POR Config List'!D:D,0)))</f>
        <v/>
      </c>
      <c r="AC542" s="105"/>
      <c r="AD542" s="100"/>
      <c r="AE542" s="100"/>
      <c r="AF542" s="100"/>
      <c r="AG542" s="100"/>
      <c r="AM542" s="102"/>
      <c r="AN542" s="102"/>
      <c r="AR542" s="119"/>
      <c r="AS542" s="103"/>
    </row>
    <row r="543">
      <c r="A543" s="168"/>
      <c r="B543" s="100" t="str">
        <f t="array" ref="B543">IFERROR( INDEX('POR Config List'!A:A,MATCH(G543,'POR Config List'!D:D,0)),"")</f>
        <v/>
      </c>
      <c r="C543" s="101" t="str">
        <f t="array" ref="C543">IFERROR(INDEX('label approval artwork'!E:E,MATCH(G543,'label approval artwork'!F:F,0),""),"")</f>
        <v/>
      </c>
      <c r="D543" s="102" t="str">
        <f t="shared" si="3"/>
        <v/>
      </c>
      <c r="E543" s="100" t="str">
        <f t="array" ref="E543">IF(ISBLANK(G543),"",INDEX('POR Config List'!K:K,MATCH(G543,'POR Config List'!D:D,0)))</f>
        <v/>
      </c>
      <c r="F543" s="100" t="str">
        <f t="array" ref="F543">IF(ISBLANK(G543),"",INDEX('POR Config List'!J:J,MATCH(G543,'POR Config List'!D:D,0)))</f>
        <v/>
      </c>
      <c r="G543" s="168"/>
      <c r="H543" s="104" t="str">
        <f t="array" ref="H543">IF(ISBLANK(G543),"",INDEX('MP SKUs'!G:G,MATCH(G543,'MP SKUs'!A:A,0)))</f>
        <v/>
      </c>
      <c r="I543" s="105" t="str">
        <f t="array" ref="I543">IF(ISBLANK(G543),"",INDEX('POR Config List'!O:O,MATCH(G543,'POR Config List'!D:D,0)))</f>
        <v/>
      </c>
      <c r="J543" s="104" t="str">
        <f t="array" ref="J543">IF(ISBLANK(G543),"",INDEX('POR Config List'!H:H,MATCH(G543,'POR Config List'!D:D,0)))</f>
        <v/>
      </c>
      <c r="K543" s="105" t="str">
        <f t="array" ref="K543">IF(ISBLANK(G543),"",INDEX('POR Config List'!G:G,MATCH(G543,'POR Config List'!D:D,0)))</f>
        <v/>
      </c>
      <c r="L543" s="105"/>
      <c r="M543" s="105" t="str">
        <f t="array" ref="M543">IF(ISBLANK(G543),"",INDEX('label approval artwork'!Q:Q,MATCH( G543,'label approval artwork'!F:F,0)))</f>
        <v/>
      </c>
      <c r="N543" s="169" t="str">
        <f t="shared" si="5"/>
        <v/>
      </c>
      <c r="O543" s="102" t="str">
        <f t="array" ref="O543">IF(ISBLANK(G543),"",INDEX('POR Config List'!C:C,MATCH(G543,'POR Config List'!D:D,0)))</f>
        <v/>
      </c>
      <c r="P543" s="105" t="str">
        <f t="shared" si="4"/>
        <v/>
      </c>
      <c r="Q543" s="105" t="str">
        <f t="array" ref="Q543">IF(ISBLANK(G543),"",INDEX('label approval artwork'!J:J,MATCH( G543,'label approval artwork'!F:F,0)))</f>
        <v/>
      </c>
      <c r="R543" s="105" t="str">
        <f t="array" ref="R543">IFERROR( IF(P543&lt;&gt;"EMA",INDEX('label approval artwork'!H:H,MATCH(G543,'label approval artwork'!F:F,0),"")),"")</f>
        <v/>
      </c>
      <c r="S543" s="105"/>
      <c r="T543" s="105" t="str">
        <f t="array" ref="T543">IF(ISBLANK(G543),"",INDEX('POR Config List'!I:I,MATCH(G543,'POR Config List'!D:D,0)))</f>
        <v/>
      </c>
      <c r="AA543" s="100" t="str">
        <f t="array" ref="AA543">IF(ISBLANK(G543),"",INDEX('POR Config List'!E:E,MATCH(G543,'POR Config List'!D:D,0)))</f>
        <v/>
      </c>
      <c r="AC543" s="105"/>
      <c r="AD543" s="100"/>
      <c r="AE543" s="100"/>
      <c r="AF543" s="100"/>
      <c r="AG543" s="100"/>
      <c r="AM543" s="102"/>
      <c r="AN543" s="102"/>
      <c r="AR543" s="119"/>
      <c r="AS543" s="103"/>
    </row>
    <row r="544">
      <c r="A544" s="168"/>
      <c r="B544" s="100" t="str">
        <f t="array" ref="B544">IFERROR( INDEX('POR Config List'!A:A,MATCH(G544,'POR Config List'!D:D,0)),"")</f>
        <v/>
      </c>
      <c r="C544" s="101" t="str">
        <f t="array" ref="C544">IFERROR(INDEX('label approval artwork'!E:E,MATCH(G544,'label approval artwork'!F:F,0),""),"")</f>
        <v/>
      </c>
      <c r="D544" s="102" t="str">
        <f t="shared" si="3"/>
        <v/>
      </c>
      <c r="E544" s="100" t="str">
        <f t="array" ref="E544">IF(ISBLANK(G544),"",INDEX('POR Config List'!K:K,MATCH(G544,'POR Config List'!D:D,0)))</f>
        <v/>
      </c>
      <c r="F544" s="100" t="str">
        <f t="array" ref="F544">IF(ISBLANK(G544),"",INDEX('POR Config List'!J:J,MATCH(G544,'POR Config List'!D:D,0)))</f>
        <v/>
      </c>
      <c r="G544" s="168"/>
      <c r="H544" s="104" t="str">
        <f t="array" ref="H544">IF(ISBLANK(G544),"",INDEX('MP SKUs'!G:G,MATCH(G544,'MP SKUs'!A:A,0)))</f>
        <v/>
      </c>
      <c r="I544" s="105" t="str">
        <f t="array" ref="I544">IF(ISBLANK(G544),"",INDEX('POR Config List'!O:O,MATCH(G544,'POR Config List'!D:D,0)))</f>
        <v/>
      </c>
      <c r="J544" s="104" t="str">
        <f t="array" ref="J544">IF(ISBLANK(G544),"",INDEX('POR Config List'!H:H,MATCH(G544,'POR Config List'!D:D,0)))</f>
        <v/>
      </c>
      <c r="K544" s="105" t="str">
        <f t="array" ref="K544">IF(ISBLANK(G544),"",INDEX('POR Config List'!G:G,MATCH(G544,'POR Config List'!D:D,0)))</f>
        <v/>
      </c>
      <c r="L544" s="105"/>
      <c r="M544" s="105" t="str">
        <f t="array" ref="M544">IF(ISBLANK(G544),"",INDEX('label approval artwork'!Q:Q,MATCH( G544,'label approval artwork'!F:F,0)))</f>
        <v/>
      </c>
      <c r="N544" s="169" t="str">
        <f t="shared" si="5"/>
        <v/>
      </c>
      <c r="O544" s="102" t="str">
        <f t="array" ref="O544">IF(ISBLANK(G544),"",INDEX('POR Config List'!C:C,MATCH(G544,'POR Config List'!D:D,0)))</f>
        <v/>
      </c>
      <c r="P544" s="105" t="str">
        <f t="shared" si="4"/>
        <v/>
      </c>
      <c r="Q544" s="105" t="str">
        <f t="array" ref="Q544">IF(ISBLANK(G544),"",INDEX('label approval artwork'!J:J,MATCH( G544,'label approval artwork'!F:F,0)))</f>
        <v/>
      </c>
      <c r="R544" s="105" t="str">
        <f t="array" ref="R544">IFERROR( IF(P544&lt;&gt;"EMA",INDEX('label approval artwork'!H:H,MATCH(G544,'label approval artwork'!F:F,0),"")),"")</f>
        <v/>
      </c>
      <c r="S544" s="105"/>
      <c r="T544" s="105" t="str">
        <f t="array" ref="T544">IF(ISBLANK(G544),"",INDEX('POR Config List'!I:I,MATCH(G544,'POR Config List'!D:D,0)))</f>
        <v/>
      </c>
      <c r="AA544" s="100" t="str">
        <f t="array" ref="AA544">IF(ISBLANK(G544),"",INDEX('POR Config List'!E:E,MATCH(G544,'POR Config List'!D:D,0)))</f>
        <v/>
      </c>
      <c r="AC544" s="105"/>
      <c r="AD544" s="100"/>
      <c r="AE544" s="100"/>
      <c r="AF544" s="100"/>
      <c r="AG544" s="100"/>
      <c r="AM544" s="102"/>
      <c r="AN544" s="102"/>
      <c r="AR544" s="119"/>
      <c r="AS544" s="103"/>
    </row>
    <row r="545">
      <c r="A545" s="168"/>
      <c r="B545" s="100" t="str">
        <f t="array" ref="B545">IFERROR( INDEX('POR Config List'!A:A,MATCH(G545,'POR Config List'!D:D,0)),"")</f>
        <v/>
      </c>
      <c r="C545" s="101" t="str">
        <f t="array" ref="C545">IFERROR(INDEX('label approval artwork'!E:E,MATCH(G545,'label approval artwork'!F:F,0),""),"")</f>
        <v/>
      </c>
      <c r="D545" s="102" t="str">
        <f t="shared" si="3"/>
        <v/>
      </c>
      <c r="E545" s="100" t="str">
        <f t="array" ref="E545">IF(ISBLANK(G545),"",INDEX('POR Config List'!K:K,MATCH(G545,'POR Config List'!D:D,0)))</f>
        <v/>
      </c>
      <c r="F545" s="100" t="str">
        <f t="array" ref="F545">IF(ISBLANK(G545),"",INDEX('POR Config List'!J:J,MATCH(G545,'POR Config List'!D:D,0)))</f>
        <v/>
      </c>
      <c r="G545" s="168"/>
      <c r="H545" s="104" t="str">
        <f t="array" ref="H545">IF(ISBLANK(G545),"",INDEX('MP SKUs'!G:G,MATCH(G545,'MP SKUs'!A:A,0)))</f>
        <v/>
      </c>
      <c r="I545" s="105" t="str">
        <f t="array" ref="I545">IF(ISBLANK(G545),"",INDEX('POR Config List'!O:O,MATCH(G545,'POR Config List'!D:D,0)))</f>
        <v/>
      </c>
      <c r="J545" s="104" t="str">
        <f t="array" ref="J545">IF(ISBLANK(G545),"",INDEX('POR Config List'!H:H,MATCH(G545,'POR Config List'!D:D,0)))</f>
        <v/>
      </c>
      <c r="K545" s="105" t="str">
        <f t="array" ref="K545">IF(ISBLANK(G545),"",INDEX('POR Config List'!G:G,MATCH(G545,'POR Config List'!D:D,0)))</f>
        <v/>
      </c>
      <c r="L545" s="105"/>
      <c r="M545" s="105" t="str">
        <f t="array" ref="M545">IF(ISBLANK(G545),"",INDEX('label approval artwork'!Q:Q,MATCH( G545,'label approval artwork'!F:F,0)))</f>
        <v/>
      </c>
      <c r="N545" s="169" t="str">
        <f t="shared" si="5"/>
        <v/>
      </c>
      <c r="O545" s="102" t="str">
        <f t="array" ref="O545">IF(ISBLANK(G545),"",INDEX('POR Config List'!C:C,MATCH(G545,'POR Config List'!D:D,0)))</f>
        <v/>
      </c>
      <c r="P545" s="105" t="str">
        <f t="shared" si="4"/>
        <v/>
      </c>
      <c r="Q545" s="105" t="str">
        <f t="array" ref="Q545">IF(ISBLANK(G545),"",INDEX('label approval artwork'!J:J,MATCH( G545,'label approval artwork'!F:F,0)))</f>
        <v/>
      </c>
      <c r="R545" s="105" t="str">
        <f t="array" ref="R545">IFERROR( IF(P545&lt;&gt;"EMA",INDEX('label approval artwork'!H:H,MATCH(G545,'label approval artwork'!F:F,0),"")),"")</f>
        <v/>
      </c>
      <c r="S545" s="105"/>
      <c r="T545" s="105" t="str">
        <f t="array" ref="T545">IF(ISBLANK(G545),"",INDEX('POR Config List'!I:I,MATCH(G545,'POR Config List'!D:D,0)))</f>
        <v/>
      </c>
      <c r="AA545" s="100" t="str">
        <f t="array" ref="AA545">IF(ISBLANK(G545),"",INDEX('POR Config List'!E:E,MATCH(G545,'POR Config List'!D:D,0)))</f>
        <v/>
      </c>
      <c r="AC545" s="105"/>
      <c r="AD545" s="100"/>
      <c r="AE545" s="100"/>
      <c r="AF545" s="100"/>
      <c r="AG545" s="100"/>
      <c r="AM545" s="102"/>
      <c r="AN545" s="102"/>
      <c r="AR545" s="119"/>
      <c r="AS545" s="103"/>
    </row>
    <row r="546">
      <c r="A546" s="168"/>
      <c r="B546" s="100" t="str">
        <f t="array" ref="B546">IFERROR( INDEX('POR Config List'!A:A,MATCH(G546,'POR Config List'!D:D,0)),"")</f>
        <v/>
      </c>
      <c r="C546" s="101" t="str">
        <f t="array" ref="C546">IFERROR(INDEX('label approval artwork'!E:E,MATCH(G546,'label approval artwork'!F:F,0),""),"")</f>
        <v/>
      </c>
      <c r="D546" s="102" t="str">
        <f t="shared" si="3"/>
        <v/>
      </c>
      <c r="E546" s="100" t="str">
        <f t="array" ref="E546">IF(ISBLANK(G546),"",INDEX('POR Config List'!K:K,MATCH(G546,'POR Config List'!D:D,0)))</f>
        <v/>
      </c>
      <c r="F546" s="100" t="str">
        <f t="array" ref="F546">IF(ISBLANK(G546),"",INDEX('POR Config List'!J:J,MATCH(G546,'POR Config List'!D:D,0)))</f>
        <v/>
      </c>
      <c r="G546" s="168"/>
      <c r="H546" s="104" t="str">
        <f t="array" ref="H546">IF(ISBLANK(G546),"",INDEX('MP SKUs'!G:G,MATCH(G546,'MP SKUs'!A:A,0)))</f>
        <v/>
      </c>
      <c r="I546" s="105" t="str">
        <f t="array" ref="I546">IF(ISBLANK(G546),"",INDEX('POR Config List'!O:O,MATCH(G546,'POR Config List'!D:D,0)))</f>
        <v/>
      </c>
      <c r="J546" s="104" t="str">
        <f t="array" ref="J546">IF(ISBLANK(G546),"",INDEX('POR Config List'!H:H,MATCH(G546,'POR Config List'!D:D,0)))</f>
        <v/>
      </c>
      <c r="K546" s="105" t="str">
        <f t="array" ref="K546">IF(ISBLANK(G546),"",INDEX('POR Config List'!G:G,MATCH(G546,'POR Config List'!D:D,0)))</f>
        <v/>
      </c>
      <c r="L546" s="105"/>
      <c r="M546" s="105" t="str">
        <f t="array" ref="M546">IF(ISBLANK(G546),"",INDEX('label approval artwork'!Q:Q,MATCH( G546,'label approval artwork'!F:F,0)))</f>
        <v/>
      </c>
      <c r="N546" s="169" t="str">
        <f t="shared" si="5"/>
        <v/>
      </c>
      <c r="O546" s="102" t="str">
        <f t="array" ref="O546">IF(ISBLANK(G546),"",INDEX('POR Config List'!C:C,MATCH(G546,'POR Config List'!D:D,0)))</f>
        <v/>
      </c>
      <c r="P546" s="105" t="str">
        <f t="shared" si="4"/>
        <v/>
      </c>
      <c r="Q546" s="105" t="str">
        <f t="array" ref="Q546">IF(ISBLANK(G546),"",INDEX('label approval artwork'!J:J,MATCH( G546,'label approval artwork'!F:F,0)))</f>
        <v/>
      </c>
      <c r="R546" s="105" t="str">
        <f t="array" ref="R546">IFERROR( IF(P546&lt;&gt;"EMA",INDEX('label approval artwork'!H:H,MATCH(G546,'label approval artwork'!F:F,0),"")),"")</f>
        <v/>
      </c>
      <c r="S546" s="105"/>
      <c r="T546" s="105" t="str">
        <f t="array" ref="T546">IF(ISBLANK(G546),"",INDEX('POR Config List'!I:I,MATCH(G546,'POR Config List'!D:D,0)))</f>
        <v/>
      </c>
      <c r="AA546" s="100" t="str">
        <f t="array" ref="AA546">IF(ISBLANK(G546),"",INDEX('POR Config List'!E:E,MATCH(G546,'POR Config List'!D:D,0)))</f>
        <v/>
      </c>
      <c r="AC546" s="105"/>
      <c r="AD546" s="100"/>
      <c r="AE546" s="100"/>
      <c r="AF546" s="100"/>
      <c r="AG546" s="100"/>
      <c r="AM546" s="102"/>
      <c r="AN546" s="102"/>
      <c r="AR546" s="119"/>
      <c r="AS546" s="103"/>
    </row>
    <row r="547">
      <c r="A547" s="168"/>
      <c r="B547" s="100" t="str">
        <f t="array" ref="B547">IFERROR( INDEX('POR Config List'!A:A,MATCH(G547,'POR Config List'!D:D,0)),"")</f>
        <v/>
      </c>
      <c r="C547" s="101" t="str">
        <f t="array" ref="C547">IFERROR(INDEX('label approval artwork'!E:E,MATCH(G547,'label approval artwork'!F:F,0),""),"")</f>
        <v/>
      </c>
      <c r="D547" s="102" t="str">
        <f t="shared" si="3"/>
        <v/>
      </c>
      <c r="E547" s="100" t="str">
        <f t="array" ref="E547">IF(ISBLANK(G547),"",INDEX('POR Config List'!K:K,MATCH(G547,'POR Config List'!D:D,0)))</f>
        <v/>
      </c>
      <c r="F547" s="100" t="str">
        <f t="array" ref="F547">IF(ISBLANK(G547),"",INDEX('POR Config List'!J:J,MATCH(G547,'POR Config List'!D:D,0)))</f>
        <v/>
      </c>
      <c r="G547" s="168"/>
      <c r="H547" s="104" t="str">
        <f t="array" ref="H547">IF(ISBLANK(G547),"",INDEX('MP SKUs'!G:G,MATCH(G547,'MP SKUs'!A:A,0)))</f>
        <v/>
      </c>
      <c r="I547" s="105" t="str">
        <f t="array" ref="I547">IF(ISBLANK(G547),"",INDEX('POR Config List'!O:O,MATCH(G547,'POR Config List'!D:D,0)))</f>
        <v/>
      </c>
      <c r="J547" s="104" t="str">
        <f t="array" ref="J547">IF(ISBLANK(G547),"",INDEX('POR Config List'!H:H,MATCH(G547,'POR Config List'!D:D,0)))</f>
        <v/>
      </c>
      <c r="K547" s="105" t="str">
        <f t="array" ref="K547">IF(ISBLANK(G547),"",INDEX('POR Config List'!G:G,MATCH(G547,'POR Config List'!D:D,0)))</f>
        <v/>
      </c>
      <c r="L547" s="105"/>
      <c r="M547" s="105" t="str">
        <f t="array" ref="M547">IF(ISBLANK(G547),"",INDEX('label approval artwork'!Q:Q,MATCH( G547,'label approval artwork'!F:F,0)))</f>
        <v/>
      </c>
      <c r="N547" s="169" t="str">
        <f t="shared" si="5"/>
        <v/>
      </c>
      <c r="O547" s="102" t="str">
        <f t="array" ref="O547">IF(ISBLANK(G547),"",INDEX('POR Config List'!C:C,MATCH(G547,'POR Config List'!D:D,0)))</f>
        <v/>
      </c>
      <c r="P547" s="105" t="str">
        <f t="shared" si="4"/>
        <v/>
      </c>
      <c r="Q547" s="105" t="str">
        <f t="array" ref="Q547">IF(ISBLANK(G547),"",INDEX('label approval artwork'!J:J,MATCH( G547,'label approval artwork'!F:F,0)))</f>
        <v/>
      </c>
      <c r="R547" s="105" t="str">
        <f t="array" ref="R547">IFERROR( IF(P547&lt;&gt;"EMA",INDEX('label approval artwork'!H:H,MATCH(G547,'label approval artwork'!F:F,0),"")),"")</f>
        <v/>
      </c>
      <c r="S547" s="105"/>
      <c r="T547" s="105" t="str">
        <f t="array" ref="T547">IF(ISBLANK(G547),"",INDEX('POR Config List'!I:I,MATCH(G547,'POR Config List'!D:D,0)))</f>
        <v/>
      </c>
      <c r="AA547" s="100" t="str">
        <f t="array" ref="AA547">IF(ISBLANK(G547),"",INDEX('POR Config List'!E:E,MATCH(G547,'POR Config List'!D:D,0)))</f>
        <v/>
      </c>
      <c r="AC547" s="105"/>
      <c r="AD547" s="100"/>
      <c r="AE547" s="100"/>
      <c r="AF547" s="100"/>
      <c r="AG547" s="100"/>
      <c r="AM547" s="102"/>
      <c r="AN547" s="102"/>
      <c r="AR547" s="119"/>
      <c r="AS547" s="103"/>
    </row>
    <row r="548">
      <c r="A548" s="168"/>
      <c r="B548" s="100" t="str">
        <f t="array" ref="B548">IFERROR( INDEX('POR Config List'!A:A,MATCH(G548,'POR Config List'!D:D,0)),"")</f>
        <v/>
      </c>
      <c r="C548" s="101" t="str">
        <f t="array" ref="C548">IFERROR(INDEX('label approval artwork'!E:E,MATCH(G548,'label approval artwork'!F:F,0),""),"")</f>
        <v/>
      </c>
      <c r="D548" s="102" t="str">
        <f t="shared" si="3"/>
        <v/>
      </c>
      <c r="E548" s="100" t="str">
        <f t="array" ref="E548">IF(ISBLANK(G548),"",INDEX('POR Config List'!K:K,MATCH(G548,'POR Config List'!D:D,0)))</f>
        <v/>
      </c>
      <c r="F548" s="100" t="str">
        <f t="array" ref="F548">IF(ISBLANK(G548),"",INDEX('POR Config List'!J:J,MATCH(G548,'POR Config List'!D:D,0)))</f>
        <v/>
      </c>
      <c r="G548" s="168"/>
      <c r="H548" s="104" t="str">
        <f t="array" ref="H548">IF(ISBLANK(G548),"",INDEX('MP SKUs'!G:G,MATCH(G548,'MP SKUs'!A:A,0)))</f>
        <v/>
      </c>
      <c r="I548" s="105" t="str">
        <f t="array" ref="I548">IF(ISBLANK(G548),"",INDEX('POR Config List'!O:O,MATCH(G548,'POR Config List'!D:D,0)))</f>
        <v/>
      </c>
      <c r="J548" s="104" t="str">
        <f t="array" ref="J548">IF(ISBLANK(G548),"",INDEX('POR Config List'!H:H,MATCH(G548,'POR Config List'!D:D,0)))</f>
        <v/>
      </c>
      <c r="K548" s="105" t="str">
        <f t="array" ref="K548">IF(ISBLANK(G548),"",INDEX('POR Config List'!G:G,MATCH(G548,'POR Config List'!D:D,0)))</f>
        <v/>
      </c>
      <c r="L548" s="105"/>
      <c r="M548" s="105" t="str">
        <f t="array" ref="M548">IF(ISBLANK(G548),"",INDEX('label approval artwork'!Q:Q,MATCH( G548,'label approval artwork'!F:F,0)))</f>
        <v/>
      </c>
      <c r="N548" s="169" t="str">
        <f t="shared" si="5"/>
        <v/>
      </c>
      <c r="O548" s="102" t="str">
        <f t="array" ref="O548">IF(ISBLANK(G548),"",INDEX('POR Config List'!C:C,MATCH(G548,'POR Config List'!D:D,0)))</f>
        <v/>
      </c>
      <c r="P548" s="105" t="str">
        <f t="shared" si="4"/>
        <v/>
      </c>
      <c r="Q548" s="105" t="str">
        <f t="array" ref="Q548">IF(ISBLANK(G548),"",INDEX('label approval artwork'!J:J,MATCH( G548,'label approval artwork'!F:F,0)))</f>
        <v/>
      </c>
      <c r="R548" s="105" t="str">
        <f t="array" ref="R548">IFERROR( IF(P548&lt;&gt;"EMA",INDEX('label approval artwork'!H:H,MATCH(G548,'label approval artwork'!F:F,0),"")),"")</f>
        <v/>
      </c>
      <c r="S548" s="105"/>
      <c r="T548" s="105" t="str">
        <f t="array" ref="T548">IF(ISBLANK(G548),"",INDEX('POR Config List'!I:I,MATCH(G548,'POR Config List'!D:D,0)))</f>
        <v/>
      </c>
      <c r="AA548" s="100" t="str">
        <f t="array" ref="AA548">IF(ISBLANK(G548),"",INDEX('POR Config List'!E:E,MATCH(G548,'POR Config List'!D:D,0)))</f>
        <v/>
      </c>
      <c r="AC548" s="105"/>
      <c r="AD548" s="100"/>
      <c r="AE548" s="100"/>
      <c r="AF548" s="100"/>
      <c r="AG548" s="100"/>
      <c r="AM548" s="102"/>
      <c r="AN548" s="102"/>
      <c r="AR548" s="119"/>
      <c r="AS548" s="103"/>
    </row>
    <row r="549">
      <c r="A549" s="168"/>
      <c r="B549" s="100" t="str">
        <f t="array" ref="B549">IFERROR( INDEX('POR Config List'!A:A,MATCH(G549,'POR Config List'!D:D,0)),"")</f>
        <v/>
      </c>
      <c r="C549" s="101" t="str">
        <f t="array" ref="C549">IFERROR(INDEX('label approval artwork'!E:E,MATCH(G549,'label approval artwork'!F:F,0),""),"")</f>
        <v/>
      </c>
      <c r="D549" s="102" t="str">
        <f t="shared" si="3"/>
        <v/>
      </c>
      <c r="E549" s="100" t="str">
        <f t="array" ref="E549">IF(ISBLANK(G549),"",INDEX('POR Config List'!K:K,MATCH(G549,'POR Config List'!D:D,0)))</f>
        <v/>
      </c>
      <c r="F549" s="100" t="str">
        <f t="array" ref="F549">IF(ISBLANK(G549),"",INDEX('POR Config List'!J:J,MATCH(G549,'POR Config List'!D:D,0)))</f>
        <v/>
      </c>
      <c r="G549" s="168"/>
      <c r="H549" s="104" t="str">
        <f t="array" ref="H549">IF(ISBLANK(G549),"",INDEX('MP SKUs'!G:G,MATCH(G549,'MP SKUs'!A:A,0)))</f>
        <v/>
      </c>
      <c r="I549" s="105" t="str">
        <f t="array" ref="I549">IF(ISBLANK(G549),"",INDEX('POR Config List'!O:O,MATCH(G549,'POR Config List'!D:D,0)))</f>
        <v/>
      </c>
      <c r="J549" s="104" t="str">
        <f t="array" ref="J549">IF(ISBLANK(G549),"",INDEX('POR Config List'!H:H,MATCH(G549,'POR Config List'!D:D,0)))</f>
        <v/>
      </c>
      <c r="K549" s="105" t="str">
        <f t="array" ref="K549">IF(ISBLANK(G549),"",INDEX('POR Config List'!G:G,MATCH(G549,'POR Config List'!D:D,0)))</f>
        <v/>
      </c>
      <c r="L549" s="105"/>
      <c r="M549" s="105" t="str">
        <f t="array" ref="M549">IF(ISBLANK(G549),"",INDEX('label approval artwork'!Q:Q,MATCH( G549,'label approval artwork'!F:F,0)))</f>
        <v/>
      </c>
      <c r="N549" s="169" t="str">
        <f t="shared" si="5"/>
        <v/>
      </c>
      <c r="O549" s="102" t="str">
        <f t="array" ref="O549">IF(ISBLANK(G549),"",INDEX('POR Config List'!C:C,MATCH(G549,'POR Config List'!D:D,0)))</f>
        <v/>
      </c>
      <c r="P549" s="105" t="str">
        <f t="shared" si="4"/>
        <v/>
      </c>
      <c r="Q549" s="105" t="str">
        <f t="array" ref="Q549">IF(ISBLANK(G549),"",INDEX('label approval artwork'!J:J,MATCH( G549,'label approval artwork'!F:F,0)))</f>
        <v/>
      </c>
      <c r="R549" s="105" t="str">
        <f t="array" ref="R549">IFERROR( IF(P549&lt;&gt;"EMA",INDEX('label approval artwork'!H:H,MATCH(G549,'label approval artwork'!F:F,0),"")),"")</f>
        <v/>
      </c>
      <c r="S549" s="105"/>
      <c r="T549" s="105" t="str">
        <f t="array" ref="T549">IF(ISBLANK(G549),"",INDEX('POR Config List'!I:I,MATCH(G549,'POR Config List'!D:D,0)))</f>
        <v/>
      </c>
      <c r="AA549" s="100" t="str">
        <f t="array" ref="AA549">IF(ISBLANK(G549),"",INDEX('POR Config List'!E:E,MATCH(G549,'POR Config List'!D:D,0)))</f>
        <v/>
      </c>
      <c r="AC549" s="105"/>
      <c r="AD549" s="100"/>
      <c r="AE549" s="100"/>
      <c r="AF549" s="100"/>
      <c r="AG549" s="100"/>
      <c r="AM549" s="102"/>
      <c r="AN549" s="102"/>
      <c r="AR549" s="119"/>
      <c r="AS549" s="103"/>
    </row>
    <row r="550">
      <c r="A550" s="168"/>
      <c r="B550" s="100" t="str">
        <f t="array" ref="B550">IFERROR( INDEX('POR Config List'!A:A,MATCH(G550,'POR Config List'!D:D,0)),"")</f>
        <v/>
      </c>
      <c r="C550" s="101" t="str">
        <f t="array" ref="C550">IFERROR(INDEX('label approval artwork'!E:E,MATCH(G550,'label approval artwork'!F:F,0),""),"")</f>
        <v/>
      </c>
      <c r="D550" s="102" t="str">
        <f t="shared" si="3"/>
        <v/>
      </c>
      <c r="E550" s="100" t="str">
        <f t="array" ref="E550">IF(ISBLANK(G550),"",INDEX('POR Config List'!K:K,MATCH(G550,'POR Config List'!D:D,0)))</f>
        <v/>
      </c>
      <c r="F550" s="100" t="str">
        <f t="array" ref="F550">IF(ISBLANK(G550),"",INDEX('POR Config List'!J:J,MATCH(G550,'POR Config List'!D:D,0)))</f>
        <v/>
      </c>
      <c r="G550" s="168"/>
      <c r="H550" s="104" t="str">
        <f t="array" ref="H550">IF(ISBLANK(G550),"",INDEX('MP SKUs'!G:G,MATCH(G550,'MP SKUs'!A:A,0)))</f>
        <v/>
      </c>
      <c r="I550" s="105" t="str">
        <f t="array" ref="I550">IF(ISBLANK(G550),"",INDEX('POR Config List'!O:O,MATCH(G550,'POR Config List'!D:D,0)))</f>
        <v/>
      </c>
      <c r="J550" s="104" t="str">
        <f t="array" ref="J550">IF(ISBLANK(G550),"",INDEX('POR Config List'!H:H,MATCH(G550,'POR Config List'!D:D,0)))</f>
        <v/>
      </c>
      <c r="K550" s="105" t="str">
        <f t="array" ref="K550">IF(ISBLANK(G550),"",INDEX('POR Config List'!G:G,MATCH(G550,'POR Config List'!D:D,0)))</f>
        <v/>
      </c>
      <c r="L550" s="105"/>
      <c r="M550" s="105" t="str">
        <f t="array" ref="M550">IF(ISBLANK(G550),"",INDEX('label approval artwork'!Q:Q,MATCH( G550,'label approval artwork'!F:F,0)))</f>
        <v/>
      </c>
      <c r="N550" s="169" t="str">
        <f t="shared" si="5"/>
        <v/>
      </c>
      <c r="O550" s="102" t="str">
        <f t="array" ref="O550">IF(ISBLANK(G550),"",INDEX('POR Config List'!C:C,MATCH(G550,'POR Config List'!D:D,0)))</f>
        <v/>
      </c>
      <c r="P550" s="105" t="str">
        <f t="shared" si="4"/>
        <v/>
      </c>
      <c r="Q550" s="105" t="str">
        <f t="array" ref="Q550">IF(ISBLANK(G550),"",INDEX('label approval artwork'!J:J,MATCH( G550,'label approval artwork'!F:F,0)))</f>
        <v/>
      </c>
      <c r="R550" s="105" t="str">
        <f t="array" ref="R550">IFERROR( IF(P550&lt;&gt;"EMA",INDEX('label approval artwork'!H:H,MATCH(G550,'label approval artwork'!F:F,0),"")),"")</f>
        <v/>
      </c>
      <c r="S550" s="105"/>
      <c r="T550" s="105" t="str">
        <f t="array" ref="T550">IF(ISBLANK(G550),"",INDEX('POR Config List'!I:I,MATCH(G550,'POR Config List'!D:D,0)))</f>
        <v/>
      </c>
      <c r="AA550" s="100" t="str">
        <f t="array" ref="AA550">IF(ISBLANK(G550),"",INDEX('POR Config List'!E:E,MATCH(G550,'POR Config List'!D:D,0)))</f>
        <v/>
      </c>
      <c r="AC550" s="105"/>
      <c r="AD550" s="100"/>
      <c r="AE550" s="100"/>
      <c r="AF550" s="100"/>
      <c r="AG550" s="100"/>
      <c r="AM550" s="102"/>
      <c r="AN550" s="102"/>
      <c r="AR550" s="119"/>
      <c r="AS550" s="103"/>
    </row>
    <row r="551">
      <c r="A551" s="168"/>
      <c r="B551" s="100" t="str">
        <f t="array" ref="B551">IFERROR( INDEX('POR Config List'!A:A,MATCH(G551,'POR Config List'!D:D,0)),"")</f>
        <v/>
      </c>
      <c r="C551" s="101" t="str">
        <f t="array" ref="C551">IFERROR(INDEX('label approval artwork'!E:E,MATCH(G551,'label approval artwork'!F:F,0),""),"")</f>
        <v/>
      </c>
      <c r="D551" s="102" t="str">
        <f t="shared" si="3"/>
        <v/>
      </c>
      <c r="E551" s="100" t="str">
        <f t="array" ref="E551">IF(ISBLANK(G551),"",INDEX('POR Config List'!K:K,MATCH(G551,'POR Config List'!D:D,0)))</f>
        <v/>
      </c>
      <c r="F551" s="100" t="str">
        <f t="array" ref="F551">IF(ISBLANK(G551),"",INDEX('POR Config List'!J:J,MATCH(G551,'POR Config List'!D:D,0)))</f>
        <v/>
      </c>
      <c r="G551" s="168"/>
      <c r="H551" s="104" t="str">
        <f t="array" ref="H551">IF(ISBLANK(G551),"",INDEX('MP SKUs'!G:G,MATCH(G551,'MP SKUs'!A:A,0)))</f>
        <v/>
      </c>
      <c r="I551" s="105" t="str">
        <f t="array" ref="I551">IF(ISBLANK(G551),"",INDEX('POR Config List'!O:O,MATCH(G551,'POR Config List'!D:D,0)))</f>
        <v/>
      </c>
      <c r="J551" s="104" t="str">
        <f t="array" ref="J551">IF(ISBLANK(G551),"",INDEX('POR Config List'!H:H,MATCH(G551,'POR Config List'!D:D,0)))</f>
        <v/>
      </c>
      <c r="K551" s="105" t="str">
        <f t="array" ref="K551">IF(ISBLANK(G551),"",INDEX('POR Config List'!G:G,MATCH(G551,'POR Config List'!D:D,0)))</f>
        <v/>
      </c>
      <c r="L551" s="105"/>
      <c r="M551" s="105" t="str">
        <f t="array" ref="M551">IF(ISBLANK(G551),"",INDEX('label approval artwork'!Q:Q,MATCH( G551,'label approval artwork'!F:F,0)))</f>
        <v/>
      </c>
      <c r="N551" s="169" t="str">
        <f t="shared" si="5"/>
        <v/>
      </c>
      <c r="O551" s="102" t="str">
        <f t="array" ref="O551">IF(ISBLANK(G551),"",INDEX('POR Config List'!C:C,MATCH(G551,'POR Config List'!D:D,0)))</f>
        <v/>
      </c>
      <c r="P551" s="105" t="str">
        <f t="shared" si="4"/>
        <v/>
      </c>
      <c r="Q551" s="105" t="str">
        <f t="array" ref="Q551">IF(ISBLANK(G551),"",INDEX('label approval artwork'!J:J,MATCH( G551,'label approval artwork'!F:F,0)))</f>
        <v/>
      </c>
      <c r="R551" s="105" t="str">
        <f t="array" ref="R551">IFERROR( IF(P551&lt;&gt;"EMA",INDEX('label approval artwork'!H:H,MATCH(G551,'label approval artwork'!F:F,0),"")),"")</f>
        <v/>
      </c>
      <c r="S551" s="105"/>
      <c r="T551" s="105" t="str">
        <f t="array" ref="T551">IF(ISBLANK(G551),"",INDEX('POR Config List'!I:I,MATCH(G551,'POR Config List'!D:D,0)))</f>
        <v/>
      </c>
      <c r="AA551" s="100" t="str">
        <f t="array" ref="AA551">IF(ISBLANK(G551),"",INDEX('POR Config List'!E:E,MATCH(G551,'POR Config List'!D:D,0)))</f>
        <v/>
      </c>
      <c r="AC551" s="105"/>
      <c r="AD551" s="100"/>
      <c r="AE551" s="100"/>
      <c r="AF551" s="100"/>
      <c r="AG551" s="100"/>
      <c r="AM551" s="102"/>
      <c r="AN551" s="102"/>
      <c r="AR551" s="119"/>
      <c r="AS551" s="103"/>
    </row>
    <row r="552">
      <c r="A552" s="168"/>
      <c r="B552" s="100" t="str">
        <f t="array" ref="B552">IFERROR( INDEX('POR Config List'!A:A,MATCH(G552,'POR Config List'!D:D,0)),"")</f>
        <v/>
      </c>
      <c r="C552" s="101" t="str">
        <f t="array" ref="C552">IFERROR(INDEX('label approval artwork'!E:E,MATCH(G552,'label approval artwork'!F:F,0),""),"")</f>
        <v/>
      </c>
      <c r="D552" s="102" t="str">
        <f t="shared" si="3"/>
        <v/>
      </c>
      <c r="E552" s="100" t="str">
        <f t="array" ref="E552">IF(ISBLANK(G552),"",INDEX('POR Config List'!K:K,MATCH(G552,'POR Config List'!D:D,0)))</f>
        <v/>
      </c>
      <c r="F552" s="100" t="str">
        <f t="array" ref="F552">IF(ISBLANK(G552),"",INDEX('POR Config List'!J:J,MATCH(G552,'POR Config List'!D:D,0)))</f>
        <v/>
      </c>
      <c r="G552" s="168"/>
      <c r="H552" s="104" t="str">
        <f t="array" ref="H552">IF(ISBLANK(G552),"",INDEX('MP SKUs'!G:G,MATCH(G552,'MP SKUs'!A:A,0)))</f>
        <v/>
      </c>
      <c r="I552" s="105" t="str">
        <f t="array" ref="I552">IF(ISBLANK(G552),"",INDEX('POR Config List'!O:O,MATCH(G552,'POR Config List'!D:D,0)))</f>
        <v/>
      </c>
      <c r="J552" s="104" t="str">
        <f t="array" ref="J552">IF(ISBLANK(G552),"",INDEX('POR Config List'!H:H,MATCH(G552,'POR Config List'!D:D,0)))</f>
        <v/>
      </c>
      <c r="K552" s="105" t="str">
        <f t="array" ref="K552">IF(ISBLANK(G552),"",INDEX('POR Config List'!G:G,MATCH(G552,'POR Config List'!D:D,0)))</f>
        <v/>
      </c>
      <c r="L552" s="105"/>
      <c r="M552" s="105" t="str">
        <f t="array" ref="M552">IF(ISBLANK(G552),"",INDEX('label approval artwork'!Q:Q,MATCH( G552,'label approval artwork'!F:F,0)))</f>
        <v/>
      </c>
      <c r="N552" s="169" t="str">
        <f t="shared" si="5"/>
        <v/>
      </c>
      <c r="O552" s="102" t="str">
        <f t="array" ref="O552">IF(ISBLANK(G552),"",INDEX('POR Config List'!C:C,MATCH(G552,'POR Config List'!D:D,0)))</f>
        <v/>
      </c>
      <c r="P552" s="105" t="str">
        <f t="shared" si="4"/>
        <v/>
      </c>
      <c r="Q552" s="105" t="str">
        <f t="array" ref="Q552">IF(ISBLANK(G552),"",INDEX('label approval artwork'!J:J,MATCH( G552,'label approval artwork'!F:F,0)))</f>
        <v/>
      </c>
      <c r="R552" s="105" t="str">
        <f t="array" ref="R552">IFERROR( IF(P552&lt;&gt;"EMA",INDEX('label approval artwork'!H:H,MATCH(G552,'label approval artwork'!F:F,0),"")),"")</f>
        <v/>
      </c>
      <c r="S552" s="105"/>
      <c r="T552" s="105" t="str">
        <f t="array" ref="T552">IF(ISBLANK(G552),"",INDEX('POR Config List'!I:I,MATCH(G552,'POR Config List'!D:D,0)))</f>
        <v/>
      </c>
      <c r="AA552" s="100" t="str">
        <f t="array" ref="AA552">IF(ISBLANK(G552),"",INDEX('POR Config List'!E:E,MATCH(G552,'POR Config List'!D:D,0)))</f>
        <v/>
      </c>
      <c r="AC552" s="105"/>
      <c r="AD552" s="100"/>
      <c r="AE552" s="100"/>
      <c r="AF552" s="100"/>
      <c r="AG552" s="100"/>
      <c r="AM552" s="102"/>
      <c r="AN552" s="102"/>
      <c r="AR552" s="119"/>
      <c r="AS552" s="103"/>
    </row>
    <row r="553">
      <c r="A553" s="168"/>
      <c r="B553" s="100" t="str">
        <f t="array" ref="B553">IFERROR( INDEX('POR Config List'!A:A,MATCH(G553,'POR Config List'!D:D,0)),"")</f>
        <v/>
      </c>
      <c r="C553" s="101" t="str">
        <f t="array" ref="C553">IFERROR(INDEX('label approval artwork'!E:E,MATCH(G553,'label approval artwork'!F:F,0),""),"")</f>
        <v/>
      </c>
      <c r="D553" s="102" t="str">
        <f t="shared" si="3"/>
        <v/>
      </c>
      <c r="E553" s="100" t="str">
        <f t="array" ref="E553">IF(ISBLANK(G553),"",INDEX('POR Config List'!K:K,MATCH(G553,'POR Config List'!D:D,0)))</f>
        <v/>
      </c>
      <c r="F553" s="100" t="str">
        <f t="array" ref="F553">IF(ISBLANK(G553),"",INDEX('POR Config List'!J:J,MATCH(G553,'POR Config List'!D:D,0)))</f>
        <v/>
      </c>
      <c r="G553" s="168"/>
      <c r="H553" s="104" t="str">
        <f t="array" ref="H553">IF(ISBLANK(G553),"",INDEX('MP SKUs'!G:G,MATCH(G553,'MP SKUs'!A:A,0)))</f>
        <v/>
      </c>
      <c r="I553" s="105" t="str">
        <f t="array" ref="I553">IF(ISBLANK(G553),"",INDEX('POR Config List'!O:O,MATCH(G553,'POR Config List'!D:D,0)))</f>
        <v/>
      </c>
      <c r="J553" s="104" t="str">
        <f t="array" ref="J553">IF(ISBLANK(G553),"",INDEX('POR Config List'!H:H,MATCH(G553,'POR Config List'!D:D,0)))</f>
        <v/>
      </c>
      <c r="K553" s="105" t="str">
        <f t="array" ref="K553">IF(ISBLANK(G553),"",INDEX('POR Config List'!G:G,MATCH(G553,'POR Config List'!D:D,0)))</f>
        <v/>
      </c>
      <c r="L553" s="105"/>
      <c r="M553" s="105" t="str">
        <f t="array" ref="M553">IF(ISBLANK(G553),"",INDEX('label approval artwork'!Q:Q,MATCH( G553,'label approval artwork'!F:F,0)))</f>
        <v/>
      </c>
      <c r="N553" s="169" t="str">
        <f t="shared" si="5"/>
        <v/>
      </c>
      <c r="O553" s="102" t="str">
        <f t="array" ref="O553">IF(ISBLANK(G553),"",INDEX('POR Config List'!C:C,MATCH(G553,'POR Config List'!D:D,0)))</f>
        <v/>
      </c>
      <c r="P553" s="105" t="str">
        <f t="shared" si="4"/>
        <v/>
      </c>
      <c r="Q553" s="105" t="str">
        <f t="array" ref="Q553">IF(ISBLANK(G553),"",INDEX('label approval artwork'!J:J,MATCH( G553,'label approval artwork'!F:F,0)))</f>
        <v/>
      </c>
      <c r="R553" s="105" t="str">
        <f t="array" ref="R553">IFERROR( IF(P553&lt;&gt;"EMA",INDEX('label approval artwork'!H:H,MATCH(G553,'label approval artwork'!F:F,0),"")),"")</f>
        <v/>
      </c>
      <c r="S553" s="105"/>
      <c r="T553" s="105" t="str">
        <f t="array" ref="T553">IF(ISBLANK(G553),"",INDEX('POR Config List'!I:I,MATCH(G553,'POR Config List'!D:D,0)))</f>
        <v/>
      </c>
      <c r="AA553" s="100" t="str">
        <f t="array" ref="AA553">IF(ISBLANK(G553),"",INDEX('POR Config List'!E:E,MATCH(G553,'POR Config List'!D:D,0)))</f>
        <v/>
      </c>
      <c r="AC553" s="105"/>
      <c r="AD553" s="100"/>
      <c r="AE553" s="100"/>
      <c r="AF553" s="100"/>
      <c r="AG553" s="100"/>
      <c r="AM553" s="102"/>
      <c r="AN553" s="102"/>
      <c r="AR553" s="119"/>
      <c r="AS553" s="103"/>
    </row>
    <row r="554">
      <c r="A554" s="168"/>
      <c r="B554" s="100" t="str">
        <f t="array" ref="B554">IFERROR( INDEX('POR Config List'!A:A,MATCH(G554,'POR Config List'!D:D,0)),"")</f>
        <v/>
      </c>
      <c r="C554" s="101" t="str">
        <f t="array" ref="C554">IFERROR(INDEX('label approval artwork'!E:E,MATCH(G554,'label approval artwork'!F:F,0),""),"")</f>
        <v/>
      </c>
      <c r="D554" s="102" t="str">
        <f t="shared" si="3"/>
        <v/>
      </c>
      <c r="E554" s="100" t="str">
        <f t="array" ref="E554">IF(ISBLANK(G554),"",INDEX('POR Config List'!K:K,MATCH(G554,'POR Config List'!D:D,0)))</f>
        <v/>
      </c>
      <c r="F554" s="100" t="str">
        <f t="array" ref="F554">IF(ISBLANK(G554),"",INDEX('POR Config List'!J:J,MATCH(G554,'POR Config List'!D:D,0)))</f>
        <v/>
      </c>
      <c r="G554" s="168"/>
      <c r="H554" s="104" t="str">
        <f t="array" ref="H554">IF(ISBLANK(G554),"",INDEX('MP SKUs'!G:G,MATCH(G554,'MP SKUs'!A:A,0)))</f>
        <v/>
      </c>
      <c r="I554" s="105" t="str">
        <f t="array" ref="I554">IF(ISBLANK(G554),"",INDEX('POR Config List'!O:O,MATCH(G554,'POR Config List'!D:D,0)))</f>
        <v/>
      </c>
      <c r="J554" s="104" t="str">
        <f t="array" ref="J554">IF(ISBLANK(G554),"",INDEX('POR Config List'!H:H,MATCH(G554,'POR Config List'!D:D,0)))</f>
        <v/>
      </c>
      <c r="K554" s="105" t="str">
        <f t="array" ref="K554">IF(ISBLANK(G554),"",INDEX('POR Config List'!G:G,MATCH(G554,'POR Config List'!D:D,0)))</f>
        <v/>
      </c>
      <c r="L554" s="105"/>
      <c r="M554" s="105" t="str">
        <f t="array" ref="M554">IF(ISBLANK(G554),"",INDEX('label approval artwork'!Q:Q,MATCH( G554,'label approval artwork'!F:F,0)))</f>
        <v/>
      </c>
      <c r="N554" s="169" t="str">
        <f t="shared" si="5"/>
        <v/>
      </c>
      <c r="O554" s="102" t="str">
        <f t="array" ref="O554">IF(ISBLANK(G554),"",INDEX('POR Config List'!C:C,MATCH(G554,'POR Config List'!D:D,0)))</f>
        <v/>
      </c>
      <c r="P554" s="105" t="str">
        <f t="shared" si="4"/>
        <v/>
      </c>
      <c r="Q554" s="105" t="str">
        <f t="array" ref="Q554">IF(ISBLANK(G554),"",INDEX('label approval artwork'!J:J,MATCH( G554,'label approval artwork'!F:F,0)))</f>
        <v/>
      </c>
      <c r="R554" s="105" t="str">
        <f t="array" ref="R554">IFERROR( IF(P554&lt;&gt;"EMA",INDEX('label approval artwork'!H:H,MATCH(G554,'label approval artwork'!F:F,0),"")),"")</f>
        <v/>
      </c>
      <c r="S554" s="105"/>
      <c r="T554" s="105" t="str">
        <f t="array" ref="T554">IF(ISBLANK(G554),"",INDEX('POR Config List'!I:I,MATCH(G554,'POR Config List'!D:D,0)))</f>
        <v/>
      </c>
      <c r="AA554" s="100" t="str">
        <f t="array" ref="AA554">IF(ISBLANK(G554),"",INDEX('POR Config List'!E:E,MATCH(G554,'POR Config List'!D:D,0)))</f>
        <v/>
      </c>
      <c r="AC554" s="105"/>
      <c r="AD554" s="100"/>
      <c r="AE554" s="100"/>
      <c r="AF554" s="100"/>
      <c r="AG554" s="100"/>
      <c r="AM554" s="102"/>
      <c r="AN554" s="102"/>
      <c r="AR554" s="119"/>
      <c r="AS554" s="103"/>
    </row>
    <row r="555">
      <c r="A555" s="168"/>
      <c r="B555" s="100" t="str">
        <f t="array" ref="B555">IFERROR( INDEX('POR Config List'!A:A,MATCH(G555,'POR Config List'!D:D,0)),"")</f>
        <v/>
      </c>
      <c r="C555" s="101" t="str">
        <f t="array" ref="C555">IFERROR(INDEX('label approval artwork'!E:E,MATCH(G555,'label approval artwork'!F:F,0),""),"")</f>
        <v/>
      </c>
      <c r="D555" s="102" t="str">
        <f t="shared" si="3"/>
        <v/>
      </c>
      <c r="E555" s="100" t="str">
        <f t="array" ref="E555">IF(ISBLANK(G555),"",INDEX('POR Config List'!K:K,MATCH(G555,'POR Config List'!D:D,0)))</f>
        <v/>
      </c>
      <c r="F555" s="100" t="str">
        <f t="array" ref="F555">IF(ISBLANK(G555),"",INDEX('POR Config List'!J:J,MATCH(G555,'POR Config List'!D:D,0)))</f>
        <v/>
      </c>
      <c r="G555" s="168"/>
      <c r="H555" s="104" t="str">
        <f t="array" ref="H555">IF(ISBLANK(G555),"",INDEX('MP SKUs'!G:G,MATCH(G555,'MP SKUs'!A:A,0)))</f>
        <v/>
      </c>
      <c r="I555" s="105" t="str">
        <f t="array" ref="I555">IF(ISBLANK(G555),"",INDEX('POR Config List'!O:O,MATCH(G555,'POR Config List'!D:D,0)))</f>
        <v/>
      </c>
      <c r="J555" s="104" t="str">
        <f t="array" ref="J555">IF(ISBLANK(G555),"",INDEX('POR Config List'!H:H,MATCH(G555,'POR Config List'!D:D,0)))</f>
        <v/>
      </c>
      <c r="K555" s="105" t="str">
        <f t="array" ref="K555">IF(ISBLANK(G555),"",INDEX('POR Config List'!G:G,MATCH(G555,'POR Config List'!D:D,0)))</f>
        <v/>
      </c>
      <c r="L555" s="105"/>
      <c r="M555" s="105" t="str">
        <f t="array" ref="M555">IF(ISBLANK(G555),"",INDEX('label approval artwork'!Q:Q,MATCH( G555,'label approval artwork'!F:F,0)))</f>
        <v/>
      </c>
      <c r="N555" s="169" t="str">
        <f t="shared" si="5"/>
        <v/>
      </c>
      <c r="O555" s="102" t="str">
        <f t="array" ref="O555">IF(ISBLANK(G555),"",INDEX('POR Config List'!C:C,MATCH(G555,'POR Config List'!D:D,0)))</f>
        <v/>
      </c>
      <c r="P555" s="105" t="str">
        <f t="shared" si="4"/>
        <v/>
      </c>
      <c r="Q555" s="105" t="str">
        <f t="array" ref="Q555">IF(ISBLANK(G555),"",INDEX('label approval artwork'!J:J,MATCH( G555,'label approval artwork'!F:F,0)))</f>
        <v/>
      </c>
      <c r="R555" s="105" t="str">
        <f t="array" ref="R555">IFERROR( IF(P555&lt;&gt;"EMA",INDEX('label approval artwork'!H:H,MATCH(G555,'label approval artwork'!F:F,0),"")),"")</f>
        <v/>
      </c>
      <c r="S555" s="105"/>
      <c r="T555" s="105" t="str">
        <f t="array" ref="T555">IF(ISBLANK(G555),"",INDEX('POR Config List'!I:I,MATCH(G555,'POR Config List'!D:D,0)))</f>
        <v/>
      </c>
      <c r="AA555" s="100" t="str">
        <f t="array" ref="AA555">IF(ISBLANK(G555),"",INDEX('POR Config List'!E:E,MATCH(G555,'POR Config List'!D:D,0)))</f>
        <v/>
      </c>
      <c r="AC555" s="105"/>
      <c r="AD555" s="100"/>
      <c r="AE555" s="100"/>
      <c r="AF555" s="100"/>
      <c r="AG555" s="100"/>
      <c r="AM555" s="102"/>
      <c r="AN555" s="102"/>
      <c r="AR555" s="119"/>
      <c r="AS555" s="103"/>
    </row>
    <row r="556">
      <c r="A556" s="168"/>
      <c r="B556" s="100" t="str">
        <f t="array" ref="B556">IFERROR( INDEX('POR Config List'!A:A,MATCH(G556,'POR Config List'!D:D,0)),"")</f>
        <v/>
      </c>
      <c r="C556" s="101" t="str">
        <f t="array" ref="C556">IFERROR(INDEX('label approval artwork'!E:E,MATCH(G556,'label approval artwork'!F:F,0),""),"")</f>
        <v/>
      </c>
      <c r="D556" s="102" t="str">
        <f t="shared" si="3"/>
        <v/>
      </c>
      <c r="E556" s="100" t="str">
        <f t="array" ref="E556">IF(ISBLANK(G556),"",INDEX('POR Config List'!K:K,MATCH(G556,'POR Config List'!D:D,0)))</f>
        <v/>
      </c>
      <c r="F556" s="100" t="str">
        <f t="array" ref="F556">IF(ISBLANK(G556),"",INDEX('POR Config List'!J:J,MATCH(G556,'POR Config List'!D:D,0)))</f>
        <v/>
      </c>
      <c r="G556" s="168"/>
      <c r="H556" s="104" t="str">
        <f t="array" ref="H556">IF(ISBLANK(G556),"",INDEX('MP SKUs'!G:G,MATCH(G556,'MP SKUs'!A:A,0)))</f>
        <v/>
      </c>
      <c r="I556" s="105" t="str">
        <f t="array" ref="I556">IF(ISBLANK(G556),"",INDEX('POR Config List'!O:O,MATCH(G556,'POR Config List'!D:D,0)))</f>
        <v/>
      </c>
      <c r="J556" s="104" t="str">
        <f t="array" ref="J556">IF(ISBLANK(G556),"",INDEX('POR Config List'!H:H,MATCH(G556,'POR Config List'!D:D,0)))</f>
        <v/>
      </c>
      <c r="K556" s="105" t="str">
        <f t="array" ref="K556">IF(ISBLANK(G556),"",INDEX('POR Config List'!G:G,MATCH(G556,'POR Config List'!D:D,0)))</f>
        <v/>
      </c>
      <c r="L556" s="105"/>
      <c r="M556" s="105" t="str">
        <f t="array" ref="M556">IF(ISBLANK(G556),"",INDEX('label approval artwork'!Q:Q,MATCH( G556,'label approval artwork'!F:F,0)))</f>
        <v/>
      </c>
      <c r="N556" s="169" t="str">
        <f t="shared" si="5"/>
        <v/>
      </c>
      <c r="O556" s="102" t="str">
        <f t="array" ref="O556">IF(ISBLANK(G556),"",INDEX('POR Config List'!C:C,MATCH(G556,'POR Config List'!D:D,0)))</f>
        <v/>
      </c>
      <c r="P556" s="105" t="str">
        <f t="shared" si="4"/>
        <v/>
      </c>
      <c r="Q556" s="105" t="str">
        <f t="array" ref="Q556">IF(ISBLANK(G556),"",INDEX('label approval artwork'!J:J,MATCH( G556,'label approval artwork'!F:F,0)))</f>
        <v/>
      </c>
      <c r="R556" s="105" t="str">
        <f t="array" ref="R556">IFERROR( IF(P556&lt;&gt;"EMA",INDEX('label approval artwork'!H:H,MATCH(G556,'label approval artwork'!F:F,0),"")),"")</f>
        <v/>
      </c>
      <c r="S556" s="105"/>
      <c r="T556" s="105" t="str">
        <f t="array" ref="T556">IF(ISBLANK(G556),"",INDEX('POR Config List'!I:I,MATCH(G556,'POR Config List'!D:D,0)))</f>
        <v/>
      </c>
      <c r="AA556" s="100" t="str">
        <f t="array" ref="AA556">IF(ISBLANK(G556),"",INDEX('POR Config List'!E:E,MATCH(G556,'POR Config List'!D:D,0)))</f>
        <v/>
      </c>
      <c r="AC556" s="105"/>
      <c r="AD556" s="100"/>
      <c r="AE556" s="100"/>
      <c r="AF556" s="100"/>
      <c r="AG556" s="100"/>
      <c r="AM556" s="102"/>
      <c r="AN556" s="102"/>
      <c r="AR556" s="119"/>
      <c r="AS556" s="103"/>
    </row>
    <row r="557">
      <c r="A557" s="168"/>
      <c r="B557" s="100" t="str">
        <f t="array" ref="B557">IFERROR( INDEX('POR Config List'!A:A,MATCH(G557,'POR Config List'!D:D,0)),"")</f>
        <v/>
      </c>
      <c r="C557" s="101" t="str">
        <f t="array" ref="C557">IFERROR(INDEX('label approval artwork'!E:E,MATCH(G557,'label approval artwork'!F:F,0),""),"")</f>
        <v/>
      </c>
      <c r="D557" s="102" t="str">
        <f t="shared" si="3"/>
        <v/>
      </c>
      <c r="E557" s="100" t="str">
        <f t="array" ref="E557">IF(ISBLANK(G557),"",INDEX('POR Config List'!K:K,MATCH(G557,'POR Config List'!D:D,0)))</f>
        <v/>
      </c>
      <c r="F557" s="100" t="str">
        <f t="array" ref="F557">IF(ISBLANK(G557),"",INDEX('POR Config List'!J:J,MATCH(G557,'POR Config List'!D:D,0)))</f>
        <v/>
      </c>
      <c r="G557" s="168"/>
      <c r="H557" s="104" t="str">
        <f t="array" ref="H557">IF(ISBLANK(G557),"",INDEX('MP SKUs'!G:G,MATCH(G557,'MP SKUs'!A:A,0)))</f>
        <v/>
      </c>
      <c r="I557" s="105" t="str">
        <f t="array" ref="I557">IF(ISBLANK(G557),"",INDEX('POR Config List'!O:O,MATCH(G557,'POR Config List'!D:D,0)))</f>
        <v/>
      </c>
      <c r="J557" s="104" t="str">
        <f t="array" ref="J557">IF(ISBLANK(G557),"",INDEX('POR Config List'!H:H,MATCH(G557,'POR Config List'!D:D,0)))</f>
        <v/>
      </c>
      <c r="K557" s="105" t="str">
        <f t="array" ref="K557">IF(ISBLANK(G557),"",INDEX('POR Config List'!G:G,MATCH(G557,'POR Config List'!D:D,0)))</f>
        <v/>
      </c>
      <c r="L557" s="105"/>
      <c r="M557" s="105" t="str">
        <f t="array" ref="M557">IF(ISBLANK(G557),"",INDEX('label approval artwork'!Q:Q,MATCH( G557,'label approval artwork'!F:F,0)))</f>
        <v/>
      </c>
      <c r="N557" s="169" t="str">
        <f t="shared" si="5"/>
        <v/>
      </c>
      <c r="O557" s="102" t="str">
        <f t="array" ref="O557">IF(ISBLANK(G557),"",INDEX('POR Config List'!C:C,MATCH(G557,'POR Config List'!D:D,0)))</f>
        <v/>
      </c>
      <c r="P557" s="105" t="str">
        <f t="shared" si="4"/>
        <v/>
      </c>
      <c r="Q557" s="105" t="str">
        <f t="array" ref="Q557">IF(ISBLANK(G557),"",INDEX('label approval artwork'!J:J,MATCH( G557,'label approval artwork'!F:F,0)))</f>
        <v/>
      </c>
      <c r="R557" s="105" t="str">
        <f t="array" ref="R557">IFERROR( IF(P557&lt;&gt;"EMA",INDEX('label approval artwork'!H:H,MATCH(G557,'label approval artwork'!F:F,0),"")),"")</f>
        <v/>
      </c>
      <c r="S557" s="105"/>
      <c r="T557" s="105" t="str">
        <f t="array" ref="T557">IF(ISBLANK(G557),"",INDEX('POR Config List'!I:I,MATCH(G557,'POR Config List'!D:D,0)))</f>
        <v/>
      </c>
      <c r="AA557" s="100" t="str">
        <f t="array" ref="AA557">IF(ISBLANK(G557),"",INDEX('POR Config List'!E:E,MATCH(G557,'POR Config List'!D:D,0)))</f>
        <v/>
      </c>
      <c r="AC557" s="105"/>
      <c r="AD557" s="100"/>
      <c r="AE557" s="100"/>
      <c r="AF557" s="100"/>
      <c r="AG557" s="100"/>
      <c r="AM557" s="102"/>
      <c r="AN557" s="102"/>
      <c r="AR557" s="119"/>
      <c r="AS557" s="103"/>
    </row>
    <row r="558">
      <c r="A558" s="168"/>
      <c r="B558" s="100" t="str">
        <f t="array" ref="B558">IFERROR( INDEX('POR Config List'!A:A,MATCH(G558,'POR Config List'!D:D,0)),"")</f>
        <v/>
      </c>
      <c r="C558" s="101" t="str">
        <f t="array" ref="C558">IFERROR(INDEX('label approval artwork'!E:E,MATCH(G558,'label approval artwork'!F:F,0),""),"")</f>
        <v/>
      </c>
      <c r="D558" s="102" t="str">
        <f t="shared" si="3"/>
        <v/>
      </c>
      <c r="E558" s="100" t="str">
        <f t="array" ref="E558">IF(ISBLANK(G558),"",INDEX('POR Config List'!K:K,MATCH(G558,'POR Config List'!D:D,0)))</f>
        <v/>
      </c>
      <c r="F558" s="100" t="str">
        <f t="array" ref="F558">IF(ISBLANK(G558),"",INDEX('POR Config List'!J:J,MATCH(G558,'POR Config List'!D:D,0)))</f>
        <v/>
      </c>
      <c r="G558" s="168"/>
      <c r="H558" s="104" t="str">
        <f t="array" ref="H558">IF(ISBLANK(G558),"",INDEX('MP SKUs'!G:G,MATCH(G558,'MP SKUs'!A:A,0)))</f>
        <v/>
      </c>
      <c r="I558" s="105" t="str">
        <f t="array" ref="I558">IF(ISBLANK(G558),"",INDEX('POR Config List'!O:O,MATCH(G558,'POR Config List'!D:D,0)))</f>
        <v/>
      </c>
      <c r="J558" s="104" t="str">
        <f t="array" ref="J558">IF(ISBLANK(G558),"",INDEX('POR Config List'!H:H,MATCH(G558,'POR Config List'!D:D,0)))</f>
        <v/>
      </c>
      <c r="K558" s="105" t="str">
        <f t="array" ref="K558">IF(ISBLANK(G558),"",INDEX('POR Config List'!G:G,MATCH(G558,'POR Config List'!D:D,0)))</f>
        <v/>
      </c>
      <c r="L558" s="105"/>
      <c r="M558" s="105" t="str">
        <f t="array" ref="M558">IF(ISBLANK(G558),"",INDEX('label approval artwork'!Q:Q,MATCH( G558,'label approval artwork'!F:F,0)))</f>
        <v/>
      </c>
      <c r="N558" s="169" t="str">
        <f t="shared" si="5"/>
        <v/>
      </c>
      <c r="O558" s="102" t="str">
        <f t="array" ref="O558">IF(ISBLANK(G558),"",INDEX('POR Config List'!C:C,MATCH(G558,'POR Config List'!D:D,0)))</f>
        <v/>
      </c>
      <c r="P558" s="105" t="str">
        <f t="shared" si="4"/>
        <v/>
      </c>
      <c r="Q558" s="105" t="str">
        <f t="array" ref="Q558">IF(ISBLANK(G558),"",INDEX('label approval artwork'!J:J,MATCH( G558,'label approval artwork'!F:F,0)))</f>
        <v/>
      </c>
      <c r="R558" s="105" t="str">
        <f t="array" ref="R558">IFERROR( IF(P558&lt;&gt;"EMA",INDEX('label approval artwork'!H:H,MATCH(G558,'label approval artwork'!F:F,0),"")),"")</f>
        <v/>
      </c>
      <c r="S558" s="105"/>
      <c r="T558" s="105" t="str">
        <f t="array" ref="T558">IF(ISBLANK(G558),"",INDEX('POR Config List'!I:I,MATCH(G558,'POR Config List'!D:D,0)))</f>
        <v/>
      </c>
      <c r="AA558" s="100" t="str">
        <f t="array" ref="AA558">IF(ISBLANK(G558),"",INDEX('POR Config List'!E:E,MATCH(G558,'POR Config List'!D:D,0)))</f>
        <v/>
      </c>
      <c r="AC558" s="105"/>
      <c r="AD558" s="100"/>
      <c r="AE558" s="100"/>
      <c r="AF558" s="100"/>
      <c r="AG558" s="100"/>
      <c r="AM558" s="102"/>
      <c r="AN558" s="102"/>
      <c r="AR558" s="119"/>
      <c r="AS558" s="103"/>
    </row>
    <row r="559">
      <c r="A559" s="168"/>
      <c r="B559" s="100" t="str">
        <f t="array" ref="B559">IFERROR( INDEX('POR Config List'!A:A,MATCH(G559,'POR Config List'!D:D,0)),"")</f>
        <v/>
      </c>
      <c r="C559" s="101" t="str">
        <f t="array" ref="C559">IFERROR(INDEX('label approval artwork'!E:E,MATCH(G559,'label approval artwork'!F:F,0),""),"")</f>
        <v/>
      </c>
      <c r="D559" s="102" t="str">
        <f t="shared" si="3"/>
        <v/>
      </c>
      <c r="E559" s="100" t="str">
        <f t="array" ref="E559">IF(ISBLANK(G559),"",INDEX('POR Config List'!K:K,MATCH(G559,'POR Config List'!D:D,0)))</f>
        <v/>
      </c>
      <c r="F559" s="100" t="str">
        <f t="array" ref="F559">IF(ISBLANK(G559),"",INDEX('POR Config List'!J:J,MATCH(G559,'POR Config List'!D:D,0)))</f>
        <v/>
      </c>
      <c r="G559" s="168"/>
      <c r="H559" s="104" t="str">
        <f t="array" ref="H559">IF(ISBLANK(G559),"",INDEX('MP SKUs'!G:G,MATCH(G559,'MP SKUs'!A:A,0)))</f>
        <v/>
      </c>
      <c r="I559" s="105" t="str">
        <f t="array" ref="I559">IF(ISBLANK(G559),"",INDEX('POR Config List'!O:O,MATCH(G559,'POR Config List'!D:D,0)))</f>
        <v/>
      </c>
      <c r="J559" s="104" t="str">
        <f t="array" ref="J559">IF(ISBLANK(G559),"",INDEX('POR Config List'!H:H,MATCH(G559,'POR Config List'!D:D,0)))</f>
        <v/>
      </c>
      <c r="K559" s="105" t="str">
        <f t="array" ref="K559">IF(ISBLANK(G559),"",INDEX('POR Config List'!G:G,MATCH(G559,'POR Config List'!D:D,0)))</f>
        <v/>
      </c>
      <c r="L559" s="105"/>
      <c r="M559" s="105" t="str">
        <f t="array" ref="M559">IF(ISBLANK(G559),"",INDEX('label approval artwork'!Q:Q,MATCH( G559,'label approval artwork'!F:F,0)))</f>
        <v/>
      </c>
      <c r="N559" s="169" t="str">
        <f t="shared" si="5"/>
        <v/>
      </c>
      <c r="O559" s="102" t="str">
        <f t="array" ref="O559">IF(ISBLANK(G559),"",INDEX('POR Config List'!C:C,MATCH(G559,'POR Config List'!D:D,0)))</f>
        <v/>
      </c>
      <c r="P559" s="105" t="str">
        <f t="shared" si="4"/>
        <v/>
      </c>
      <c r="Q559" s="105" t="str">
        <f t="array" ref="Q559">IF(ISBLANK(G559),"",INDEX('label approval artwork'!J:J,MATCH( G559,'label approval artwork'!F:F,0)))</f>
        <v/>
      </c>
      <c r="R559" s="105" t="str">
        <f t="array" ref="R559">IFERROR( IF(P559&lt;&gt;"EMA",INDEX('label approval artwork'!H:H,MATCH(G559,'label approval artwork'!F:F,0),"")),"")</f>
        <v/>
      </c>
      <c r="S559" s="105"/>
      <c r="T559" s="105" t="str">
        <f t="array" ref="T559">IF(ISBLANK(G559),"",INDEX('POR Config List'!I:I,MATCH(G559,'POR Config List'!D:D,0)))</f>
        <v/>
      </c>
      <c r="AA559" s="100" t="str">
        <f t="array" ref="AA559">IF(ISBLANK(G559),"",INDEX('POR Config List'!E:E,MATCH(G559,'POR Config List'!D:D,0)))</f>
        <v/>
      </c>
      <c r="AC559" s="105"/>
      <c r="AD559" s="100"/>
      <c r="AE559" s="100"/>
      <c r="AF559" s="100"/>
      <c r="AG559" s="100"/>
      <c r="AM559" s="102"/>
      <c r="AN559" s="102"/>
      <c r="AR559" s="119"/>
      <c r="AS559" s="103"/>
    </row>
    <row r="560">
      <c r="A560" s="168"/>
      <c r="B560" s="100" t="str">
        <f t="array" ref="B560">IFERROR( INDEX('POR Config List'!A:A,MATCH(G560,'POR Config List'!D:D,0)),"")</f>
        <v/>
      </c>
      <c r="C560" s="101" t="str">
        <f t="array" ref="C560">IFERROR(INDEX('label approval artwork'!E:E,MATCH(G560,'label approval artwork'!F:F,0),""),"")</f>
        <v/>
      </c>
      <c r="D560" s="102" t="str">
        <f t="shared" si="3"/>
        <v/>
      </c>
      <c r="E560" s="100" t="str">
        <f t="array" ref="E560">IF(ISBLANK(G560),"",INDEX('POR Config List'!K:K,MATCH(G560,'POR Config List'!D:D,0)))</f>
        <v/>
      </c>
      <c r="F560" s="100" t="str">
        <f t="array" ref="F560">IF(ISBLANK(G560),"",INDEX('POR Config List'!J:J,MATCH(G560,'POR Config List'!D:D,0)))</f>
        <v/>
      </c>
      <c r="G560" s="168"/>
      <c r="H560" s="104" t="str">
        <f t="array" ref="H560">IF(ISBLANK(G560),"",INDEX('MP SKUs'!G:G,MATCH(G560,'MP SKUs'!A:A,0)))</f>
        <v/>
      </c>
      <c r="I560" s="105" t="str">
        <f t="array" ref="I560">IF(ISBLANK(G560),"",INDEX('POR Config List'!O:O,MATCH(G560,'POR Config List'!D:D,0)))</f>
        <v/>
      </c>
      <c r="J560" s="104" t="str">
        <f t="array" ref="J560">IF(ISBLANK(G560),"",INDEX('POR Config List'!H:H,MATCH(G560,'POR Config List'!D:D,0)))</f>
        <v/>
      </c>
      <c r="K560" s="105" t="str">
        <f t="array" ref="K560">IF(ISBLANK(G560),"",INDEX('POR Config List'!G:G,MATCH(G560,'POR Config List'!D:D,0)))</f>
        <v/>
      </c>
      <c r="L560" s="105"/>
      <c r="M560" s="105" t="str">
        <f t="array" ref="M560">IF(ISBLANK(G560),"",INDEX('label approval artwork'!Q:Q,MATCH( G560,'label approval artwork'!F:F,0)))</f>
        <v/>
      </c>
      <c r="N560" s="169" t="str">
        <f t="shared" si="5"/>
        <v/>
      </c>
      <c r="O560" s="102" t="str">
        <f t="array" ref="O560">IF(ISBLANK(G560),"",INDEX('POR Config List'!C:C,MATCH(G560,'POR Config List'!D:D,0)))</f>
        <v/>
      </c>
      <c r="P560" s="105" t="str">
        <f t="shared" si="4"/>
        <v/>
      </c>
      <c r="Q560" s="105" t="str">
        <f t="array" ref="Q560">IF(ISBLANK(G560),"",INDEX('label approval artwork'!J:J,MATCH( G560,'label approval artwork'!F:F,0)))</f>
        <v/>
      </c>
      <c r="R560" s="105" t="str">
        <f t="array" ref="R560">IFERROR( IF(P560&lt;&gt;"EMA",INDEX('label approval artwork'!H:H,MATCH(G560,'label approval artwork'!F:F,0),"")),"")</f>
        <v/>
      </c>
      <c r="S560" s="105"/>
      <c r="T560" s="105" t="str">
        <f t="array" ref="T560">IF(ISBLANK(G560),"",INDEX('POR Config List'!I:I,MATCH(G560,'POR Config List'!D:D,0)))</f>
        <v/>
      </c>
      <c r="AA560" s="100" t="str">
        <f t="array" ref="AA560">IF(ISBLANK(G560),"",INDEX('POR Config List'!E:E,MATCH(G560,'POR Config List'!D:D,0)))</f>
        <v/>
      </c>
      <c r="AC560" s="105"/>
      <c r="AD560" s="100"/>
      <c r="AE560" s="100"/>
      <c r="AF560" s="100"/>
      <c r="AG560" s="100"/>
      <c r="AM560" s="102"/>
      <c r="AN560" s="102"/>
      <c r="AR560" s="119"/>
      <c r="AS560" s="103"/>
    </row>
    <row r="561">
      <c r="A561" s="168"/>
      <c r="B561" s="100" t="str">
        <f t="array" ref="B561">IFERROR( INDEX('POR Config List'!A:A,MATCH(G561,'POR Config List'!D:D,0)),"")</f>
        <v/>
      </c>
      <c r="C561" s="101" t="str">
        <f t="array" ref="C561">IFERROR(INDEX('label approval artwork'!E:E,MATCH(G561,'label approval artwork'!F:F,0),""),"")</f>
        <v/>
      </c>
      <c r="D561" s="102" t="str">
        <f t="shared" si="3"/>
        <v/>
      </c>
      <c r="E561" s="100" t="str">
        <f t="array" ref="E561">IF(ISBLANK(G561),"",INDEX('POR Config List'!K:K,MATCH(G561,'POR Config List'!D:D,0)))</f>
        <v/>
      </c>
      <c r="F561" s="100" t="str">
        <f t="array" ref="F561">IF(ISBLANK(G561),"",INDEX('POR Config List'!J:J,MATCH(G561,'POR Config List'!D:D,0)))</f>
        <v/>
      </c>
      <c r="G561" s="168"/>
      <c r="H561" s="104" t="str">
        <f t="array" ref="H561">IF(ISBLANK(G561),"",INDEX('MP SKUs'!G:G,MATCH(G561,'MP SKUs'!A:A,0)))</f>
        <v/>
      </c>
      <c r="I561" s="105" t="str">
        <f t="array" ref="I561">IF(ISBLANK(G561),"",INDEX('POR Config List'!O:O,MATCH(G561,'POR Config List'!D:D,0)))</f>
        <v/>
      </c>
      <c r="J561" s="104" t="str">
        <f t="array" ref="J561">IF(ISBLANK(G561),"",INDEX('POR Config List'!H:H,MATCH(G561,'POR Config List'!D:D,0)))</f>
        <v/>
      </c>
      <c r="K561" s="105" t="str">
        <f t="array" ref="K561">IF(ISBLANK(G561),"",INDEX('POR Config List'!G:G,MATCH(G561,'POR Config List'!D:D,0)))</f>
        <v/>
      </c>
      <c r="L561" s="105"/>
      <c r="M561" s="105" t="str">
        <f t="array" ref="M561">IF(ISBLANK(G561),"",INDEX('label approval artwork'!Q:Q,MATCH( G561,'label approval artwork'!F:F,0)))</f>
        <v/>
      </c>
      <c r="N561" s="169" t="str">
        <f t="shared" si="5"/>
        <v/>
      </c>
      <c r="O561" s="102" t="str">
        <f t="array" ref="O561">IF(ISBLANK(G561),"",INDEX('POR Config List'!C:C,MATCH(G561,'POR Config List'!D:D,0)))</f>
        <v/>
      </c>
      <c r="P561" s="105" t="str">
        <f t="shared" si="4"/>
        <v/>
      </c>
      <c r="Q561" s="105" t="str">
        <f t="array" ref="Q561">IF(ISBLANK(G561),"",INDEX('label approval artwork'!J:J,MATCH( G561,'label approval artwork'!F:F,0)))</f>
        <v/>
      </c>
      <c r="R561" s="105" t="str">
        <f t="array" ref="R561">IFERROR( IF(P561&lt;&gt;"EMA",INDEX('label approval artwork'!H:H,MATCH(G561,'label approval artwork'!F:F,0),"")),"")</f>
        <v/>
      </c>
      <c r="S561" s="105"/>
      <c r="T561" s="105" t="str">
        <f t="array" ref="T561">IF(ISBLANK(G561),"",INDEX('POR Config List'!I:I,MATCH(G561,'POR Config List'!D:D,0)))</f>
        <v/>
      </c>
      <c r="AA561" s="100" t="str">
        <f t="array" ref="AA561">IF(ISBLANK(G561),"",INDEX('POR Config List'!E:E,MATCH(G561,'POR Config List'!D:D,0)))</f>
        <v/>
      </c>
      <c r="AC561" s="105"/>
      <c r="AD561" s="100"/>
      <c r="AE561" s="100"/>
      <c r="AF561" s="100"/>
      <c r="AG561" s="100"/>
      <c r="AM561" s="102"/>
      <c r="AN561" s="102"/>
      <c r="AR561" s="119"/>
      <c r="AS561" s="103"/>
    </row>
    <row r="562">
      <c r="A562" s="168"/>
      <c r="B562" s="100" t="str">
        <f t="array" ref="B562">IFERROR( INDEX('POR Config List'!A:A,MATCH(G562,'POR Config List'!D:D,0)),"")</f>
        <v/>
      </c>
      <c r="C562" s="101" t="str">
        <f t="array" ref="C562">IFERROR(INDEX('label approval artwork'!E:E,MATCH(G562,'label approval artwork'!F:F,0),""),"")</f>
        <v/>
      </c>
      <c r="D562" s="102" t="str">
        <f t="shared" si="3"/>
        <v/>
      </c>
      <c r="E562" s="100" t="str">
        <f t="array" ref="E562">IF(ISBLANK(G562),"",INDEX('POR Config List'!K:K,MATCH(G562,'POR Config List'!D:D,0)))</f>
        <v/>
      </c>
      <c r="F562" s="100" t="str">
        <f t="array" ref="F562">IF(ISBLANK(G562),"",INDEX('POR Config List'!J:J,MATCH(G562,'POR Config List'!D:D,0)))</f>
        <v/>
      </c>
      <c r="G562" s="168"/>
      <c r="H562" s="104" t="str">
        <f t="array" ref="H562">IF(ISBLANK(G562),"",INDEX('MP SKUs'!G:G,MATCH(G562,'MP SKUs'!A:A,0)))</f>
        <v/>
      </c>
      <c r="I562" s="105" t="str">
        <f t="array" ref="I562">IF(ISBLANK(G562),"",INDEX('POR Config List'!O:O,MATCH(G562,'POR Config List'!D:D,0)))</f>
        <v/>
      </c>
      <c r="J562" s="104" t="str">
        <f t="array" ref="J562">IF(ISBLANK(G562),"",INDEX('POR Config List'!H:H,MATCH(G562,'POR Config List'!D:D,0)))</f>
        <v/>
      </c>
      <c r="K562" s="105" t="str">
        <f t="array" ref="K562">IF(ISBLANK(G562),"",INDEX('POR Config List'!G:G,MATCH(G562,'POR Config List'!D:D,0)))</f>
        <v/>
      </c>
      <c r="L562" s="105"/>
      <c r="M562" s="105" t="str">
        <f t="array" ref="M562">IF(ISBLANK(G562),"",INDEX('label approval artwork'!Q:Q,MATCH( G562,'label approval artwork'!F:F,0)))</f>
        <v/>
      </c>
      <c r="N562" s="169" t="str">
        <f t="shared" si="5"/>
        <v/>
      </c>
      <c r="O562" s="102" t="str">
        <f t="array" ref="O562">IF(ISBLANK(G562),"",INDEX('POR Config List'!C:C,MATCH(G562,'POR Config List'!D:D,0)))</f>
        <v/>
      </c>
      <c r="P562" s="105" t="str">
        <f t="shared" si="4"/>
        <v/>
      </c>
      <c r="Q562" s="105" t="str">
        <f t="array" ref="Q562">IF(ISBLANK(G562),"",INDEX('label approval artwork'!J:J,MATCH( G562,'label approval artwork'!F:F,0)))</f>
        <v/>
      </c>
      <c r="R562" s="105" t="str">
        <f t="array" ref="R562">IFERROR( IF(P562&lt;&gt;"EMA",INDEX('label approval artwork'!H:H,MATCH(G562,'label approval artwork'!F:F,0),"")),"")</f>
        <v/>
      </c>
      <c r="S562" s="105"/>
      <c r="T562" s="105" t="str">
        <f t="array" ref="T562">IF(ISBLANK(G562),"",INDEX('POR Config List'!I:I,MATCH(G562,'POR Config List'!D:D,0)))</f>
        <v/>
      </c>
      <c r="AA562" s="100" t="str">
        <f t="array" ref="AA562">IF(ISBLANK(G562),"",INDEX('POR Config List'!E:E,MATCH(G562,'POR Config List'!D:D,0)))</f>
        <v/>
      </c>
      <c r="AC562" s="105"/>
      <c r="AD562" s="100"/>
      <c r="AE562" s="100"/>
      <c r="AF562" s="100"/>
      <c r="AG562" s="100"/>
      <c r="AM562" s="102"/>
      <c r="AN562" s="102"/>
      <c r="AR562" s="119"/>
      <c r="AS562" s="103"/>
    </row>
    <row r="563">
      <c r="A563" s="168"/>
      <c r="B563" s="100" t="str">
        <f t="array" ref="B563">IFERROR( INDEX('POR Config List'!A:A,MATCH(G563,'POR Config List'!D:D,0)),"")</f>
        <v/>
      </c>
      <c r="C563" s="101" t="str">
        <f t="array" ref="C563">IFERROR(INDEX('label approval artwork'!E:E,MATCH(G563,'label approval artwork'!F:F,0),""),"")</f>
        <v/>
      </c>
      <c r="D563" s="102" t="str">
        <f t="shared" si="3"/>
        <v/>
      </c>
      <c r="E563" s="100" t="str">
        <f t="array" ref="E563">IF(ISBLANK(G563),"",INDEX('POR Config List'!K:K,MATCH(G563,'POR Config List'!D:D,0)))</f>
        <v/>
      </c>
      <c r="F563" s="100" t="str">
        <f t="array" ref="F563">IF(ISBLANK(G563),"",INDEX('POR Config List'!J:J,MATCH(G563,'POR Config List'!D:D,0)))</f>
        <v/>
      </c>
      <c r="G563" s="168"/>
      <c r="H563" s="104" t="str">
        <f t="array" ref="H563">IF(ISBLANK(G563),"",INDEX('MP SKUs'!G:G,MATCH(G563,'MP SKUs'!A:A,0)))</f>
        <v/>
      </c>
      <c r="I563" s="105" t="str">
        <f t="array" ref="I563">IF(ISBLANK(G563),"",INDEX('POR Config List'!O:O,MATCH(G563,'POR Config List'!D:D,0)))</f>
        <v/>
      </c>
      <c r="J563" s="104" t="str">
        <f t="array" ref="J563">IF(ISBLANK(G563),"",INDEX('POR Config List'!H:H,MATCH(G563,'POR Config List'!D:D,0)))</f>
        <v/>
      </c>
      <c r="K563" s="105" t="str">
        <f t="array" ref="K563">IF(ISBLANK(G563),"",INDEX('POR Config List'!G:G,MATCH(G563,'POR Config List'!D:D,0)))</f>
        <v/>
      </c>
      <c r="L563" s="105"/>
      <c r="M563" s="105" t="str">
        <f t="array" ref="M563">IF(ISBLANK(G563),"",INDEX('label approval artwork'!Q:Q,MATCH( G563,'label approval artwork'!F:F,0)))</f>
        <v/>
      </c>
      <c r="N563" s="169" t="str">
        <f t="shared" si="5"/>
        <v/>
      </c>
      <c r="O563" s="102" t="str">
        <f t="array" ref="O563">IF(ISBLANK(G563),"",INDEX('POR Config List'!C:C,MATCH(G563,'POR Config List'!D:D,0)))</f>
        <v/>
      </c>
      <c r="P563" s="105" t="str">
        <f t="shared" si="4"/>
        <v/>
      </c>
      <c r="Q563" s="105" t="str">
        <f t="array" ref="Q563">IF(ISBLANK(G563),"",INDEX('label approval artwork'!J:J,MATCH( G563,'label approval artwork'!F:F,0)))</f>
        <v/>
      </c>
      <c r="R563" s="105" t="str">
        <f t="array" ref="R563">IFERROR( IF(P563&lt;&gt;"EMA",INDEX('label approval artwork'!H:H,MATCH(G563,'label approval artwork'!F:F,0),"")),"")</f>
        <v/>
      </c>
      <c r="S563" s="105"/>
      <c r="T563" s="105" t="str">
        <f t="array" ref="T563">IF(ISBLANK(G563),"",INDEX('POR Config List'!I:I,MATCH(G563,'POR Config List'!D:D,0)))</f>
        <v/>
      </c>
      <c r="AA563" s="100" t="str">
        <f t="array" ref="AA563">IF(ISBLANK(G563),"",INDEX('POR Config List'!E:E,MATCH(G563,'POR Config List'!D:D,0)))</f>
        <v/>
      </c>
      <c r="AC563" s="105"/>
      <c r="AD563" s="100"/>
      <c r="AE563" s="100"/>
      <c r="AF563" s="100"/>
      <c r="AG563" s="100"/>
      <c r="AM563" s="102"/>
      <c r="AN563" s="102"/>
      <c r="AR563" s="119"/>
      <c r="AS563" s="103"/>
    </row>
    <row r="564">
      <c r="A564" s="168"/>
      <c r="B564" s="100" t="str">
        <f t="array" ref="B564">IFERROR( INDEX('POR Config List'!A:A,MATCH(G564,'POR Config List'!D:D,0)),"")</f>
        <v/>
      </c>
      <c r="C564" s="101" t="str">
        <f t="array" ref="C564">IFERROR(INDEX('label approval artwork'!E:E,MATCH(G564,'label approval artwork'!F:F,0),""),"")</f>
        <v/>
      </c>
      <c r="D564" s="102" t="str">
        <f t="shared" si="3"/>
        <v/>
      </c>
      <c r="E564" s="100" t="str">
        <f t="array" ref="E564">IF(ISBLANK(G564),"",INDEX('POR Config List'!K:K,MATCH(G564,'POR Config List'!D:D,0)))</f>
        <v/>
      </c>
      <c r="F564" s="100" t="str">
        <f t="array" ref="F564">IF(ISBLANK(G564),"",INDEX('POR Config List'!J:J,MATCH(G564,'POR Config List'!D:D,0)))</f>
        <v/>
      </c>
      <c r="G564" s="168"/>
      <c r="H564" s="104" t="str">
        <f t="array" ref="H564">IF(ISBLANK(G564),"",INDEX('MP SKUs'!G:G,MATCH(G564,'MP SKUs'!A:A,0)))</f>
        <v/>
      </c>
      <c r="I564" s="105" t="str">
        <f t="array" ref="I564">IF(ISBLANK(G564),"",INDEX('POR Config List'!O:O,MATCH(G564,'POR Config List'!D:D,0)))</f>
        <v/>
      </c>
      <c r="J564" s="104" t="str">
        <f t="array" ref="J564">IF(ISBLANK(G564),"",INDEX('POR Config List'!H:H,MATCH(G564,'POR Config List'!D:D,0)))</f>
        <v/>
      </c>
      <c r="K564" s="105" t="str">
        <f t="array" ref="K564">IF(ISBLANK(G564),"",INDEX('POR Config List'!G:G,MATCH(G564,'POR Config List'!D:D,0)))</f>
        <v/>
      </c>
      <c r="L564" s="105"/>
      <c r="M564" s="105" t="str">
        <f t="array" ref="M564">IF(ISBLANK(G564),"",INDEX('label approval artwork'!Q:Q,MATCH( G564,'label approval artwork'!F:F,0)))</f>
        <v/>
      </c>
      <c r="N564" s="169" t="str">
        <f t="shared" si="5"/>
        <v/>
      </c>
      <c r="O564" s="102" t="str">
        <f t="array" ref="O564">IF(ISBLANK(G564),"",INDEX('POR Config List'!C:C,MATCH(G564,'POR Config List'!D:D,0)))</f>
        <v/>
      </c>
      <c r="P564" s="105" t="str">
        <f t="shared" si="4"/>
        <v/>
      </c>
      <c r="Q564" s="105" t="str">
        <f t="array" ref="Q564">IF(ISBLANK(G564),"",INDEX('label approval artwork'!J:J,MATCH( G564,'label approval artwork'!F:F,0)))</f>
        <v/>
      </c>
      <c r="R564" s="105" t="str">
        <f t="array" ref="R564">IFERROR( IF(P564&lt;&gt;"EMA",INDEX('label approval artwork'!H:H,MATCH(G564,'label approval artwork'!F:F,0),"")),"")</f>
        <v/>
      </c>
      <c r="S564" s="105"/>
      <c r="T564" s="105" t="str">
        <f t="array" ref="T564">IF(ISBLANK(G564),"",INDEX('POR Config List'!I:I,MATCH(G564,'POR Config List'!D:D,0)))</f>
        <v/>
      </c>
      <c r="AA564" s="100" t="str">
        <f t="array" ref="AA564">IF(ISBLANK(G564),"",INDEX('POR Config List'!E:E,MATCH(G564,'POR Config List'!D:D,0)))</f>
        <v/>
      </c>
      <c r="AC564" s="105"/>
      <c r="AD564" s="100"/>
      <c r="AE564" s="100"/>
      <c r="AF564" s="100"/>
      <c r="AG564" s="100"/>
      <c r="AM564" s="102"/>
      <c r="AN564" s="102"/>
      <c r="AR564" s="119"/>
      <c r="AS564" s="103"/>
    </row>
    <row r="565">
      <c r="A565" s="168"/>
      <c r="B565" s="100" t="str">
        <f t="array" ref="B565">IFERROR( INDEX('POR Config List'!A:A,MATCH(G565,'POR Config List'!D:D,0)),"")</f>
        <v/>
      </c>
      <c r="C565" s="101" t="str">
        <f t="array" ref="C565">IFERROR(INDEX('label approval artwork'!E:E,MATCH(G565,'label approval artwork'!F:F,0),""),"")</f>
        <v/>
      </c>
      <c r="D565" s="102" t="str">
        <f t="shared" si="3"/>
        <v/>
      </c>
      <c r="E565" s="100" t="str">
        <f t="array" ref="E565">IF(ISBLANK(G565),"",INDEX('POR Config List'!K:K,MATCH(G565,'POR Config List'!D:D,0)))</f>
        <v/>
      </c>
      <c r="F565" s="100" t="str">
        <f t="array" ref="F565">IF(ISBLANK(G565),"",INDEX('POR Config List'!J:J,MATCH(G565,'POR Config List'!D:D,0)))</f>
        <v/>
      </c>
      <c r="G565" s="168"/>
      <c r="H565" s="104" t="str">
        <f t="array" ref="H565">IF(ISBLANK(G565),"",INDEX('MP SKUs'!G:G,MATCH(G565,'MP SKUs'!A:A,0)))</f>
        <v/>
      </c>
      <c r="I565" s="105" t="str">
        <f t="array" ref="I565">IF(ISBLANK(G565),"",INDEX('POR Config List'!O:O,MATCH(G565,'POR Config List'!D:D,0)))</f>
        <v/>
      </c>
      <c r="J565" s="104" t="str">
        <f t="array" ref="J565">IF(ISBLANK(G565),"",INDEX('POR Config List'!H:H,MATCH(G565,'POR Config List'!D:D,0)))</f>
        <v/>
      </c>
      <c r="K565" s="105" t="str">
        <f t="array" ref="K565">IF(ISBLANK(G565),"",INDEX('POR Config List'!G:G,MATCH(G565,'POR Config List'!D:D,0)))</f>
        <v/>
      </c>
      <c r="L565" s="105"/>
      <c r="M565" s="105" t="str">
        <f t="array" ref="M565">IF(ISBLANK(G565),"",INDEX('label approval artwork'!Q:Q,MATCH( G565,'label approval artwork'!F:F,0)))</f>
        <v/>
      </c>
      <c r="N565" s="169" t="str">
        <f t="shared" si="5"/>
        <v/>
      </c>
      <c r="O565" s="102" t="str">
        <f t="array" ref="O565">IF(ISBLANK(G565),"",INDEX('POR Config List'!C:C,MATCH(G565,'POR Config List'!D:D,0)))</f>
        <v/>
      </c>
      <c r="P565" s="105" t="str">
        <f t="shared" si="4"/>
        <v/>
      </c>
      <c r="Q565" s="105" t="str">
        <f t="array" ref="Q565">IF(ISBLANK(G565),"",INDEX('label approval artwork'!J:J,MATCH( G565,'label approval artwork'!F:F,0)))</f>
        <v/>
      </c>
      <c r="R565" s="105" t="str">
        <f t="array" ref="R565">IFERROR( IF(P565&lt;&gt;"EMA",INDEX('label approval artwork'!H:H,MATCH(G565,'label approval artwork'!F:F,0),"")),"")</f>
        <v/>
      </c>
      <c r="S565" s="105"/>
      <c r="T565" s="105" t="str">
        <f t="array" ref="T565">IF(ISBLANK(G565),"",INDEX('POR Config List'!I:I,MATCH(G565,'POR Config List'!D:D,0)))</f>
        <v/>
      </c>
      <c r="AA565" s="100" t="str">
        <f t="array" ref="AA565">IF(ISBLANK(G565),"",INDEX('POR Config List'!E:E,MATCH(G565,'POR Config List'!D:D,0)))</f>
        <v/>
      </c>
      <c r="AC565" s="105"/>
      <c r="AD565" s="100"/>
      <c r="AE565" s="100"/>
      <c r="AF565" s="100"/>
      <c r="AG565" s="100"/>
      <c r="AM565" s="102"/>
      <c r="AN565" s="102"/>
      <c r="AR565" s="119"/>
      <c r="AS565" s="103"/>
    </row>
    <row r="566">
      <c r="A566" s="168"/>
      <c r="B566" s="100" t="str">
        <f t="array" ref="B566">IFERROR( INDEX('POR Config List'!A:A,MATCH(G566,'POR Config List'!D:D,0)),"")</f>
        <v/>
      </c>
      <c r="C566" s="101" t="str">
        <f t="array" ref="C566">IFERROR(INDEX('label approval artwork'!E:E,MATCH(G566,'label approval artwork'!F:F,0),""),"")</f>
        <v/>
      </c>
      <c r="D566" s="102" t="str">
        <f t="shared" si="3"/>
        <v/>
      </c>
      <c r="E566" s="100" t="str">
        <f t="array" ref="E566">IF(ISBLANK(G566),"",INDEX('POR Config List'!K:K,MATCH(G566,'POR Config List'!D:D,0)))</f>
        <v/>
      </c>
      <c r="F566" s="100" t="str">
        <f t="array" ref="F566">IF(ISBLANK(G566),"",INDEX('POR Config List'!J:J,MATCH(G566,'POR Config List'!D:D,0)))</f>
        <v/>
      </c>
      <c r="G566" s="168"/>
      <c r="H566" s="104" t="str">
        <f t="array" ref="H566">IF(ISBLANK(G566),"",INDEX('MP SKUs'!G:G,MATCH(G566,'MP SKUs'!A:A,0)))</f>
        <v/>
      </c>
      <c r="I566" s="105" t="str">
        <f t="array" ref="I566">IF(ISBLANK(G566),"",INDEX('POR Config List'!O:O,MATCH(G566,'POR Config List'!D:D,0)))</f>
        <v/>
      </c>
      <c r="J566" s="104" t="str">
        <f t="array" ref="J566">IF(ISBLANK(G566),"",INDEX('POR Config List'!H:H,MATCH(G566,'POR Config List'!D:D,0)))</f>
        <v/>
      </c>
      <c r="K566" s="105" t="str">
        <f t="array" ref="K566">IF(ISBLANK(G566),"",INDEX('POR Config List'!G:G,MATCH(G566,'POR Config List'!D:D,0)))</f>
        <v/>
      </c>
      <c r="L566" s="105"/>
      <c r="M566" s="105" t="str">
        <f t="array" ref="M566">IF(ISBLANK(G566),"",INDEX('label approval artwork'!Q:Q,MATCH( G566,'label approval artwork'!F:F,0)))</f>
        <v/>
      </c>
      <c r="N566" s="169" t="str">
        <f t="shared" si="5"/>
        <v/>
      </c>
      <c r="O566" s="102" t="str">
        <f t="array" ref="O566">IF(ISBLANK(G566),"",INDEX('POR Config List'!C:C,MATCH(G566,'POR Config List'!D:D,0)))</f>
        <v/>
      </c>
      <c r="P566" s="105" t="str">
        <f t="shared" si="4"/>
        <v/>
      </c>
      <c r="Q566" s="105" t="str">
        <f t="array" ref="Q566">IF(ISBLANK(G566),"",INDEX('label approval artwork'!J:J,MATCH( G566,'label approval artwork'!F:F,0)))</f>
        <v/>
      </c>
      <c r="R566" s="105" t="str">
        <f t="array" ref="R566">IFERROR( IF(P566&lt;&gt;"EMA",INDEX('label approval artwork'!H:H,MATCH(G566,'label approval artwork'!F:F,0),"")),"")</f>
        <v/>
      </c>
      <c r="S566" s="105"/>
      <c r="T566" s="105" t="str">
        <f t="array" ref="T566">IF(ISBLANK(G566),"",INDEX('POR Config List'!I:I,MATCH(G566,'POR Config List'!D:D,0)))</f>
        <v/>
      </c>
      <c r="AA566" s="100" t="str">
        <f t="array" ref="AA566">IF(ISBLANK(G566),"",INDEX('POR Config List'!E:E,MATCH(G566,'POR Config List'!D:D,0)))</f>
        <v/>
      </c>
      <c r="AC566" s="105"/>
      <c r="AD566" s="100"/>
      <c r="AE566" s="100"/>
      <c r="AF566" s="100"/>
      <c r="AG566" s="100"/>
      <c r="AM566" s="102"/>
      <c r="AN566" s="102"/>
      <c r="AR566" s="119"/>
      <c r="AS566" s="103"/>
    </row>
    <row r="567">
      <c r="A567" s="168"/>
      <c r="B567" s="100" t="str">
        <f t="array" ref="B567">IFERROR( INDEX('POR Config List'!A:A,MATCH(G567,'POR Config List'!D:D,0)),"")</f>
        <v/>
      </c>
      <c r="C567" s="101" t="str">
        <f t="array" ref="C567">IFERROR(INDEX('label approval artwork'!E:E,MATCH(G567,'label approval artwork'!F:F,0),""),"")</f>
        <v/>
      </c>
      <c r="D567" s="102" t="str">
        <f t="shared" si="3"/>
        <v/>
      </c>
      <c r="E567" s="100" t="str">
        <f t="array" ref="E567">IF(ISBLANK(G567),"",INDEX('POR Config List'!K:K,MATCH(G567,'POR Config List'!D:D,0)))</f>
        <v/>
      </c>
      <c r="F567" s="100" t="str">
        <f t="array" ref="F567">IF(ISBLANK(G567),"",INDEX('POR Config List'!J:J,MATCH(G567,'POR Config List'!D:D,0)))</f>
        <v/>
      </c>
      <c r="G567" s="168"/>
      <c r="H567" s="104" t="str">
        <f t="array" ref="H567">IF(ISBLANK(G567),"",INDEX('MP SKUs'!G:G,MATCH(G567,'MP SKUs'!A:A,0)))</f>
        <v/>
      </c>
      <c r="I567" s="105" t="str">
        <f t="array" ref="I567">IF(ISBLANK(G567),"",INDEX('POR Config List'!O:O,MATCH(G567,'POR Config List'!D:D,0)))</f>
        <v/>
      </c>
      <c r="J567" s="104" t="str">
        <f t="array" ref="J567">IF(ISBLANK(G567),"",INDEX('POR Config List'!H:H,MATCH(G567,'POR Config List'!D:D,0)))</f>
        <v/>
      </c>
      <c r="K567" s="105" t="str">
        <f t="array" ref="K567">IF(ISBLANK(G567),"",INDEX('POR Config List'!G:G,MATCH(G567,'POR Config List'!D:D,0)))</f>
        <v/>
      </c>
      <c r="L567" s="105"/>
      <c r="M567" s="105" t="str">
        <f t="array" ref="M567">IF(ISBLANK(G567),"",INDEX('label approval artwork'!Q:Q,MATCH( G567,'label approval artwork'!F:F,0)))</f>
        <v/>
      </c>
      <c r="N567" s="169" t="str">
        <f t="shared" si="5"/>
        <v/>
      </c>
      <c r="O567" s="102" t="str">
        <f t="array" ref="O567">IF(ISBLANK(G567),"",INDEX('POR Config List'!C:C,MATCH(G567,'POR Config List'!D:D,0)))</f>
        <v/>
      </c>
      <c r="P567" s="105" t="str">
        <f t="shared" si="4"/>
        <v/>
      </c>
      <c r="Q567" s="105" t="str">
        <f t="array" ref="Q567">IF(ISBLANK(G567),"",INDEX('label approval artwork'!J:J,MATCH( G567,'label approval artwork'!F:F,0)))</f>
        <v/>
      </c>
      <c r="R567" s="105" t="str">
        <f t="array" ref="R567">IFERROR( IF(P567&lt;&gt;"EMA",INDEX('label approval artwork'!H:H,MATCH(G567,'label approval artwork'!F:F,0),"")),"")</f>
        <v/>
      </c>
      <c r="S567" s="105"/>
      <c r="T567" s="105" t="str">
        <f t="array" ref="T567">IF(ISBLANK(G567),"",INDEX('POR Config List'!I:I,MATCH(G567,'POR Config List'!D:D,0)))</f>
        <v/>
      </c>
      <c r="AA567" s="100" t="str">
        <f t="array" ref="AA567">IF(ISBLANK(G567),"",INDEX('POR Config List'!E:E,MATCH(G567,'POR Config List'!D:D,0)))</f>
        <v/>
      </c>
      <c r="AC567" s="105"/>
      <c r="AD567" s="100"/>
      <c r="AE567" s="100"/>
      <c r="AF567" s="100"/>
      <c r="AG567" s="100"/>
      <c r="AM567" s="102"/>
      <c r="AN567" s="102"/>
      <c r="AR567" s="119"/>
      <c r="AS567" s="103"/>
    </row>
    <row r="568">
      <c r="A568" s="168"/>
      <c r="B568" s="100" t="str">
        <f t="array" ref="B568">IFERROR( INDEX('POR Config List'!A:A,MATCH(G568,'POR Config List'!D:D,0)),"")</f>
        <v/>
      </c>
      <c r="C568" s="101" t="str">
        <f t="array" ref="C568">IFERROR(INDEX('label approval artwork'!E:E,MATCH(G568,'label approval artwork'!F:F,0),""),"")</f>
        <v/>
      </c>
      <c r="D568" s="102" t="str">
        <f t="shared" si="3"/>
        <v/>
      </c>
      <c r="E568" s="100" t="str">
        <f t="array" ref="E568">IF(ISBLANK(G568),"",INDEX('POR Config List'!K:K,MATCH(G568,'POR Config List'!D:D,0)))</f>
        <v/>
      </c>
      <c r="F568" s="100" t="str">
        <f t="array" ref="F568">IF(ISBLANK(G568),"",INDEX('POR Config List'!J:J,MATCH(G568,'POR Config List'!D:D,0)))</f>
        <v/>
      </c>
      <c r="G568" s="168"/>
      <c r="H568" s="104" t="str">
        <f t="array" ref="H568">IF(ISBLANK(G568),"",INDEX('MP SKUs'!G:G,MATCH(G568,'MP SKUs'!A:A,0)))</f>
        <v/>
      </c>
      <c r="I568" s="105" t="str">
        <f t="array" ref="I568">IF(ISBLANK(G568),"",INDEX('POR Config List'!O:O,MATCH(G568,'POR Config List'!D:D,0)))</f>
        <v/>
      </c>
      <c r="J568" s="104" t="str">
        <f t="array" ref="J568">IF(ISBLANK(G568),"",INDEX('POR Config List'!H:H,MATCH(G568,'POR Config List'!D:D,0)))</f>
        <v/>
      </c>
      <c r="K568" s="105" t="str">
        <f t="array" ref="K568">IF(ISBLANK(G568),"",INDEX('POR Config List'!G:G,MATCH(G568,'POR Config List'!D:D,0)))</f>
        <v/>
      </c>
      <c r="L568" s="105"/>
      <c r="M568" s="105" t="str">
        <f t="array" ref="M568">IF(ISBLANK(G568),"",INDEX('label approval artwork'!Q:Q,MATCH( G568,'label approval artwork'!F:F,0)))</f>
        <v/>
      </c>
      <c r="N568" s="169" t="str">
        <f t="shared" si="5"/>
        <v/>
      </c>
      <c r="O568" s="102" t="str">
        <f t="array" ref="O568">IF(ISBLANK(G568),"",INDEX('POR Config List'!C:C,MATCH(G568,'POR Config List'!D:D,0)))</f>
        <v/>
      </c>
      <c r="P568" s="105" t="str">
        <f t="shared" si="4"/>
        <v/>
      </c>
      <c r="Q568" s="105" t="str">
        <f t="array" ref="Q568">IF(ISBLANK(G568),"",INDEX('label approval artwork'!J:J,MATCH( G568,'label approval artwork'!F:F,0)))</f>
        <v/>
      </c>
      <c r="R568" s="105" t="str">
        <f t="array" ref="R568">IFERROR( IF(P568&lt;&gt;"EMA",INDEX('label approval artwork'!H:H,MATCH(G568,'label approval artwork'!F:F,0),"")),"")</f>
        <v/>
      </c>
      <c r="S568" s="105"/>
      <c r="T568" s="105" t="str">
        <f t="array" ref="T568">IF(ISBLANK(G568),"",INDEX('POR Config List'!I:I,MATCH(G568,'POR Config List'!D:D,0)))</f>
        <v/>
      </c>
      <c r="AA568" s="100" t="str">
        <f t="array" ref="AA568">IF(ISBLANK(G568),"",INDEX('POR Config List'!E:E,MATCH(G568,'POR Config List'!D:D,0)))</f>
        <v/>
      </c>
      <c r="AC568" s="105"/>
      <c r="AD568" s="100"/>
      <c r="AE568" s="100"/>
      <c r="AF568" s="100"/>
      <c r="AG568" s="100"/>
      <c r="AM568" s="102"/>
      <c r="AN568" s="102"/>
      <c r="AR568" s="119"/>
      <c r="AS568" s="103"/>
    </row>
    <row r="569">
      <c r="A569" s="168"/>
      <c r="B569" s="100" t="str">
        <f t="array" ref="B569">IFERROR( INDEX('POR Config List'!A:A,MATCH(G569,'POR Config List'!D:D,0)),"")</f>
        <v/>
      </c>
      <c r="C569" s="101" t="str">
        <f t="array" ref="C569">IFERROR(INDEX('label approval artwork'!E:E,MATCH(G569,'label approval artwork'!F:F,0),""),"")</f>
        <v/>
      </c>
      <c r="D569" s="102" t="str">
        <f t="shared" si="3"/>
        <v/>
      </c>
      <c r="E569" s="100" t="str">
        <f t="array" ref="E569">IF(ISBLANK(G569),"",INDEX('POR Config List'!K:K,MATCH(G569,'POR Config List'!D:D,0)))</f>
        <v/>
      </c>
      <c r="F569" s="100" t="str">
        <f t="array" ref="F569">IF(ISBLANK(G569),"",INDEX('POR Config List'!J:J,MATCH(G569,'POR Config List'!D:D,0)))</f>
        <v/>
      </c>
      <c r="G569" s="168"/>
      <c r="H569" s="104" t="str">
        <f t="array" ref="H569">IF(ISBLANK(G569),"",INDEX('MP SKUs'!G:G,MATCH(G569,'MP SKUs'!A:A,0)))</f>
        <v/>
      </c>
      <c r="I569" s="105" t="str">
        <f t="array" ref="I569">IF(ISBLANK(G569),"",INDEX('POR Config List'!O:O,MATCH(G569,'POR Config List'!D:D,0)))</f>
        <v/>
      </c>
      <c r="J569" s="104" t="str">
        <f t="array" ref="J569">IF(ISBLANK(G569),"",INDEX('POR Config List'!H:H,MATCH(G569,'POR Config List'!D:D,0)))</f>
        <v/>
      </c>
      <c r="K569" s="105" t="str">
        <f t="array" ref="K569">IF(ISBLANK(G569),"",INDEX('POR Config List'!G:G,MATCH(G569,'POR Config List'!D:D,0)))</f>
        <v/>
      </c>
      <c r="L569" s="105"/>
      <c r="M569" s="105" t="str">
        <f t="array" ref="M569">IF(ISBLANK(G569),"",INDEX('label approval artwork'!Q:Q,MATCH( G569,'label approval artwork'!F:F,0)))</f>
        <v/>
      </c>
      <c r="N569" s="169" t="str">
        <f t="shared" si="5"/>
        <v/>
      </c>
      <c r="O569" s="102" t="str">
        <f t="array" ref="O569">IF(ISBLANK(G569),"",INDEX('POR Config List'!C:C,MATCH(G569,'POR Config List'!D:D,0)))</f>
        <v/>
      </c>
      <c r="P569" s="105" t="str">
        <f t="shared" si="4"/>
        <v/>
      </c>
      <c r="Q569" s="105" t="str">
        <f t="array" ref="Q569">IF(ISBLANK(G569),"",INDEX('label approval artwork'!J:J,MATCH( G569,'label approval artwork'!F:F,0)))</f>
        <v/>
      </c>
      <c r="R569" s="105" t="str">
        <f t="array" ref="R569">IFERROR( IF(P569&lt;&gt;"EMA",INDEX('label approval artwork'!H:H,MATCH(G569,'label approval artwork'!F:F,0),"")),"")</f>
        <v/>
      </c>
      <c r="S569" s="105"/>
      <c r="T569" s="105" t="str">
        <f t="array" ref="T569">IF(ISBLANK(G569),"",INDEX('POR Config List'!I:I,MATCH(G569,'POR Config List'!D:D,0)))</f>
        <v/>
      </c>
      <c r="AA569" s="100" t="str">
        <f t="array" ref="AA569">IF(ISBLANK(G569),"",INDEX('POR Config List'!E:E,MATCH(G569,'POR Config List'!D:D,0)))</f>
        <v/>
      </c>
      <c r="AC569" s="105"/>
      <c r="AD569" s="100"/>
      <c r="AE569" s="100"/>
      <c r="AF569" s="100"/>
      <c r="AG569" s="100"/>
      <c r="AM569" s="102"/>
      <c r="AN569" s="102"/>
      <c r="AR569" s="119"/>
      <c r="AS569" s="103"/>
    </row>
    <row r="570">
      <c r="A570" s="168"/>
      <c r="B570" s="100" t="str">
        <f t="array" ref="B570">IFERROR( INDEX('POR Config List'!A:A,MATCH(G570,'POR Config List'!D:D,0)),"")</f>
        <v/>
      </c>
      <c r="C570" s="101" t="str">
        <f t="array" ref="C570">IFERROR(INDEX('label approval artwork'!E:E,MATCH(G570,'label approval artwork'!F:F,0),""),"")</f>
        <v/>
      </c>
      <c r="D570" s="102" t="str">
        <f t="shared" si="3"/>
        <v/>
      </c>
      <c r="E570" s="100" t="str">
        <f t="array" ref="E570">IF(ISBLANK(G570),"",INDEX('POR Config List'!K:K,MATCH(G570,'POR Config List'!D:D,0)))</f>
        <v/>
      </c>
      <c r="F570" s="100" t="str">
        <f t="array" ref="F570">IF(ISBLANK(G570),"",INDEX('POR Config List'!J:J,MATCH(G570,'POR Config List'!D:D,0)))</f>
        <v/>
      </c>
      <c r="G570" s="168"/>
      <c r="H570" s="104" t="str">
        <f t="array" ref="H570">IF(ISBLANK(G570),"",INDEX('MP SKUs'!G:G,MATCH(G570,'MP SKUs'!A:A,0)))</f>
        <v/>
      </c>
      <c r="I570" s="105" t="str">
        <f t="array" ref="I570">IF(ISBLANK(G570),"",INDEX('POR Config List'!O:O,MATCH(G570,'POR Config List'!D:D,0)))</f>
        <v/>
      </c>
      <c r="J570" s="104" t="str">
        <f t="array" ref="J570">IF(ISBLANK(G570),"",INDEX('POR Config List'!H:H,MATCH(G570,'POR Config List'!D:D,0)))</f>
        <v/>
      </c>
      <c r="K570" s="105" t="str">
        <f t="array" ref="K570">IF(ISBLANK(G570),"",INDEX('POR Config List'!G:G,MATCH(G570,'POR Config List'!D:D,0)))</f>
        <v/>
      </c>
      <c r="L570" s="105"/>
      <c r="M570" s="105" t="str">
        <f t="array" ref="M570">IF(ISBLANK(G570),"",INDEX('label approval artwork'!Q:Q,MATCH( G570,'label approval artwork'!F:F,0)))</f>
        <v/>
      </c>
      <c r="N570" s="169" t="str">
        <f t="shared" si="5"/>
        <v/>
      </c>
      <c r="O570" s="102" t="str">
        <f t="array" ref="O570">IF(ISBLANK(G570),"",INDEX('POR Config List'!C:C,MATCH(G570,'POR Config List'!D:D,0)))</f>
        <v/>
      </c>
      <c r="P570" s="105" t="str">
        <f t="shared" si="4"/>
        <v/>
      </c>
      <c r="Q570" s="105" t="str">
        <f t="array" ref="Q570">IF(ISBLANK(G570),"",INDEX('label approval artwork'!J:J,MATCH( G570,'label approval artwork'!F:F,0)))</f>
        <v/>
      </c>
      <c r="R570" s="105" t="str">
        <f t="array" ref="R570">IFERROR( IF(P570&lt;&gt;"EMA",INDEX('label approval artwork'!H:H,MATCH(G570,'label approval artwork'!F:F,0),"")),"")</f>
        <v/>
      </c>
      <c r="S570" s="105"/>
      <c r="T570" s="105" t="str">
        <f t="array" ref="T570">IF(ISBLANK(G570),"",INDEX('POR Config List'!I:I,MATCH(G570,'POR Config List'!D:D,0)))</f>
        <v/>
      </c>
      <c r="AA570" s="100" t="str">
        <f t="array" ref="AA570">IF(ISBLANK(G570),"",INDEX('POR Config List'!E:E,MATCH(G570,'POR Config List'!D:D,0)))</f>
        <v/>
      </c>
      <c r="AC570" s="105"/>
      <c r="AD570" s="100"/>
      <c r="AE570" s="100"/>
      <c r="AF570" s="100"/>
      <c r="AG570" s="100"/>
      <c r="AM570" s="102"/>
      <c r="AN570" s="102"/>
      <c r="AR570" s="119"/>
      <c r="AS570" s="103"/>
    </row>
    <row r="571">
      <c r="A571" s="168"/>
      <c r="B571" s="100" t="str">
        <f t="array" ref="B571">IFERROR( INDEX('POR Config List'!A:A,MATCH(G571,'POR Config List'!D:D,0)),"")</f>
        <v/>
      </c>
      <c r="C571" s="101" t="str">
        <f t="array" ref="C571">IFERROR(INDEX('label approval artwork'!E:E,MATCH(G571,'label approval artwork'!F:F,0),""),"")</f>
        <v/>
      </c>
      <c r="D571" s="102" t="str">
        <f t="shared" si="3"/>
        <v/>
      </c>
      <c r="E571" s="100" t="str">
        <f t="array" ref="E571">IF(ISBLANK(G571),"",INDEX('POR Config List'!K:K,MATCH(G571,'POR Config List'!D:D,0)))</f>
        <v/>
      </c>
      <c r="F571" s="100" t="str">
        <f t="array" ref="F571">IF(ISBLANK(G571),"",INDEX('POR Config List'!J:J,MATCH(G571,'POR Config List'!D:D,0)))</f>
        <v/>
      </c>
      <c r="G571" s="168"/>
      <c r="H571" s="104" t="str">
        <f t="array" ref="H571">IF(ISBLANK(G571),"",INDEX('MP SKUs'!G:G,MATCH(G571,'MP SKUs'!A:A,0)))</f>
        <v/>
      </c>
      <c r="I571" s="105" t="str">
        <f t="array" ref="I571">IF(ISBLANK(G571),"",INDEX('POR Config List'!O:O,MATCH(G571,'POR Config List'!D:D,0)))</f>
        <v/>
      </c>
      <c r="J571" s="104" t="str">
        <f t="array" ref="J571">IF(ISBLANK(G571),"",INDEX('POR Config List'!H:H,MATCH(G571,'POR Config List'!D:D,0)))</f>
        <v/>
      </c>
      <c r="K571" s="105" t="str">
        <f t="array" ref="K571">IF(ISBLANK(G571),"",INDEX('POR Config List'!G:G,MATCH(G571,'POR Config List'!D:D,0)))</f>
        <v/>
      </c>
      <c r="L571" s="105"/>
      <c r="M571" s="105" t="str">
        <f t="array" ref="M571">IF(ISBLANK(G571),"",INDEX('label approval artwork'!Q:Q,MATCH( G571,'label approval artwork'!F:F,0)))</f>
        <v/>
      </c>
      <c r="N571" s="169" t="str">
        <f t="shared" si="5"/>
        <v/>
      </c>
      <c r="O571" s="102" t="str">
        <f t="array" ref="O571">IF(ISBLANK(G571),"",INDEX('POR Config List'!C:C,MATCH(G571,'POR Config List'!D:D,0)))</f>
        <v/>
      </c>
      <c r="P571" s="105" t="str">
        <f t="shared" si="4"/>
        <v/>
      </c>
      <c r="Q571" s="105" t="str">
        <f t="array" ref="Q571">IF(ISBLANK(G571),"",INDEX('label approval artwork'!J:J,MATCH( G571,'label approval artwork'!F:F,0)))</f>
        <v/>
      </c>
      <c r="R571" s="105" t="str">
        <f t="array" ref="R571">IFERROR( IF(P571&lt;&gt;"EMA",INDEX('label approval artwork'!H:H,MATCH(G571,'label approval artwork'!F:F,0),"")),"")</f>
        <v/>
      </c>
      <c r="S571" s="105"/>
      <c r="T571" s="105" t="str">
        <f t="array" ref="T571">IF(ISBLANK(G571),"",INDEX('POR Config List'!I:I,MATCH(G571,'POR Config List'!D:D,0)))</f>
        <v/>
      </c>
      <c r="AA571" s="100" t="str">
        <f t="array" ref="AA571">IF(ISBLANK(G571),"",INDEX('POR Config List'!E:E,MATCH(G571,'POR Config List'!D:D,0)))</f>
        <v/>
      </c>
      <c r="AC571" s="105"/>
      <c r="AD571" s="100"/>
      <c r="AE571" s="100"/>
      <c r="AF571" s="100"/>
      <c r="AG571" s="100"/>
      <c r="AM571" s="102"/>
      <c r="AN571" s="102"/>
      <c r="AR571" s="119"/>
      <c r="AS571" s="103"/>
    </row>
    <row r="572">
      <c r="A572" s="168"/>
      <c r="B572" s="100" t="str">
        <f t="array" ref="B572">IFERROR( INDEX('POR Config List'!A:A,MATCH(G572,'POR Config List'!D:D,0)),"")</f>
        <v/>
      </c>
      <c r="C572" s="101" t="str">
        <f t="array" ref="C572">IFERROR(INDEX('label approval artwork'!E:E,MATCH(G572,'label approval artwork'!F:F,0),""),"")</f>
        <v/>
      </c>
      <c r="D572" s="102" t="str">
        <f t="shared" si="3"/>
        <v/>
      </c>
      <c r="E572" s="100" t="str">
        <f t="array" ref="E572">IF(ISBLANK(G572),"",INDEX('POR Config List'!K:K,MATCH(G572,'POR Config List'!D:D,0)))</f>
        <v/>
      </c>
      <c r="F572" s="100" t="str">
        <f t="array" ref="F572">IF(ISBLANK(G572),"",INDEX('POR Config List'!J:J,MATCH(G572,'POR Config List'!D:D,0)))</f>
        <v/>
      </c>
      <c r="G572" s="168"/>
      <c r="H572" s="104" t="str">
        <f t="array" ref="H572">IF(ISBLANK(G572),"",INDEX('MP SKUs'!G:G,MATCH(G572,'MP SKUs'!A:A,0)))</f>
        <v/>
      </c>
      <c r="I572" s="105" t="str">
        <f t="array" ref="I572">IF(ISBLANK(G572),"",INDEX('POR Config List'!O:O,MATCH(G572,'POR Config List'!D:D,0)))</f>
        <v/>
      </c>
      <c r="J572" s="104" t="str">
        <f t="array" ref="J572">IF(ISBLANK(G572),"",INDEX('POR Config List'!H:H,MATCH(G572,'POR Config List'!D:D,0)))</f>
        <v/>
      </c>
      <c r="K572" s="105" t="str">
        <f t="array" ref="K572">IF(ISBLANK(G572),"",INDEX('POR Config List'!G:G,MATCH(G572,'POR Config List'!D:D,0)))</f>
        <v/>
      </c>
      <c r="L572" s="105"/>
      <c r="M572" s="105" t="str">
        <f t="array" ref="M572">IF(ISBLANK(G572),"",INDEX('label approval artwork'!Q:Q,MATCH( G572,'label approval artwork'!F:F,0)))</f>
        <v/>
      </c>
      <c r="N572" s="169" t="str">
        <f t="shared" si="5"/>
        <v/>
      </c>
      <c r="O572" s="102" t="str">
        <f t="array" ref="O572">IF(ISBLANK(G572),"",INDEX('POR Config List'!C:C,MATCH(G572,'POR Config List'!D:D,0)))</f>
        <v/>
      </c>
      <c r="P572" s="105" t="str">
        <f t="shared" si="4"/>
        <v/>
      </c>
      <c r="Q572" s="105" t="str">
        <f t="array" ref="Q572">IF(ISBLANK(G572),"",INDEX('label approval artwork'!J:J,MATCH( G572,'label approval artwork'!F:F,0)))</f>
        <v/>
      </c>
      <c r="R572" s="105" t="str">
        <f t="array" ref="R572">IFERROR( IF(P572&lt;&gt;"EMA",INDEX('label approval artwork'!H:H,MATCH(G572,'label approval artwork'!F:F,0),"")),"")</f>
        <v/>
      </c>
      <c r="S572" s="105"/>
      <c r="T572" s="105" t="str">
        <f t="array" ref="T572">IF(ISBLANK(G572),"",INDEX('POR Config List'!I:I,MATCH(G572,'POR Config List'!D:D,0)))</f>
        <v/>
      </c>
      <c r="AA572" s="100" t="str">
        <f t="array" ref="AA572">IF(ISBLANK(G572),"",INDEX('POR Config List'!E:E,MATCH(G572,'POR Config List'!D:D,0)))</f>
        <v/>
      </c>
      <c r="AC572" s="105"/>
      <c r="AD572" s="100"/>
      <c r="AE572" s="100"/>
      <c r="AF572" s="100"/>
      <c r="AG572" s="100"/>
      <c r="AM572" s="102"/>
      <c r="AN572" s="102"/>
      <c r="AR572" s="119"/>
      <c r="AS572" s="103"/>
    </row>
    <row r="573">
      <c r="A573" s="168"/>
      <c r="B573" s="100" t="str">
        <f t="array" ref="B573">IFERROR( INDEX('POR Config List'!A:A,MATCH(G573,'POR Config List'!D:D,0)),"")</f>
        <v/>
      </c>
      <c r="C573" s="101" t="str">
        <f t="array" ref="C573">IFERROR(INDEX('label approval artwork'!E:E,MATCH(G573,'label approval artwork'!F:F,0),""),"")</f>
        <v/>
      </c>
      <c r="D573" s="102" t="str">
        <f t="shared" si="3"/>
        <v/>
      </c>
      <c r="E573" s="100" t="str">
        <f t="array" ref="E573">IF(ISBLANK(G573),"",INDEX('POR Config List'!K:K,MATCH(G573,'POR Config List'!D:D,0)))</f>
        <v/>
      </c>
      <c r="F573" s="100" t="str">
        <f t="array" ref="F573">IF(ISBLANK(G573),"",INDEX('POR Config List'!J:J,MATCH(G573,'POR Config List'!D:D,0)))</f>
        <v/>
      </c>
      <c r="G573" s="168"/>
      <c r="H573" s="104" t="str">
        <f t="array" ref="H573">IF(ISBLANK(G573),"",INDEX('MP SKUs'!G:G,MATCH(G573,'MP SKUs'!A:A,0)))</f>
        <v/>
      </c>
      <c r="I573" s="105" t="str">
        <f t="array" ref="I573">IF(ISBLANK(G573),"",INDEX('POR Config List'!O:O,MATCH(G573,'POR Config List'!D:D,0)))</f>
        <v/>
      </c>
      <c r="J573" s="104" t="str">
        <f t="array" ref="J573">IF(ISBLANK(G573),"",INDEX('POR Config List'!H:H,MATCH(G573,'POR Config List'!D:D,0)))</f>
        <v/>
      </c>
      <c r="K573" s="105" t="str">
        <f t="array" ref="K573">IF(ISBLANK(G573),"",INDEX('POR Config List'!G:G,MATCH(G573,'POR Config List'!D:D,0)))</f>
        <v/>
      </c>
      <c r="L573" s="105"/>
      <c r="M573" s="105" t="str">
        <f t="array" ref="M573">IF(ISBLANK(G573),"",INDEX('label approval artwork'!Q:Q,MATCH( G573,'label approval artwork'!F:F,0)))</f>
        <v/>
      </c>
      <c r="N573" s="169" t="str">
        <f t="shared" si="5"/>
        <v/>
      </c>
      <c r="O573" s="102" t="str">
        <f t="array" ref="O573">IF(ISBLANK(G573),"",INDEX('POR Config List'!C:C,MATCH(G573,'POR Config List'!D:D,0)))</f>
        <v/>
      </c>
      <c r="P573" s="105" t="str">
        <f t="shared" si="4"/>
        <v/>
      </c>
      <c r="Q573" s="105" t="str">
        <f t="array" ref="Q573">IF(ISBLANK(G573),"",INDEX('label approval artwork'!J:J,MATCH( G573,'label approval artwork'!F:F,0)))</f>
        <v/>
      </c>
      <c r="R573" s="105" t="str">
        <f t="array" ref="R573">IFERROR( IF(P573&lt;&gt;"EMA",INDEX('label approval artwork'!H:H,MATCH(G573,'label approval artwork'!F:F,0),"")),"")</f>
        <v/>
      </c>
      <c r="S573" s="105"/>
      <c r="T573" s="105" t="str">
        <f t="array" ref="T573">IF(ISBLANK(G573),"",INDEX('POR Config List'!I:I,MATCH(G573,'POR Config List'!D:D,0)))</f>
        <v/>
      </c>
      <c r="AA573" s="100" t="str">
        <f t="array" ref="AA573">IF(ISBLANK(G573),"",INDEX('POR Config List'!E:E,MATCH(G573,'POR Config List'!D:D,0)))</f>
        <v/>
      </c>
      <c r="AC573" s="105"/>
      <c r="AD573" s="100"/>
      <c r="AE573" s="100"/>
      <c r="AF573" s="100"/>
      <c r="AG573" s="100"/>
      <c r="AM573" s="102"/>
      <c r="AN573" s="102"/>
      <c r="AR573" s="119"/>
      <c r="AS573" s="103"/>
    </row>
    <row r="574">
      <c r="A574" s="168"/>
      <c r="B574" s="100" t="str">
        <f t="array" ref="B574">IFERROR( INDEX('POR Config List'!A:A,MATCH(G574,'POR Config List'!D:D,0)),"")</f>
        <v/>
      </c>
      <c r="C574" s="101" t="str">
        <f t="array" ref="C574">IFERROR(INDEX('label approval artwork'!E:E,MATCH(G574,'label approval artwork'!F:F,0),""),"")</f>
        <v/>
      </c>
      <c r="D574" s="102" t="str">
        <f t="shared" si="3"/>
        <v/>
      </c>
      <c r="E574" s="100" t="str">
        <f t="array" ref="E574">IF(ISBLANK(G574),"",INDEX('POR Config List'!K:K,MATCH(G574,'POR Config List'!D:D,0)))</f>
        <v/>
      </c>
      <c r="F574" s="100" t="str">
        <f t="array" ref="F574">IF(ISBLANK(G574),"",INDEX('POR Config List'!J:J,MATCH(G574,'POR Config List'!D:D,0)))</f>
        <v/>
      </c>
      <c r="G574" s="168"/>
      <c r="H574" s="104" t="str">
        <f t="array" ref="H574">IF(ISBLANK(G574),"",INDEX('MP SKUs'!G:G,MATCH(G574,'MP SKUs'!A:A,0)))</f>
        <v/>
      </c>
      <c r="I574" s="105" t="str">
        <f t="array" ref="I574">IF(ISBLANK(G574),"",INDEX('POR Config List'!O:O,MATCH(G574,'POR Config List'!D:D,0)))</f>
        <v/>
      </c>
      <c r="J574" s="104" t="str">
        <f t="array" ref="J574">IF(ISBLANK(G574),"",INDEX('POR Config List'!H:H,MATCH(G574,'POR Config List'!D:D,0)))</f>
        <v/>
      </c>
      <c r="K574" s="105" t="str">
        <f t="array" ref="K574">IF(ISBLANK(G574),"",INDEX('POR Config List'!G:G,MATCH(G574,'POR Config List'!D:D,0)))</f>
        <v/>
      </c>
      <c r="L574" s="105"/>
      <c r="M574" s="105" t="str">
        <f t="array" ref="M574">IF(ISBLANK(G574),"",INDEX('label approval artwork'!Q:Q,MATCH( G574,'label approval artwork'!F:F,0)))</f>
        <v/>
      </c>
      <c r="N574" s="169" t="str">
        <f t="shared" si="5"/>
        <v/>
      </c>
      <c r="O574" s="102" t="str">
        <f t="array" ref="O574">IF(ISBLANK(G574),"",INDEX('POR Config List'!C:C,MATCH(G574,'POR Config List'!D:D,0)))</f>
        <v/>
      </c>
      <c r="P574" s="105" t="str">
        <f t="shared" si="4"/>
        <v/>
      </c>
      <c r="Q574" s="105" t="str">
        <f t="array" ref="Q574">IF(ISBLANK(G574),"",INDEX('label approval artwork'!J:J,MATCH( G574,'label approval artwork'!F:F,0)))</f>
        <v/>
      </c>
      <c r="R574" s="105" t="str">
        <f t="array" ref="R574">IFERROR( IF(P574&lt;&gt;"EMA",INDEX('label approval artwork'!H:H,MATCH(G574,'label approval artwork'!F:F,0),"")),"")</f>
        <v/>
      </c>
      <c r="S574" s="105"/>
      <c r="T574" s="105" t="str">
        <f t="array" ref="T574">IF(ISBLANK(G574),"",INDEX('POR Config List'!I:I,MATCH(G574,'POR Config List'!D:D,0)))</f>
        <v/>
      </c>
      <c r="AA574" s="100" t="str">
        <f t="array" ref="AA574">IF(ISBLANK(G574),"",INDEX('POR Config List'!E:E,MATCH(G574,'POR Config List'!D:D,0)))</f>
        <v/>
      </c>
      <c r="AC574" s="105"/>
      <c r="AD574" s="100"/>
      <c r="AE574" s="100"/>
      <c r="AF574" s="100"/>
      <c r="AG574" s="100"/>
      <c r="AM574" s="102"/>
      <c r="AN574" s="102"/>
      <c r="AR574" s="119"/>
      <c r="AS574" s="103"/>
    </row>
    <row r="575">
      <c r="A575" s="168"/>
      <c r="B575" s="100" t="str">
        <f t="array" ref="B575">IFERROR( INDEX('POR Config List'!A:A,MATCH(G575,'POR Config List'!D:D,0)),"")</f>
        <v/>
      </c>
      <c r="C575" s="101" t="str">
        <f t="array" ref="C575">IFERROR(INDEX('label approval artwork'!E:E,MATCH(G575,'label approval artwork'!F:F,0),""),"")</f>
        <v/>
      </c>
      <c r="D575" s="102" t="str">
        <f t="shared" si="3"/>
        <v/>
      </c>
      <c r="E575" s="100" t="str">
        <f t="array" ref="E575">IF(ISBLANK(G575),"",INDEX('POR Config List'!K:K,MATCH(G575,'POR Config List'!D:D,0)))</f>
        <v/>
      </c>
      <c r="F575" s="100" t="str">
        <f t="array" ref="F575">IF(ISBLANK(G575),"",INDEX('POR Config List'!J:J,MATCH(G575,'POR Config List'!D:D,0)))</f>
        <v/>
      </c>
      <c r="G575" s="168"/>
      <c r="H575" s="104" t="str">
        <f t="array" ref="H575">IF(ISBLANK(G575),"",INDEX('MP SKUs'!G:G,MATCH(G575,'MP SKUs'!A:A,0)))</f>
        <v/>
      </c>
      <c r="I575" s="105" t="str">
        <f t="array" ref="I575">IF(ISBLANK(G575),"",INDEX('POR Config List'!O:O,MATCH(G575,'POR Config List'!D:D,0)))</f>
        <v/>
      </c>
      <c r="J575" s="104" t="str">
        <f t="array" ref="J575">IF(ISBLANK(G575),"",INDEX('POR Config List'!H:H,MATCH(G575,'POR Config List'!D:D,0)))</f>
        <v/>
      </c>
      <c r="K575" s="105" t="str">
        <f t="array" ref="K575">IF(ISBLANK(G575),"",INDEX('POR Config List'!G:G,MATCH(G575,'POR Config List'!D:D,0)))</f>
        <v/>
      </c>
      <c r="L575" s="105"/>
      <c r="M575" s="105" t="str">
        <f t="array" ref="M575">IF(ISBLANK(G575),"",INDEX('label approval artwork'!Q:Q,MATCH( G575,'label approval artwork'!F:F,0)))</f>
        <v/>
      </c>
      <c r="N575" s="169" t="str">
        <f t="shared" si="5"/>
        <v/>
      </c>
      <c r="O575" s="102" t="str">
        <f t="array" ref="O575">IF(ISBLANK(G575),"",INDEX('POR Config List'!C:C,MATCH(G575,'POR Config List'!D:D,0)))</f>
        <v/>
      </c>
      <c r="P575" s="105" t="str">
        <f t="shared" si="4"/>
        <v/>
      </c>
      <c r="Q575" s="105" t="str">
        <f t="array" ref="Q575">IF(ISBLANK(G575),"",INDEX('label approval artwork'!J:J,MATCH( G575,'label approval artwork'!F:F,0)))</f>
        <v/>
      </c>
      <c r="R575" s="105" t="str">
        <f t="array" ref="R575">IFERROR( IF(P575&lt;&gt;"EMA",INDEX('label approval artwork'!H:H,MATCH(G575,'label approval artwork'!F:F,0),"")),"")</f>
        <v/>
      </c>
      <c r="S575" s="105"/>
      <c r="T575" s="105" t="str">
        <f t="array" ref="T575">IF(ISBLANK(G575),"",INDEX('POR Config List'!I:I,MATCH(G575,'POR Config List'!D:D,0)))</f>
        <v/>
      </c>
      <c r="AA575" s="100" t="str">
        <f t="array" ref="AA575">IF(ISBLANK(G575),"",INDEX('POR Config List'!E:E,MATCH(G575,'POR Config List'!D:D,0)))</f>
        <v/>
      </c>
      <c r="AC575" s="105"/>
      <c r="AD575" s="100"/>
      <c r="AE575" s="100"/>
      <c r="AF575" s="100"/>
      <c r="AG575" s="100"/>
      <c r="AM575" s="102"/>
      <c r="AN575" s="102"/>
      <c r="AR575" s="119"/>
      <c r="AS575" s="103"/>
    </row>
    <row r="576">
      <c r="A576" s="168"/>
      <c r="B576" s="100" t="str">
        <f t="array" ref="B576">IFERROR( INDEX('POR Config List'!A:A,MATCH(G576,'POR Config List'!D:D,0)),"")</f>
        <v/>
      </c>
      <c r="C576" s="101" t="str">
        <f t="array" ref="C576">IFERROR(INDEX('label approval artwork'!E:E,MATCH(G576,'label approval artwork'!F:F,0),""),"")</f>
        <v/>
      </c>
      <c r="D576" s="102" t="str">
        <f t="shared" si="3"/>
        <v/>
      </c>
      <c r="E576" s="100" t="str">
        <f t="array" ref="E576">IF(ISBLANK(G576),"",INDEX('POR Config List'!K:K,MATCH(G576,'POR Config List'!D:D,0)))</f>
        <v/>
      </c>
      <c r="F576" s="100" t="str">
        <f t="array" ref="F576">IF(ISBLANK(G576),"",INDEX('POR Config List'!J:J,MATCH(G576,'POR Config List'!D:D,0)))</f>
        <v/>
      </c>
      <c r="G576" s="168"/>
      <c r="H576" s="104" t="str">
        <f t="array" ref="H576">IF(ISBLANK(G576),"",INDEX('MP SKUs'!G:G,MATCH(G576,'MP SKUs'!A:A,0)))</f>
        <v/>
      </c>
      <c r="I576" s="105" t="str">
        <f t="array" ref="I576">IF(ISBLANK(G576),"",INDEX('POR Config List'!O:O,MATCH(G576,'POR Config List'!D:D,0)))</f>
        <v/>
      </c>
      <c r="J576" s="104" t="str">
        <f t="array" ref="J576">IF(ISBLANK(G576),"",INDEX('POR Config List'!H:H,MATCH(G576,'POR Config List'!D:D,0)))</f>
        <v/>
      </c>
      <c r="K576" s="105" t="str">
        <f t="array" ref="K576">IF(ISBLANK(G576),"",INDEX('POR Config List'!G:G,MATCH(G576,'POR Config List'!D:D,0)))</f>
        <v/>
      </c>
      <c r="L576" s="105"/>
      <c r="M576" s="105" t="str">
        <f t="array" ref="M576">IF(ISBLANK(G576),"",INDEX('label approval artwork'!Q:Q,MATCH( G576,'label approval artwork'!F:F,0)))</f>
        <v/>
      </c>
      <c r="N576" s="169" t="str">
        <f t="shared" si="5"/>
        <v/>
      </c>
      <c r="O576" s="102" t="str">
        <f t="array" ref="O576">IF(ISBLANK(G576),"",INDEX('POR Config List'!C:C,MATCH(G576,'POR Config List'!D:D,0)))</f>
        <v/>
      </c>
      <c r="P576" s="105" t="str">
        <f t="shared" si="4"/>
        <v/>
      </c>
      <c r="Q576" s="105" t="str">
        <f t="array" ref="Q576">IF(ISBLANK(G576),"",INDEX('label approval artwork'!J:J,MATCH( G576,'label approval artwork'!F:F,0)))</f>
        <v/>
      </c>
      <c r="R576" s="105" t="str">
        <f t="array" ref="R576">IFERROR( IF(P576&lt;&gt;"EMA",INDEX('label approval artwork'!H:H,MATCH(G576,'label approval artwork'!F:F,0),"")),"")</f>
        <v/>
      </c>
      <c r="S576" s="105"/>
      <c r="T576" s="105" t="str">
        <f t="array" ref="T576">IF(ISBLANK(G576),"",INDEX('POR Config List'!I:I,MATCH(G576,'POR Config List'!D:D,0)))</f>
        <v/>
      </c>
      <c r="AA576" s="100" t="str">
        <f t="array" ref="AA576">IF(ISBLANK(G576),"",INDEX('POR Config List'!E:E,MATCH(G576,'POR Config List'!D:D,0)))</f>
        <v/>
      </c>
      <c r="AC576" s="105"/>
      <c r="AD576" s="100"/>
      <c r="AE576" s="100"/>
      <c r="AF576" s="100"/>
      <c r="AG576" s="100"/>
      <c r="AM576" s="102"/>
      <c r="AN576" s="102"/>
      <c r="AR576" s="119"/>
      <c r="AS576" s="103"/>
    </row>
    <row r="577">
      <c r="A577" s="168"/>
      <c r="B577" s="100" t="str">
        <f t="array" ref="B577">IFERROR( INDEX('POR Config List'!A:A,MATCH(G577,'POR Config List'!D:D,0)),"")</f>
        <v/>
      </c>
      <c r="C577" s="101" t="str">
        <f t="array" ref="C577">IFERROR(INDEX('label approval artwork'!E:E,MATCH(G577,'label approval artwork'!F:F,0),""),"")</f>
        <v/>
      </c>
      <c r="D577" s="102" t="str">
        <f t="shared" si="3"/>
        <v/>
      </c>
      <c r="E577" s="100" t="str">
        <f t="array" ref="E577">IF(ISBLANK(G577),"",INDEX('POR Config List'!K:K,MATCH(G577,'POR Config List'!D:D,0)))</f>
        <v/>
      </c>
      <c r="F577" s="100" t="str">
        <f t="array" ref="F577">IF(ISBLANK(G577),"",INDEX('POR Config List'!J:J,MATCH(G577,'POR Config List'!D:D,0)))</f>
        <v/>
      </c>
      <c r="G577" s="168"/>
      <c r="H577" s="104" t="str">
        <f t="array" ref="H577">IF(ISBLANK(G577),"",INDEX('MP SKUs'!G:G,MATCH(G577,'MP SKUs'!A:A,0)))</f>
        <v/>
      </c>
      <c r="I577" s="105" t="str">
        <f t="array" ref="I577">IF(ISBLANK(G577),"",INDEX('POR Config List'!O:O,MATCH(G577,'POR Config List'!D:D,0)))</f>
        <v/>
      </c>
      <c r="J577" s="104" t="str">
        <f t="array" ref="J577">IF(ISBLANK(G577),"",INDEX('POR Config List'!H:H,MATCH(G577,'POR Config List'!D:D,0)))</f>
        <v/>
      </c>
      <c r="K577" s="105" t="str">
        <f t="array" ref="K577">IF(ISBLANK(G577),"",INDEX('POR Config List'!G:G,MATCH(G577,'POR Config List'!D:D,0)))</f>
        <v/>
      </c>
      <c r="L577" s="105"/>
      <c r="M577" s="105" t="str">
        <f t="array" ref="M577">IF(ISBLANK(G577),"",INDEX('label approval artwork'!Q:Q,MATCH( G577,'label approval artwork'!F:F,0)))</f>
        <v/>
      </c>
      <c r="N577" s="169" t="str">
        <f t="shared" si="5"/>
        <v/>
      </c>
      <c r="O577" s="102" t="str">
        <f t="array" ref="O577">IF(ISBLANK(G577),"",INDEX('POR Config List'!C:C,MATCH(G577,'POR Config List'!D:D,0)))</f>
        <v/>
      </c>
      <c r="P577" s="105" t="str">
        <f t="shared" si="4"/>
        <v/>
      </c>
      <c r="Q577" s="105" t="str">
        <f t="array" ref="Q577">IF(ISBLANK(G577),"",INDEX('label approval artwork'!J:J,MATCH( G577,'label approval artwork'!F:F,0)))</f>
        <v/>
      </c>
      <c r="R577" s="105" t="str">
        <f t="array" ref="R577">IFERROR( IF(P577&lt;&gt;"EMA",INDEX('label approval artwork'!H:H,MATCH(G577,'label approval artwork'!F:F,0),"")),"")</f>
        <v/>
      </c>
      <c r="S577" s="105"/>
      <c r="T577" s="105" t="str">
        <f t="array" ref="T577">IF(ISBLANK(G577),"",INDEX('POR Config List'!I:I,MATCH(G577,'POR Config List'!D:D,0)))</f>
        <v/>
      </c>
      <c r="AA577" s="100" t="str">
        <f t="array" ref="AA577">IF(ISBLANK(G577),"",INDEX('POR Config List'!E:E,MATCH(G577,'POR Config List'!D:D,0)))</f>
        <v/>
      </c>
      <c r="AC577" s="105"/>
      <c r="AD577" s="100"/>
      <c r="AE577" s="100"/>
      <c r="AF577" s="100"/>
      <c r="AG577" s="100"/>
      <c r="AM577" s="102"/>
      <c r="AN577" s="102"/>
      <c r="AR577" s="119"/>
      <c r="AS577" s="103"/>
    </row>
    <row r="578">
      <c r="A578" s="168"/>
      <c r="B578" s="100" t="str">
        <f t="array" ref="B578">IFERROR( INDEX('POR Config List'!A:A,MATCH(G578,'POR Config List'!D:D,0)),"")</f>
        <v/>
      </c>
      <c r="C578" s="101" t="str">
        <f t="array" ref="C578">IFERROR(INDEX('label approval artwork'!E:E,MATCH(G578,'label approval artwork'!F:F,0),""),"")</f>
        <v/>
      </c>
      <c r="D578" s="102" t="str">
        <f t="shared" si="3"/>
        <v/>
      </c>
      <c r="E578" s="100" t="str">
        <f t="array" ref="E578">IF(ISBLANK(G578),"",INDEX('POR Config List'!K:K,MATCH(G578,'POR Config List'!D:D,0)))</f>
        <v/>
      </c>
      <c r="F578" s="100" t="str">
        <f t="array" ref="F578">IF(ISBLANK(G578),"",INDEX('POR Config List'!J:J,MATCH(G578,'POR Config List'!D:D,0)))</f>
        <v/>
      </c>
      <c r="G578" s="168"/>
      <c r="H578" s="104" t="str">
        <f t="array" ref="H578">IF(ISBLANK(G578),"",INDEX('MP SKUs'!G:G,MATCH(G578,'MP SKUs'!A:A,0)))</f>
        <v/>
      </c>
      <c r="I578" s="105" t="str">
        <f t="array" ref="I578">IF(ISBLANK(G578),"",INDEX('POR Config List'!O:O,MATCH(G578,'POR Config List'!D:D,0)))</f>
        <v/>
      </c>
      <c r="J578" s="104" t="str">
        <f t="array" ref="J578">IF(ISBLANK(G578),"",INDEX('POR Config List'!H:H,MATCH(G578,'POR Config List'!D:D,0)))</f>
        <v/>
      </c>
      <c r="K578" s="105" t="str">
        <f t="array" ref="K578">IF(ISBLANK(G578),"",INDEX('POR Config List'!G:G,MATCH(G578,'POR Config List'!D:D,0)))</f>
        <v/>
      </c>
      <c r="L578" s="105"/>
      <c r="M578" s="105" t="str">
        <f t="array" ref="M578">IF(ISBLANK(G578),"",INDEX('label approval artwork'!Q:Q,MATCH( G578,'label approval artwork'!F:F,0)))</f>
        <v/>
      </c>
      <c r="N578" s="169" t="str">
        <f t="shared" si="5"/>
        <v/>
      </c>
      <c r="O578" s="102" t="str">
        <f t="array" ref="O578">IF(ISBLANK(G578),"",INDEX('POR Config List'!C:C,MATCH(G578,'POR Config List'!D:D,0)))</f>
        <v/>
      </c>
      <c r="P578" s="105" t="str">
        <f t="shared" si="4"/>
        <v/>
      </c>
      <c r="Q578" s="105" t="str">
        <f t="array" ref="Q578">IF(ISBLANK(G578),"",INDEX('label approval artwork'!J:J,MATCH( G578,'label approval artwork'!F:F,0)))</f>
        <v/>
      </c>
      <c r="R578" s="105" t="str">
        <f t="array" ref="R578">IFERROR( IF(P578&lt;&gt;"EMA",INDEX('label approval artwork'!H:H,MATCH(G578,'label approval artwork'!F:F,0),"")),"")</f>
        <v/>
      </c>
      <c r="S578" s="105"/>
      <c r="T578" s="105" t="str">
        <f t="array" ref="T578">IF(ISBLANK(G578),"",INDEX('POR Config List'!I:I,MATCH(G578,'POR Config List'!D:D,0)))</f>
        <v/>
      </c>
      <c r="AA578" s="100" t="str">
        <f t="array" ref="AA578">IF(ISBLANK(G578),"",INDEX('POR Config List'!E:E,MATCH(G578,'POR Config List'!D:D,0)))</f>
        <v/>
      </c>
      <c r="AC578" s="105"/>
      <c r="AD578" s="100"/>
      <c r="AE578" s="100"/>
      <c r="AF578" s="100"/>
      <c r="AG578" s="100"/>
      <c r="AM578" s="102"/>
      <c r="AN578" s="102"/>
      <c r="AR578" s="119"/>
      <c r="AS578" s="103"/>
    </row>
    <row r="579">
      <c r="A579" s="168"/>
      <c r="B579" s="100" t="str">
        <f t="array" ref="B579">IFERROR( INDEX('POR Config List'!A:A,MATCH(G579,'POR Config List'!D:D,0)),"")</f>
        <v/>
      </c>
      <c r="C579" s="101" t="str">
        <f t="array" ref="C579">IFERROR(INDEX('label approval artwork'!E:E,MATCH(G579,'label approval artwork'!F:F,0),""),"")</f>
        <v/>
      </c>
      <c r="D579" s="102" t="str">
        <f t="shared" si="3"/>
        <v/>
      </c>
      <c r="E579" s="100" t="str">
        <f t="array" ref="E579">IF(ISBLANK(G579),"",INDEX('POR Config List'!K:K,MATCH(G579,'POR Config List'!D:D,0)))</f>
        <v/>
      </c>
      <c r="F579" s="100" t="str">
        <f t="array" ref="F579">IF(ISBLANK(G579),"",INDEX('POR Config List'!J:J,MATCH(G579,'POR Config List'!D:D,0)))</f>
        <v/>
      </c>
      <c r="G579" s="168"/>
      <c r="H579" s="104" t="str">
        <f t="array" ref="H579">IF(ISBLANK(G579),"",INDEX('MP SKUs'!G:G,MATCH(G579,'MP SKUs'!A:A,0)))</f>
        <v/>
      </c>
      <c r="I579" s="105" t="str">
        <f t="array" ref="I579">IF(ISBLANK(G579),"",INDEX('POR Config List'!O:O,MATCH(G579,'POR Config List'!D:D,0)))</f>
        <v/>
      </c>
      <c r="J579" s="104" t="str">
        <f t="array" ref="J579">IF(ISBLANK(G579),"",INDEX('POR Config List'!H:H,MATCH(G579,'POR Config List'!D:D,0)))</f>
        <v/>
      </c>
      <c r="K579" s="105" t="str">
        <f t="array" ref="K579">IF(ISBLANK(G579),"",INDEX('POR Config List'!G:G,MATCH(G579,'POR Config List'!D:D,0)))</f>
        <v/>
      </c>
      <c r="L579" s="105"/>
      <c r="M579" s="105" t="str">
        <f t="array" ref="M579">IF(ISBLANK(G579),"",INDEX('label approval artwork'!Q:Q,MATCH( G579,'label approval artwork'!F:F,0)))</f>
        <v/>
      </c>
      <c r="N579" s="169" t="str">
        <f t="shared" si="5"/>
        <v/>
      </c>
      <c r="O579" s="102" t="str">
        <f t="array" ref="O579">IF(ISBLANK(G579),"",INDEX('POR Config List'!C:C,MATCH(G579,'POR Config List'!D:D,0)))</f>
        <v/>
      </c>
      <c r="P579" s="105" t="str">
        <f t="shared" si="4"/>
        <v/>
      </c>
      <c r="Q579" s="105" t="str">
        <f t="array" ref="Q579">IF(ISBLANK(G579),"",INDEX('label approval artwork'!J:J,MATCH( G579,'label approval artwork'!F:F,0)))</f>
        <v/>
      </c>
      <c r="R579" s="105" t="str">
        <f t="array" ref="R579">IFERROR( IF(P579&lt;&gt;"EMA",INDEX('label approval artwork'!H:H,MATCH(G579,'label approval artwork'!F:F,0),"")),"")</f>
        <v/>
      </c>
      <c r="S579" s="105"/>
      <c r="T579" s="105" t="str">
        <f t="array" ref="T579">IF(ISBLANK(G579),"",INDEX('POR Config List'!I:I,MATCH(G579,'POR Config List'!D:D,0)))</f>
        <v/>
      </c>
      <c r="AA579" s="100" t="str">
        <f t="array" ref="AA579">IF(ISBLANK(G579),"",INDEX('POR Config List'!E:E,MATCH(G579,'POR Config List'!D:D,0)))</f>
        <v/>
      </c>
      <c r="AC579" s="105"/>
      <c r="AD579" s="100"/>
      <c r="AE579" s="100"/>
      <c r="AF579" s="100"/>
      <c r="AG579" s="100"/>
      <c r="AM579" s="102"/>
      <c r="AN579" s="102"/>
      <c r="AR579" s="119"/>
      <c r="AS579" s="103"/>
    </row>
    <row r="580">
      <c r="A580" s="168"/>
      <c r="B580" s="100" t="str">
        <f t="array" ref="B580">IFERROR( INDEX('POR Config List'!A:A,MATCH(G580,'POR Config List'!D:D,0)),"")</f>
        <v/>
      </c>
      <c r="C580" s="101" t="str">
        <f t="array" ref="C580">IFERROR(INDEX('label approval artwork'!E:E,MATCH(G580,'label approval artwork'!F:F,0),""),"")</f>
        <v/>
      </c>
      <c r="D580" s="102" t="str">
        <f t="shared" si="3"/>
        <v/>
      </c>
      <c r="E580" s="100" t="str">
        <f t="array" ref="E580">IF(ISBLANK(G580),"",INDEX('POR Config List'!K:K,MATCH(G580,'POR Config List'!D:D,0)))</f>
        <v/>
      </c>
      <c r="F580" s="100" t="str">
        <f t="array" ref="F580">IF(ISBLANK(G580),"",INDEX('POR Config List'!J:J,MATCH(G580,'POR Config List'!D:D,0)))</f>
        <v/>
      </c>
      <c r="G580" s="168"/>
      <c r="H580" s="104" t="str">
        <f t="array" ref="H580">IF(ISBLANK(G580),"",INDEX('MP SKUs'!G:G,MATCH(G580,'MP SKUs'!A:A,0)))</f>
        <v/>
      </c>
      <c r="I580" s="105" t="str">
        <f t="array" ref="I580">IF(ISBLANK(G580),"",INDEX('POR Config List'!O:O,MATCH(G580,'POR Config List'!D:D,0)))</f>
        <v/>
      </c>
      <c r="J580" s="104" t="str">
        <f t="array" ref="J580">IF(ISBLANK(G580),"",INDEX('POR Config List'!H:H,MATCH(G580,'POR Config List'!D:D,0)))</f>
        <v/>
      </c>
      <c r="K580" s="105" t="str">
        <f t="array" ref="K580">IF(ISBLANK(G580),"",INDEX('POR Config List'!G:G,MATCH(G580,'POR Config List'!D:D,0)))</f>
        <v/>
      </c>
      <c r="L580" s="105"/>
      <c r="M580" s="105" t="str">
        <f t="array" ref="M580">IF(ISBLANK(G580),"",INDEX('label approval artwork'!Q:Q,MATCH( G580,'label approval artwork'!F:F,0)))</f>
        <v/>
      </c>
      <c r="N580" s="169" t="str">
        <f t="shared" si="5"/>
        <v/>
      </c>
      <c r="O580" s="102" t="str">
        <f t="array" ref="O580">IF(ISBLANK(G580),"",INDEX('POR Config List'!C:C,MATCH(G580,'POR Config List'!D:D,0)))</f>
        <v/>
      </c>
      <c r="P580" s="105" t="str">
        <f t="shared" si="4"/>
        <v/>
      </c>
      <c r="Q580" s="105" t="str">
        <f t="array" ref="Q580">IF(ISBLANK(G580),"",INDEX('label approval artwork'!J:J,MATCH( G580,'label approval artwork'!F:F,0)))</f>
        <v/>
      </c>
      <c r="R580" s="105" t="str">
        <f t="array" ref="R580">IFERROR( IF(P580&lt;&gt;"EMA",INDEX('label approval artwork'!H:H,MATCH(G580,'label approval artwork'!F:F,0),"")),"")</f>
        <v/>
      </c>
      <c r="S580" s="105"/>
      <c r="T580" s="105" t="str">
        <f t="array" ref="T580">IF(ISBLANK(G580),"",INDEX('POR Config List'!I:I,MATCH(G580,'POR Config List'!D:D,0)))</f>
        <v/>
      </c>
      <c r="AA580" s="100" t="str">
        <f t="array" ref="AA580">IF(ISBLANK(G580),"",INDEX('POR Config List'!E:E,MATCH(G580,'POR Config List'!D:D,0)))</f>
        <v/>
      </c>
      <c r="AC580" s="105"/>
      <c r="AD580" s="100"/>
      <c r="AE580" s="100"/>
      <c r="AF580" s="100"/>
      <c r="AG580" s="100"/>
      <c r="AM580" s="102"/>
      <c r="AN580" s="102"/>
      <c r="AR580" s="119"/>
      <c r="AS580" s="103"/>
    </row>
    <row r="581">
      <c r="A581" s="168"/>
      <c r="B581" s="100" t="str">
        <f t="array" ref="B581">IFERROR( INDEX('POR Config List'!A:A,MATCH(G581,'POR Config List'!D:D,0)),"")</f>
        <v/>
      </c>
      <c r="C581" s="101" t="str">
        <f t="array" ref="C581">IFERROR(INDEX('label approval artwork'!E:E,MATCH(G581,'label approval artwork'!F:F,0),""),"")</f>
        <v/>
      </c>
      <c r="D581" s="102" t="str">
        <f t="shared" si="3"/>
        <v/>
      </c>
      <c r="E581" s="100" t="str">
        <f t="array" ref="E581">IF(ISBLANK(G581),"",INDEX('POR Config List'!K:K,MATCH(G581,'POR Config List'!D:D,0)))</f>
        <v/>
      </c>
      <c r="F581" s="100" t="str">
        <f t="array" ref="F581">IF(ISBLANK(G581),"",INDEX('POR Config List'!J:J,MATCH(G581,'POR Config List'!D:D,0)))</f>
        <v/>
      </c>
      <c r="G581" s="168"/>
      <c r="H581" s="104" t="str">
        <f t="array" ref="H581">IF(ISBLANK(G581),"",INDEX('MP SKUs'!G:G,MATCH(G581,'MP SKUs'!A:A,0)))</f>
        <v/>
      </c>
      <c r="I581" s="105" t="str">
        <f t="array" ref="I581">IF(ISBLANK(G581),"",INDEX('POR Config List'!O:O,MATCH(G581,'POR Config List'!D:D,0)))</f>
        <v/>
      </c>
      <c r="J581" s="104" t="str">
        <f t="array" ref="J581">IF(ISBLANK(G581),"",INDEX('POR Config List'!H:H,MATCH(G581,'POR Config List'!D:D,0)))</f>
        <v/>
      </c>
      <c r="K581" s="105" t="str">
        <f t="array" ref="K581">IF(ISBLANK(G581),"",INDEX('POR Config List'!G:G,MATCH(G581,'POR Config List'!D:D,0)))</f>
        <v/>
      </c>
      <c r="L581" s="105"/>
      <c r="M581" s="105" t="str">
        <f t="array" ref="M581">IF(ISBLANK(G581),"",INDEX('label approval artwork'!Q:Q,MATCH( G581,'label approval artwork'!F:F,0)))</f>
        <v/>
      </c>
      <c r="N581" s="169" t="str">
        <f t="shared" si="5"/>
        <v/>
      </c>
      <c r="O581" s="102" t="str">
        <f t="array" ref="O581">IF(ISBLANK(G581),"",INDEX('POR Config List'!C:C,MATCH(G581,'POR Config List'!D:D,0)))</f>
        <v/>
      </c>
      <c r="P581" s="105" t="str">
        <f t="shared" si="4"/>
        <v/>
      </c>
      <c r="Q581" s="105" t="str">
        <f t="array" ref="Q581">IF(ISBLANK(G581),"",INDEX('label approval artwork'!J:J,MATCH( G581,'label approval artwork'!F:F,0)))</f>
        <v/>
      </c>
      <c r="R581" s="105" t="str">
        <f t="array" ref="R581">IFERROR( IF(P581&lt;&gt;"EMA",INDEX('label approval artwork'!H:H,MATCH(G581,'label approval artwork'!F:F,0),"")),"")</f>
        <v/>
      </c>
      <c r="S581" s="105"/>
      <c r="T581" s="105" t="str">
        <f t="array" ref="T581">IF(ISBLANK(G581),"",INDEX('POR Config List'!I:I,MATCH(G581,'POR Config List'!D:D,0)))</f>
        <v/>
      </c>
      <c r="AA581" s="100" t="str">
        <f t="array" ref="AA581">IF(ISBLANK(G581),"",INDEX('POR Config List'!E:E,MATCH(G581,'POR Config List'!D:D,0)))</f>
        <v/>
      </c>
      <c r="AC581" s="105"/>
      <c r="AD581" s="100"/>
      <c r="AE581" s="100"/>
      <c r="AF581" s="100"/>
      <c r="AG581" s="100"/>
      <c r="AM581" s="102"/>
      <c r="AN581" s="102"/>
      <c r="AR581" s="119"/>
      <c r="AS581" s="103"/>
    </row>
    <row r="582">
      <c r="A582" s="168"/>
      <c r="B582" s="100" t="str">
        <f t="array" ref="B582">IFERROR( INDEX('POR Config List'!A:A,MATCH(G582,'POR Config List'!D:D,0)),"")</f>
        <v/>
      </c>
      <c r="C582" s="101" t="str">
        <f t="array" ref="C582">IFERROR(INDEX('label approval artwork'!E:E,MATCH(G582,'label approval artwork'!F:F,0),""),"")</f>
        <v/>
      </c>
      <c r="D582" s="102" t="str">
        <f t="shared" si="3"/>
        <v/>
      </c>
      <c r="E582" s="100" t="str">
        <f t="array" ref="E582">IF(ISBLANK(G582),"",INDEX('POR Config List'!K:K,MATCH(G582,'POR Config List'!D:D,0)))</f>
        <v/>
      </c>
      <c r="F582" s="100" t="str">
        <f t="array" ref="F582">IF(ISBLANK(G582),"",INDEX('POR Config List'!J:J,MATCH(G582,'POR Config List'!D:D,0)))</f>
        <v/>
      </c>
      <c r="G582" s="168"/>
      <c r="H582" s="104" t="str">
        <f t="array" ref="H582">IF(ISBLANK(G582),"",INDEX('MP SKUs'!G:G,MATCH(G582,'MP SKUs'!A:A,0)))</f>
        <v/>
      </c>
      <c r="I582" s="105" t="str">
        <f t="array" ref="I582">IF(ISBLANK(G582),"",INDEX('POR Config List'!O:O,MATCH(G582,'POR Config List'!D:D,0)))</f>
        <v/>
      </c>
      <c r="J582" s="104" t="str">
        <f t="array" ref="J582">IF(ISBLANK(G582),"",INDEX('POR Config List'!H:H,MATCH(G582,'POR Config List'!D:D,0)))</f>
        <v/>
      </c>
      <c r="K582" s="105" t="str">
        <f t="array" ref="K582">IF(ISBLANK(G582),"",INDEX('POR Config List'!G:G,MATCH(G582,'POR Config List'!D:D,0)))</f>
        <v/>
      </c>
      <c r="L582" s="105"/>
      <c r="M582" s="105" t="str">
        <f t="array" ref="M582">IF(ISBLANK(G582),"",INDEX('label approval artwork'!Q:Q,MATCH( G582,'label approval artwork'!F:F,0)))</f>
        <v/>
      </c>
      <c r="N582" s="169" t="str">
        <f t="shared" si="5"/>
        <v/>
      </c>
      <c r="O582" s="102" t="str">
        <f t="array" ref="O582">IF(ISBLANK(G582),"",INDEX('POR Config List'!C:C,MATCH(G582,'POR Config List'!D:D,0)))</f>
        <v/>
      </c>
      <c r="P582" s="105" t="str">
        <f t="shared" si="4"/>
        <v/>
      </c>
      <c r="Q582" s="105" t="str">
        <f t="array" ref="Q582">IF(ISBLANK(G582),"",INDEX('label approval artwork'!J:J,MATCH( G582,'label approval artwork'!F:F,0)))</f>
        <v/>
      </c>
      <c r="R582" s="105" t="str">
        <f t="array" ref="R582">IFERROR( IF(P582&lt;&gt;"EMA",INDEX('label approval artwork'!H:H,MATCH(G582,'label approval artwork'!F:F,0),"")),"")</f>
        <v/>
      </c>
      <c r="S582" s="105"/>
      <c r="T582" s="105" t="str">
        <f t="array" ref="T582">IF(ISBLANK(G582),"",INDEX('POR Config List'!I:I,MATCH(G582,'POR Config List'!D:D,0)))</f>
        <v/>
      </c>
      <c r="AA582" s="100" t="str">
        <f t="array" ref="AA582">IF(ISBLANK(G582),"",INDEX('POR Config List'!E:E,MATCH(G582,'POR Config List'!D:D,0)))</f>
        <v/>
      </c>
      <c r="AC582" s="105"/>
      <c r="AD582" s="100"/>
      <c r="AE582" s="100"/>
      <c r="AF582" s="100"/>
      <c r="AG582" s="100"/>
      <c r="AM582" s="102"/>
      <c r="AN582" s="102"/>
      <c r="AR582" s="119"/>
      <c r="AS582" s="103"/>
    </row>
    <row r="583">
      <c r="A583" s="168"/>
      <c r="B583" s="100" t="str">
        <f t="array" ref="B583">IFERROR( INDEX('POR Config List'!A:A,MATCH(G583,'POR Config List'!D:D,0)),"")</f>
        <v/>
      </c>
      <c r="C583" s="101" t="str">
        <f t="array" ref="C583">IFERROR(INDEX('label approval artwork'!E:E,MATCH(G583,'label approval artwork'!F:F,0),""),"")</f>
        <v/>
      </c>
      <c r="D583" s="102" t="str">
        <f t="shared" si="3"/>
        <v/>
      </c>
      <c r="E583" s="100" t="str">
        <f t="array" ref="E583">IF(ISBLANK(G583),"",INDEX('POR Config List'!K:K,MATCH(G583,'POR Config List'!D:D,0)))</f>
        <v/>
      </c>
      <c r="F583" s="100" t="str">
        <f t="array" ref="F583">IF(ISBLANK(G583),"",INDEX('POR Config List'!J:J,MATCH(G583,'POR Config List'!D:D,0)))</f>
        <v/>
      </c>
      <c r="G583" s="168"/>
      <c r="H583" s="104" t="str">
        <f t="array" ref="H583">IF(ISBLANK(G583),"",INDEX('MP SKUs'!G:G,MATCH(G583,'MP SKUs'!A:A,0)))</f>
        <v/>
      </c>
      <c r="I583" s="105" t="str">
        <f t="array" ref="I583">IF(ISBLANK(G583),"",INDEX('POR Config List'!O:O,MATCH(G583,'POR Config List'!D:D,0)))</f>
        <v/>
      </c>
      <c r="J583" s="104" t="str">
        <f t="array" ref="J583">IF(ISBLANK(G583),"",INDEX('POR Config List'!H:H,MATCH(G583,'POR Config List'!D:D,0)))</f>
        <v/>
      </c>
      <c r="K583" s="105" t="str">
        <f t="array" ref="K583">IF(ISBLANK(G583),"",INDEX('POR Config List'!G:G,MATCH(G583,'POR Config List'!D:D,0)))</f>
        <v/>
      </c>
      <c r="L583" s="105"/>
      <c r="M583" s="105" t="str">
        <f t="array" ref="M583">IF(ISBLANK(G583),"",INDEX('label approval artwork'!Q:Q,MATCH( G583,'label approval artwork'!F:F,0)))</f>
        <v/>
      </c>
      <c r="N583" s="169" t="str">
        <f t="shared" si="5"/>
        <v/>
      </c>
      <c r="O583" s="102" t="str">
        <f t="array" ref="O583">IF(ISBLANK(G583),"",INDEX('POR Config List'!C:C,MATCH(G583,'POR Config List'!D:D,0)))</f>
        <v/>
      </c>
      <c r="P583" s="105" t="str">
        <f t="shared" si="4"/>
        <v/>
      </c>
      <c r="Q583" s="105" t="str">
        <f t="array" ref="Q583">IF(ISBLANK(G583),"",INDEX('label approval artwork'!J:J,MATCH( G583,'label approval artwork'!F:F,0)))</f>
        <v/>
      </c>
      <c r="R583" s="105" t="str">
        <f t="array" ref="R583">IFERROR( IF(P583&lt;&gt;"EMA",INDEX('label approval artwork'!H:H,MATCH(G583,'label approval artwork'!F:F,0),"")),"")</f>
        <v/>
      </c>
      <c r="S583" s="105"/>
      <c r="T583" s="105" t="str">
        <f t="array" ref="T583">IF(ISBLANK(G583),"",INDEX('POR Config List'!I:I,MATCH(G583,'POR Config List'!D:D,0)))</f>
        <v/>
      </c>
      <c r="AA583" s="100" t="str">
        <f t="array" ref="AA583">IF(ISBLANK(G583),"",INDEX('POR Config List'!E:E,MATCH(G583,'POR Config List'!D:D,0)))</f>
        <v/>
      </c>
      <c r="AC583" s="105"/>
      <c r="AD583" s="100"/>
      <c r="AE583" s="100"/>
      <c r="AF583" s="100"/>
      <c r="AG583" s="100"/>
      <c r="AM583" s="102"/>
      <c r="AN583" s="102"/>
      <c r="AR583" s="119"/>
      <c r="AS583" s="103"/>
    </row>
    <row r="584">
      <c r="A584" s="168"/>
      <c r="B584" s="100" t="str">
        <f t="array" ref="B584">IFERROR( INDEX('POR Config List'!A:A,MATCH(G584,'POR Config List'!D:D,0)),"")</f>
        <v/>
      </c>
      <c r="C584" s="101" t="str">
        <f t="array" ref="C584">IFERROR(INDEX('label approval artwork'!E:E,MATCH(G584,'label approval artwork'!F:F,0),""),"")</f>
        <v/>
      </c>
      <c r="D584" s="102" t="str">
        <f t="shared" si="3"/>
        <v/>
      </c>
      <c r="E584" s="100" t="str">
        <f t="array" ref="E584">IF(ISBLANK(G584),"",INDEX('POR Config List'!K:K,MATCH(G584,'POR Config List'!D:D,0)))</f>
        <v/>
      </c>
      <c r="F584" s="100" t="str">
        <f t="array" ref="F584">IF(ISBLANK(G584),"",INDEX('POR Config List'!J:J,MATCH(G584,'POR Config List'!D:D,0)))</f>
        <v/>
      </c>
      <c r="G584" s="168"/>
      <c r="H584" s="104" t="str">
        <f t="array" ref="H584">IF(ISBLANK(G584),"",INDEX('MP SKUs'!G:G,MATCH(G584,'MP SKUs'!A:A,0)))</f>
        <v/>
      </c>
      <c r="I584" s="105" t="str">
        <f t="array" ref="I584">IF(ISBLANK(G584),"",INDEX('POR Config List'!O:O,MATCH(G584,'POR Config List'!D:D,0)))</f>
        <v/>
      </c>
      <c r="J584" s="104" t="str">
        <f t="array" ref="J584">IF(ISBLANK(G584),"",INDEX('POR Config List'!H:H,MATCH(G584,'POR Config List'!D:D,0)))</f>
        <v/>
      </c>
      <c r="K584" s="105" t="str">
        <f t="array" ref="K584">IF(ISBLANK(G584),"",INDEX('POR Config List'!G:G,MATCH(G584,'POR Config List'!D:D,0)))</f>
        <v/>
      </c>
      <c r="L584" s="105"/>
      <c r="M584" s="105" t="str">
        <f t="array" ref="M584">IF(ISBLANK(G584),"",INDEX('label approval artwork'!Q:Q,MATCH( G584,'label approval artwork'!F:F,0)))</f>
        <v/>
      </c>
      <c r="N584" s="169" t="str">
        <f t="shared" si="5"/>
        <v/>
      </c>
      <c r="O584" s="102" t="str">
        <f t="array" ref="O584">IF(ISBLANK(G584),"",INDEX('POR Config List'!C:C,MATCH(G584,'POR Config List'!D:D,0)))</f>
        <v/>
      </c>
      <c r="P584" s="105" t="str">
        <f t="shared" si="4"/>
        <v/>
      </c>
      <c r="Q584" s="105" t="str">
        <f t="array" ref="Q584">IF(ISBLANK(G584),"",INDEX('label approval artwork'!J:J,MATCH( G584,'label approval artwork'!F:F,0)))</f>
        <v/>
      </c>
      <c r="R584" s="105" t="str">
        <f t="array" ref="R584">IFERROR( IF(P584&lt;&gt;"EMA",INDEX('label approval artwork'!H:H,MATCH(G584,'label approval artwork'!F:F,0),"")),"")</f>
        <v/>
      </c>
      <c r="S584" s="105"/>
      <c r="T584" s="105" t="str">
        <f t="array" ref="T584">IF(ISBLANK(G584),"",INDEX('POR Config List'!I:I,MATCH(G584,'POR Config List'!D:D,0)))</f>
        <v/>
      </c>
      <c r="AA584" s="100" t="str">
        <f t="array" ref="AA584">IF(ISBLANK(G584),"",INDEX('POR Config List'!E:E,MATCH(G584,'POR Config List'!D:D,0)))</f>
        <v/>
      </c>
      <c r="AC584" s="105"/>
      <c r="AD584" s="100"/>
      <c r="AE584" s="100"/>
      <c r="AF584" s="100"/>
      <c r="AG584" s="100"/>
      <c r="AM584" s="102"/>
      <c r="AN584" s="102"/>
      <c r="AR584" s="119"/>
      <c r="AS584" s="103"/>
    </row>
    <row r="585">
      <c r="A585" s="168"/>
      <c r="B585" s="100" t="str">
        <f t="array" ref="B585">IFERROR( INDEX('POR Config List'!A:A,MATCH(G585,'POR Config List'!D:D,0)),"")</f>
        <v/>
      </c>
      <c r="C585" s="101" t="str">
        <f t="array" ref="C585">IFERROR(INDEX('label approval artwork'!E:E,MATCH(G585,'label approval artwork'!F:F,0),""),"")</f>
        <v/>
      </c>
      <c r="D585" s="102" t="str">
        <f t="shared" si="3"/>
        <v/>
      </c>
      <c r="E585" s="100" t="str">
        <f t="array" ref="E585">IF(ISBLANK(G585),"",INDEX('POR Config List'!K:K,MATCH(G585,'POR Config List'!D:D,0)))</f>
        <v/>
      </c>
      <c r="F585" s="100" t="str">
        <f t="array" ref="F585">IF(ISBLANK(G585),"",INDEX('POR Config List'!J:J,MATCH(G585,'POR Config List'!D:D,0)))</f>
        <v/>
      </c>
      <c r="G585" s="168"/>
      <c r="H585" s="104" t="str">
        <f t="array" ref="H585">IF(ISBLANK(G585),"",INDEX('MP SKUs'!G:G,MATCH(G585,'MP SKUs'!A:A,0)))</f>
        <v/>
      </c>
      <c r="I585" s="105" t="str">
        <f t="array" ref="I585">IF(ISBLANK(G585),"",INDEX('POR Config List'!O:O,MATCH(G585,'POR Config List'!D:D,0)))</f>
        <v/>
      </c>
      <c r="J585" s="104" t="str">
        <f t="array" ref="J585">IF(ISBLANK(G585),"",INDEX('POR Config List'!H:H,MATCH(G585,'POR Config List'!D:D,0)))</f>
        <v/>
      </c>
      <c r="K585" s="105" t="str">
        <f t="array" ref="K585">IF(ISBLANK(G585),"",INDEX('POR Config List'!G:G,MATCH(G585,'POR Config List'!D:D,0)))</f>
        <v/>
      </c>
      <c r="L585" s="105"/>
      <c r="M585" s="105" t="str">
        <f t="array" ref="M585">IF(ISBLANK(G585),"",INDEX('label approval artwork'!Q:Q,MATCH( G585,'label approval artwork'!F:F,0)))</f>
        <v/>
      </c>
      <c r="N585" s="169" t="str">
        <f t="shared" si="5"/>
        <v/>
      </c>
      <c r="O585" s="102" t="str">
        <f t="array" ref="O585">IF(ISBLANK(G585),"",INDEX('POR Config List'!C:C,MATCH(G585,'POR Config List'!D:D,0)))</f>
        <v/>
      </c>
      <c r="P585" s="105" t="str">
        <f t="shared" si="4"/>
        <v/>
      </c>
      <c r="Q585" s="105" t="str">
        <f t="array" ref="Q585">IF(ISBLANK(G585),"",INDEX('label approval artwork'!J:J,MATCH( G585,'label approval artwork'!F:F,0)))</f>
        <v/>
      </c>
      <c r="R585" s="105" t="str">
        <f t="array" ref="R585">IFERROR( IF(P585&lt;&gt;"EMA",INDEX('label approval artwork'!H:H,MATCH(G585,'label approval artwork'!F:F,0),"")),"")</f>
        <v/>
      </c>
      <c r="S585" s="105"/>
      <c r="T585" s="105" t="str">
        <f t="array" ref="T585">IF(ISBLANK(G585),"",INDEX('POR Config List'!I:I,MATCH(G585,'POR Config List'!D:D,0)))</f>
        <v/>
      </c>
      <c r="AA585" s="100" t="str">
        <f t="array" ref="AA585">IF(ISBLANK(G585),"",INDEX('POR Config List'!E:E,MATCH(G585,'POR Config List'!D:D,0)))</f>
        <v/>
      </c>
      <c r="AC585" s="105"/>
      <c r="AD585" s="100"/>
      <c r="AE585" s="100"/>
      <c r="AF585" s="100"/>
      <c r="AG585" s="100"/>
      <c r="AM585" s="102"/>
      <c r="AN585" s="102"/>
      <c r="AR585" s="119"/>
      <c r="AS585" s="103"/>
    </row>
    <row r="586">
      <c r="A586" s="168"/>
      <c r="B586" s="100" t="str">
        <f t="array" ref="B586">IFERROR( INDEX('POR Config List'!A:A,MATCH(G586,'POR Config List'!D:D,0)),"")</f>
        <v/>
      </c>
      <c r="C586" s="101" t="str">
        <f t="array" ref="C586">IFERROR(INDEX('label approval artwork'!E:E,MATCH(G586,'label approval artwork'!F:F,0),""),"")</f>
        <v/>
      </c>
      <c r="D586" s="102" t="str">
        <f t="shared" si="3"/>
        <v/>
      </c>
      <c r="E586" s="100" t="str">
        <f t="array" ref="E586">IF(ISBLANK(G586),"",INDEX('POR Config List'!K:K,MATCH(G586,'POR Config List'!D:D,0)))</f>
        <v/>
      </c>
      <c r="F586" s="100" t="str">
        <f t="array" ref="F586">IF(ISBLANK(G586),"",INDEX('POR Config List'!J:J,MATCH(G586,'POR Config List'!D:D,0)))</f>
        <v/>
      </c>
      <c r="G586" s="168"/>
      <c r="H586" s="104" t="str">
        <f t="array" ref="H586">IF(ISBLANK(G586),"",INDEX('MP SKUs'!G:G,MATCH(G586,'MP SKUs'!A:A,0)))</f>
        <v/>
      </c>
      <c r="I586" s="105" t="str">
        <f t="array" ref="I586">IF(ISBLANK(G586),"",INDEX('POR Config List'!O:O,MATCH(G586,'POR Config List'!D:D,0)))</f>
        <v/>
      </c>
      <c r="J586" s="104" t="str">
        <f t="array" ref="J586">IF(ISBLANK(G586),"",INDEX('POR Config List'!H:H,MATCH(G586,'POR Config List'!D:D,0)))</f>
        <v/>
      </c>
      <c r="K586" s="105" t="str">
        <f t="array" ref="K586">IF(ISBLANK(G586),"",INDEX('POR Config List'!G:G,MATCH(G586,'POR Config List'!D:D,0)))</f>
        <v/>
      </c>
      <c r="L586" s="105"/>
      <c r="M586" s="105" t="str">
        <f t="array" ref="M586">IF(ISBLANK(G586),"",INDEX('label approval artwork'!Q:Q,MATCH( G586,'label approval artwork'!F:F,0)))</f>
        <v/>
      </c>
      <c r="N586" s="169" t="str">
        <f t="shared" si="5"/>
        <v/>
      </c>
      <c r="O586" s="102" t="str">
        <f t="array" ref="O586">IF(ISBLANK(G586),"",INDEX('POR Config List'!C:C,MATCH(G586,'POR Config List'!D:D,0)))</f>
        <v/>
      </c>
      <c r="P586" s="105" t="str">
        <f t="shared" si="4"/>
        <v/>
      </c>
      <c r="Q586" s="105" t="str">
        <f t="array" ref="Q586">IF(ISBLANK(G586),"",INDEX('label approval artwork'!J:J,MATCH( G586,'label approval artwork'!F:F,0)))</f>
        <v/>
      </c>
      <c r="R586" s="105" t="str">
        <f t="array" ref="R586">IFERROR( IF(P586&lt;&gt;"EMA",INDEX('label approval artwork'!H:H,MATCH(G586,'label approval artwork'!F:F,0),"")),"")</f>
        <v/>
      </c>
      <c r="S586" s="105"/>
      <c r="T586" s="105" t="str">
        <f t="array" ref="T586">IF(ISBLANK(G586),"",INDEX('POR Config List'!I:I,MATCH(G586,'POR Config List'!D:D,0)))</f>
        <v/>
      </c>
      <c r="AA586" s="100" t="str">
        <f t="array" ref="AA586">IF(ISBLANK(G586),"",INDEX('POR Config List'!E:E,MATCH(G586,'POR Config List'!D:D,0)))</f>
        <v/>
      </c>
      <c r="AC586" s="105"/>
      <c r="AD586" s="100"/>
      <c r="AE586" s="100"/>
      <c r="AF586" s="100"/>
      <c r="AG586" s="100"/>
      <c r="AM586" s="102"/>
      <c r="AN586" s="102"/>
      <c r="AR586" s="119"/>
      <c r="AS586" s="103"/>
    </row>
    <row r="587">
      <c r="A587" s="168"/>
      <c r="B587" s="100" t="str">
        <f t="array" ref="B587">IFERROR( INDEX('POR Config List'!A:A,MATCH(G587,'POR Config List'!D:D,0)),"")</f>
        <v/>
      </c>
      <c r="C587" s="101" t="str">
        <f t="array" ref="C587">IFERROR(INDEX('label approval artwork'!E:E,MATCH(G587,'label approval artwork'!F:F,0),""),"")</f>
        <v/>
      </c>
      <c r="D587" s="102" t="str">
        <f t="shared" si="3"/>
        <v/>
      </c>
      <c r="E587" s="100" t="str">
        <f t="array" ref="E587">IF(ISBLANK(G587),"",INDEX('POR Config List'!K:K,MATCH(G587,'POR Config List'!D:D,0)))</f>
        <v/>
      </c>
      <c r="F587" s="100" t="str">
        <f t="array" ref="F587">IF(ISBLANK(G587),"",INDEX('POR Config List'!J:J,MATCH(G587,'POR Config List'!D:D,0)))</f>
        <v/>
      </c>
      <c r="G587" s="168"/>
      <c r="H587" s="104" t="str">
        <f t="array" ref="H587">IF(ISBLANK(G587),"",INDEX('MP SKUs'!G:G,MATCH(G587,'MP SKUs'!A:A,0)))</f>
        <v/>
      </c>
      <c r="I587" s="105" t="str">
        <f t="array" ref="I587">IF(ISBLANK(G587),"",INDEX('POR Config List'!O:O,MATCH(G587,'POR Config List'!D:D,0)))</f>
        <v/>
      </c>
      <c r="J587" s="104" t="str">
        <f t="array" ref="J587">IF(ISBLANK(G587),"",INDEX('POR Config List'!H:H,MATCH(G587,'POR Config List'!D:D,0)))</f>
        <v/>
      </c>
      <c r="K587" s="105" t="str">
        <f t="array" ref="K587">IF(ISBLANK(G587),"",INDEX('POR Config List'!G:G,MATCH(G587,'POR Config List'!D:D,0)))</f>
        <v/>
      </c>
      <c r="L587" s="105"/>
      <c r="M587" s="105" t="str">
        <f t="array" ref="M587">IF(ISBLANK(G587),"",INDEX('label approval artwork'!Q:Q,MATCH( G587,'label approval artwork'!F:F,0)))</f>
        <v/>
      </c>
      <c r="N587" s="169" t="str">
        <f t="shared" si="5"/>
        <v/>
      </c>
      <c r="O587" s="102" t="str">
        <f t="array" ref="O587">IF(ISBLANK(G587),"",INDEX('POR Config List'!C:C,MATCH(G587,'POR Config List'!D:D,0)))</f>
        <v/>
      </c>
      <c r="P587" s="105" t="str">
        <f t="shared" si="4"/>
        <v/>
      </c>
      <c r="Q587" s="105" t="str">
        <f t="array" ref="Q587">IF(ISBLANK(G587),"",INDEX('label approval artwork'!J:J,MATCH( G587,'label approval artwork'!F:F,0)))</f>
        <v/>
      </c>
      <c r="R587" s="105" t="str">
        <f t="array" ref="R587">IFERROR( IF(P587&lt;&gt;"EMA",INDEX('label approval artwork'!H:H,MATCH(G587,'label approval artwork'!F:F,0),"")),"")</f>
        <v/>
      </c>
      <c r="S587" s="105"/>
      <c r="T587" s="105" t="str">
        <f t="array" ref="T587">IF(ISBLANK(G587),"",INDEX('POR Config List'!I:I,MATCH(G587,'POR Config List'!D:D,0)))</f>
        <v/>
      </c>
      <c r="AA587" s="100" t="str">
        <f t="array" ref="AA587">IF(ISBLANK(G587),"",INDEX('POR Config List'!E:E,MATCH(G587,'POR Config List'!D:D,0)))</f>
        <v/>
      </c>
      <c r="AC587" s="105"/>
      <c r="AD587" s="100"/>
      <c r="AE587" s="100"/>
      <c r="AF587" s="100"/>
      <c r="AG587" s="100"/>
      <c r="AM587" s="102"/>
      <c r="AN587" s="102"/>
      <c r="AR587" s="119"/>
      <c r="AS587" s="103"/>
    </row>
    <row r="588">
      <c r="A588" s="168"/>
      <c r="B588" s="100" t="str">
        <f t="array" ref="B588">IFERROR( INDEX('POR Config List'!A:A,MATCH(G588,'POR Config List'!D:D,0)),"")</f>
        <v/>
      </c>
      <c r="C588" s="101" t="str">
        <f t="array" ref="C588">IFERROR(INDEX('label approval artwork'!E:E,MATCH(G588,'label approval artwork'!F:F,0),""),"")</f>
        <v/>
      </c>
      <c r="D588" s="102" t="str">
        <f t="shared" si="3"/>
        <v/>
      </c>
      <c r="E588" s="100" t="str">
        <f t="array" ref="E588">IF(ISBLANK(G588),"",INDEX('POR Config List'!K:K,MATCH(G588,'POR Config List'!D:D,0)))</f>
        <v/>
      </c>
      <c r="F588" s="100" t="str">
        <f t="array" ref="F588">IF(ISBLANK(G588),"",INDEX('POR Config List'!J:J,MATCH(G588,'POR Config List'!D:D,0)))</f>
        <v/>
      </c>
      <c r="G588" s="168"/>
      <c r="H588" s="104" t="str">
        <f t="array" ref="H588">IF(ISBLANK(G588),"",INDEX('MP SKUs'!G:G,MATCH(G588,'MP SKUs'!A:A,0)))</f>
        <v/>
      </c>
      <c r="I588" s="105" t="str">
        <f t="array" ref="I588">IF(ISBLANK(G588),"",INDEX('POR Config List'!O:O,MATCH(G588,'POR Config List'!D:D,0)))</f>
        <v/>
      </c>
      <c r="J588" s="104" t="str">
        <f t="array" ref="J588">IF(ISBLANK(G588),"",INDEX('POR Config List'!H:H,MATCH(G588,'POR Config List'!D:D,0)))</f>
        <v/>
      </c>
      <c r="K588" s="105" t="str">
        <f t="array" ref="K588">IF(ISBLANK(G588),"",INDEX('POR Config List'!G:G,MATCH(G588,'POR Config List'!D:D,0)))</f>
        <v/>
      </c>
      <c r="L588" s="105"/>
      <c r="M588" s="105" t="str">
        <f t="array" ref="M588">IF(ISBLANK(G588),"",INDEX('label approval artwork'!Q:Q,MATCH( G588,'label approval artwork'!F:F,0)))</f>
        <v/>
      </c>
      <c r="N588" s="169" t="str">
        <f t="shared" si="5"/>
        <v/>
      </c>
      <c r="O588" s="102" t="str">
        <f t="array" ref="O588">IF(ISBLANK(G588),"",INDEX('POR Config List'!C:C,MATCH(G588,'POR Config List'!D:D,0)))</f>
        <v/>
      </c>
      <c r="P588" s="105" t="str">
        <f t="shared" si="4"/>
        <v/>
      </c>
      <c r="Q588" s="105" t="str">
        <f t="array" ref="Q588">IF(ISBLANK(G588),"",INDEX('label approval artwork'!J:J,MATCH( G588,'label approval artwork'!F:F,0)))</f>
        <v/>
      </c>
      <c r="R588" s="105" t="str">
        <f t="array" ref="R588">IFERROR( IF(P588&lt;&gt;"EMA",INDEX('label approval artwork'!H:H,MATCH(G588,'label approval artwork'!F:F,0),"")),"")</f>
        <v/>
      </c>
      <c r="S588" s="105"/>
      <c r="T588" s="105" t="str">
        <f t="array" ref="T588">IF(ISBLANK(G588),"",INDEX('POR Config List'!I:I,MATCH(G588,'POR Config List'!D:D,0)))</f>
        <v/>
      </c>
      <c r="AA588" s="100" t="str">
        <f t="array" ref="AA588">IF(ISBLANK(G588),"",INDEX('POR Config List'!E:E,MATCH(G588,'POR Config List'!D:D,0)))</f>
        <v/>
      </c>
      <c r="AC588" s="105"/>
      <c r="AD588" s="100"/>
      <c r="AE588" s="100"/>
      <c r="AF588" s="100"/>
      <c r="AG588" s="100"/>
      <c r="AM588" s="102"/>
      <c r="AN588" s="102"/>
      <c r="AR588" s="119"/>
      <c r="AS588" s="103"/>
    </row>
    <row r="589">
      <c r="A589" s="168"/>
      <c r="B589" s="100" t="str">
        <f t="array" ref="B589">IFERROR( INDEX('POR Config List'!A:A,MATCH(G589,'POR Config List'!D:D,0)),"")</f>
        <v/>
      </c>
      <c r="C589" s="101" t="str">
        <f t="array" ref="C589">IFERROR(INDEX('label approval artwork'!E:E,MATCH(G589,'label approval artwork'!F:F,0),""),"")</f>
        <v/>
      </c>
      <c r="D589" s="102" t="str">
        <f t="shared" si="3"/>
        <v/>
      </c>
      <c r="E589" s="100" t="str">
        <f t="array" ref="E589">IF(ISBLANK(G589),"",INDEX('POR Config List'!K:K,MATCH(G589,'POR Config List'!D:D,0)))</f>
        <v/>
      </c>
      <c r="F589" s="100" t="str">
        <f t="array" ref="F589">IF(ISBLANK(G589),"",INDEX('POR Config List'!J:J,MATCH(G589,'POR Config List'!D:D,0)))</f>
        <v/>
      </c>
      <c r="G589" s="168"/>
      <c r="H589" s="104" t="str">
        <f t="array" ref="H589">IF(ISBLANK(G589),"",INDEX('MP SKUs'!G:G,MATCH(G589,'MP SKUs'!A:A,0)))</f>
        <v/>
      </c>
      <c r="I589" s="105" t="str">
        <f t="array" ref="I589">IF(ISBLANK(G589),"",INDEX('POR Config List'!O:O,MATCH(G589,'POR Config List'!D:D,0)))</f>
        <v/>
      </c>
      <c r="J589" s="104" t="str">
        <f t="array" ref="J589">IF(ISBLANK(G589),"",INDEX('POR Config List'!H:H,MATCH(G589,'POR Config List'!D:D,0)))</f>
        <v/>
      </c>
      <c r="K589" s="105" t="str">
        <f t="array" ref="K589">IF(ISBLANK(G589),"",INDEX('POR Config List'!G:G,MATCH(G589,'POR Config List'!D:D,0)))</f>
        <v/>
      </c>
      <c r="L589" s="105"/>
      <c r="M589" s="105" t="str">
        <f t="array" ref="M589">IF(ISBLANK(G589),"",INDEX('label approval artwork'!Q:Q,MATCH( G589,'label approval artwork'!F:F,0)))</f>
        <v/>
      </c>
      <c r="N589" s="169" t="str">
        <f t="shared" si="5"/>
        <v/>
      </c>
      <c r="O589" s="102" t="str">
        <f t="array" ref="O589">IF(ISBLANK(G589),"",INDEX('POR Config List'!C:C,MATCH(G589,'POR Config List'!D:D,0)))</f>
        <v/>
      </c>
      <c r="P589" s="105" t="str">
        <f t="shared" si="4"/>
        <v/>
      </c>
      <c r="Q589" s="105" t="str">
        <f t="array" ref="Q589">IF(ISBLANK(G589),"",INDEX('label approval artwork'!J:J,MATCH( G589,'label approval artwork'!F:F,0)))</f>
        <v/>
      </c>
      <c r="R589" s="105" t="str">
        <f t="array" ref="R589">IFERROR( IF(P589&lt;&gt;"EMA",INDEX('label approval artwork'!H:H,MATCH(G589,'label approval artwork'!F:F,0),"")),"")</f>
        <v/>
      </c>
      <c r="S589" s="105"/>
      <c r="T589" s="105" t="str">
        <f t="array" ref="T589">IF(ISBLANK(G589),"",INDEX('POR Config List'!I:I,MATCH(G589,'POR Config List'!D:D,0)))</f>
        <v/>
      </c>
      <c r="AA589" s="100" t="str">
        <f t="array" ref="AA589">IF(ISBLANK(G589),"",INDEX('POR Config List'!E:E,MATCH(G589,'POR Config List'!D:D,0)))</f>
        <v/>
      </c>
      <c r="AC589" s="105"/>
      <c r="AD589" s="100"/>
      <c r="AE589" s="100"/>
      <c r="AF589" s="100"/>
      <c r="AG589" s="100"/>
      <c r="AM589" s="102"/>
      <c r="AN589" s="102"/>
      <c r="AR589" s="119"/>
      <c r="AS589" s="103"/>
    </row>
    <row r="590">
      <c r="A590" s="168"/>
      <c r="B590" s="100" t="str">
        <f t="array" ref="B590">IFERROR( INDEX('POR Config List'!A:A,MATCH(G590,'POR Config List'!D:D,0)),"")</f>
        <v/>
      </c>
      <c r="C590" s="101" t="str">
        <f t="array" ref="C590">IFERROR(INDEX('label approval artwork'!E:E,MATCH(G590,'label approval artwork'!F:F,0),""),"")</f>
        <v/>
      </c>
      <c r="D590" s="102" t="str">
        <f t="shared" si="3"/>
        <v/>
      </c>
      <c r="E590" s="100" t="str">
        <f t="array" ref="E590">IF(ISBLANK(G590),"",INDEX('POR Config List'!K:K,MATCH(G590,'POR Config List'!D:D,0)))</f>
        <v/>
      </c>
      <c r="F590" s="100" t="str">
        <f t="array" ref="F590">IF(ISBLANK(G590),"",INDEX('POR Config List'!J:J,MATCH(G590,'POR Config List'!D:D,0)))</f>
        <v/>
      </c>
      <c r="G590" s="168"/>
      <c r="H590" s="104" t="str">
        <f t="array" ref="H590">IF(ISBLANK(G590),"",INDEX('MP SKUs'!G:G,MATCH(G590,'MP SKUs'!A:A,0)))</f>
        <v/>
      </c>
      <c r="I590" s="105" t="str">
        <f t="array" ref="I590">IF(ISBLANK(G590),"",INDEX('POR Config List'!O:O,MATCH(G590,'POR Config List'!D:D,0)))</f>
        <v/>
      </c>
      <c r="J590" s="104" t="str">
        <f t="array" ref="J590">IF(ISBLANK(G590),"",INDEX('POR Config List'!H:H,MATCH(G590,'POR Config List'!D:D,0)))</f>
        <v/>
      </c>
      <c r="K590" s="105" t="str">
        <f t="array" ref="K590">IF(ISBLANK(G590),"",INDEX('POR Config List'!G:G,MATCH(G590,'POR Config List'!D:D,0)))</f>
        <v/>
      </c>
      <c r="L590" s="105"/>
      <c r="M590" s="105" t="str">
        <f t="array" ref="M590">IF(ISBLANK(G590),"",INDEX('label approval artwork'!Q:Q,MATCH( G590,'label approval artwork'!F:F,0)))</f>
        <v/>
      </c>
      <c r="N590" s="169" t="str">
        <f t="shared" si="5"/>
        <v/>
      </c>
      <c r="O590" s="102" t="str">
        <f t="array" ref="O590">IF(ISBLANK(G590),"",INDEX('POR Config List'!C:C,MATCH(G590,'POR Config List'!D:D,0)))</f>
        <v/>
      </c>
      <c r="P590" s="105" t="str">
        <f t="shared" si="4"/>
        <v/>
      </c>
      <c r="Q590" s="105" t="str">
        <f t="array" ref="Q590">IF(ISBLANK(G590),"",INDEX('label approval artwork'!J:J,MATCH( G590,'label approval artwork'!F:F,0)))</f>
        <v/>
      </c>
      <c r="R590" s="105" t="str">
        <f t="array" ref="R590">IFERROR( IF(P590&lt;&gt;"EMA",INDEX('label approval artwork'!H:H,MATCH(G590,'label approval artwork'!F:F,0),"")),"")</f>
        <v/>
      </c>
      <c r="S590" s="105"/>
      <c r="T590" s="105" t="str">
        <f t="array" ref="T590">IF(ISBLANK(G590),"",INDEX('POR Config List'!I:I,MATCH(G590,'POR Config List'!D:D,0)))</f>
        <v/>
      </c>
      <c r="AA590" s="100" t="str">
        <f t="array" ref="AA590">IF(ISBLANK(G590),"",INDEX('POR Config List'!E:E,MATCH(G590,'POR Config List'!D:D,0)))</f>
        <v/>
      </c>
      <c r="AC590" s="105"/>
      <c r="AD590" s="100"/>
      <c r="AE590" s="100"/>
      <c r="AF590" s="100"/>
      <c r="AG590" s="100"/>
      <c r="AM590" s="102"/>
      <c r="AN590" s="102"/>
      <c r="AR590" s="119"/>
      <c r="AS590" s="103"/>
    </row>
    <row r="591">
      <c r="A591" s="168"/>
      <c r="B591" s="100" t="str">
        <f t="array" ref="B591">IFERROR( INDEX('POR Config List'!A:A,MATCH(G591,'POR Config List'!D:D,0)),"")</f>
        <v/>
      </c>
      <c r="C591" s="101" t="str">
        <f t="array" ref="C591">IFERROR(INDEX('label approval artwork'!E:E,MATCH(G591,'label approval artwork'!F:F,0),""),"")</f>
        <v/>
      </c>
      <c r="D591" s="102" t="str">
        <f t="shared" si="3"/>
        <v/>
      </c>
      <c r="E591" s="100" t="str">
        <f t="array" ref="E591">IF(ISBLANK(G591),"",INDEX('POR Config List'!K:K,MATCH(G591,'POR Config List'!D:D,0)))</f>
        <v/>
      </c>
      <c r="F591" s="100" t="str">
        <f t="array" ref="F591">IF(ISBLANK(G591),"",INDEX('POR Config List'!J:J,MATCH(G591,'POR Config List'!D:D,0)))</f>
        <v/>
      </c>
      <c r="G591" s="168"/>
      <c r="H591" s="104" t="str">
        <f t="array" ref="H591">IF(ISBLANK(G591),"",INDEX('MP SKUs'!G:G,MATCH(G591,'MP SKUs'!A:A,0)))</f>
        <v/>
      </c>
      <c r="I591" s="105" t="str">
        <f t="array" ref="I591">IF(ISBLANK(G591),"",INDEX('POR Config List'!O:O,MATCH(G591,'POR Config List'!D:D,0)))</f>
        <v/>
      </c>
      <c r="J591" s="104" t="str">
        <f t="array" ref="J591">IF(ISBLANK(G591),"",INDEX('POR Config List'!H:H,MATCH(G591,'POR Config List'!D:D,0)))</f>
        <v/>
      </c>
      <c r="K591" s="105" t="str">
        <f t="array" ref="K591">IF(ISBLANK(G591),"",INDEX('POR Config List'!G:G,MATCH(G591,'POR Config List'!D:D,0)))</f>
        <v/>
      </c>
      <c r="L591" s="105"/>
      <c r="M591" s="105" t="str">
        <f t="array" ref="M591">IF(ISBLANK(G591),"",INDEX('label approval artwork'!Q:Q,MATCH( G591,'label approval artwork'!F:F,0)))</f>
        <v/>
      </c>
      <c r="N591" s="169" t="str">
        <f t="shared" si="5"/>
        <v/>
      </c>
      <c r="O591" s="102" t="str">
        <f t="array" ref="O591">IF(ISBLANK(G591),"",INDEX('POR Config List'!C:C,MATCH(G591,'POR Config List'!D:D,0)))</f>
        <v/>
      </c>
      <c r="P591" s="105" t="str">
        <f t="shared" si="4"/>
        <v/>
      </c>
      <c r="Q591" s="105" t="str">
        <f t="array" ref="Q591">IF(ISBLANK(G591),"",INDEX('label approval artwork'!J:J,MATCH( G591,'label approval artwork'!F:F,0)))</f>
        <v/>
      </c>
      <c r="R591" s="105" t="str">
        <f t="array" ref="R591">IFERROR( IF(P591&lt;&gt;"EMA",INDEX('label approval artwork'!H:H,MATCH(G591,'label approval artwork'!F:F,0),"")),"")</f>
        <v/>
      </c>
      <c r="S591" s="105"/>
      <c r="T591" s="105" t="str">
        <f t="array" ref="T591">IF(ISBLANK(G591),"",INDEX('POR Config List'!I:I,MATCH(G591,'POR Config List'!D:D,0)))</f>
        <v/>
      </c>
      <c r="AA591" s="100" t="str">
        <f t="array" ref="AA591">IF(ISBLANK(G591),"",INDEX('POR Config List'!E:E,MATCH(G591,'POR Config List'!D:D,0)))</f>
        <v/>
      </c>
      <c r="AC591" s="105"/>
      <c r="AD591" s="100"/>
      <c r="AE591" s="100"/>
      <c r="AF591" s="100"/>
      <c r="AG591" s="100"/>
      <c r="AM591" s="102"/>
      <c r="AN591" s="102"/>
      <c r="AR591" s="119"/>
      <c r="AS591" s="103"/>
    </row>
    <row r="592">
      <c r="A592" s="168"/>
      <c r="B592" s="100" t="str">
        <f t="array" ref="B592">IFERROR( INDEX('POR Config List'!A:A,MATCH(G592,'POR Config List'!D:D,0)),"")</f>
        <v/>
      </c>
      <c r="C592" s="101" t="str">
        <f t="array" ref="C592">IFERROR(INDEX('label approval artwork'!E:E,MATCH(G592,'label approval artwork'!F:F,0),""),"")</f>
        <v/>
      </c>
      <c r="D592" s="102" t="str">
        <f t="shared" si="3"/>
        <v/>
      </c>
      <c r="E592" s="100" t="str">
        <f t="array" ref="E592">IF(ISBLANK(G592),"",INDEX('POR Config List'!K:K,MATCH(G592,'POR Config List'!D:D,0)))</f>
        <v/>
      </c>
      <c r="F592" s="100" t="str">
        <f t="array" ref="F592">IF(ISBLANK(G592),"",INDEX('POR Config List'!J:J,MATCH(G592,'POR Config List'!D:D,0)))</f>
        <v/>
      </c>
      <c r="G592" s="168"/>
      <c r="H592" s="104" t="str">
        <f t="array" ref="H592">IF(ISBLANK(G592),"",INDEX('MP SKUs'!G:G,MATCH(G592,'MP SKUs'!A:A,0)))</f>
        <v/>
      </c>
      <c r="I592" s="105" t="str">
        <f t="array" ref="I592">IF(ISBLANK(G592),"",INDEX('POR Config List'!O:O,MATCH(G592,'POR Config List'!D:D,0)))</f>
        <v/>
      </c>
      <c r="J592" s="104" t="str">
        <f t="array" ref="J592">IF(ISBLANK(G592),"",INDEX('POR Config List'!H:H,MATCH(G592,'POR Config List'!D:D,0)))</f>
        <v/>
      </c>
      <c r="K592" s="105" t="str">
        <f t="array" ref="K592">IF(ISBLANK(G592),"",INDEX('POR Config List'!G:G,MATCH(G592,'POR Config List'!D:D,0)))</f>
        <v/>
      </c>
      <c r="L592" s="105"/>
      <c r="M592" s="105" t="str">
        <f t="array" ref="M592">IF(ISBLANK(G592),"",INDEX('label approval artwork'!Q:Q,MATCH( G592,'label approval artwork'!F:F,0)))</f>
        <v/>
      </c>
      <c r="N592" s="169" t="str">
        <f t="shared" si="5"/>
        <v/>
      </c>
      <c r="O592" s="102" t="str">
        <f t="array" ref="O592">IF(ISBLANK(G592),"",INDEX('POR Config List'!C:C,MATCH(G592,'POR Config List'!D:D,0)))</f>
        <v/>
      </c>
      <c r="P592" s="105" t="str">
        <f t="shared" si="4"/>
        <v/>
      </c>
      <c r="Q592" s="105" t="str">
        <f t="array" ref="Q592">IF(ISBLANK(G592),"",INDEX('label approval artwork'!J:J,MATCH( G592,'label approval artwork'!F:F,0)))</f>
        <v/>
      </c>
      <c r="R592" s="105" t="str">
        <f t="array" ref="R592">IFERROR( IF(P592&lt;&gt;"EMA",INDEX('label approval artwork'!H:H,MATCH(G592,'label approval artwork'!F:F,0),"")),"")</f>
        <v/>
      </c>
      <c r="S592" s="105"/>
      <c r="T592" s="105" t="str">
        <f t="array" ref="T592">IF(ISBLANK(G592),"",INDEX('POR Config List'!I:I,MATCH(G592,'POR Config List'!D:D,0)))</f>
        <v/>
      </c>
      <c r="AA592" s="100" t="str">
        <f t="array" ref="AA592">IF(ISBLANK(G592),"",INDEX('POR Config List'!E:E,MATCH(G592,'POR Config List'!D:D,0)))</f>
        <v/>
      </c>
      <c r="AC592" s="105"/>
      <c r="AD592" s="100"/>
      <c r="AE592" s="100"/>
      <c r="AF592" s="100"/>
      <c r="AG592" s="100"/>
      <c r="AM592" s="102"/>
      <c r="AN592" s="102"/>
      <c r="AR592" s="119"/>
      <c r="AS592" s="103"/>
    </row>
    <row r="593">
      <c r="A593" s="168"/>
      <c r="B593" s="100" t="str">
        <f t="array" ref="B593">IFERROR( INDEX('POR Config List'!A:A,MATCH(G593,'POR Config List'!D:D,0)),"")</f>
        <v/>
      </c>
      <c r="C593" s="101" t="str">
        <f t="array" ref="C593">IFERROR(INDEX('label approval artwork'!E:E,MATCH(G593,'label approval artwork'!F:F,0),""),"")</f>
        <v/>
      </c>
      <c r="D593" s="102" t="str">
        <f t="shared" si="3"/>
        <v/>
      </c>
      <c r="E593" s="100" t="str">
        <f t="array" ref="E593">IF(ISBLANK(G593),"",INDEX('POR Config List'!K:K,MATCH(G593,'POR Config List'!D:D,0)))</f>
        <v/>
      </c>
      <c r="F593" s="100" t="str">
        <f t="array" ref="F593">IF(ISBLANK(G593),"",INDEX('POR Config List'!J:J,MATCH(G593,'POR Config List'!D:D,0)))</f>
        <v/>
      </c>
      <c r="G593" s="168"/>
      <c r="H593" s="104" t="str">
        <f t="array" ref="H593">IF(ISBLANK(G593),"",INDEX('MP SKUs'!G:G,MATCH(G593,'MP SKUs'!A:A,0)))</f>
        <v/>
      </c>
      <c r="I593" s="105" t="str">
        <f t="array" ref="I593">IF(ISBLANK(G593),"",INDEX('POR Config List'!O:O,MATCH(G593,'POR Config List'!D:D,0)))</f>
        <v/>
      </c>
      <c r="J593" s="104" t="str">
        <f t="array" ref="J593">IF(ISBLANK(G593),"",INDEX('POR Config List'!H:H,MATCH(G593,'POR Config List'!D:D,0)))</f>
        <v/>
      </c>
      <c r="K593" s="105" t="str">
        <f t="array" ref="K593">IF(ISBLANK(G593),"",INDEX('POR Config List'!G:G,MATCH(G593,'POR Config List'!D:D,0)))</f>
        <v/>
      </c>
      <c r="L593" s="105"/>
      <c r="M593" s="105" t="str">
        <f t="array" ref="M593">IF(ISBLANK(G593),"",INDEX('label approval artwork'!Q:Q,MATCH( G593,'label approval artwork'!F:F,0)))</f>
        <v/>
      </c>
      <c r="N593" s="169" t="str">
        <f t="shared" si="5"/>
        <v/>
      </c>
      <c r="O593" s="102" t="str">
        <f t="array" ref="O593">IF(ISBLANK(G593),"",INDEX('POR Config List'!C:C,MATCH(G593,'POR Config List'!D:D,0)))</f>
        <v/>
      </c>
      <c r="P593" s="105" t="str">
        <f t="shared" si="4"/>
        <v/>
      </c>
      <c r="Q593" s="105" t="str">
        <f t="array" ref="Q593">IF(ISBLANK(G593),"",INDEX('label approval artwork'!J:J,MATCH( G593,'label approval artwork'!F:F,0)))</f>
        <v/>
      </c>
      <c r="R593" s="105" t="str">
        <f t="array" ref="R593">IFERROR( IF(P593&lt;&gt;"EMA",INDEX('label approval artwork'!H:H,MATCH(G593,'label approval artwork'!F:F,0),"")),"")</f>
        <v/>
      </c>
      <c r="S593" s="105"/>
      <c r="T593" s="105" t="str">
        <f t="array" ref="T593">IF(ISBLANK(G593),"",INDEX('POR Config List'!I:I,MATCH(G593,'POR Config List'!D:D,0)))</f>
        <v/>
      </c>
      <c r="AA593" s="100" t="str">
        <f t="array" ref="AA593">IF(ISBLANK(G593),"",INDEX('POR Config List'!E:E,MATCH(G593,'POR Config List'!D:D,0)))</f>
        <v/>
      </c>
      <c r="AC593" s="105"/>
      <c r="AD593" s="100"/>
      <c r="AE593" s="100"/>
      <c r="AF593" s="100"/>
      <c r="AG593" s="100"/>
      <c r="AM593" s="102"/>
      <c r="AN593" s="102"/>
      <c r="AR593" s="119"/>
      <c r="AS593" s="103"/>
    </row>
    <row r="594">
      <c r="A594" s="168"/>
      <c r="B594" s="100" t="str">
        <f t="array" ref="B594">IFERROR( INDEX('POR Config List'!A:A,MATCH(G594,'POR Config List'!D:D,0)),"")</f>
        <v/>
      </c>
      <c r="C594" s="101" t="str">
        <f t="array" ref="C594">IFERROR(INDEX('label approval artwork'!E:E,MATCH(G594,'label approval artwork'!F:F,0),""),"")</f>
        <v/>
      </c>
      <c r="D594" s="102" t="str">
        <f t="shared" si="3"/>
        <v/>
      </c>
      <c r="E594" s="100" t="str">
        <f t="array" ref="E594">IF(ISBLANK(G594),"",INDEX('POR Config List'!K:K,MATCH(G594,'POR Config List'!D:D,0)))</f>
        <v/>
      </c>
      <c r="F594" s="100" t="str">
        <f t="array" ref="F594">IF(ISBLANK(G594),"",INDEX('POR Config List'!J:J,MATCH(G594,'POR Config List'!D:D,0)))</f>
        <v/>
      </c>
      <c r="G594" s="168"/>
      <c r="H594" s="104" t="str">
        <f t="array" ref="H594">IF(ISBLANK(G594),"",INDEX('MP SKUs'!G:G,MATCH(G594,'MP SKUs'!A:A,0)))</f>
        <v/>
      </c>
      <c r="I594" s="105" t="str">
        <f t="array" ref="I594">IF(ISBLANK(G594),"",INDEX('POR Config List'!O:O,MATCH(G594,'POR Config List'!D:D,0)))</f>
        <v/>
      </c>
      <c r="J594" s="104" t="str">
        <f t="array" ref="J594">IF(ISBLANK(G594),"",INDEX('POR Config List'!H:H,MATCH(G594,'POR Config List'!D:D,0)))</f>
        <v/>
      </c>
      <c r="K594" s="105" t="str">
        <f t="array" ref="K594">IF(ISBLANK(G594),"",INDEX('POR Config List'!G:G,MATCH(G594,'POR Config List'!D:D,0)))</f>
        <v/>
      </c>
      <c r="L594" s="105"/>
      <c r="M594" s="105" t="str">
        <f t="array" ref="M594">IF(ISBLANK(G594),"",INDEX('label approval artwork'!Q:Q,MATCH( G594,'label approval artwork'!F:F,0)))</f>
        <v/>
      </c>
      <c r="N594" s="169" t="str">
        <f t="shared" si="5"/>
        <v/>
      </c>
      <c r="O594" s="102" t="str">
        <f t="array" ref="O594">IF(ISBLANK(G594),"",INDEX('POR Config List'!C:C,MATCH(G594,'POR Config List'!D:D,0)))</f>
        <v/>
      </c>
      <c r="P594" s="105" t="str">
        <f t="shared" si="4"/>
        <v/>
      </c>
      <c r="Q594" s="105" t="str">
        <f t="array" ref="Q594">IF(ISBLANK(G594),"",INDEX('label approval artwork'!J:J,MATCH( G594,'label approval artwork'!F:F,0)))</f>
        <v/>
      </c>
      <c r="R594" s="105" t="str">
        <f t="array" ref="R594">IFERROR( IF(P594&lt;&gt;"EMA",INDEX('label approval artwork'!H:H,MATCH(G594,'label approval artwork'!F:F,0),"")),"")</f>
        <v/>
      </c>
      <c r="S594" s="105"/>
      <c r="T594" s="105" t="str">
        <f t="array" ref="T594">IF(ISBLANK(G594),"",INDEX('POR Config List'!I:I,MATCH(G594,'POR Config List'!D:D,0)))</f>
        <v/>
      </c>
      <c r="AA594" s="100" t="str">
        <f t="array" ref="AA594">IF(ISBLANK(G594),"",INDEX('POR Config List'!E:E,MATCH(G594,'POR Config List'!D:D,0)))</f>
        <v/>
      </c>
      <c r="AC594" s="105"/>
      <c r="AD594" s="100"/>
      <c r="AE594" s="100"/>
      <c r="AF594" s="100"/>
      <c r="AG594" s="100"/>
      <c r="AM594" s="102"/>
      <c r="AN594" s="102"/>
      <c r="AR594" s="119"/>
      <c r="AS594" s="103"/>
    </row>
    <row r="595">
      <c r="A595" s="168"/>
      <c r="B595" s="100" t="str">
        <f t="array" ref="B595">IFERROR( INDEX('POR Config List'!A:A,MATCH(G595,'POR Config List'!D:D,0)),"")</f>
        <v/>
      </c>
      <c r="C595" s="101" t="str">
        <f t="array" ref="C595">IFERROR(INDEX('label approval artwork'!E:E,MATCH(G595,'label approval artwork'!F:F,0),""),"")</f>
        <v/>
      </c>
      <c r="D595" s="102" t="str">
        <f t="shared" si="3"/>
        <v/>
      </c>
      <c r="E595" s="100" t="str">
        <f t="array" ref="E595">IF(ISBLANK(G595),"",INDEX('POR Config List'!K:K,MATCH(G595,'POR Config List'!D:D,0)))</f>
        <v/>
      </c>
      <c r="F595" s="100" t="str">
        <f t="array" ref="F595">IF(ISBLANK(G595),"",INDEX('POR Config List'!J:J,MATCH(G595,'POR Config List'!D:D,0)))</f>
        <v/>
      </c>
      <c r="G595" s="168"/>
      <c r="H595" s="104" t="str">
        <f t="array" ref="H595">IF(ISBLANK(G595),"",INDEX('MP SKUs'!G:G,MATCH(G595,'MP SKUs'!A:A,0)))</f>
        <v/>
      </c>
      <c r="I595" s="105" t="str">
        <f t="array" ref="I595">IF(ISBLANK(G595),"",INDEX('POR Config List'!O:O,MATCH(G595,'POR Config List'!D:D,0)))</f>
        <v/>
      </c>
      <c r="J595" s="104" t="str">
        <f t="array" ref="J595">IF(ISBLANK(G595),"",INDEX('POR Config List'!H:H,MATCH(G595,'POR Config List'!D:D,0)))</f>
        <v/>
      </c>
      <c r="K595" s="105" t="str">
        <f t="array" ref="K595">IF(ISBLANK(G595),"",INDEX('POR Config List'!G:G,MATCH(G595,'POR Config List'!D:D,0)))</f>
        <v/>
      </c>
      <c r="L595" s="105"/>
      <c r="M595" s="105" t="str">
        <f t="array" ref="M595">IF(ISBLANK(G595),"",INDEX('label approval artwork'!Q:Q,MATCH( G595,'label approval artwork'!F:F,0)))</f>
        <v/>
      </c>
      <c r="N595" s="169" t="str">
        <f t="shared" si="5"/>
        <v/>
      </c>
      <c r="O595" s="102" t="str">
        <f t="array" ref="O595">IF(ISBLANK(G595),"",INDEX('POR Config List'!C:C,MATCH(G595,'POR Config List'!D:D,0)))</f>
        <v/>
      </c>
      <c r="P595" s="105" t="str">
        <f t="shared" si="4"/>
        <v/>
      </c>
      <c r="Q595" s="105" t="str">
        <f t="array" ref="Q595">IF(ISBLANK(G595),"",INDEX('label approval artwork'!J:J,MATCH( G595,'label approval artwork'!F:F,0)))</f>
        <v/>
      </c>
      <c r="R595" s="105" t="str">
        <f t="array" ref="R595">IFERROR( IF(P595&lt;&gt;"EMA",INDEX('label approval artwork'!H:H,MATCH(G595,'label approval artwork'!F:F,0),"")),"")</f>
        <v/>
      </c>
      <c r="S595" s="105"/>
      <c r="T595" s="105" t="str">
        <f t="array" ref="T595">IF(ISBLANK(G595),"",INDEX('POR Config List'!I:I,MATCH(G595,'POR Config List'!D:D,0)))</f>
        <v/>
      </c>
      <c r="AA595" s="100" t="str">
        <f t="array" ref="AA595">IF(ISBLANK(G595),"",INDEX('POR Config List'!E:E,MATCH(G595,'POR Config List'!D:D,0)))</f>
        <v/>
      </c>
      <c r="AC595" s="105"/>
      <c r="AD595" s="100"/>
      <c r="AE595" s="100"/>
      <c r="AF595" s="100"/>
      <c r="AG595" s="100"/>
      <c r="AM595" s="102"/>
      <c r="AN595" s="102"/>
      <c r="AR595" s="119"/>
      <c r="AS595" s="103"/>
    </row>
    <row r="596">
      <c r="A596" s="168"/>
      <c r="B596" s="100" t="str">
        <f t="array" ref="B596">IFERROR( INDEX('POR Config List'!A:A,MATCH(G596,'POR Config List'!D:D,0)),"")</f>
        <v/>
      </c>
      <c r="C596" s="101" t="str">
        <f t="array" ref="C596">IFERROR(INDEX('label approval artwork'!E:E,MATCH(G596,'label approval artwork'!F:F,0),""),"")</f>
        <v/>
      </c>
      <c r="D596" s="102" t="str">
        <f t="shared" si="3"/>
        <v/>
      </c>
      <c r="E596" s="100" t="str">
        <f t="array" ref="E596">IF(ISBLANK(G596),"",INDEX('POR Config List'!K:K,MATCH(G596,'POR Config List'!D:D,0)))</f>
        <v/>
      </c>
      <c r="F596" s="100" t="str">
        <f t="array" ref="F596">IF(ISBLANK(G596),"",INDEX('POR Config List'!J:J,MATCH(G596,'POR Config List'!D:D,0)))</f>
        <v/>
      </c>
      <c r="G596" s="168"/>
      <c r="H596" s="104" t="str">
        <f t="array" ref="H596">IF(ISBLANK(G596),"",INDEX('MP SKUs'!G:G,MATCH(G596,'MP SKUs'!A:A,0)))</f>
        <v/>
      </c>
      <c r="I596" s="105" t="str">
        <f t="array" ref="I596">IF(ISBLANK(G596),"",INDEX('POR Config List'!O:O,MATCH(G596,'POR Config List'!D:D,0)))</f>
        <v/>
      </c>
      <c r="J596" s="104" t="str">
        <f t="array" ref="J596">IF(ISBLANK(G596),"",INDEX('POR Config List'!H:H,MATCH(G596,'POR Config List'!D:D,0)))</f>
        <v/>
      </c>
      <c r="K596" s="105" t="str">
        <f t="array" ref="K596">IF(ISBLANK(G596),"",INDEX('POR Config List'!G:G,MATCH(G596,'POR Config List'!D:D,0)))</f>
        <v/>
      </c>
      <c r="L596" s="105"/>
      <c r="M596" s="105" t="str">
        <f t="array" ref="M596">IF(ISBLANK(G596),"",INDEX('label approval artwork'!Q:Q,MATCH( G596,'label approval artwork'!F:F,0)))</f>
        <v/>
      </c>
      <c r="N596" s="169" t="str">
        <f t="shared" si="5"/>
        <v/>
      </c>
      <c r="O596" s="102" t="str">
        <f t="array" ref="O596">IF(ISBLANK(G596),"",INDEX('POR Config List'!C:C,MATCH(G596,'POR Config List'!D:D,0)))</f>
        <v/>
      </c>
      <c r="P596" s="105" t="str">
        <f t="shared" si="4"/>
        <v/>
      </c>
      <c r="Q596" s="105" t="str">
        <f t="array" ref="Q596">IF(ISBLANK(G596),"",INDEX('label approval artwork'!J:J,MATCH( G596,'label approval artwork'!F:F,0)))</f>
        <v/>
      </c>
      <c r="R596" s="105" t="str">
        <f t="array" ref="R596">IFERROR( IF(P596&lt;&gt;"EMA",INDEX('label approval artwork'!H:H,MATCH(G596,'label approval artwork'!F:F,0),"")),"")</f>
        <v/>
      </c>
      <c r="S596" s="105"/>
      <c r="T596" s="105" t="str">
        <f t="array" ref="T596">IF(ISBLANK(G596),"",INDEX('POR Config List'!I:I,MATCH(G596,'POR Config List'!D:D,0)))</f>
        <v/>
      </c>
      <c r="AA596" s="100" t="str">
        <f t="array" ref="AA596">IF(ISBLANK(G596),"",INDEX('POR Config List'!E:E,MATCH(G596,'POR Config List'!D:D,0)))</f>
        <v/>
      </c>
      <c r="AC596" s="105"/>
      <c r="AD596" s="100"/>
      <c r="AE596" s="100"/>
      <c r="AF596" s="100"/>
      <c r="AG596" s="100"/>
      <c r="AM596" s="102"/>
      <c r="AN596" s="102"/>
      <c r="AR596" s="119"/>
      <c r="AS596" s="103"/>
    </row>
    <row r="597">
      <c r="A597" s="168"/>
      <c r="B597" s="100" t="str">
        <f t="array" ref="B597">IFERROR( INDEX('POR Config List'!A:A,MATCH(G597,'POR Config List'!D:D,0)),"")</f>
        <v/>
      </c>
      <c r="C597" s="101" t="str">
        <f t="array" ref="C597">IFERROR(INDEX('label approval artwork'!E:E,MATCH(G597,'label approval artwork'!F:F,0),""),"")</f>
        <v/>
      </c>
      <c r="D597" s="102" t="str">
        <f t="shared" si="3"/>
        <v/>
      </c>
      <c r="E597" s="100" t="str">
        <f t="array" ref="E597">IF(ISBLANK(G597),"",INDEX('POR Config List'!K:K,MATCH(G597,'POR Config List'!D:D,0)))</f>
        <v/>
      </c>
      <c r="F597" s="100" t="str">
        <f t="array" ref="F597">IF(ISBLANK(G597),"",INDEX('POR Config List'!J:J,MATCH(G597,'POR Config List'!D:D,0)))</f>
        <v/>
      </c>
      <c r="G597" s="168"/>
      <c r="H597" s="104" t="str">
        <f t="array" ref="H597">IF(ISBLANK(G597),"",INDEX('MP SKUs'!G:G,MATCH(G597,'MP SKUs'!A:A,0)))</f>
        <v/>
      </c>
      <c r="I597" s="105" t="str">
        <f t="array" ref="I597">IF(ISBLANK(G597),"",INDEX('POR Config List'!O:O,MATCH(G597,'POR Config List'!D:D,0)))</f>
        <v/>
      </c>
      <c r="J597" s="104" t="str">
        <f t="array" ref="J597">IF(ISBLANK(G597),"",INDEX('POR Config List'!H:H,MATCH(G597,'POR Config List'!D:D,0)))</f>
        <v/>
      </c>
      <c r="K597" s="105" t="str">
        <f t="array" ref="K597">IF(ISBLANK(G597),"",INDEX('POR Config List'!G:G,MATCH(G597,'POR Config List'!D:D,0)))</f>
        <v/>
      </c>
      <c r="L597" s="105"/>
      <c r="M597" s="105" t="str">
        <f t="array" ref="M597">IF(ISBLANK(G597),"",INDEX('label approval artwork'!Q:Q,MATCH( G597,'label approval artwork'!F:F,0)))</f>
        <v/>
      </c>
      <c r="N597" s="169" t="str">
        <f t="shared" si="5"/>
        <v/>
      </c>
      <c r="O597" s="102" t="str">
        <f t="array" ref="O597">IF(ISBLANK(G597),"",INDEX('POR Config List'!C:C,MATCH(G597,'POR Config List'!D:D,0)))</f>
        <v/>
      </c>
      <c r="P597" s="105" t="str">
        <f t="shared" si="4"/>
        <v/>
      </c>
      <c r="Q597" s="105" t="str">
        <f t="array" ref="Q597">IF(ISBLANK(G597),"",INDEX('label approval artwork'!J:J,MATCH( G597,'label approval artwork'!F:F,0)))</f>
        <v/>
      </c>
      <c r="R597" s="105" t="str">
        <f t="array" ref="R597">IFERROR( IF(P597&lt;&gt;"EMA",INDEX('label approval artwork'!H:H,MATCH(G597,'label approval artwork'!F:F,0),"")),"")</f>
        <v/>
      </c>
      <c r="S597" s="105"/>
      <c r="T597" s="105" t="str">
        <f t="array" ref="T597">IF(ISBLANK(G597),"",INDEX('POR Config List'!I:I,MATCH(G597,'POR Config List'!D:D,0)))</f>
        <v/>
      </c>
      <c r="AA597" s="100" t="str">
        <f t="array" ref="AA597">IF(ISBLANK(G597),"",INDEX('POR Config List'!E:E,MATCH(G597,'POR Config List'!D:D,0)))</f>
        <v/>
      </c>
      <c r="AC597" s="105"/>
      <c r="AD597" s="100"/>
      <c r="AE597" s="100"/>
      <c r="AF597" s="100"/>
      <c r="AG597" s="100"/>
      <c r="AM597" s="102"/>
      <c r="AN597" s="102"/>
      <c r="AR597" s="119"/>
      <c r="AS597" s="103"/>
    </row>
    <row r="598">
      <c r="A598" s="168"/>
      <c r="B598" s="100" t="str">
        <f t="array" ref="B598">IFERROR( INDEX('POR Config List'!A:A,MATCH(G598,'POR Config List'!D:D,0)),"")</f>
        <v/>
      </c>
      <c r="C598" s="101" t="str">
        <f t="array" ref="C598">IFERROR(INDEX('label approval artwork'!E:E,MATCH(G598,'label approval artwork'!F:F,0),""),"")</f>
        <v/>
      </c>
      <c r="D598" s="102" t="str">
        <f t="shared" si="3"/>
        <v/>
      </c>
      <c r="E598" s="100" t="str">
        <f t="array" ref="E598">IF(ISBLANK(G598),"",INDEX('POR Config List'!K:K,MATCH(G598,'POR Config List'!D:D,0)))</f>
        <v/>
      </c>
      <c r="F598" s="100" t="str">
        <f t="array" ref="F598">IF(ISBLANK(G598),"",INDEX('POR Config List'!J:J,MATCH(G598,'POR Config List'!D:D,0)))</f>
        <v/>
      </c>
      <c r="G598" s="168"/>
      <c r="H598" s="104" t="str">
        <f t="array" ref="H598">IF(ISBLANK(G598),"",INDEX('MP SKUs'!G:G,MATCH(G598,'MP SKUs'!A:A,0)))</f>
        <v/>
      </c>
      <c r="I598" s="105" t="str">
        <f t="array" ref="I598">IF(ISBLANK(G598),"",INDEX('POR Config List'!O:O,MATCH(G598,'POR Config List'!D:D,0)))</f>
        <v/>
      </c>
      <c r="J598" s="104" t="str">
        <f t="array" ref="J598">IF(ISBLANK(G598),"",INDEX('POR Config List'!H:H,MATCH(G598,'POR Config List'!D:D,0)))</f>
        <v/>
      </c>
      <c r="K598" s="105" t="str">
        <f t="array" ref="K598">IF(ISBLANK(G598),"",INDEX('POR Config List'!G:G,MATCH(G598,'POR Config List'!D:D,0)))</f>
        <v/>
      </c>
      <c r="L598" s="105"/>
      <c r="M598" s="105" t="str">
        <f t="array" ref="M598">IF(ISBLANK(G598),"",INDEX('label approval artwork'!Q:Q,MATCH( G598,'label approval artwork'!F:F,0)))</f>
        <v/>
      </c>
      <c r="N598" s="169" t="str">
        <f t="shared" si="5"/>
        <v/>
      </c>
      <c r="O598" s="102" t="str">
        <f t="array" ref="O598">IF(ISBLANK(G598),"",INDEX('POR Config List'!C:C,MATCH(G598,'POR Config List'!D:D,0)))</f>
        <v/>
      </c>
      <c r="P598" s="105" t="str">
        <f t="shared" si="4"/>
        <v/>
      </c>
      <c r="Q598" s="105" t="str">
        <f t="array" ref="Q598">IF(ISBLANK(G598),"",INDEX('label approval artwork'!J:J,MATCH( G598,'label approval artwork'!F:F,0)))</f>
        <v/>
      </c>
      <c r="R598" s="105" t="str">
        <f t="array" ref="R598">IFERROR( IF(P598&lt;&gt;"EMA",INDEX('label approval artwork'!H:H,MATCH(G598,'label approval artwork'!F:F,0),"")),"")</f>
        <v/>
      </c>
      <c r="S598" s="105"/>
      <c r="T598" s="105" t="str">
        <f t="array" ref="T598">IF(ISBLANK(G598),"",INDEX('POR Config List'!I:I,MATCH(G598,'POR Config List'!D:D,0)))</f>
        <v/>
      </c>
      <c r="AA598" s="100" t="str">
        <f t="array" ref="AA598">IF(ISBLANK(G598),"",INDEX('POR Config List'!E:E,MATCH(G598,'POR Config List'!D:D,0)))</f>
        <v/>
      </c>
      <c r="AC598" s="105"/>
      <c r="AD598" s="100"/>
      <c r="AE598" s="100"/>
      <c r="AF598" s="100"/>
      <c r="AG598" s="100"/>
      <c r="AM598" s="102"/>
      <c r="AN598" s="102"/>
      <c r="AR598" s="119"/>
      <c r="AS598" s="103"/>
    </row>
    <row r="599">
      <c r="A599" s="168"/>
      <c r="B599" s="100" t="str">
        <f t="array" ref="B599">IFERROR( INDEX('POR Config List'!A:A,MATCH(G599,'POR Config List'!D:D,0)),"")</f>
        <v/>
      </c>
      <c r="C599" s="101" t="str">
        <f t="array" ref="C599">IFERROR(INDEX('label approval artwork'!E:E,MATCH(G599,'label approval artwork'!F:F,0),""),"")</f>
        <v/>
      </c>
      <c r="D599" s="102" t="str">
        <f t="shared" si="3"/>
        <v/>
      </c>
      <c r="E599" s="100" t="str">
        <f t="array" ref="E599">IF(ISBLANK(G599),"",INDEX('POR Config List'!K:K,MATCH(G599,'POR Config List'!D:D,0)))</f>
        <v/>
      </c>
      <c r="F599" s="100" t="str">
        <f t="array" ref="F599">IF(ISBLANK(G599),"",INDEX('POR Config List'!J:J,MATCH(G599,'POR Config List'!D:D,0)))</f>
        <v/>
      </c>
      <c r="G599" s="168"/>
      <c r="H599" s="104" t="str">
        <f t="array" ref="H599">IF(ISBLANK(G599),"",INDEX('MP SKUs'!G:G,MATCH(G599,'MP SKUs'!A:A,0)))</f>
        <v/>
      </c>
      <c r="I599" s="105" t="str">
        <f t="array" ref="I599">IF(ISBLANK(G599),"",INDEX('POR Config List'!O:O,MATCH(G599,'POR Config List'!D:D,0)))</f>
        <v/>
      </c>
      <c r="J599" s="104" t="str">
        <f t="array" ref="J599">IF(ISBLANK(G599),"",INDEX('POR Config List'!H:H,MATCH(G599,'POR Config List'!D:D,0)))</f>
        <v/>
      </c>
      <c r="K599" s="105" t="str">
        <f t="array" ref="K599">IF(ISBLANK(G599),"",INDEX('POR Config List'!G:G,MATCH(G599,'POR Config List'!D:D,0)))</f>
        <v/>
      </c>
      <c r="L599" s="105"/>
      <c r="M599" s="105" t="str">
        <f t="array" ref="M599">IF(ISBLANK(G599),"",INDEX('label approval artwork'!Q:Q,MATCH( G599,'label approval artwork'!F:F,0)))</f>
        <v/>
      </c>
      <c r="N599" s="169" t="str">
        <f t="shared" si="5"/>
        <v/>
      </c>
      <c r="O599" s="102" t="str">
        <f t="array" ref="O599">IF(ISBLANK(G599),"",INDEX('POR Config List'!C:C,MATCH(G599,'POR Config List'!D:D,0)))</f>
        <v/>
      </c>
      <c r="P599" s="105" t="str">
        <f t="shared" si="4"/>
        <v/>
      </c>
      <c r="Q599" s="105" t="str">
        <f t="array" ref="Q599">IF(ISBLANK(G599),"",INDEX('label approval artwork'!J:J,MATCH( G599,'label approval artwork'!F:F,0)))</f>
        <v/>
      </c>
      <c r="R599" s="105" t="str">
        <f t="array" ref="R599">IFERROR( IF(P599&lt;&gt;"EMA",INDEX('label approval artwork'!H:H,MATCH(G599,'label approval artwork'!F:F,0),"")),"")</f>
        <v/>
      </c>
      <c r="S599" s="105"/>
      <c r="T599" s="105" t="str">
        <f t="array" ref="T599">IF(ISBLANK(G599),"",INDEX('POR Config List'!I:I,MATCH(G599,'POR Config List'!D:D,0)))</f>
        <v/>
      </c>
      <c r="AA599" s="100" t="str">
        <f t="array" ref="AA599">IF(ISBLANK(G599),"",INDEX('POR Config List'!E:E,MATCH(G599,'POR Config List'!D:D,0)))</f>
        <v/>
      </c>
      <c r="AC599" s="105"/>
      <c r="AD599" s="100"/>
      <c r="AE599" s="100"/>
      <c r="AF599" s="100"/>
      <c r="AG599" s="100"/>
      <c r="AM599" s="102"/>
      <c r="AN599" s="102"/>
      <c r="AR599" s="119"/>
      <c r="AS599" s="103"/>
    </row>
    <row r="600">
      <c r="A600" s="168"/>
      <c r="B600" s="100" t="str">
        <f t="array" ref="B600">IFERROR( INDEX('POR Config List'!A:A,MATCH(G600,'POR Config List'!D:D,0)),"")</f>
        <v/>
      </c>
      <c r="C600" s="101" t="str">
        <f t="array" ref="C600">IFERROR(INDEX('label approval artwork'!E:E,MATCH(G600,'label approval artwork'!F:F,0),""),"")</f>
        <v/>
      </c>
      <c r="D600" s="102" t="str">
        <f t="shared" si="3"/>
        <v/>
      </c>
      <c r="E600" s="100" t="str">
        <f t="array" ref="E600">IF(ISBLANK(G600),"",INDEX('POR Config List'!K:K,MATCH(G600,'POR Config List'!D:D,0)))</f>
        <v/>
      </c>
      <c r="F600" s="100" t="str">
        <f t="array" ref="F600">IF(ISBLANK(G600),"",INDEX('POR Config List'!J:J,MATCH(G600,'POR Config List'!D:D,0)))</f>
        <v/>
      </c>
      <c r="G600" s="168"/>
      <c r="H600" s="104" t="str">
        <f t="array" ref="H600">IF(ISBLANK(G600),"",INDEX('MP SKUs'!G:G,MATCH(G600,'MP SKUs'!A:A,0)))</f>
        <v/>
      </c>
      <c r="I600" s="105" t="str">
        <f t="array" ref="I600">IF(ISBLANK(G600),"",INDEX('POR Config List'!O:O,MATCH(G600,'POR Config List'!D:D,0)))</f>
        <v/>
      </c>
      <c r="J600" s="104" t="str">
        <f t="array" ref="J600">IF(ISBLANK(G600),"",INDEX('POR Config List'!H:H,MATCH(G600,'POR Config List'!D:D,0)))</f>
        <v/>
      </c>
      <c r="K600" s="105" t="str">
        <f t="array" ref="K600">IF(ISBLANK(G600),"",INDEX('POR Config List'!G:G,MATCH(G600,'POR Config List'!D:D,0)))</f>
        <v/>
      </c>
      <c r="L600" s="105"/>
      <c r="M600" s="105" t="str">
        <f t="array" ref="M600">IF(ISBLANK(G600),"",INDEX('label approval artwork'!Q:Q,MATCH( G600,'label approval artwork'!F:F,0)))</f>
        <v/>
      </c>
      <c r="N600" s="169" t="str">
        <f t="shared" si="5"/>
        <v/>
      </c>
      <c r="O600" s="102" t="str">
        <f t="array" ref="O600">IF(ISBLANK(G600),"",INDEX('POR Config List'!C:C,MATCH(G600,'POR Config List'!D:D,0)))</f>
        <v/>
      </c>
      <c r="P600" s="105" t="str">
        <f t="shared" si="4"/>
        <v/>
      </c>
      <c r="Q600" s="105" t="str">
        <f t="array" ref="Q600">IF(ISBLANK(G600),"",INDEX('label approval artwork'!J:J,MATCH( G600,'label approval artwork'!F:F,0)))</f>
        <v/>
      </c>
      <c r="R600" s="105" t="str">
        <f t="array" ref="R600">IFERROR( IF(P600&lt;&gt;"EMA",INDEX('label approval artwork'!H:H,MATCH(G600,'label approval artwork'!F:F,0),"")),"")</f>
        <v/>
      </c>
      <c r="S600" s="105"/>
      <c r="T600" s="105" t="str">
        <f t="array" ref="T600">IF(ISBLANK(G600),"",INDEX('POR Config List'!I:I,MATCH(G600,'POR Config List'!D:D,0)))</f>
        <v/>
      </c>
      <c r="AA600" s="100" t="str">
        <f t="array" ref="AA600">IF(ISBLANK(G600),"",INDEX('POR Config List'!E:E,MATCH(G600,'POR Config List'!D:D,0)))</f>
        <v/>
      </c>
      <c r="AC600" s="105"/>
      <c r="AD600" s="100"/>
      <c r="AE600" s="100"/>
      <c r="AF600" s="100"/>
      <c r="AG600" s="100"/>
      <c r="AM600" s="102"/>
      <c r="AN600" s="102"/>
      <c r="AR600" s="119"/>
      <c r="AS600" s="103"/>
    </row>
    <row r="601">
      <c r="A601" s="168"/>
      <c r="B601" s="100" t="str">
        <f t="array" ref="B601">IFERROR( INDEX('POR Config List'!A:A,MATCH(G601,'POR Config List'!D:D,0)),"")</f>
        <v/>
      </c>
      <c r="C601" s="101" t="str">
        <f t="array" ref="C601">IFERROR(INDEX('label approval artwork'!E:E,MATCH(G601,'label approval artwork'!F:F,0),""),"")</f>
        <v/>
      </c>
      <c r="D601" s="102" t="str">
        <f t="shared" si="3"/>
        <v/>
      </c>
      <c r="E601" s="100" t="str">
        <f t="array" ref="E601">IF(ISBLANK(G601),"",INDEX('POR Config List'!K:K,MATCH(G601,'POR Config List'!D:D,0)))</f>
        <v/>
      </c>
      <c r="F601" s="100" t="str">
        <f t="array" ref="F601">IF(ISBLANK(G601),"",INDEX('POR Config List'!J:J,MATCH(G601,'POR Config List'!D:D,0)))</f>
        <v/>
      </c>
      <c r="G601" s="168"/>
      <c r="H601" s="104" t="str">
        <f t="array" ref="H601">IF(ISBLANK(G601),"",INDEX('MP SKUs'!G:G,MATCH(G601,'MP SKUs'!A:A,0)))</f>
        <v/>
      </c>
      <c r="I601" s="105" t="str">
        <f t="array" ref="I601">IF(ISBLANK(G601),"",INDEX('POR Config List'!O:O,MATCH(G601,'POR Config List'!D:D,0)))</f>
        <v/>
      </c>
      <c r="J601" s="104" t="str">
        <f t="array" ref="J601">IF(ISBLANK(G601),"",INDEX('POR Config List'!H:H,MATCH(G601,'POR Config List'!D:D,0)))</f>
        <v/>
      </c>
      <c r="K601" s="105" t="str">
        <f t="array" ref="K601">IF(ISBLANK(G601),"",INDEX('POR Config List'!G:G,MATCH(G601,'POR Config List'!D:D,0)))</f>
        <v/>
      </c>
      <c r="L601" s="105"/>
      <c r="M601" s="105" t="str">
        <f t="array" ref="M601">IF(ISBLANK(G601),"",INDEX('label approval artwork'!Q:Q,MATCH( G601,'label approval artwork'!F:F,0)))</f>
        <v/>
      </c>
      <c r="N601" s="169" t="str">
        <f t="shared" si="5"/>
        <v/>
      </c>
      <c r="O601" s="102" t="str">
        <f t="array" ref="O601">IF(ISBLANK(G601),"",INDEX('POR Config List'!C:C,MATCH(G601,'POR Config List'!D:D,0)))</f>
        <v/>
      </c>
      <c r="P601" s="105" t="str">
        <f t="shared" si="4"/>
        <v/>
      </c>
      <c r="Q601" s="105" t="str">
        <f t="array" ref="Q601">IF(ISBLANK(G601),"",INDEX('label approval artwork'!J:J,MATCH( G601,'label approval artwork'!F:F,0)))</f>
        <v/>
      </c>
      <c r="R601" s="105" t="str">
        <f t="array" ref="R601">IFERROR( IF(P601&lt;&gt;"EMA",INDEX('label approval artwork'!H:H,MATCH(G601,'label approval artwork'!F:F,0),"")),"")</f>
        <v/>
      </c>
      <c r="S601" s="105"/>
      <c r="T601" s="105" t="str">
        <f t="array" ref="T601">IF(ISBLANK(G601),"",INDEX('POR Config List'!I:I,MATCH(G601,'POR Config List'!D:D,0)))</f>
        <v/>
      </c>
      <c r="AA601" s="100" t="str">
        <f t="array" ref="AA601">IF(ISBLANK(G601),"",INDEX('POR Config List'!E:E,MATCH(G601,'POR Config List'!D:D,0)))</f>
        <v/>
      </c>
      <c r="AC601" s="105"/>
      <c r="AD601" s="100"/>
      <c r="AE601" s="100"/>
      <c r="AF601" s="100"/>
      <c r="AG601" s="100"/>
      <c r="AM601" s="102"/>
      <c r="AN601" s="102"/>
      <c r="AR601" s="119"/>
      <c r="AS601" s="103"/>
    </row>
    <row r="602">
      <c r="A602" s="168"/>
      <c r="B602" s="100" t="str">
        <f t="array" ref="B602">IFERROR( INDEX('POR Config List'!A:A,MATCH(G602,'POR Config List'!D:D,0)),"")</f>
        <v/>
      </c>
      <c r="C602" s="101" t="str">
        <f t="array" ref="C602">IFERROR(INDEX('label approval artwork'!E:E,MATCH(G602,'label approval artwork'!F:F,0),""),"")</f>
        <v/>
      </c>
      <c r="D602" s="102" t="str">
        <f t="shared" si="3"/>
        <v/>
      </c>
      <c r="E602" s="100" t="str">
        <f t="array" ref="E602">IF(ISBLANK(G602),"",INDEX('POR Config List'!K:K,MATCH(G602,'POR Config List'!D:D,0)))</f>
        <v/>
      </c>
      <c r="F602" s="100" t="str">
        <f t="array" ref="F602">IF(ISBLANK(G602),"",INDEX('POR Config List'!J:J,MATCH(G602,'POR Config List'!D:D,0)))</f>
        <v/>
      </c>
      <c r="G602" s="168"/>
      <c r="H602" s="104" t="str">
        <f t="array" ref="H602">IF(ISBLANK(G602),"",INDEX('MP SKUs'!G:G,MATCH(G602,'MP SKUs'!A:A,0)))</f>
        <v/>
      </c>
      <c r="I602" s="105" t="str">
        <f t="array" ref="I602">IF(ISBLANK(G602),"",INDEX('POR Config List'!O:O,MATCH(G602,'POR Config List'!D:D,0)))</f>
        <v/>
      </c>
      <c r="J602" s="104" t="str">
        <f t="array" ref="J602">IF(ISBLANK(G602),"",INDEX('POR Config List'!H:H,MATCH(G602,'POR Config List'!D:D,0)))</f>
        <v/>
      </c>
      <c r="K602" s="105" t="str">
        <f t="array" ref="K602">IF(ISBLANK(G602),"",INDEX('POR Config List'!G:G,MATCH(G602,'POR Config List'!D:D,0)))</f>
        <v/>
      </c>
      <c r="L602" s="105"/>
      <c r="M602" s="105" t="str">
        <f t="array" ref="M602">IF(ISBLANK(G602),"",INDEX('label approval artwork'!Q:Q,MATCH( G602,'label approval artwork'!F:F,0)))</f>
        <v/>
      </c>
      <c r="N602" s="169" t="str">
        <f t="shared" si="5"/>
        <v/>
      </c>
      <c r="O602" s="102" t="str">
        <f t="array" ref="O602">IF(ISBLANK(G602),"",INDEX('POR Config List'!C:C,MATCH(G602,'POR Config List'!D:D,0)))</f>
        <v/>
      </c>
      <c r="P602" s="105" t="str">
        <f t="shared" si="4"/>
        <v/>
      </c>
      <c r="Q602" s="105" t="str">
        <f t="array" ref="Q602">IF(ISBLANK(G602),"",INDEX('label approval artwork'!J:J,MATCH( G602,'label approval artwork'!F:F,0)))</f>
        <v/>
      </c>
      <c r="R602" s="105" t="str">
        <f t="array" ref="R602">IFERROR( IF(P602&lt;&gt;"EMA",INDEX('label approval artwork'!H:H,MATCH(G602,'label approval artwork'!F:F,0),"")),"")</f>
        <v/>
      </c>
      <c r="S602" s="105"/>
      <c r="T602" s="105" t="str">
        <f t="array" ref="T602">IF(ISBLANK(G602),"",INDEX('POR Config List'!I:I,MATCH(G602,'POR Config List'!D:D,0)))</f>
        <v/>
      </c>
      <c r="AA602" s="100" t="str">
        <f t="array" ref="AA602">IF(ISBLANK(G602),"",INDEX('POR Config List'!E:E,MATCH(G602,'POR Config List'!D:D,0)))</f>
        <v/>
      </c>
      <c r="AC602" s="105"/>
      <c r="AD602" s="100"/>
      <c r="AE602" s="100"/>
      <c r="AF602" s="100"/>
      <c r="AG602" s="100"/>
      <c r="AM602" s="102"/>
      <c r="AN602" s="102"/>
      <c r="AR602" s="119"/>
      <c r="AS602" s="103"/>
    </row>
    <row r="603">
      <c r="A603" s="168"/>
      <c r="B603" s="100" t="str">
        <f t="array" ref="B603">IFERROR( INDEX('POR Config List'!A:A,MATCH(G603,'POR Config List'!D:D,0)),"")</f>
        <v/>
      </c>
      <c r="C603" s="101" t="str">
        <f t="array" ref="C603">IFERROR(INDEX('label approval artwork'!E:E,MATCH(G603,'label approval artwork'!F:F,0),""),"")</f>
        <v/>
      </c>
      <c r="D603" s="102" t="str">
        <f t="shared" si="3"/>
        <v/>
      </c>
      <c r="E603" s="100" t="str">
        <f t="array" ref="E603">IF(ISBLANK(G603),"",INDEX('POR Config List'!K:K,MATCH(G603,'POR Config List'!D:D,0)))</f>
        <v/>
      </c>
      <c r="F603" s="100" t="str">
        <f t="array" ref="F603">IF(ISBLANK(G603),"",INDEX('POR Config List'!J:J,MATCH(G603,'POR Config List'!D:D,0)))</f>
        <v/>
      </c>
      <c r="G603" s="168"/>
      <c r="H603" s="104" t="str">
        <f t="array" ref="H603">IF(ISBLANK(G603),"",INDEX('MP SKUs'!G:G,MATCH(G603,'MP SKUs'!A:A,0)))</f>
        <v/>
      </c>
      <c r="I603" s="105" t="str">
        <f t="array" ref="I603">IF(ISBLANK(G603),"",INDEX('POR Config List'!O:O,MATCH(G603,'POR Config List'!D:D,0)))</f>
        <v/>
      </c>
      <c r="J603" s="104" t="str">
        <f t="array" ref="J603">IF(ISBLANK(G603),"",INDEX('POR Config List'!H:H,MATCH(G603,'POR Config List'!D:D,0)))</f>
        <v/>
      </c>
      <c r="K603" s="105" t="str">
        <f t="array" ref="K603">IF(ISBLANK(G603),"",INDEX('POR Config List'!G:G,MATCH(G603,'POR Config List'!D:D,0)))</f>
        <v/>
      </c>
      <c r="L603" s="105"/>
      <c r="M603" s="105" t="str">
        <f t="array" ref="M603">IF(ISBLANK(G603),"",INDEX('label approval artwork'!Q:Q,MATCH( G603,'label approval artwork'!F:F,0)))</f>
        <v/>
      </c>
      <c r="N603" s="169" t="str">
        <f t="shared" si="5"/>
        <v/>
      </c>
      <c r="O603" s="102" t="str">
        <f t="array" ref="O603">IF(ISBLANK(G603),"",INDEX('POR Config List'!C:C,MATCH(G603,'POR Config List'!D:D,0)))</f>
        <v/>
      </c>
      <c r="P603" s="105" t="str">
        <f t="shared" si="4"/>
        <v/>
      </c>
      <c r="Q603" s="105" t="str">
        <f t="array" ref="Q603">IF(ISBLANK(G603),"",INDEX('label approval artwork'!J:J,MATCH( G603,'label approval artwork'!F:F,0)))</f>
        <v/>
      </c>
      <c r="R603" s="105" t="str">
        <f t="array" ref="R603">IFERROR( IF(P603&lt;&gt;"EMA",INDEX('label approval artwork'!H:H,MATCH(G603,'label approval artwork'!F:F,0),"")),"")</f>
        <v/>
      </c>
      <c r="S603" s="105"/>
      <c r="T603" s="105" t="str">
        <f t="array" ref="T603">IF(ISBLANK(G603),"",INDEX('POR Config List'!I:I,MATCH(G603,'POR Config List'!D:D,0)))</f>
        <v/>
      </c>
      <c r="AA603" s="100" t="str">
        <f t="array" ref="AA603">IF(ISBLANK(G603),"",INDEX('POR Config List'!E:E,MATCH(G603,'POR Config List'!D:D,0)))</f>
        <v/>
      </c>
      <c r="AC603" s="105"/>
      <c r="AD603" s="100"/>
      <c r="AE603" s="100"/>
      <c r="AF603" s="100"/>
      <c r="AG603" s="100"/>
      <c r="AM603" s="102"/>
      <c r="AN603" s="102"/>
      <c r="AR603" s="119"/>
      <c r="AS603" s="103"/>
    </row>
    <row r="604">
      <c r="A604" s="168"/>
      <c r="B604" s="100" t="str">
        <f t="array" ref="B604">IFERROR( INDEX('POR Config List'!A:A,MATCH(G604,'POR Config List'!D:D,0)),"")</f>
        <v/>
      </c>
      <c r="C604" s="101" t="str">
        <f t="array" ref="C604">IFERROR(INDEX('label approval artwork'!E:E,MATCH(G604,'label approval artwork'!F:F,0),""),"")</f>
        <v/>
      </c>
      <c r="D604" s="102" t="str">
        <f t="shared" si="3"/>
        <v/>
      </c>
      <c r="E604" s="100" t="str">
        <f t="array" ref="E604">IF(ISBLANK(G604),"",INDEX('POR Config List'!K:K,MATCH(G604,'POR Config List'!D:D,0)))</f>
        <v/>
      </c>
      <c r="F604" s="100" t="str">
        <f t="array" ref="F604">IF(ISBLANK(G604),"",INDEX('POR Config List'!J:J,MATCH(G604,'POR Config List'!D:D,0)))</f>
        <v/>
      </c>
      <c r="G604" s="168"/>
      <c r="H604" s="104" t="str">
        <f t="array" ref="H604">IF(ISBLANK(G604),"",INDEX('MP SKUs'!G:G,MATCH(G604,'MP SKUs'!A:A,0)))</f>
        <v/>
      </c>
      <c r="I604" s="105" t="str">
        <f t="array" ref="I604">IF(ISBLANK(G604),"",INDEX('POR Config List'!O:O,MATCH(G604,'POR Config List'!D:D,0)))</f>
        <v/>
      </c>
      <c r="J604" s="104" t="str">
        <f t="array" ref="J604">IF(ISBLANK(G604),"",INDEX('POR Config List'!H:H,MATCH(G604,'POR Config List'!D:D,0)))</f>
        <v/>
      </c>
      <c r="K604" s="105" t="str">
        <f t="array" ref="K604">IF(ISBLANK(G604),"",INDEX('POR Config List'!G:G,MATCH(G604,'POR Config List'!D:D,0)))</f>
        <v/>
      </c>
      <c r="L604" s="105"/>
      <c r="M604" s="105" t="str">
        <f t="array" ref="M604">IF(ISBLANK(G604),"",INDEX('label approval artwork'!Q:Q,MATCH( G604,'label approval artwork'!F:F,0)))</f>
        <v/>
      </c>
      <c r="N604" s="169" t="str">
        <f t="shared" si="5"/>
        <v/>
      </c>
      <c r="O604" s="102" t="str">
        <f t="array" ref="O604">IF(ISBLANK(G604),"",INDEX('POR Config List'!C:C,MATCH(G604,'POR Config List'!D:D,0)))</f>
        <v/>
      </c>
      <c r="P604" s="105" t="str">
        <f t="shared" si="4"/>
        <v/>
      </c>
      <c r="Q604" s="105" t="str">
        <f t="array" ref="Q604">IF(ISBLANK(G604),"",INDEX('label approval artwork'!J:J,MATCH( G604,'label approval artwork'!F:F,0)))</f>
        <v/>
      </c>
      <c r="R604" s="105" t="str">
        <f t="array" ref="R604">IFERROR( IF(P604&lt;&gt;"EMA",INDEX('label approval artwork'!H:H,MATCH(G604,'label approval artwork'!F:F,0),"")),"")</f>
        <v/>
      </c>
      <c r="S604" s="105"/>
      <c r="T604" s="105" t="str">
        <f t="array" ref="T604">IF(ISBLANK(G604),"",INDEX('POR Config List'!I:I,MATCH(G604,'POR Config List'!D:D,0)))</f>
        <v/>
      </c>
      <c r="AA604" s="100" t="str">
        <f t="array" ref="AA604">IF(ISBLANK(G604),"",INDEX('POR Config List'!E:E,MATCH(G604,'POR Config List'!D:D,0)))</f>
        <v/>
      </c>
      <c r="AC604" s="105"/>
      <c r="AD604" s="100"/>
      <c r="AE604" s="100"/>
      <c r="AF604" s="100"/>
      <c r="AG604" s="100"/>
      <c r="AM604" s="102"/>
      <c r="AN604" s="102"/>
      <c r="AR604" s="119"/>
      <c r="AS604" s="103"/>
    </row>
    <row r="605">
      <c r="A605" s="168"/>
      <c r="B605" s="100" t="str">
        <f t="array" ref="B605">IFERROR( INDEX('POR Config List'!A:A,MATCH(G605,'POR Config List'!D:D,0)),"")</f>
        <v/>
      </c>
      <c r="C605" s="101" t="str">
        <f t="array" ref="C605">IFERROR(INDEX('label approval artwork'!E:E,MATCH(G605,'label approval artwork'!F:F,0),""),"")</f>
        <v/>
      </c>
      <c r="D605" s="102" t="str">
        <f t="shared" si="3"/>
        <v/>
      </c>
      <c r="E605" s="100" t="str">
        <f t="array" ref="E605">IF(ISBLANK(G605),"",INDEX('POR Config List'!K:K,MATCH(G605,'POR Config List'!D:D,0)))</f>
        <v/>
      </c>
      <c r="F605" s="100" t="str">
        <f t="array" ref="F605">IF(ISBLANK(G605),"",INDEX('POR Config List'!J:J,MATCH(G605,'POR Config List'!D:D,0)))</f>
        <v/>
      </c>
      <c r="G605" s="168"/>
      <c r="H605" s="104" t="str">
        <f t="array" ref="H605">IF(ISBLANK(G605),"",INDEX('MP SKUs'!G:G,MATCH(G605,'MP SKUs'!A:A,0)))</f>
        <v/>
      </c>
      <c r="I605" s="105" t="str">
        <f t="array" ref="I605">IF(ISBLANK(G605),"",INDEX('POR Config List'!O:O,MATCH(G605,'POR Config List'!D:D,0)))</f>
        <v/>
      </c>
      <c r="J605" s="104" t="str">
        <f t="array" ref="J605">IF(ISBLANK(G605),"",INDEX('POR Config List'!H:H,MATCH(G605,'POR Config List'!D:D,0)))</f>
        <v/>
      </c>
      <c r="K605" s="105" t="str">
        <f t="array" ref="K605">IF(ISBLANK(G605),"",INDEX('POR Config List'!G:G,MATCH(G605,'POR Config List'!D:D,0)))</f>
        <v/>
      </c>
      <c r="L605" s="105"/>
      <c r="M605" s="105" t="str">
        <f t="array" ref="M605">IF(ISBLANK(G605),"",INDEX('label approval artwork'!Q:Q,MATCH( G605,'label approval artwork'!F:F,0)))</f>
        <v/>
      </c>
      <c r="N605" s="169" t="str">
        <f t="shared" si="5"/>
        <v/>
      </c>
      <c r="O605" s="102" t="str">
        <f t="array" ref="O605">IF(ISBLANK(G605),"",INDEX('POR Config List'!C:C,MATCH(G605,'POR Config List'!D:D,0)))</f>
        <v/>
      </c>
      <c r="P605" s="105" t="str">
        <f t="shared" si="4"/>
        <v/>
      </c>
      <c r="Q605" s="105" t="str">
        <f t="array" ref="Q605">IF(ISBLANK(G605),"",INDEX('label approval artwork'!J:J,MATCH( G605,'label approval artwork'!F:F,0)))</f>
        <v/>
      </c>
      <c r="R605" s="105" t="str">
        <f t="array" ref="R605">IFERROR( IF(P605&lt;&gt;"EMA",INDEX('label approval artwork'!H:H,MATCH(G605,'label approval artwork'!F:F,0),"")),"")</f>
        <v/>
      </c>
      <c r="S605" s="105"/>
      <c r="T605" s="105" t="str">
        <f t="array" ref="T605">IF(ISBLANK(G605),"",INDEX('POR Config List'!I:I,MATCH(G605,'POR Config List'!D:D,0)))</f>
        <v/>
      </c>
      <c r="AA605" s="100" t="str">
        <f t="array" ref="AA605">IF(ISBLANK(G605),"",INDEX('POR Config List'!E:E,MATCH(G605,'POR Config List'!D:D,0)))</f>
        <v/>
      </c>
      <c r="AC605" s="105"/>
      <c r="AD605" s="100"/>
      <c r="AE605" s="100"/>
      <c r="AF605" s="100"/>
      <c r="AG605" s="100"/>
      <c r="AM605" s="102"/>
      <c r="AN605" s="102"/>
      <c r="AR605" s="119"/>
      <c r="AS605" s="103"/>
    </row>
    <row r="606">
      <c r="A606" s="168"/>
      <c r="B606" s="100" t="str">
        <f t="array" ref="B606">IFERROR( INDEX('POR Config List'!A:A,MATCH(G606,'POR Config List'!D:D,0)),"")</f>
        <v/>
      </c>
      <c r="C606" s="101" t="str">
        <f t="array" ref="C606">IFERROR(INDEX('label approval artwork'!E:E,MATCH(G606,'label approval artwork'!F:F,0),""),"")</f>
        <v/>
      </c>
      <c r="D606" s="102" t="str">
        <f t="shared" si="3"/>
        <v/>
      </c>
      <c r="E606" s="100" t="str">
        <f t="array" ref="E606">IF(ISBLANK(G606),"",INDEX('POR Config List'!K:K,MATCH(G606,'POR Config List'!D:D,0)))</f>
        <v/>
      </c>
      <c r="F606" s="100" t="str">
        <f t="array" ref="F606">IF(ISBLANK(G606),"",INDEX('POR Config List'!J:J,MATCH(G606,'POR Config List'!D:D,0)))</f>
        <v/>
      </c>
      <c r="G606" s="168"/>
      <c r="H606" s="104" t="str">
        <f t="array" ref="H606">IF(ISBLANK(G606),"",INDEX('MP SKUs'!G:G,MATCH(G606,'MP SKUs'!A:A,0)))</f>
        <v/>
      </c>
      <c r="I606" s="105" t="str">
        <f t="array" ref="I606">IF(ISBLANK(G606),"",INDEX('POR Config List'!O:O,MATCH(G606,'POR Config List'!D:D,0)))</f>
        <v/>
      </c>
      <c r="J606" s="104" t="str">
        <f t="array" ref="J606">IF(ISBLANK(G606),"",INDEX('POR Config List'!H:H,MATCH(G606,'POR Config List'!D:D,0)))</f>
        <v/>
      </c>
      <c r="K606" s="105" t="str">
        <f t="array" ref="K606">IF(ISBLANK(G606),"",INDEX('POR Config List'!G:G,MATCH(G606,'POR Config List'!D:D,0)))</f>
        <v/>
      </c>
      <c r="L606" s="105"/>
      <c r="M606" s="105" t="str">
        <f t="array" ref="M606">IF(ISBLANK(G606),"",INDEX('label approval artwork'!Q:Q,MATCH( G606,'label approval artwork'!F:F,0)))</f>
        <v/>
      </c>
      <c r="N606" s="169" t="str">
        <f t="shared" si="5"/>
        <v/>
      </c>
      <c r="O606" s="102" t="str">
        <f t="array" ref="O606">IF(ISBLANK(G606),"",INDEX('POR Config List'!C:C,MATCH(G606,'POR Config List'!D:D,0)))</f>
        <v/>
      </c>
      <c r="P606" s="105" t="str">
        <f t="shared" si="4"/>
        <v/>
      </c>
      <c r="Q606" s="105" t="str">
        <f t="array" ref="Q606">IF(ISBLANK(G606),"",INDEX('label approval artwork'!J:J,MATCH( G606,'label approval artwork'!F:F,0)))</f>
        <v/>
      </c>
      <c r="R606" s="105" t="str">
        <f t="array" ref="R606">IFERROR( IF(P606&lt;&gt;"EMA",INDEX('label approval artwork'!H:H,MATCH(G606,'label approval artwork'!F:F,0),"")),"")</f>
        <v/>
      </c>
      <c r="S606" s="105"/>
      <c r="T606" s="105" t="str">
        <f t="array" ref="T606">IF(ISBLANK(G606),"",INDEX('POR Config List'!I:I,MATCH(G606,'POR Config List'!D:D,0)))</f>
        <v/>
      </c>
      <c r="AA606" s="100" t="str">
        <f t="array" ref="AA606">IF(ISBLANK(G606),"",INDEX('POR Config List'!E:E,MATCH(G606,'POR Config List'!D:D,0)))</f>
        <v/>
      </c>
      <c r="AC606" s="105"/>
      <c r="AD606" s="100"/>
      <c r="AE606" s="100"/>
      <c r="AF606" s="100"/>
      <c r="AG606" s="100"/>
      <c r="AM606" s="102"/>
      <c r="AN606" s="102"/>
      <c r="AR606" s="119"/>
      <c r="AS606" s="103"/>
    </row>
    <row r="607">
      <c r="A607" s="168"/>
      <c r="B607" s="100" t="str">
        <f t="array" ref="B607">IFERROR( INDEX('POR Config List'!A:A,MATCH(G607,'POR Config List'!D:D,0)),"")</f>
        <v/>
      </c>
      <c r="C607" s="101" t="str">
        <f t="array" ref="C607">IFERROR(INDEX('label approval artwork'!E:E,MATCH(G607,'label approval artwork'!F:F,0),""),"")</f>
        <v/>
      </c>
      <c r="D607" s="102" t="str">
        <f t="shared" si="3"/>
        <v/>
      </c>
      <c r="E607" s="100" t="str">
        <f t="array" ref="E607">IF(ISBLANK(G607),"",INDEX('POR Config List'!K:K,MATCH(G607,'POR Config List'!D:D,0)))</f>
        <v/>
      </c>
      <c r="F607" s="100" t="str">
        <f t="array" ref="F607">IF(ISBLANK(G607),"",INDEX('POR Config List'!J:J,MATCH(G607,'POR Config List'!D:D,0)))</f>
        <v/>
      </c>
      <c r="G607" s="168"/>
      <c r="H607" s="104" t="str">
        <f t="array" ref="H607">IF(ISBLANK(G607),"",INDEX('MP SKUs'!G:G,MATCH(G607,'MP SKUs'!A:A,0)))</f>
        <v/>
      </c>
      <c r="I607" s="105" t="str">
        <f t="array" ref="I607">IF(ISBLANK(G607),"",INDEX('POR Config List'!O:O,MATCH(G607,'POR Config List'!D:D,0)))</f>
        <v/>
      </c>
      <c r="J607" s="104" t="str">
        <f t="array" ref="J607">IF(ISBLANK(G607),"",INDEX('POR Config List'!H:H,MATCH(G607,'POR Config List'!D:D,0)))</f>
        <v/>
      </c>
      <c r="K607" s="105" t="str">
        <f t="array" ref="K607">IF(ISBLANK(G607),"",INDEX('POR Config List'!G:G,MATCH(G607,'POR Config List'!D:D,0)))</f>
        <v/>
      </c>
      <c r="L607" s="105"/>
      <c r="M607" s="105" t="str">
        <f t="array" ref="M607">IF(ISBLANK(G607),"",INDEX('label approval artwork'!Q:Q,MATCH( G607,'label approval artwork'!F:F,0)))</f>
        <v/>
      </c>
      <c r="N607" s="169" t="str">
        <f t="shared" si="5"/>
        <v/>
      </c>
      <c r="O607" s="102" t="str">
        <f t="array" ref="O607">IF(ISBLANK(G607),"",INDEX('POR Config List'!C:C,MATCH(G607,'POR Config List'!D:D,0)))</f>
        <v/>
      </c>
      <c r="P607" s="105" t="str">
        <f t="shared" si="4"/>
        <v/>
      </c>
      <c r="Q607" s="105" t="str">
        <f t="array" ref="Q607">IF(ISBLANK(G607),"",INDEX('label approval artwork'!J:J,MATCH( G607,'label approval artwork'!F:F,0)))</f>
        <v/>
      </c>
      <c r="R607" s="105" t="str">
        <f t="array" ref="R607">IFERROR( IF(P607&lt;&gt;"EMA",INDEX('label approval artwork'!H:H,MATCH(G607,'label approval artwork'!F:F,0),"")),"")</f>
        <v/>
      </c>
      <c r="S607" s="105"/>
      <c r="T607" s="105" t="str">
        <f t="array" ref="T607">IF(ISBLANK(G607),"",INDEX('POR Config List'!I:I,MATCH(G607,'POR Config List'!D:D,0)))</f>
        <v/>
      </c>
      <c r="AA607" s="100" t="str">
        <f t="array" ref="AA607">IF(ISBLANK(G607),"",INDEX('POR Config List'!E:E,MATCH(G607,'POR Config List'!D:D,0)))</f>
        <v/>
      </c>
      <c r="AC607" s="105"/>
      <c r="AD607" s="100"/>
      <c r="AE607" s="100"/>
      <c r="AF607" s="100"/>
      <c r="AG607" s="100"/>
      <c r="AM607" s="102"/>
      <c r="AN607" s="102"/>
      <c r="AR607" s="119"/>
      <c r="AS607" s="103"/>
    </row>
    <row r="608">
      <c r="A608" s="168"/>
      <c r="B608" s="100" t="str">
        <f t="array" ref="B608">IFERROR( INDEX('POR Config List'!A:A,MATCH(G608,'POR Config List'!D:D,0)),"")</f>
        <v/>
      </c>
      <c r="C608" s="101" t="str">
        <f t="array" ref="C608">IFERROR(INDEX('label approval artwork'!E:E,MATCH(G608,'label approval artwork'!F:F,0),""),"")</f>
        <v/>
      </c>
      <c r="D608" s="102" t="str">
        <f t="shared" si="3"/>
        <v/>
      </c>
      <c r="E608" s="100" t="str">
        <f t="array" ref="E608">IF(ISBLANK(G608),"",INDEX('POR Config List'!K:K,MATCH(G608,'POR Config List'!D:D,0)))</f>
        <v/>
      </c>
      <c r="F608" s="100" t="str">
        <f t="array" ref="F608">IF(ISBLANK(G608),"",INDEX('POR Config List'!J:J,MATCH(G608,'POR Config List'!D:D,0)))</f>
        <v/>
      </c>
      <c r="G608" s="168"/>
      <c r="H608" s="104" t="str">
        <f t="array" ref="H608">IF(ISBLANK(G608),"",INDEX('MP SKUs'!G:G,MATCH(G608,'MP SKUs'!A:A,0)))</f>
        <v/>
      </c>
      <c r="I608" s="105" t="str">
        <f t="array" ref="I608">IF(ISBLANK(G608),"",INDEX('POR Config List'!O:O,MATCH(G608,'POR Config List'!D:D,0)))</f>
        <v/>
      </c>
      <c r="J608" s="104" t="str">
        <f t="array" ref="J608">IF(ISBLANK(G608),"",INDEX('POR Config List'!H:H,MATCH(G608,'POR Config List'!D:D,0)))</f>
        <v/>
      </c>
      <c r="K608" s="105" t="str">
        <f t="array" ref="K608">IF(ISBLANK(G608),"",INDEX('POR Config List'!G:G,MATCH(G608,'POR Config List'!D:D,0)))</f>
        <v/>
      </c>
      <c r="L608" s="105"/>
      <c r="M608" s="105" t="str">
        <f t="array" ref="M608">IF(ISBLANK(G608),"",INDEX('label approval artwork'!Q:Q,MATCH( G608,'label approval artwork'!F:F,0)))</f>
        <v/>
      </c>
      <c r="N608" s="169" t="str">
        <f t="shared" si="5"/>
        <v/>
      </c>
      <c r="O608" s="102" t="str">
        <f t="array" ref="O608">IF(ISBLANK(G608),"",INDEX('POR Config List'!C:C,MATCH(G608,'POR Config List'!D:D,0)))</f>
        <v/>
      </c>
      <c r="P608" s="105" t="str">
        <f t="shared" si="4"/>
        <v/>
      </c>
      <c r="Q608" s="105" t="str">
        <f t="array" ref="Q608">IF(ISBLANK(G608),"",INDEX('label approval artwork'!J:J,MATCH( G608,'label approval artwork'!F:F,0)))</f>
        <v/>
      </c>
      <c r="R608" s="105" t="str">
        <f t="array" ref="R608">IFERROR( IF(P608&lt;&gt;"EMA",INDEX('label approval artwork'!H:H,MATCH(G608,'label approval artwork'!F:F,0),"")),"")</f>
        <v/>
      </c>
      <c r="S608" s="105"/>
      <c r="T608" s="105" t="str">
        <f t="array" ref="T608">IF(ISBLANK(G608),"",INDEX('POR Config List'!I:I,MATCH(G608,'POR Config List'!D:D,0)))</f>
        <v/>
      </c>
      <c r="AA608" s="100" t="str">
        <f t="array" ref="AA608">IF(ISBLANK(G608),"",INDEX('POR Config List'!E:E,MATCH(G608,'POR Config List'!D:D,0)))</f>
        <v/>
      </c>
      <c r="AC608" s="105"/>
      <c r="AD608" s="100"/>
      <c r="AE608" s="100"/>
      <c r="AF608" s="100"/>
      <c r="AG608" s="100"/>
      <c r="AM608" s="102"/>
      <c r="AN608" s="102"/>
      <c r="AR608" s="119"/>
      <c r="AS608" s="103"/>
    </row>
    <row r="609">
      <c r="A609" s="168"/>
      <c r="B609" s="100" t="str">
        <f t="array" ref="B609">IFERROR( INDEX('POR Config List'!A:A,MATCH(G609,'POR Config List'!D:D,0)),"")</f>
        <v/>
      </c>
      <c r="C609" s="101" t="str">
        <f t="array" ref="C609">IFERROR(INDEX('label approval artwork'!E:E,MATCH(G609,'label approval artwork'!F:F,0),""),"")</f>
        <v/>
      </c>
      <c r="D609" s="102" t="str">
        <f t="shared" si="3"/>
        <v/>
      </c>
      <c r="E609" s="100" t="str">
        <f t="array" ref="E609">IF(ISBLANK(G609),"",INDEX('POR Config List'!K:K,MATCH(G609,'POR Config List'!D:D,0)))</f>
        <v/>
      </c>
      <c r="F609" s="100" t="str">
        <f t="array" ref="F609">IF(ISBLANK(G609),"",INDEX('POR Config List'!J:J,MATCH(G609,'POR Config List'!D:D,0)))</f>
        <v/>
      </c>
      <c r="G609" s="168"/>
      <c r="H609" s="104" t="str">
        <f t="array" ref="H609">IF(ISBLANK(G609),"",INDEX('MP SKUs'!G:G,MATCH(G609,'MP SKUs'!A:A,0)))</f>
        <v/>
      </c>
      <c r="I609" s="105" t="str">
        <f t="array" ref="I609">IF(ISBLANK(G609),"",INDEX('POR Config List'!O:O,MATCH(G609,'POR Config List'!D:D,0)))</f>
        <v/>
      </c>
      <c r="J609" s="104" t="str">
        <f t="array" ref="J609">IF(ISBLANK(G609),"",INDEX('POR Config List'!H:H,MATCH(G609,'POR Config List'!D:D,0)))</f>
        <v/>
      </c>
      <c r="K609" s="105" t="str">
        <f t="array" ref="K609">IF(ISBLANK(G609),"",INDEX('POR Config List'!G:G,MATCH(G609,'POR Config List'!D:D,0)))</f>
        <v/>
      </c>
      <c r="L609" s="105"/>
      <c r="M609" s="105" t="str">
        <f t="array" ref="M609">IF(ISBLANK(G609),"",INDEX('label approval artwork'!Q:Q,MATCH( G609,'label approval artwork'!F:F,0)))</f>
        <v/>
      </c>
      <c r="N609" s="169" t="str">
        <f t="shared" si="5"/>
        <v/>
      </c>
      <c r="O609" s="102" t="str">
        <f t="array" ref="O609">IF(ISBLANK(G609),"",INDEX('POR Config List'!C:C,MATCH(G609,'POR Config List'!D:D,0)))</f>
        <v/>
      </c>
      <c r="P609" s="105" t="str">
        <f t="shared" si="4"/>
        <v/>
      </c>
      <c r="Q609" s="105" t="str">
        <f t="array" ref="Q609">IF(ISBLANK(G609),"",INDEX('label approval artwork'!J:J,MATCH( G609,'label approval artwork'!F:F,0)))</f>
        <v/>
      </c>
      <c r="R609" s="105" t="str">
        <f t="array" ref="R609">IFERROR( IF(P609&lt;&gt;"EMA",INDEX('label approval artwork'!H:H,MATCH(G609,'label approval artwork'!F:F,0),"")),"")</f>
        <v/>
      </c>
      <c r="S609" s="105"/>
      <c r="T609" s="105" t="str">
        <f t="array" ref="T609">IF(ISBLANK(G609),"",INDEX('POR Config List'!I:I,MATCH(G609,'POR Config List'!D:D,0)))</f>
        <v/>
      </c>
      <c r="AA609" s="100" t="str">
        <f t="array" ref="AA609">IF(ISBLANK(G609),"",INDEX('POR Config List'!E:E,MATCH(G609,'POR Config List'!D:D,0)))</f>
        <v/>
      </c>
      <c r="AC609" s="105"/>
      <c r="AD609" s="100"/>
      <c r="AE609" s="100"/>
      <c r="AF609" s="100"/>
      <c r="AG609" s="100"/>
      <c r="AM609" s="102"/>
      <c r="AN609" s="102"/>
      <c r="AR609" s="119"/>
      <c r="AS609" s="103"/>
    </row>
    <row r="610">
      <c r="A610" s="168"/>
      <c r="B610" s="100" t="str">
        <f t="array" ref="B610">IFERROR( INDEX('POR Config List'!A:A,MATCH(G610,'POR Config List'!D:D,0)),"")</f>
        <v/>
      </c>
      <c r="C610" s="101" t="str">
        <f t="array" ref="C610">IFERROR(INDEX('label approval artwork'!E:E,MATCH(G610,'label approval artwork'!F:F,0),""),"")</f>
        <v/>
      </c>
      <c r="D610" s="102" t="str">
        <f t="shared" si="3"/>
        <v/>
      </c>
      <c r="E610" s="100" t="str">
        <f t="array" ref="E610">IF(ISBLANK(G610),"",INDEX('POR Config List'!K:K,MATCH(G610,'POR Config List'!D:D,0)))</f>
        <v/>
      </c>
      <c r="F610" s="100" t="str">
        <f t="array" ref="F610">IF(ISBLANK(G610),"",INDEX('POR Config List'!J:J,MATCH(G610,'POR Config List'!D:D,0)))</f>
        <v/>
      </c>
      <c r="G610" s="168"/>
      <c r="H610" s="104" t="str">
        <f t="array" ref="H610">IF(ISBLANK(G610),"",INDEX('MP SKUs'!G:G,MATCH(G610,'MP SKUs'!A:A,0)))</f>
        <v/>
      </c>
      <c r="I610" s="105" t="str">
        <f t="array" ref="I610">IF(ISBLANK(G610),"",INDEX('POR Config List'!O:O,MATCH(G610,'POR Config List'!D:D,0)))</f>
        <v/>
      </c>
      <c r="J610" s="104" t="str">
        <f t="array" ref="J610">IF(ISBLANK(G610),"",INDEX('POR Config List'!H:H,MATCH(G610,'POR Config List'!D:D,0)))</f>
        <v/>
      </c>
      <c r="K610" s="105" t="str">
        <f t="array" ref="K610">IF(ISBLANK(G610),"",INDEX('POR Config List'!G:G,MATCH(G610,'POR Config List'!D:D,0)))</f>
        <v/>
      </c>
      <c r="L610" s="105"/>
      <c r="M610" s="105" t="str">
        <f t="array" ref="M610">IF(ISBLANK(G610),"",INDEX('label approval artwork'!Q:Q,MATCH( G610,'label approval artwork'!F:F,0)))</f>
        <v/>
      </c>
      <c r="N610" s="169" t="str">
        <f t="shared" si="5"/>
        <v/>
      </c>
      <c r="O610" s="102" t="str">
        <f t="array" ref="O610">IF(ISBLANK(G610),"",INDEX('POR Config List'!C:C,MATCH(G610,'POR Config List'!D:D,0)))</f>
        <v/>
      </c>
      <c r="P610" s="105" t="str">
        <f t="shared" si="4"/>
        <v/>
      </c>
      <c r="Q610" s="105" t="str">
        <f t="array" ref="Q610">IF(ISBLANK(G610),"",INDEX('label approval artwork'!J:J,MATCH( G610,'label approval artwork'!F:F,0)))</f>
        <v/>
      </c>
      <c r="R610" s="105" t="str">
        <f t="array" ref="R610">IFERROR( IF(P610&lt;&gt;"EMA",INDEX('label approval artwork'!H:H,MATCH(G610,'label approval artwork'!F:F,0),"")),"")</f>
        <v/>
      </c>
      <c r="S610" s="105"/>
      <c r="T610" s="105" t="str">
        <f t="array" ref="T610">IF(ISBLANK(G610),"",INDEX('POR Config List'!I:I,MATCH(G610,'POR Config List'!D:D,0)))</f>
        <v/>
      </c>
      <c r="AA610" s="100" t="str">
        <f t="array" ref="AA610">IF(ISBLANK(G610),"",INDEX('POR Config List'!E:E,MATCH(G610,'POR Config List'!D:D,0)))</f>
        <v/>
      </c>
      <c r="AC610" s="105"/>
      <c r="AD610" s="100"/>
      <c r="AE610" s="100"/>
      <c r="AF610" s="100"/>
      <c r="AG610" s="100"/>
      <c r="AM610" s="102"/>
      <c r="AN610" s="102"/>
      <c r="AR610" s="119"/>
      <c r="AS610" s="103"/>
    </row>
    <row r="611">
      <c r="A611" s="168"/>
      <c r="B611" s="100" t="str">
        <f t="array" ref="B611">IFERROR( INDEX('POR Config List'!A:A,MATCH(G611,'POR Config List'!D:D,0)),"")</f>
        <v/>
      </c>
      <c r="C611" s="101" t="str">
        <f t="array" ref="C611">IFERROR(INDEX('label approval artwork'!E:E,MATCH(G611,'label approval artwork'!F:F,0),""),"")</f>
        <v/>
      </c>
      <c r="D611" s="102" t="str">
        <f t="shared" si="3"/>
        <v/>
      </c>
      <c r="E611" s="100" t="str">
        <f t="array" ref="E611">IF(ISBLANK(G611),"",INDEX('POR Config List'!K:K,MATCH(G611,'POR Config List'!D:D,0)))</f>
        <v/>
      </c>
      <c r="F611" s="100" t="str">
        <f t="array" ref="F611">IF(ISBLANK(G611),"",INDEX('POR Config List'!J:J,MATCH(G611,'POR Config List'!D:D,0)))</f>
        <v/>
      </c>
      <c r="G611" s="168"/>
      <c r="H611" s="104" t="str">
        <f t="array" ref="H611">IF(ISBLANK(G611),"",INDEX('MP SKUs'!G:G,MATCH(G611,'MP SKUs'!A:A,0)))</f>
        <v/>
      </c>
      <c r="I611" s="105" t="str">
        <f t="array" ref="I611">IF(ISBLANK(G611),"",INDEX('POR Config List'!O:O,MATCH(G611,'POR Config List'!D:D,0)))</f>
        <v/>
      </c>
      <c r="J611" s="104" t="str">
        <f t="array" ref="J611">IF(ISBLANK(G611),"",INDEX('POR Config List'!H:H,MATCH(G611,'POR Config List'!D:D,0)))</f>
        <v/>
      </c>
      <c r="K611" s="105" t="str">
        <f t="array" ref="K611">IF(ISBLANK(G611),"",INDEX('POR Config List'!G:G,MATCH(G611,'POR Config List'!D:D,0)))</f>
        <v/>
      </c>
      <c r="L611" s="105"/>
      <c r="M611" s="105" t="str">
        <f t="array" ref="M611">IF(ISBLANK(G611),"",INDEX('label approval artwork'!Q:Q,MATCH( G611,'label approval artwork'!F:F,0)))</f>
        <v/>
      </c>
      <c r="N611" s="169" t="str">
        <f t="shared" si="5"/>
        <v/>
      </c>
      <c r="O611" s="102" t="str">
        <f t="array" ref="O611">IF(ISBLANK(G611),"",INDEX('POR Config List'!C:C,MATCH(G611,'POR Config List'!D:D,0)))</f>
        <v/>
      </c>
      <c r="P611" s="105" t="str">
        <f t="shared" si="4"/>
        <v/>
      </c>
      <c r="Q611" s="105" t="str">
        <f t="array" ref="Q611">IF(ISBLANK(G611),"",INDEX('label approval artwork'!J:J,MATCH( G611,'label approval artwork'!F:F,0)))</f>
        <v/>
      </c>
      <c r="R611" s="105" t="str">
        <f t="array" ref="R611">IFERROR( IF(P611&lt;&gt;"EMA",INDEX('label approval artwork'!H:H,MATCH(G611,'label approval artwork'!F:F,0),"")),"")</f>
        <v/>
      </c>
      <c r="S611" s="105"/>
      <c r="T611" s="105" t="str">
        <f t="array" ref="T611">IF(ISBLANK(G611),"",INDEX('POR Config List'!I:I,MATCH(G611,'POR Config List'!D:D,0)))</f>
        <v/>
      </c>
      <c r="AA611" s="100" t="str">
        <f t="array" ref="AA611">IF(ISBLANK(G611),"",INDEX('POR Config List'!E:E,MATCH(G611,'POR Config List'!D:D,0)))</f>
        <v/>
      </c>
      <c r="AC611" s="105"/>
      <c r="AD611" s="100"/>
      <c r="AE611" s="100"/>
      <c r="AF611" s="100"/>
      <c r="AG611" s="100"/>
      <c r="AM611" s="102"/>
      <c r="AN611" s="102"/>
      <c r="AR611" s="119"/>
      <c r="AS611" s="103"/>
    </row>
    <row r="612">
      <c r="A612" s="168"/>
      <c r="B612" s="100" t="str">
        <f t="array" ref="B612">IFERROR( INDEX('POR Config List'!A:A,MATCH(G612,'POR Config List'!D:D,0)),"")</f>
        <v/>
      </c>
      <c r="C612" s="101" t="str">
        <f t="array" ref="C612">IFERROR(INDEX('label approval artwork'!E:E,MATCH(G612,'label approval artwork'!F:F,0),""),"")</f>
        <v/>
      </c>
      <c r="D612" s="102" t="str">
        <f t="shared" si="3"/>
        <v/>
      </c>
      <c r="E612" s="100" t="str">
        <f t="array" ref="E612">IF(ISBLANK(G612),"",INDEX('POR Config List'!K:K,MATCH(G612,'POR Config List'!D:D,0)))</f>
        <v/>
      </c>
      <c r="F612" s="100" t="str">
        <f t="array" ref="F612">IF(ISBLANK(G612),"",INDEX('POR Config List'!J:J,MATCH(G612,'POR Config List'!D:D,0)))</f>
        <v/>
      </c>
      <c r="G612" s="168"/>
      <c r="H612" s="104" t="str">
        <f t="array" ref="H612">IF(ISBLANK(G612),"",INDEX('MP SKUs'!G:G,MATCH(G612,'MP SKUs'!A:A,0)))</f>
        <v/>
      </c>
      <c r="I612" s="105" t="str">
        <f t="array" ref="I612">IF(ISBLANK(G612),"",INDEX('POR Config List'!O:O,MATCH(G612,'POR Config List'!D:D,0)))</f>
        <v/>
      </c>
      <c r="J612" s="104" t="str">
        <f t="array" ref="J612">IF(ISBLANK(G612),"",INDEX('POR Config List'!H:H,MATCH(G612,'POR Config List'!D:D,0)))</f>
        <v/>
      </c>
      <c r="K612" s="105" t="str">
        <f t="array" ref="K612">IF(ISBLANK(G612),"",INDEX('POR Config List'!G:G,MATCH(G612,'POR Config List'!D:D,0)))</f>
        <v/>
      </c>
      <c r="L612" s="105"/>
      <c r="M612" s="105" t="str">
        <f t="array" ref="M612">IF(ISBLANK(G612),"",INDEX('label approval artwork'!Q:Q,MATCH( G612,'label approval artwork'!F:F,0)))</f>
        <v/>
      </c>
      <c r="N612" s="169" t="str">
        <f t="shared" si="5"/>
        <v/>
      </c>
      <c r="O612" s="102" t="str">
        <f t="array" ref="O612">IF(ISBLANK(G612),"",INDEX('POR Config List'!C:C,MATCH(G612,'POR Config List'!D:D,0)))</f>
        <v/>
      </c>
      <c r="P612" s="105" t="str">
        <f t="shared" si="4"/>
        <v/>
      </c>
      <c r="Q612" s="105" t="str">
        <f t="array" ref="Q612">IF(ISBLANK(G612),"",INDEX('label approval artwork'!J:J,MATCH( G612,'label approval artwork'!F:F,0)))</f>
        <v/>
      </c>
      <c r="R612" s="105" t="str">
        <f t="array" ref="R612">IFERROR( IF(P612&lt;&gt;"EMA",INDEX('label approval artwork'!H:H,MATCH(G612,'label approval artwork'!F:F,0),"")),"")</f>
        <v/>
      </c>
      <c r="S612" s="105"/>
      <c r="T612" s="105" t="str">
        <f t="array" ref="T612">IF(ISBLANK(G612),"",INDEX('POR Config List'!I:I,MATCH(G612,'POR Config List'!D:D,0)))</f>
        <v/>
      </c>
      <c r="AA612" s="100" t="str">
        <f t="array" ref="AA612">IF(ISBLANK(G612),"",INDEX('POR Config List'!E:E,MATCH(G612,'POR Config List'!D:D,0)))</f>
        <v/>
      </c>
      <c r="AC612" s="105"/>
      <c r="AD612" s="100"/>
      <c r="AE612" s="100"/>
      <c r="AF612" s="100"/>
      <c r="AG612" s="100"/>
      <c r="AM612" s="102"/>
      <c r="AN612" s="102"/>
      <c r="AR612" s="119"/>
      <c r="AS612" s="103"/>
    </row>
    <row r="613">
      <c r="A613" s="168"/>
      <c r="B613" s="100" t="str">
        <f t="array" ref="B613">IFERROR( INDEX('POR Config List'!A:A,MATCH(G613,'POR Config List'!D:D,0)),"")</f>
        <v/>
      </c>
      <c r="C613" s="101" t="str">
        <f t="array" ref="C613">IFERROR(INDEX('label approval artwork'!E:E,MATCH(G613,'label approval artwork'!F:F,0),""),"")</f>
        <v/>
      </c>
      <c r="D613" s="102" t="str">
        <f t="shared" si="3"/>
        <v/>
      </c>
      <c r="E613" s="100" t="str">
        <f t="array" ref="E613">IF(ISBLANK(G613),"",INDEX('POR Config List'!K:K,MATCH(G613,'POR Config List'!D:D,0)))</f>
        <v/>
      </c>
      <c r="F613" s="100" t="str">
        <f t="array" ref="F613">IF(ISBLANK(G613),"",INDEX('POR Config List'!J:J,MATCH(G613,'POR Config List'!D:D,0)))</f>
        <v/>
      </c>
      <c r="G613" s="168"/>
      <c r="H613" s="104" t="str">
        <f t="array" ref="H613">IF(ISBLANK(G613),"",INDEX('MP SKUs'!G:G,MATCH(G613,'MP SKUs'!A:A,0)))</f>
        <v/>
      </c>
      <c r="I613" s="105" t="str">
        <f t="array" ref="I613">IF(ISBLANK(G613),"",INDEX('POR Config List'!O:O,MATCH(G613,'POR Config List'!D:D,0)))</f>
        <v/>
      </c>
      <c r="J613" s="104" t="str">
        <f t="array" ref="J613">IF(ISBLANK(G613),"",INDEX('POR Config List'!H:H,MATCH(G613,'POR Config List'!D:D,0)))</f>
        <v/>
      </c>
      <c r="K613" s="105" t="str">
        <f t="array" ref="K613">IF(ISBLANK(G613),"",INDEX('POR Config List'!G:G,MATCH(G613,'POR Config List'!D:D,0)))</f>
        <v/>
      </c>
      <c r="L613" s="105"/>
      <c r="M613" s="105" t="str">
        <f t="array" ref="M613">IF(ISBLANK(G613),"",INDEX('label approval artwork'!Q:Q,MATCH( G613,'label approval artwork'!F:F,0)))</f>
        <v/>
      </c>
      <c r="N613" s="169" t="str">
        <f t="shared" si="5"/>
        <v/>
      </c>
      <c r="O613" s="102" t="str">
        <f t="array" ref="O613">IF(ISBLANK(G613),"",INDEX('POR Config List'!C:C,MATCH(G613,'POR Config List'!D:D,0)))</f>
        <v/>
      </c>
      <c r="P613" s="105" t="str">
        <f t="shared" si="4"/>
        <v/>
      </c>
      <c r="Q613" s="105" t="str">
        <f t="array" ref="Q613">IF(ISBLANK(G613),"",INDEX('label approval artwork'!J:J,MATCH( G613,'label approval artwork'!F:F,0)))</f>
        <v/>
      </c>
      <c r="R613" s="105" t="str">
        <f t="array" ref="R613">IFERROR( IF(P613&lt;&gt;"EMA",INDEX('label approval artwork'!H:H,MATCH(G613,'label approval artwork'!F:F,0),"")),"")</f>
        <v/>
      </c>
      <c r="S613" s="105"/>
      <c r="T613" s="105" t="str">
        <f t="array" ref="T613">IF(ISBLANK(G613),"",INDEX('POR Config List'!I:I,MATCH(G613,'POR Config List'!D:D,0)))</f>
        <v/>
      </c>
      <c r="AA613" s="100" t="str">
        <f t="array" ref="AA613">IF(ISBLANK(G613),"",INDEX('POR Config List'!E:E,MATCH(G613,'POR Config List'!D:D,0)))</f>
        <v/>
      </c>
      <c r="AC613" s="105"/>
      <c r="AD613" s="100"/>
      <c r="AE613" s="100"/>
      <c r="AF613" s="100"/>
      <c r="AG613" s="100"/>
      <c r="AM613" s="102"/>
      <c r="AN613" s="102"/>
      <c r="AR613" s="119"/>
      <c r="AS613" s="103"/>
    </row>
    <row r="614">
      <c r="A614" s="168"/>
      <c r="B614" s="100" t="str">
        <f t="array" ref="B614">IFERROR( INDEX('POR Config List'!A:A,MATCH(G614,'POR Config List'!D:D,0)),"")</f>
        <v/>
      </c>
      <c r="C614" s="101" t="str">
        <f t="array" ref="C614">IFERROR(INDEX('label approval artwork'!E:E,MATCH(G614,'label approval artwork'!F:F,0),""),"")</f>
        <v/>
      </c>
      <c r="D614" s="102" t="str">
        <f t="shared" si="3"/>
        <v/>
      </c>
      <c r="E614" s="100" t="str">
        <f t="array" ref="E614">IF(ISBLANK(G614),"",INDEX('POR Config List'!K:K,MATCH(G614,'POR Config List'!D:D,0)))</f>
        <v/>
      </c>
      <c r="F614" s="100" t="str">
        <f t="array" ref="F614">IF(ISBLANK(G614),"",INDEX('POR Config List'!J:J,MATCH(G614,'POR Config List'!D:D,0)))</f>
        <v/>
      </c>
      <c r="G614" s="168"/>
      <c r="H614" s="104" t="str">
        <f t="array" ref="H614">IF(ISBLANK(G614),"",INDEX('MP SKUs'!G:G,MATCH(G614,'MP SKUs'!A:A,0)))</f>
        <v/>
      </c>
      <c r="I614" s="105" t="str">
        <f t="array" ref="I614">IF(ISBLANK(G614),"",INDEX('POR Config List'!O:O,MATCH(G614,'POR Config List'!D:D,0)))</f>
        <v/>
      </c>
      <c r="J614" s="104" t="str">
        <f t="array" ref="J614">IF(ISBLANK(G614),"",INDEX('POR Config List'!H:H,MATCH(G614,'POR Config List'!D:D,0)))</f>
        <v/>
      </c>
      <c r="K614" s="105" t="str">
        <f t="array" ref="K614">IF(ISBLANK(G614),"",INDEX('POR Config List'!G:G,MATCH(G614,'POR Config List'!D:D,0)))</f>
        <v/>
      </c>
      <c r="L614" s="105"/>
      <c r="M614" s="105" t="str">
        <f t="array" ref="M614">IF(ISBLANK(G614),"",INDEX('label approval artwork'!Q:Q,MATCH( G614,'label approval artwork'!F:F,0)))</f>
        <v/>
      </c>
      <c r="N614" s="169" t="str">
        <f t="shared" si="5"/>
        <v/>
      </c>
      <c r="O614" s="102" t="str">
        <f t="array" ref="O614">IF(ISBLANK(G614),"",INDEX('POR Config List'!C:C,MATCH(G614,'POR Config List'!D:D,0)))</f>
        <v/>
      </c>
      <c r="P614" s="105" t="str">
        <f t="shared" si="4"/>
        <v/>
      </c>
      <c r="Q614" s="105" t="str">
        <f t="array" ref="Q614">IF(ISBLANK(G614),"",INDEX('label approval artwork'!J:J,MATCH( G614,'label approval artwork'!F:F,0)))</f>
        <v/>
      </c>
      <c r="R614" s="105" t="str">
        <f t="array" ref="R614">IFERROR( IF(P614&lt;&gt;"EMA",INDEX('label approval artwork'!H:H,MATCH(G614,'label approval artwork'!F:F,0),"")),"")</f>
        <v/>
      </c>
      <c r="S614" s="105"/>
      <c r="T614" s="105" t="str">
        <f t="array" ref="T614">IF(ISBLANK(G614),"",INDEX('POR Config List'!I:I,MATCH(G614,'POR Config List'!D:D,0)))</f>
        <v/>
      </c>
      <c r="AA614" s="100" t="str">
        <f t="array" ref="AA614">IF(ISBLANK(G614),"",INDEX('POR Config List'!E:E,MATCH(G614,'POR Config List'!D:D,0)))</f>
        <v/>
      </c>
      <c r="AC614" s="105"/>
      <c r="AD614" s="100"/>
      <c r="AE614" s="100"/>
      <c r="AF614" s="100"/>
      <c r="AG614" s="100"/>
      <c r="AM614" s="102"/>
      <c r="AN614" s="102"/>
      <c r="AR614" s="119"/>
      <c r="AS614" s="103"/>
    </row>
    <row r="615">
      <c r="A615" s="168"/>
      <c r="B615" s="100" t="str">
        <f t="array" ref="B615">IFERROR( INDEX('POR Config List'!A:A,MATCH(G615,'POR Config List'!D:D,0)),"")</f>
        <v/>
      </c>
      <c r="C615" s="101" t="str">
        <f t="array" ref="C615">IFERROR(INDEX('label approval artwork'!E:E,MATCH(G615,'label approval artwork'!F:F,0),""),"")</f>
        <v/>
      </c>
      <c r="D615" s="102" t="str">
        <f t="shared" si="3"/>
        <v/>
      </c>
      <c r="E615" s="100" t="str">
        <f t="array" ref="E615">IF(ISBLANK(G615),"",INDEX('POR Config List'!K:K,MATCH(G615,'POR Config List'!D:D,0)))</f>
        <v/>
      </c>
      <c r="F615" s="100" t="str">
        <f t="array" ref="F615">IF(ISBLANK(G615),"",INDEX('POR Config List'!J:J,MATCH(G615,'POR Config List'!D:D,0)))</f>
        <v/>
      </c>
      <c r="G615" s="168"/>
      <c r="H615" s="104" t="str">
        <f t="array" ref="H615">IF(ISBLANK(G615),"",INDEX('MP SKUs'!G:G,MATCH(G615,'MP SKUs'!A:A,0)))</f>
        <v/>
      </c>
      <c r="I615" s="105" t="str">
        <f t="array" ref="I615">IF(ISBLANK(G615),"",INDEX('POR Config List'!O:O,MATCH(G615,'POR Config List'!D:D,0)))</f>
        <v/>
      </c>
      <c r="J615" s="104" t="str">
        <f t="array" ref="J615">IF(ISBLANK(G615),"",INDEX('POR Config List'!H:H,MATCH(G615,'POR Config List'!D:D,0)))</f>
        <v/>
      </c>
      <c r="K615" s="105" t="str">
        <f t="array" ref="K615">IF(ISBLANK(G615),"",INDEX('POR Config List'!G:G,MATCH(G615,'POR Config List'!D:D,0)))</f>
        <v/>
      </c>
      <c r="L615" s="105"/>
      <c r="M615" s="105" t="str">
        <f t="array" ref="M615">IF(ISBLANK(G615),"",INDEX('label approval artwork'!Q:Q,MATCH( G615,'label approval artwork'!F:F,0)))</f>
        <v/>
      </c>
      <c r="N615" s="169" t="str">
        <f t="shared" si="5"/>
        <v/>
      </c>
      <c r="O615" s="102" t="str">
        <f t="array" ref="O615">IF(ISBLANK(G615),"",INDEX('POR Config List'!C:C,MATCH(G615,'POR Config List'!D:D,0)))</f>
        <v/>
      </c>
      <c r="P615" s="105" t="str">
        <f t="shared" si="4"/>
        <v/>
      </c>
      <c r="Q615" s="105" t="str">
        <f t="array" ref="Q615">IF(ISBLANK(G615),"",INDEX('label approval artwork'!J:J,MATCH( G615,'label approval artwork'!F:F,0)))</f>
        <v/>
      </c>
      <c r="R615" s="105" t="str">
        <f t="array" ref="R615">IFERROR( IF(P615&lt;&gt;"EMA",INDEX('label approval artwork'!H:H,MATCH(G615,'label approval artwork'!F:F,0),"")),"")</f>
        <v/>
      </c>
      <c r="S615" s="105"/>
      <c r="T615" s="105" t="str">
        <f t="array" ref="T615">IF(ISBLANK(G615),"",INDEX('POR Config List'!I:I,MATCH(G615,'POR Config List'!D:D,0)))</f>
        <v/>
      </c>
      <c r="AA615" s="100" t="str">
        <f t="array" ref="AA615">IF(ISBLANK(G615),"",INDEX('POR Config List'!E:E,MATCH(G615,'POR Config List'!D:D,0)))</f>
        <v/>
      </c>
      <c r="AC615" s="105"/>
      <c r="AD615" s="100"/>
      <c r="AE615" s="100"/>
      <c r="AF615" s="100"/>
      <c r="AG615" s="100"/>
      <c r="AM615" s="102"/>
      <c r="AN615" s="102"/>
      <c r="AR615" s="119"/>
      <c r="AS615" s="103"/>
    </row>
    <row r="616">
      <c r="A616" s="168"/>
      <c r="B616" s="100" t="str">
        <f t="array" ref="B616">IFERROR( INDEX('POR Config List'!A:A,MATCH(G616,'POR Config List'!D:D,0)),"")</f>
        <v/>
      </c>
      <c r="C616" s="101" t="str">
        <f t="array" ref="C616">IFERROR(INDEX('label approval artwork'!E:E,MATCH(G616,'label approval artwork'!F:F,0),""),"")</f>
        <v/>
      </c>
      <c r="D616" s="102" t="str">
        <f t="shared" si="3"/>
        <v/>
      </c>
      <c r="E616" s="100" t="str">
        <f t="array" ref="E616">IF(ISBLANK(G616),"",INDEX('POR Config List'!K:K,MATCH(G616,'POR Config List'!D:D,0)))</f>
        <v/>
      </c>
      <c r="F616" s="100" t="str">
        <f t="array" ref="F616">IF(ISBLANK(G616),"",INDEX('POR Config List'!J:J,MATCH(G616,'POR Config List'!D:D,0)))</f>
        <v/>
      </c>
      <c r="G616" s="168"/>
      <c r="H616" s="104" t="str">
        <f t="array" ref="H616">IF(ISBLANK(G616),"",INDEX('MP SKUs'!G:G,MATCH(G616,'MP SKUs'!A:A,0)))</f>
        <v/>
      </c>
      <c r="I616" s="105" t="str">
        <f t="array" ref="I616">IF(ISBLANK(G616),"",INDEX('POR Config List'!O:O,MATCH(G616,'POR Config List'!D:D,0)))</f>
        <v/>
      </c>
      <c r="J616" s="104" t="str">
        <f t="array" ref="J616">IF(ISBLANK(G616),"",INDEX('POR Config List'!H:H,MATCH(G616,'POR Config List'!D:D,0)))</f>
        <v/>
      </c>
      <c r="K616" s="105" t="str">
        <f t="array" ref="K616">IF(ISBLANK(G616),"",INDEX('POR Config List'!G:G,MATCH(G616,'POR Config List'!D:D,0)))</f>
        <v/>
      </c>
      <c r="L616" s="105"/>
      <c r="M616" s="105" t="str">
        <f t="array" ref="M616">IF(ISBLANK(G616),"",INDEX('label approval artwork'!Q:Q,MATCH( G616,'label approval artwork'!F:F,0)))</f>
        <v/>
      </c>
      <c r="N616" s="169" t="str">
        <f t="shared" si="5"/>
        <v/>
      </c>
      <c r="O616" s="102" t="str">
        <f t="array" ref="O616">IF(ISBLANK(G616),"",INDEX('POR Config List'!C:C,MATCH(G616,'POR Config List'!D:D,0)))</f>
        <v/>
      </c>
      <c r="P616" s="105" t="str">
        <f t="shared" si="4"/>
        <v/>
      </c>
      <c r="Q616" s="105" t="str">
        <f t="array" ref="Q616">IF(ISBLANK(G616),"",INDEX('label approval artwork'!J:J,MATCH( G616,'label approval artwork'!F:F,0)))</f>
        <v/>
      </c>
      <c r="R616" s="105" t="str">
        <f t="array" ref="R616">IFERROR( IF(P616&lt;&gt;"EMA",INDEX('label approval artwork'!H:H,MATCH(G616,'label approval artwork'!F:F,0),"")),"")</f>
        <v/>
      </c>
      <c r="S616" s="105"/>
      <c r="T616" s="105" t="str">
        <f t="array" ref="T616">IF(ISBLANK(G616),"",INDEX('POR Config List'!I:I,MATCH(G616,'POR Config List'!D:D,0)))</f>
        <v/>
      </c>
      <c r="AA616" s="100" t="str">
        <f t="array" ref="AA616">IF(ISBLANK(G616),"",INDEX('POR Config List'!E:E,MATCH(G616,'POR Config List'!D:D,0)))</f>
        <v/>
      </c>
      <c r="AC616" s="105"/>
      <c r="AD616" s="100"/>
      <c r="AE616" s="100"/>
      <c r="AF616" s="100"/>
      <c r="AG616" s="100"/>
      <c r="AM616" s="102"/>
      <c r="AN616" s="102"/>
      <c r="AR616" s="119"/>
      <c r="AS616" s="103"/>
    </row>
    <row r="617">
      <c r="A617" s="168"/>
      <c r="B617" s="100" t="str">
        <f t="array" ref="B617">IFERROR( INDEX('POR Config List'!A:A,MATCH(G617,'POR Config List'!D:D,0)),"")</f>
        <v/>
      </c>
      <c r="C617" s="101" t="str">
        <f t="array" ref="C617">IFERROR(INDEX('label approval artwork'!E:E,MATCH(G617,'label approval artwork'!F:F,0),""),"")</f>
        <v/>
      </c>
      <c r="D617" s="102" t="str">
        <f t="shared" si="3"/>
        <v/>
      </c>
      <c r="E617" s="100" t="str">
        <f t="array" ref="E617">IF(ISBLANK(G617),"",INDEX('POR Config List'!K:K,MATCH(G617,'POR Config List'!D:D,0)))</f>
        <v/>
      </c>
      <c r="F617" s="100" t="str">
        <f t="array" ref="F617">IF(ISBLANK(G617),"",INDEX('POR Config List'!J:J,MATCH(G617,'POR Config List'!D:D,0)))</f>
        <v/>
      </c>
      <c r="G617" s="168"/>
      <c r="H617" s="104" t="str">
        <f t="array" ref="H617">IF(ISBLANK(G617),"",INDEX('MP SKUs'!G:G,MATCH(G617,'MP SKUs'!A:A,0)))</f>
        <v/>
      </c>
      <c r="I617" s="105" t="str">
        <f t="array" ref="I617">IF(ISBLANK(G617),"",INDEX('POR Config List'!O:O,MATCH(G617,'POR Config List'!D:D,0)))</f>
        <v/>
      </c>
      <c r="J617" s="104" t="str">
        <f t="array" ref="J617">IF(ISBLANK(G617),"",INDEX('POR Config List'!H:H,MATCH(G617,'POR Config List'!D:D,0)))</f>
        <v/>
      </c>
      <c r="K617" s="105" t="str">
        <f t="array" ref="K617">IF(ISBLANK(G617),"",INDEX('POR Config List'!G:G,MATCH(G617,'POR Config List'!D:D,0)))</f>
        <v/>
      </c>
      <c r="L617" s="105"/>
      <c r="M617" s="105" t="str">
        <f t="array" ref="M617">IF(ISBLANK(G617),"",INDEX('label approval artwork'!Q:Q,MATCH( G617,'label approval artwork'!F:F,0)))</f>
        <v/>
      </c>
      <c r="N617" s="169" t="str">
        <f t="shared" si="5"/>
        <v/>
      </c>
      <c r="O617" s="102" t="str">
        <f t="array" ref="O617">IF(ISBLANK(G617),"",INDEX('POR Config List'!C:C,MATCH(G617,'POR Config List'!D:D,0)))</f>
        <v/>
      </c>
      <c r="P617" s="105" t="str">
        <f t="shared" si="4"/>
        <v/>
      </c>
      <c r="Q617" s="105" t="str">
        <f t="array" ref="Q617">IF(ISBLANK(G617),"",INDEX('label approval artwork'!J:J,MATCH( G617,'label approval artwork'!F:F,0)))</f>
        <v/>
      </c>
      <c r="R617" s="105" t="str">
        <f t="array" ref="R617">IFERROR( IF(P617&lt;&gt;"EMA",INDEX('label approval artwork'!H:H,MATCH(G617,'label approval artwork'!F:F,0),"")),"")</f>
        <v/>
      </c>
      <c r="S617" s="105"/>
      <c r="T617" s="105" t="str">
        <f t="array" ref="T617">IF(ISBLANK(G617),"",INDEX('POR Config List'!I:I,MATCH(G617,'POR Config List'!D:D,0)))</f>
        <v/>
      </c>
      <c r="AA617" s="100" t="str">
        <f t="array" ref="AA617">IF(ISBLANK(G617),"",INDEX('POR Config List'!E:E,MATCH(G617,'POR Config List'!D:D,0)))</f>
        <v/>
      </c>
      <c r="AC617" s="105"/>
      <c r="AD617" s="100"/>
      <c r="AE617" s="100"/>
      <c r="AF617" s="100"/>
      <c r="AG617" s="100"/>
      <c r="AM617" s="102"/>
      <c r="AN617" s="102"/>
      <c r="AR617" s="119"/>
      <c r="AS617" s="103"/>
    </row>
    <row r="618">
      <c r="A618" s="168"/>
      <c r="B618" s="100" t="str">
        <f t="array" ref="B618">IFERROR( INDEX('POR Config List'!A:A,MATCH(G618,'POR Config List'!D:D,0)),"")</f>
        <v/>
      </c>
      <c r="C618" s="101" t="str">
        <f t="array" ref="C618">IFERROR(INDEX('label approval artwork'!E:E,MATCH(G618,'label approval artwork'!F:F,0),""),"")</f>
        <v/>
      </c>
      <c r="D618" s="102" t="str">
        <f t="shared" si="3"/>
        <v/>
      </c>
      <c r="E618" s="100" t="str">
        <f t="array" ref="E618">IF(ISBLANK(G618),"",INDEX('POR Config List'!K:K,MATCH(G618,'POR Config List'!D:D,0)))</f>
        <v/>
      </c>
      <c r="F618" s="100" t="str">
        <f t="array" ref="F618">IF(ISBLANK(G618),"",INDEX('POR Config List'!J:J,MATCH(G618,'POR Config List'!D:D,0)))</f>
        <v/>
      </c>
      <c r="G618" s="168"/>
      <c r="H618" s="104" t="str">
        <f t="array" ref="H618">IF(ISBLANK(G618),"",INDEX('MP SKUs'!G:G,MATCH(G618,'MP SKUs'!A:A,0)))</f>
        <v/>
      </c>
      <c r="I618" s="105" t="str">
        <f t="array" ref="I618">IF(ISBLANK(G618),"",INDEX('POR Config List'!O:O,MATCH(G618,'POR Config List'!D:D,0)))</f>
        <v/>
      </c>
      <c r="J618" s="104" t="str">
        <f t="array" ref="J618">IF(ISBLANK(G618),"",INDEX('POR Config List'!H:H,MATCH(G618,'POR Config List'!D:D,0)))</f>
        <v/>
      </c>
      <c r="K618" s="105" t="str">
        <f t="array" ref="K618">IF(ISBLANK(G618),"",INDEX('POR Config List'!G:G,MATCH(G618,'POR Config List'!D:D,0)))</f>
        <v/>
      </c>
      <c r="L618" s="105"/>
      <c r="M618" s="105" t="str">
        <f t="array" ref="M618">IF(ISBLANK(G618),"",INDEX('label approval artwork'!Q:Q,MATCH( G618,'label approval artwork'!F:F,0)))</f>
        <v/>
      </c>
      <c r="N618" s="169" t="str">
        <f t="shared" si="5"/>
        <v/>
      </c>
      <c r="O618" s="102" t="str">
        <f t="array" ref="O618">IF(ISBLANK(G618),"",INDEX('POR Config List'!C:C,MATCH(G618,'POR Config List'!D:D,0)))</f>
        <v/>
      </c>
      <c r="P618" s="105" t="str">
        <f t="shared" si="4"/>
        <v/>
      </c>
      <c r="Q618" s="105" t="str">
        <f t="array" ref="Q618">IF(ISBLANK(G618),"",INDEX('label approval artwork'!J:J,MATCH( G618,'label approval artwork'!F:F,0)))</f>
        <v/>
      </c>
      <c r="R618" s="105" t="str">
        <f t="array" ref="R618">IFERROR( IF(P618&lt;&gt;"EMA",INDEX('label approval artwork'!H:H,MATCH(G618,'label approval artwork'!F:F,0),"")),"")</f>
        <v/>
      </c>
      <c r="S618" s="105"/>
      <c r="T618" s="105" t="str">
        <f t="array" ref="T618">IF(ISBLANK(G618),"",INDEX('POR Config List'!I:I,MATCH(G618,'POR Config List'!D:D,0)))</f>
        <v/>
      </c>
      <c r="AA618" s="100" t="str">
        <f t="array" ref="AA618">IF(ISBLANK(G618),"",INDEX('POR Config List'!E:E,MATCH(G618,'POR Config List'!D:D,0)))</f>
        <v/>
      </c>
      <c r="AC618" s="105"/>
      <c r="AD618" s="100"/>
      <c r="AE618" s="100"/>
      <c r="AF618" s="100"/>
      <c r="AG618" s="100"/>
      <c r="AM618" s="102"/>
      <c r="AN618" s="102"/>
      <c r="AR618" s="119"/>
      <c r="AS618" s="103"/>
    </row>
    <row r="619">
      <c r="A619" s="168"/>
      <c r="B619" s="100" t="str">
        <f t="array" ref="B619">IFERROR( INDEX('POR Config List'!A:A,MATCH(G619,'POR Config List'!D:D,0)),"")</f>
        <v/>
      </c>
      <c r="C619" s="101" t="str">
        <f t="array" ref="C619">IFERROR(INDEX('label approval artwork'!E:E,MATCH(G619,'label approval artwork'!F:F,0),""),"")</f>
        <v/>
      </c>
      <c r="D619" s="102" t="str">
        <f t="shared" si="3"/>
        <v/>
      </c>
      <c r="E619" s="100" t="str">
        <f t="array" ref="E619">IF(ISBLANK(G619),"",INDEX('POR Config List'!K:K,MATCH(G619,'POR Config List'!D:D,0)))</f>
        <v/>
      </c>
      <c r="F619" s="100" t="str">
        <f t="array" ref="F619">IF(ISBLANK(G619),"",INDEX('POR Config List'!J:J,MATCH(G619,'POR Config List'!D:D,0)))</f>
        <v/>
      </c>
      <c r="G619" s="168"/>
      <c r="H619" s="104" t="str">
        <f t="array" ref="H619">IF(ISBLANK(G619),"",INDEX('MP SKUs'!G:G,MATCH(G619,'MP SKUs'!A:A,0)))</f>
        <v/>
      </c>
      <c r="I619" s="105" t="str">
        <f t="array" ref="I619">IF(ISBLANK(G619),"",INDEX('POR Config List'!O:O,MATCH(G619,'POR Config List'!D:D,0)))</f>
        <v/>
      </c>
      <c r="J619" s="104" t="str">
        <f t="array" ref="J619">IF(ISBLANK(G619),"",INDEX('POR Config List'!H:H,MATCH(G619,'POR Config List'!D:D,0)))</f>
        <v/>
      </c>
      <c r="K619" s="105" t="str">
        <f t="array" ref="K619">IF(ISBLANK(G619),"",INDEX('POR Config List'!G:G,MATCH(G619,'POR Config List'!D:D,0)))</f>
        <v/>
      </c>
      <c r="L619" s="105"/>
      <c r="M619" s="105" t="str">
        <f t="array" ref="M619">IF(ISBLANK(G619),"",INDEX('label approval artwork'!Q:Q,MATCH( G619,'label approval artwork'!F:F,0)))</f>
        <v/>
      </c>
      <c r="N619" s="169" t="str">
        <f t="shared" si="5"/>
        <v/>
      </c>
      <c r="O619" s="102" t="str">
        <f t="array" ref="O619">IF(ISBLANK(G619),"",INDEX('POR Config List'!C:C,MATCH(G619,'POR Config List'!D:D,0)))</f>
        <v/>
      </c>
      <c r="P619" s="105" t="str">
        <f t="shared" si="4"/>
        <v/>
      </c>
      <c r="Q619" s="105" t="str">
        <f t="array" ref="Q619">IF(ISBLANK(G619),"",INDEX('label approval artwork'!J:J,MATCH( G619,'label approval artwork'!F:F,0)))</f>
        <v/>
      </c>
      <c r="R619" s="105" t="str">
        <f t="array" ref="R619">IFERROR( IF(P619&lt;&gt;"EMA",INDEX('label approval artwork'!H:H,MATCH(G619,'label approval artwork'!F:F,0),"")),"")</f>
        <v/>
      </c>
      <c r="S619" s="105"/>
      <c r="T619" s="105" t="str">
        <f t="array" ref="T619">IF(ISBLANK(G619),"",INDEX('POR Config List'!I:I,MATCH(G619,'POR Config List'!D:D,0)))</f>
        <v/>
      </c>
      <c r="AA619" s="100" t="str">
        <f t="array" ref="AA619">IF(ISBLANK(G619),"",INDEX('POR Config List'!E:E,MATCH(G619,'POR Config List'!D:D,0)))</f>
        <v/>
      </c>
      <c r="AC619" s="105"/>
      <c r="AD619" s="100"/>
      <c r="AE619" s="100"/>
      <c r="AF619" s="100"/>
      <c r="AG619" s="100"/>
      <c r="AM619" s="102"/>
      <c r="AN619" s="102"/>
      <c r="AR619" s="119"/>
      <c r="AS619" s="103"/>
    </row>
    <row r="620">
      <c r="A620" s="168"/>
      <c r="B620" s="100" t="str">
        <f t="array" ref="B620">IFERROR( INDEX('POR Config List'!A:A,MATCH(G620,'POR Config List'!D:D,0)),"")</f>
        <v/>
      </c>
      <c r="C620" s="101" t="str">
        <f t="array" ref="C620">IFERROR(INDEX('label approval artwork'!E:E,MATCH(G620,'label approval artwork'!F:F,0),""),"")</f>
        <v/>
      </c>
      <c r="D620" s="102" t="str">
        <f t="shared" si="3"/>
        <v/>
      </c>
      <c r="E620" s="100" t="str">
        <f t="array" ref="E620">IF(ISBLANK(G620),"",INDEX('POR Config List'!K:K,MATCH(G620,'POR Config List'!D:D,0)))</f>
        <v/>
      </c>
      <c r="F620" s="100" t="str">
        <f t="array" ref="F620">IF(ISBLANK(G620),"",INDEX('POR Config List'!J:J,MATCH(G620,'POR Config List'!D:D,0)))</f>
        <v/>
      </c>
      <c r="G620" s="168"/>
      <c r="H620" s="104" t="str">
        <f t="array" ref="H620">IF(ISBLANK(G620),"",INDEX('MP SKUs'!G:G,MATCH(G620,'MP SKUs'!A:A,0)))</f>
        <v/>
      </c>
      <c r="I620" s="105" t="str">
        <f t="array" ref="I620">IF(ISBLANK(G620),"",INDEX('POR Config List'!O:O,MATCH(G620,'POR Config List'!D:D,0)))</f>
        <v/>
      </c>
      <c r="J620" s="104" t="str">
        <f t="array" ref="J620">IF(ISBLANK(G620),"",INDEX('POR Config List'!H:H,MATCH(G620,'POR Config List'!D:D,0)))</f>
        <v/>
      </c>
      <c r="K620" s="105" t="str">
        <f t="array" ref="K620">IF(ISBLANK(G620),"",INDEX('POR Config List'!G:G,MATCH(G620,'POR Config List'!D:D,0)))</f>
        <v/>
      </c>
      <c r="L620" s="105"/>
      <c r="M620" s="105" t="str">
        <f t="array" ref="M620">IF(ISBLANK(G620),"",INDEX('label approval artwork'!Q:Q,MATCH( G620,'label approval artwork'!F:F,0)))</f>
        <v/>
      </c>
      <c r="N620" s="169" t="str">
        <f t="shared" si="5"/>
        <v/>
      </c>
      <c r="O620" s="102" t="str">
        <f t="array" ref="O620">IF(ISBLANK(G620),"",INDEX('POR Config List'!C:C,MATCH(G620,'POR Config List'!D:D,0)))</f>
        <v/>
      </c>
      <c r="P620" s="105" t="str">
        <f t="shared" si="4"/>
        <v/>
      </c>
      <c r="Q620" s="105" t="str">
        <f t="array" ref="Q620">IF(ISBLANK(G620),"",INDEX('label approval artwork'!J:J,MATCH( G620,'label approval artwork'!F:F,0)))</f>
        <v/>
      </c>
      <c r="R620" s="105" t="str">
        <f t="array" ref="R620">IFERROR( IF(P620&lt;&gt;"EMA",INDEX('label approval artwork'!H:H,MATCH(G620,'label approval artwork'!F:F,0),"")),"")</f>
        <v/>
      </c>
      <c r="S620" s="105"/>
      <c r="T620" s="105" t="str">
        <f t="array" ref="T620">IF(ISBLANK(G620),"",INDEX('POR Config List'!I:I,MATCH(G620,'POR Config List'!D:D,0)))</f>
        <v/>
      </c>
      <c r="AA620" s="100" t="str">
        <f t="array" ref="AA620">IF(ISBLANK(G620),"",INDEX('POR Config List'!E:E,MATCH(G620,'POR Config List'!D:D,0)))</f>
        <v/>
      </c>
      <c r="AC620" s="105"/>
      <c r="AD620" s="100"/>
      <c r="AE620" s="100"/>
      <c r="AF620" s="100"/>
      <c r="AG620" s="100"/>
      <c r="AM620" s="102"/>
      <c r="AN620" s="102"/>
      <c r="AR620" s="119"/>
      <c r="AS620" s="103"/>
    </row>
    <row r="621">
      <c r="A621" s="168"/>
      <c r="B621" s="100" t="str">
        <f t="array" ref="B621">IFERROR( INDEX('POR Config List'!A:A,MATCH(G621,'POR Config List'!D:D,0)),"")</f>
        <v/>
      </c>
      <c r="C621" s="101" t="str">
        <f t="array" ref="C621">IFERROR(INDEX('label approval artwork'!E:E,MATCH(G621,'label approval artwork'!F:F,0),""),"")</f>
        <v/>
      </c>
      <c r="D621" s="102" t="str">
        <f t="shared" si="3"/>
        <v/>
      </c>
      <c r="E621" s="100" t="str">
        <f t="array" ref="E621">IF(ISBLANK(G621),"",INDEX('POR Config List'!K:K,MATCH(G621,'POR Config List'!D:D,0)))</f>
        <v/>
      </c>
      <c r="F621" s="100" t="str">
        <f t="array" ref="F621">IF(ISBLANK(G621),"",INDEX('POR Config List'!J:J,MATCH(G621,'POR Config List'!D:D,0)))</f>
        <v/>
      </c>
      <c r="G621" s="168"/>
      <c r="H621" s="104" t="str">
        <f t="array" ref="H621">IF(ISBLANK(G621),"",INDEX('MP SKUs'!G:G,MATCH(G621,'MP SKUs'!A:A,0)))</f>
        <v/>
      </c>
      <c r="I621" s="105" t="str">
        <f t="array" ref="I621">IF(ISBLANK(G621),"",INDEX('POR Config List'!O:O,MATCH(G621,'POR Config List'!D:D,0)))</f>
        <v/>
      </c>
      <c r="J621" s="104" t="str">
        <f t="array" ref="J621">IF(ISBLANK(G621),"",INDEX('POR Config List'!H:H,MATCH(G621,'POR Config List'!D:D,0)))</f>
        <v/>
      </c>
      <c r="K621" s="105" t="str">
        <f t="array" ref="K621">IF(ISBLANK(G621),"",INDEX('POR Config List'!G:G,MATCH(G621,'POR Config List'!D:D,0)))</f>
        <v/>
      </c>
      <c r="L621" s="105"/>
      <c r="M621" s="105" t="str">
        <f t="array" ref="M621">IF(ISBLANK(G621),"",INDEX('label approval artwork'!Q:Q,MATCH( G621,'label approval artwork'!F:F,0)))</f>
        <v/>
      </c>
      <c r="N621" s="169" t="str">
        <f t="shared" si="5"/>
        <v/>
      </c>
      <c r="O621" s="102" t="str">
        <f t="array" ref="O621">IF(ISBLANK(G621),"",INDEX('POR Config List'!C:C,MATCH(G621,'POR Config List'!D:D,0)))</f>
        <v/>
      </c>
      <c r="P621" s="105" t="str">
        <f t="shared" si="4"/>
        <v/>
      </c>
      <c r="Q621" s="105" t="str">
        <f t="array" ref="Q621">IF(ISBLANK(G621),"",INDEX('label approval artwork'!J:J,MATCH( G621,'label approval artwork'!F:F,0)))</f>
        <v/>
      </c>
      <c r="R621" s="105" t="str">
        <f t="array" ref="R621">IFERROR( IF(P621&lt;&gt;"EMA",INDEX('label approval artwork'!H:H,MATCH(G621,'label approval artwork'!F:F,0),"")),"")</f>
        <v/>
      </c>
      <c r="S621" s="105"/>
      <c r="T621" s="105" t="str">
        <f t="array" ref="T621">IF(ISBLANK(G621),"",INDEX('POR Config List'!I:I,MATCH(G621,'POR Config List'!D:D,0)))</f>
        <v/>
      </c>
      <c r="AA621" s="100" t="str">
        <f t="array" ref="AA621">IF(ISBLANK(G621),"",INDEX('POR Config List'!E:E,MATCH(G621,'POR Config List'!D:D,0)))</f>
        <v/>
      </c>
      <c r="AC621" s="105"/>
      <c r="AD621" s="100"/>
      <c r="AE621" s="100"/>
      <c r="AF621" s="100"/>
      <c r="AG621" s="100"/>
      <c r="AM621" s="102"/>
      <c r="AN621" s="102"/>
      <c r="AR621" s="119"/>
      <c r="AS621" s="103"/>
    </row>
    <row r="622">
      <c r="A622" s="168"/>
      <c r="B622" s="100" t="str">
        <f t="array" ref="B622">IFERROR( INDEX('POR Config List'!A:A,MATCH(G622,'POR Config List'!D:D,0)),"")</f>
        <v/>
      </c>
      <c r="C622" s="101" t="str">
        <f t="array" ref="C622">IFERROR(INDEX('label approval artwork'!E:E,MATCH(G622,'label approval artwork'!F:F,0),""),"")</f>
        <v/>
      </c>
      <c r="D622" s="102" t="str">
        <f t="shared" si="3"/>
        <v/>
      </c>
      <c r="E622" s="100" t="str">
        <f t="array" ref="E622">IF(ISBLANK(G622),"",INDEX('POR Config List'!K:K,MATCH(G622,'POR Config List'!D:D,0)))</f>
        <v/>
      </c>
      <c r="F622" s="100" t="str">
        <f t="array" ref="F622">IF(ISBLANK(G622),"",INDEX('POR Config List'!J:J,MATCH(G622,'POR Config List'!D:D,0)))</f>
        <v/>
      </c>
      <c r="G622" s="168"/>
      <c r="H622" s="104" t="str">
        <f t="array" ref="H622">IF(ISBLANK(G622),"",INDEX('MP SKUs'!G:G,MATCH(G622,'MP SKUs'!A:A,0)))</f>
        <v/>
      </c>
      <c r="I622" s="105" t="str">
        <f t="array" ref="I622">IF(ISBLANK(G622),"",INDEX('POR Config List'!O:O,MATCH(G622,'POR Config List'!D:D,0)))</f>
        <v/>
      </c>
      <c r="J622" s="104" t="str">
        <f t="array" ref="J622">IF(ISBLANK(G622),"",INDEX('POR Config List'!H:H,MATCH(G622,'POR Config List'!D:D,0)))</f>
        <v/>
      </c>
      <c r="K622" s="105" t="str">
        <f t="array" ref="K622">IF(ISBLANK(G622),"",INDEX('POR Config List'!G:G,MATCH(G622,'POR Config List'!D:D,0)))</f>
        <v/>
      </c>
      <c r="L622" s="105"/>
      <c r="M622" s="105" t="str">
        <f t="array" ref="M622">IF(ISBLANK(G622),"",INDEX('label approval artwork'!Q:Q,MATCH( G622,'label approval artwork'!F:F,0)))</f>
        <v/>
      </c>
      <c r="N622" s="169" t="str">
        <f t="shared" si="5"/>
        <v/>
      </c>
      <c r="O622" s="102" t="str">
        <f t="array" ref="O622">IF(ISBLANK(G622),"",INDEX('POR Config List'!C:C,MATCH(G622,'POR Config List'!D:D,0)))</f>
        <v/>
      </c>
      <c r="P622" s="105" t="str">
        <f t="shared" si="4"/>
        <v/>
      </c>
      <c r="Q622" s="105" t="str">
        <f t="array" ref="Q622">IF(ISBLANK(G622),"",INDEX('label approval artwork'!J:J,MATCH( G622,'label approval artwork'!F:F,0)))</f>
        <v/>
      </c>
      <c r="R622" s="105" t="str">
        <f t="array" ref="R622">IFERROR( IF(P622&lt;&gt;"EMA",INDEX('label approval artwork'!H:H,MATCH(G622,'label approval artwork'!F:F,0),"")),"")</f>
        <v/>
      </c>
      <c r="S622" s="105"/>
      <c r="T622" s="105" t="str">
        <f t="array" ref="T622">IF(ISBLANK(G622),"",INDEX('POR Config List'!I:I,MATCH(G622,'POR Config List'!D:D,0)))</f>
        <v/>
      </c>
      <c r="AA622" s="100" t="str">
        <f t="array" ref="AA622">IF(ISBLANK(G622),"",INDEX('POR Config List'!E:E,MATCH(G622,'POR Config List'!D:D,0)))</f>
        <v/>
      </c>
      <c r="AC622" s="105"/>
      <c r="AD622" s="100"/>
      <c r="AE622" s="100"/>
      <c r="AF622" s="100"/>
      <c r="AG622" s="100"/>
      <c r="AM622" s="102"/>
      <c r="AN622" s="102"/>
      <c r="AR622" s="119"/>
      <c r="AS622" s="103"/>
    </row>
    <row r="623">
      <c r="A623" s="168"/>
      <c r="B623" s="100" t="str">
        <f t="array" ref="B623">IFERROR( INDEX('POR Config List'!A:A,MATCH(G623,'POR Config List'!D:D,0)),"")</f>
        <v/>
      </c>
      <c r="C623" s="101" t="str">
        <f t="array" ref="C623">IFERROR(INDEX('label approval artwork'!E:E,MATCH(G623,'label approval artwork'!F:F,0),""),"")</f>
        <v/>
      </c>
      <c r="D623" s="102" t="str">
        <f t="shared" si="3"/>
        <v/>
      </c>
      <c r="E623" s="100" t="str">
        <f t="array" ref="E623">IF(ISBLANK(G623),"",INDEX('POR Config List'!K:K,MATCH(G623,'POR Config List'!D:D,0)))</f>
        <v/>
      </c>
      <c r="F623" s="100" t="str">
        <f t="array" ref="F623">IF(ISBLANK(G623),"",INDEX('POR Config List'!J:J,MATCH(G623,'POR Config List'!D:D,0)))</f>
        <v/>
      </c>
      <c r="G623" s="168"/>
      <c r="H623" s="104" t="str">
        <f t="array" ref="H623">IF(ISBLANK(G623),"",INDEX('MP SKUs'!G:G,MATCH(G623,'MP SKUs'!A:A,0)))</f>
        <v/>
      </c>
      <c r="I623" s="105" t="str">
        <f t="array" ref="I623">IF(ISBLANK(G623),"",INDEX('POR Config List'!O:O,MATCH(G623,'POR Config List'!D:D,0)))</f>
        <v/>
      </c>
      <c r="J623" s="104" t="str">
        <f t="array" ref="J623">IF(ISBLANK(G623),"",INDEX('POR Config List'!H:H,MATCH(G623,'POR Config List'!D:D,0)))</f>
        <v/>
      </c>
      <c r="K623" s="105" t="str">
        <f t="array" ref="K623">IF(ISBLANK(G623),"",INDEX('POR Config List'!G:G,MATCH(G623,'POR Config List'!D:D,0)))</f>
        <v/>
      </c>
      <c r="L623" s="105"/>
      <c r="M623" s="105" t="str">
        <f t="array" ref="M623">IF(ISBLANK(G623),"",INDEX('label approval artwork'!Q:Q,MATCH( G623,'label approval artwork'!F:F,0)))</f>
        <v/>
      </c>
      <c r="N623" s="169" t="str">
        <f t="shared" si="5"/>
        <v/>
      </c>
      <c r="O623" s="102" t="str">
        <f t="array" ref="O623">IF(ISBLANK(G623),"",INDEX('POR Config List'!C:C,MATCH(G623,'POR Config List'!D:D,0)))</f>
        <v/>
      </c>
      <c r="P623" s="105" t="str">
        <f t="shared" si="4"/>
        <v/>
      </c>
      <c r="Q623" s="105" t="str">
        <f t="array" ref="Q623">IF(ISBLANK(G623),"",INDEX('label approval artwork'!J:J,MATCH( G623,'label approval artwork'!F:F,0)))</f>
        <v/>
      </c>
      <c r="R623" s="105" t="str">
        <f t="array" ref="R623">IFERROR( IF(P623&lt;&gt;"EMA",INDEX('label approval artwork'!H:H,MATCH(G623,'label approval artwork'!F:F,0),"")),"")</f>
        <v/>
      </c>
      <c r="S623" s="105"/>
      <c r="T623" s="105" t="str">
        <f t="array" ref="T623">IF(ISBLANK(G623),"",INDEX('POR Config List'!I:I,MATCH(G623,'POR Config List'!D:D,0)))</f>
        <v/>
      </c>
      <c r="AA623" s="100" t="str">
        <f t="array" ref="AA623">IF(ISBLANK(G623),"",INDEX('POR Config List'!E:E,MATCH(G623,'POR Config List'!D:D,0)))</f>
        <v/>
      </c>
      <c r="AC623" s="105"/>
      <c r="AD623" s="100"/>
      <c r="AE623" s="100"/>
      <c r="AF623" s="100"/>
      <c r="AG623" s="100"/>
      <c r="AM623" s="102"/>
      <c r="AN623" s="102"/>
      <c r="AR623" s="119"/>
      <c r="AS623" s="103"/>
    </row>
    <row r="624">
      <c r="A624" s="168"/>
      <c r="B624" s="100" t="str">
        <f t="array" ref="B624">IFERROR( INDEX('POR Config List'!A:A,MATCH(G624,'POR Config List'!D:D,0)),"")</f>
        <v/>
      </c>
      <c r="C624" s="101" t="str">
        <f t="array" ref="C624">IFERROR(INDEX('label approval artwork'!E:E,MATCH(G624,'label approval artwork'!F:F,0),""),"")</f>
        <v/>
      </c>
      <c r="D624" s="102" t="str">
        <f t="shared" si="3"/>
        <v/>
      </c>
      <c r="E624" s="100" t="str">
        <f t="array" ref="E624">IF(ISBLANK(G624),"",INDEX('POR Config List'!K:K,MATCH(G624,'POR Config List'!D:D,0)))</f>
        <v/>
      </c>
      <c r="F624" s="100" t="str">
        <f t="array" ref="F624">IF(ISBLANK(G624),"",INDEX('POR Config List'!J:J,MATCH(G624,'POR Config List'!D:D,0)))</f>
        <v/>
      </c>
      <c r="G624" s="168"/>
      <c r="H624" s="104" t="str">
        <f t="array" ref="H624">IF(ISBLANK(G624),"",INDEX('MP SKUs'!G:G,MATCH(G624,'MP SKUs'!A:A,0)))</f>
        <v/>
      </c>
      <c r="I624" s="105" t="str">
        <f t="array" ref="I624">IF(ISBLANK(G624),"",INDEX('POR Config List'!O:O,MATCH(G624,'POR Config List'!D:D,0)))</f>
        <v/>
      </c>
      <c r="J624" s="104" t="str">
        <f t="array" ref="J624">IF(ISBLANK(G624),"",INDEX('POR Config List'!H:H,MATCH(G624,'POR Config List'!D:D,0)))</f>
        <v/>
      </c>
      <c r="K624" s="105" t="str">
        <f t="array" ref="K624">IF(ISBLANK(G624),"",INDEX('POR Config List'!G:G,MATCH(G624,'POR Config List'!D:D,0)))</f>
        <v/>
      </c>
      <c r="L624" s="105"/>
      <c r="M624" s="105" t="str">
        <f t="array" ref="M624">IF(ISBLANK(G624),"",INDEX('label approval artwork'!Q:Q,MATCH( G624,'label approval artwork'!F:F,0)))</f>
        <v/>
      </c>
      <c r="N624" s="169" t="str">
        <f t="shared" si="5"/>
        <v/>
      </c>
      <c r="O624" s="102" t="str">
        <f t="array" ref="O624">IF(ISBLANK(G624),"",INDEX('POR Config List'!C:C,MATCH(G624,'POR Config List'!D:D,0)))</f>
        <v/>
      </c>
      <c r="P624" s="105" t="str">
        <f t="shared" si="4"/>
        <v/>
      </c>
      <c r="Q624" s="105" t="str">
        <f t="array" ref="Q624">IF(ISBLANK(G624),"",INDEX('label approval artwork'!J:J,MATCH( G624,'label approval artwork'!F:F,0)))</f>
        <v/>
      </c>
      <c r="R624" s="105" t="str">
        <f t="array" ref="R624">IFERROR( IF(P624&lt;&gt;"EMA",INDEX('label approval artwork'!H:H,MATCH(G624,'label approval artwork'!F:F,0),"")),"")</f>
        <v/>
      </c>
      <c r="S624" s="105"/>
      <c r="T624" s="105" t="str">
        <f t="array" ref="T624">IF(ISBLANK(G624),"",INDEX('POR Config List'!I:I,MATCH(G624,'POR Config List'!D:D,0)))</f>
        <v/>
      </c>
      <c r="AA624" s="100" t="str">
        <f t="array" ref="AA624">IF(ISBLANK(G624),"",INDEX('POR Config List'!E:E,MATCH(G624,'POR Config List'!D:D,0)))</f>
        <v/>
      </c>
      <c r="AC624" s="105"/>
      <c r="AD624" s="100"/>
      <c r="AE624" s="100"/>
      <c r="AF624" s="100"/>
      <c r="AG624" s="100"/>
      <c r="AM624" s="102"/>
      <c r="AN624" s="102"/>
      <c r="AR624" s="119"/>
      <c r="AS624" s="103"/>
    </row>
    <row r="625">
      <c r="A625" s="168"/>
      <c r="B625" s="100" t="str">
        <f t="array" ref="B625">IFERROR( INDEX('POR Config List'!A:A,MATCH(G625,'POR Config List'!D:D,0)),"")</f>
        <v/>
      </c>
      <c r="C625" s="101" t="str">
        <f t="array" ref="C625">IFERROR(INDEX('label approval artwork'!E:E,MATCH(G625,'label approval artwork'!F:F,0),""),"")</f>
        <v/>
      </c>
      <c r="D625" s="102" t="str">
        <f t="shared" si="3"/>
        <v/>
      </c>
      <c r="E625" s="100" t="str">
        <f t="array" ref="E625">IF(ISBLANK(G625),"",INDEX('POR Config List'!K:K,MATCH(G625,'POR Config List'!D:D,0)))</f>
        <v/>
      </c>
      <c r="F625" s="100" t="str">
        <f t="array" ref="F625">IF(ISBLANK(G625),"",INDEX('POR Config List'!J:J,MATCH(G625,'POR Config List'!D:D,0)))</f>
        <v/>
      </c>
      <c r="G625" s="168"/>
      <c r="H625" s="104" t="str">
        <f t="array" ref="H625">IF(ISBLANK(G625),"",INDEX('MP SKUs'!G:G,MATCH(G625,'MP SKUs'!A:A,0)))</f>
        <v/>
      </c>
      <c r="I625" s="105" t="str">
        <f t="array" ref="I625">IF(ISBLANK(G625),"",INDEX('POR Config List'!O:O,MATCH(G625,'POR Config List'!D:D,0)))</f>
        <v/>
      </c>
      <c r="J625" s="104" t="str">
        <f t="array" ref="J625">IF(ISBLANK(G625),"",INDEX('POR Config List'!H:H,MATCH(G625,'POR Config List'!D:D,0)))</f>
        <v/>
      </c>
      <c r="K625" s="105" t="str">
        <f t="array" ref="K625">IF(ISBLANK(G625),"",INDEX('POR Config List'!G:G,MATCH(G625,'POR Config List'!D:D,0)))</f>
        <v/>
      </c>
      <c r="L625" s="105"/>
      <c r="M625" s="105" t="str">
        <f t="array" ref="M625">IF(ISBLANK(G625),"",INDEX('label approval artwork'!Q:Q,MATCH( G625,'label approval artwork'!F:F,0)))</f>
        <v/>
      </c>
      <c r="N625" s="169" t="str">
        <f t="shared" si="5"/>
        <v/>
      </c>
      <c r="O625" s="102" t="str">
        <f t="array" ref="O625">IF(ISBLANK(G625),"",INDEX('POR Config List'!C:C,MATCH(G625,'POR Config List'!D:D,0)))</f>
        <v/>
      </c>
      <c r="P625" s="105" t="str">
        <f t="shared" si="4"/>
        <v/>
      </c>
      <c r="Q625" s="105" t="str">
        <f t="array" ref="Q625">IF(ISBLANK(G625),"",INDEX('label approval artwork'!J:J,MATCH( G625,'label approval artwork'!F:F,0)))</f>
        <v/>
      </c>
      <c r="R625" s="105" t="str">
        <f t="array" ref="R625">IFERROR( IF(P625&lt;&gt;"EMA",INDEX('label approval artwork'!H:H,MATCH(G625,'label approval artwork'!F:F,0),"")),"")</f>
        <v/>
      </c>
      <c r="S625" s="105"/>
      <c r="T625" s="105" t="str">
        <f t="array" ref="T625">IF(ISBLANK(G625),"",INDEX('POR Config List'!I:I,MATCH(G625,'POR Config List'!D:D,0)))</f>
        <v/>
      </c>
      <c r="AA625" s="100" t="str">
        <f t="array" ref="AA625">IF(ISBLANK(G625),"",INDEX('POR Config List'!E:E,MATCH(G625,'POR Config List'!D:D,0)))</f>
        <v/>
      </c>
      <c r="AC625" s="105"/>
      <c r="AD625" s="100"/>
      <c r="AE625" s="100"/>
      <c r="AF625" s="100"/>
      <c r="AG625" s="100"/>
      <c r="AM625" s="102"/>
      <c r="AN625" s="102"/>
      <c r="AR625" s="119"/>
      <c r="AS625" s="103"/>
    </row>
    <row r="626">
      <c r="A626" s="168"/>
      <c r="B626" s="100" t="str">
        <f t="array" ref="B626">IFERROR( INDEX('POR Config List'!A:A,MATCH(G626,'POR Config List'!D:D,0)),"")</f>
        <v/>
      </c>
      <c r="C626" s="101" t="str">
        <f t="array" ref="C626">IFERROR(INDEX('label approval artwork'!E:E,MATCH(G626,'label approval artwork'!F:F,0),""),"")</f>
        <v/>
      </c>
      <c r="D626" s="102" t="str">
        <f t="shared" si="3"/>
        <v/>
      </c>
      <c r="E626" s="100" t="str">
        <f t="array" ref="E626">IF(ISBLANK(G626),"",INDEX('POR Config List'!K:K,MATCH(G626,'POR Config List'!D:D,0)))</f>
        <v/>
      </c>
      <c r="F626" s="100" t="str">
        <f t="array" ref="F626">IF(ISBLANK(G626),"",INDEX('POR Config List'!J:J,MATCH(G626,'POR Config List'!D:D,0)))</f>
        <v/>
      </c>
      <c r="G626" s="168"/>
      <c r="H626" s="104" t="str">
        <f t="array" ref="H626">IF(ISBLANK(G626),"",INDEX('MP SKUs'!G:G,MATCH(G626,'MP SKUs'!A:A,0)))</f>
        <v/>
      </c>
      <c r="I626" s="105" t="str">
        <f t="array" ref="I626">IF(ISBLANK(G626),"",INDEX('POR Config List'!O:O,MATCH(G626,'POR Config List'!D:D,0)))</f>
        <v/>
      </c>
      <c r="J626" s="104" t="str">
        <f t="array" ref="J626">IF(ISBLANK(G626),"",INDEX('POR Config List'!H:H,MATCH(G626,'POR Config List'!D:D,0)))</f>
        <v/>
      </c>
      <c r="K626" s="105" t="str">
        <f t="array" ref="K626">IF(ISBLANK(G626),"",INDEX('POR Config List'!G:G,MATCH(G626,'POR Config List'!D:D,0)))</f>
        <v/>
      </c>
      <c r="L626" s="105"/>
      <c r="M626" s="105" t="str">
        <f t="array" ref="M626">IF(ISBLANK(G626),"",INDEX('label approval artwork'!Q:Q,MATCH( G626,'label approval artwork'!F:F,0)))</f>
        <v/>
      </c>
      <c r="N626" s="169" t="str">
        <f t="shared" si="5"/>
        <v/>
      </c>
      <c r="O626" s="102" t="str">
        <f t="array" ref="O626">IF(ISBLANK(G626),"",INDEX('POR Config List'!C:C,MATCH(G626,'POR Config List'!D:D,0)))</f>
        <v/>
      </c>
      <c r="P626" s="105" t="str">
        <f t="shared" si="4"/>
        <v/>
      </c>
      <c r="Q626" s="105" t="str">
        <f t="array" ref="Q626">IF(ISBLANK(G626),"",INDEX('label approval artwork'!J:J,MATCH( G626,'label approval artwork'!F:F,0)))</f>
        <v/>
      </c>
      <c r="R626" s="105" t="str">
        <f t="array" ref="R626">IFERROR( IF(P626&lt;&gt;"EMA",INDEX('label approval artwork'!H:H,MATCH(G626,'label approval artwork'!F:F,0),"")),"")</f>
        <v/>
      </c>
      <c r="S626" s="105"/>
      <c r="T626" s="105" t="str">
        <f t="array" ref="T626">IF(ISBLANK(G626),"",INDEX('POR Config List'!I:I,MATCH(G626,'POR Config List'!D:D,0)))</f>
        <v/>
      </c>
      <c r="AA626" s="100" t="str">
        <f t="array" ref="AA626">IF(ISBLANK(G626),"",INDEX('POR Config List'!E:E,MATCH(G626,'POR Config List'!D:D,0)))</f>
        <v/>
      </c>
      <c r="AC626" s="105"/>
      <c r="AD626" s="100"/>
      <c r="AE626" s="100"/>
      <c r="AF626" s="100"/>
      <c r="AG626" s="100"/>
      <c r="AM626" s="102"/>
      <c r="AN626" s="102"/>
      <c r="AR626" s="119"/>
      <c r="AS626" s="103"/>
    </row>
    <row r="627">
      <c r="A627" s="168"/>
      <c r="B627" s="100" t="str">
        <f t="array" ref="B627">IFERROR( INDEX('POR Config List'!A:A,MATCH(G627,'POR Config List'!D:D,0)),"")</f>
        <v/>
      </c>
      <c r="C627" s="101" t="str">
        <f t="array" ref="C627">IFERROR(INDEX('label approval artwork'!E:E,MATCH(G627,'label approval artwork'!F:F,0),""),"")</f>
        <v/>
      </c>
      <c r="D627" s="102" t="str">
        <f t="shared" si="3"/>
        <v/>
      </c>
      <c r="E627" s="100" t="str">
        <f t="array" ref="E627">IF(ISBLANK(G627),"",INDEX('POR Config List'!K:K,MATCH(G627,'POR Config List'!D:D,0)))</f>
        <v/>
      </c>
      <c r="F627" s="100" t="str">
        <f t="array" ref="F627">IF(ISBLANK(G627),"",INDEX('POR Config List'!J:J,MATCH(G627,'POR Config List'!D:D,0)))</f>
        <v/>
      </c>
      <c r="G627" s="168"/>
      <c r="H627" s="104" t="str">
        <f t="array" ref="H627">IF(ISBLANK(G627),"",INDEX('MP SKUs'!G:G,MATCH(G627,'MP SKUs'!A:A,0)))</f>
        <v/>
      </c>
      <c r="I627" s="105" t="str">
        <f t="array" ref="I627">IF(ISBLANK(G627),"",INDEX('POR Config List'!O:O,MATCH(G627,'POR Config List'!D:D,0)))</f>
        <v/>
      </c>
      <c r="J627" s="104" t="str">
        <f t="array" ref="J627">IF(ISBLANK(G627),"",INDEX('POR Config List'!H:H,MATCH(G627,'POR Config List'!D:D,0)))</f>
        <v/>
      </c>
      <c r="K627" s="105" t="str">
        <f t="array" ref="K627">IF(ISBLANK(G627),"",INDEX('POR Config List'!G:G,MATCH(G627,'POR Config List'!D:D,0)))</f>
        <v/>
      </c>
      <c r="L627" s="105"/>
      <c r="M627" s="105" t="str">
        <f t="array" ref="M627">IF(ISBLANK(G627),"",INDEX('label approval artwork'!Q:Q,MATCH( G627,'label approval artwork'!F:F,0)))</f>
        <v/>
      </c>
      <c r="N627" s="169" t="str">
        <f t="shared" si="5"/>
        <v/>
      </c>
      <c r="O627" s="102" t="str">
        <f t="array" ref="O627">IF(ISBLANK(G627),"",INDEX('POR Config List'!C:C,MATCH(G627,'POR Config List'!D:D,0)))</f>
        <v/>
      </c>
      <c r="P627" s="105" t="str">
        <f t="shared" si="4"/>
        <v/>
      </c>
      <c r="Q627" s="105" t="str">
        <f t="array" ref="Q627">IF(ISBLANK(G627),"",INDEX('label approval artwork'!J:J,MATCH( G627,'label approval artwork'!F:F,0)))</f>
        <v/>
      </c>
      <c r="R627" s="105" t="str">
        <f t="array" ref="R627">IFERROR( IF(P627&lt;&gt;"EMA",INDEX('label approval artwork'!H:H,MATCH(G627,'label approval artwork'!F:F,0),"")),"")</f>
        <v/>
      </c>
      <c r="S627" s="105"/>
      <c r="T627" s="105" t="str">
        <f t="array" ref="T627">IF(ISBLANK(G627),"",INDEX('POR Config List'!I:I,MATCH(G627,'POR Config List'!D:D,0)))</f>
        <v/>
      </c>
      <c r="AA627" s="100" t="str">
        <f t="array" ref="AA627">IF(ISBLANK(G627),"",INDEX('POR Config List'!E:E,MATCH(G627,'POR Config List'!D:D,0)))</f>
        <v/>
      </c>
      <c r="AC627" s="105"/>
      <c r="AD627" s="100"/>
      <c r="AE627" s="100"/>
      <c r="AF627" s="100"/>
      <c r="AG627" s="100"/>
      <c r="AM627" s="102"/>
      <c r="AN627" s="102"/>
      <c r="AR627" s="119"/>
      <c r="AS627" s="103"/>
    </row>
    <row r="628">
      <c r="A628" s="168"/>
      <c r="B628" s="100" t="str">
        <f t="array" ref="B628">IFERROR( INDEX('POR Config List'!A:A,MATCH(G628,'POR Config List'!D:D,0)),"")</f>
        <v/>
      </c>
      <c r="C628" s="101" t="str">
        <f t="array" ref="C628">IFERROR(INDEX('label approval artwork'!E:E,MATCH(G628,'label approval artwork'!F:F,0),""),"")</f>
        <v/>
      </c>
      <c r="D628" s="102" t="str">
        <f t="shared" si="3"/>
        <v/>
      </c>
      <c r="E628" s="100" t="str">
        <f t="array" ref="E628">IF(ISBLANK(G628),"",INDEX('POR Config List'!K:K,MATCH(G628,'POR Config List'!D:D,0)))</f>
        <v/>
      </c>
      <c r="F628" s="100" t="str">
        <f t="array" ref="F628">IF(ISBLANK(G628),"",INDEX('POR Config List'!J:J,MATCH(G628,'POR Config List'!D:D,0)))</f>
        <v/>
      </c>
      <c r="G628" s="168"/>
      <c r="H628" s="104" t="str">
        <f t="array" ref="H628">IF(ISBLANK(G628),"",INDEX('MP SKUs'!G:G,MATCH(G628,'MP SKUs'!A:A,0)))</f>
        <v/>
      </c>
      <c r="I628" s="105" t="str">
        <f t="array" ref="I628">IF(ISBLANK(G628),"",INDEX('POR Config List'!O:O,MATCH(G628,'POR Config List'!D:D,0)))</f>
        <v/>
      </c>
      <c r="J628" s="104" t="str">
        <f t="array" ref="J628">IF(ISBLANK(G628),"",INDEX('POR Config List'!H:H,MATCH(G628,'POR Config List'!D:D,0)))</f>
        <v/>
      </c>
      <c r="K628" s="105" t="str">
        <f t="array" ref="K628">IF(ISBLANK(G628),"",INDEX('POR Config List'!G:G,MATCH(G628,'POR Config List'!D:D,0)))</f>
        <v/>
      </c>
      <c r="L628" s="105"/>
      <c r="M628" s="105" t="str">
        <f t="array" ref="M628">IF(ISBLANK(G628),"",INDEX('label approval artwork'!Q:Q,MATCH( G628,'label approval artwork'!F:F,0)))</f>
        <v/>
      </c>
      <c r="N628" s="169" t="str">
        <f t="shared" si="5"/>
        <v/>
      </c>
      <c r="O628" s="102" t="str">
        <f t="array" ref="O628">IF(ISBLANK(G628),"",INDEX('POR Config List'!C:C,MATCH(G628,'POR Config List'!D:D,0)))</f>
        <v/>
      </c>
      <c r="P628" s="105" t="str">
        <f t="shared" si="4"/>
        <v/>
      </c>
      <c r="Q628" s="105" t="str">
        <f t="array" ref="Q628">IF(ISBLANK(G628),"",INDEX('label approval artwork'!J:J,MATCH( G628,'label approval artwork'!F:F,0)))</f>
        <v/>
      </c>
      <c r="R628" s="105" t="str">
        <f t="array" ref="R628">IFERROR( IF(P628&lt;&gt;"EMA",INDEX('label approval artwork'!H:H,MATCH(G628,'label approval artwork'!F:F,0),"")),"")</f>
        <v/>
      </c>
      <c r="S628" s="105"/>
      <c r="T628" s="105" t="str">
        <f t="array" ref="T628">IF(ISBLANK(G628),"",INDEX('POR Config List'!I:I,MATCH(G628,'POR Config List'!D:D,0)))</f>
        <v/>
      </c>
      <c r="AA628" s="100" t="str">
        <f t="array" ref="AA628">IF(ISBLANK(G628),"",INDEX('POR Config List'!E:E,MATCH(G628,'POR Config List'!D:D,0)))</f>
        <v/>
      </c>
      <c r="AC628" s="105"/>
      <c r="AD628" s="100"/>
      <c r="AE628" s="100"/>
      <c r="AF628" s="100"/>
      <c r="AG628" s="100"/>
      <c r="AM628" s="102"/>
      <c r="AN628" s="102"/>
      <c r="AR628" s="119"/>
      <c r="AS628" s="103"/>
    </row>
    <row r="629">
      <c r="A629" s="168"/>
      <c r="B629" s="100" t="str">
        <f t="array" ref="B629">IFERROR( INDEX('POR Config List'!A:A,MATCH(G629,'POR Config List'!D:D,0)),"")</f>
        <v/>
      </c>
      <c r="C629" s="101" t="str">
        <f t="array" ref="C629">IFERROR(INDEX('label approval artwork'!E:E,MATCH(G629,'label approval artwork'!F:F,0),""),"")</f>
        <v/>
      </c>
      <c r="D629" s="102" t="str">
        <f t="shared" si="3"/>
        <v/>
      </c>
      <c r="E629" s="100" t="str">
        <f t="array" ref="E629">IF(ISBLANK(G629),"",INDEX('POR Config List'!K:K,MATCH(G629,'POR Config List'!D:D,0)))</f>
        <v/>
      </c>
      <c r="F629" s="100" t="str">
        <f t="array" ref="F629">IF(ISBLANK(G629),"",INDEX('POR Config List'!J:J,MATCH(G629,'POR Config List'!D:D,0)))</f>
        <v/>
      </c>
      <c r="G629" s="168"/>
      <c r="H629" s="104" t="str">
        <f t="array" ref="H629">IF(ISBLANK(G629),"",INDEX('MP SKUs'!G:G,MATCH(G629,'MP SKUs'!A:A,0)))</f>
        <v/>
      </c>
      <c r="I629" s="105" t="str">
        <f t="array" ref="I629">IF(ISBLANK(G629),"",INDEX('POR Config List'!O:O,MATCH(G629,'POR Config List'!D:D,0)))</f>
        <v/>
      </c>
      <c r="J629" s="104" t="str">
        <f t="array" ref="J629">IF(ISBLANK(G629),"",INDEX('POR Config List'!H:H,MATCH(G629,'POR Config List'!D:D,0)))</f>
        <v/>
      </c>
      <c r="K629" s="105" t="str">
        <f t="array" ref="K629">IF(ISBLANK(G629),"",INDEX('POR Config List'!G:G,MATCH(G629,'POR Config List'!D:D,0)))</f>
        <v/>
      </c>
      <c r="L629" s="105"/>
      <c r="M629" s="105" t="str">
        <f t="array" ref="M629">IF(ISBLANK(G629),"",INDEX('label approval artwork'!Q:Q,MATCH( G629,'label approval artwork'!F:F,0)))</f>
        <v/>
      </c>
      <c r="N629" s="169" t="str">
        <f t="shared" si="5"/>
        <v/>
      </c>
      <c r="O629" s="102" t="str">
        <f t="array" ref="O629">IF(ISBLANK(G629),"",INDEX('POR Config List'!C:C,MATCH(G629,'POR Config List'!D:D,0)))</f>
        <v/>
      </c>
      <c r="P629" s="105" t="str">
        <f t="shared" si="4"/>
        <v/>
      </c>
      <c r="Q629" s="105" t="str">
        <f t="array" ref="Q629">IF(ISBLANK(G629),"",INDEX('label approval artwork'!J:J,MATCH( G629,'label approval artwork'!F:F,0)))</f>
        <v/>
      </c>
      <c r="R629" s="105" t="str">
        <f t="array" ref="R629">IFERROR( IF(P629&lt;&gt;"EMA",INDEX('label approval artwork'!H:H,MATCH(G629,'label approval artwork'!F:F,0),"")),"")</f>
        <v/>
      </c>
      <c r="S629" s="105"/>
      <c r="T629" s="105" t="str">
        <f t="array" ref="T629">IF(ISBLANK(G629),"",INDEX('POR Config List'!I:I,MATCH(G629,'POR Config List'!D:D,0)))</f>
        <v/>
      </c>
      <c r="AA629" s="100" t="str">
        <f t="array" ref="AA629">IF(ISBLANK(G629),"",INDEX('POR Config List'!E:E,MATCH(G629,'POR Config List'!D:D,0)))</f>
        <v/>
      </c>
      <c r="AC629" s="105"/>
      <c r="AD629" s="100"/>
      <c r="AE629" s="100"/>
      <c r="AF629" s="100"/>
      <c r="AG629" s="100"/>
      <c r="AM629" s="102"/>
      <c r="AN629" s="102"/>
      <c r="AR629" s="119"/>
      <c r="AS629" s="103"/>
    </row>
    <row r="630">
      <c r="A630" s="168"/>
      <c r="B630" s="100" t="str">
        <f t="array" ref="B630">IFERROR( INDEX('POR Config List'!A:A,MATCH(G630,'POR Config List'!D:D,0)),"")</f>
        <v/>
      </c>
      <c r="C630" s="101" t="str">
        <f t="array" ref="C630">IFERROR(INDEX('label approval artwork'!E:E,MATCH(G630,'label approval artwork'!F:F,0),""),"")</f>
        <v/>
      </c>
      <c r="D630" s="102" t="str">
        <f t="shared" si="3"/>
        <v/>
      </c>
      <c r="E630" s="100" t="str">
        <f t="array" ref="E630">IF(ISBLANK(G630),"",INDEX('POR Config List'!K:K,MATCH(G630,'POR Config List'!D:D,0)))</f>
        <v/>
      </c>
      <c r="F630" s="100" t="str">
        <f t="array" ref="F630">IF(ISBLANK(G630),"",INDEX('POR Config List'!J:J,MATCH(G630,'POR Config List'!D:D,0)))</f>
        <v/>
      </c>
      <c r="G630" s="168"/>
      <c r="H630" s="104" t="str">
        <f t="array" ref="H630">IF(ISBLANK(G630),"",INDEX('MP SKUs'!G:G,MATCH(G630,'MP SKUs'!A:A,0)))</f>
        <v/>
      </c>
      <c r="I630" s="105" t="str">
        <f t="array" ref="I630">IF(ISBLANK(G630),"",INDEX('POR Config List'!O:O,MATCH(G630,'POR Config List'!D:D,0)))</f>
        <v/>
      </c>
      <c r="J630" s="104" t="str">
        <f t="array" ref="J630">IF(ISBLANK(G630),"",INDEX('POR Config List'!H:H,MATCH(G630,'POR Config List'!D:D,0)))</f>
        <v/>
      </c>
      <c r="K630" s="105" t="str">
        <f t="array" ref="K630">IF(ISBLANK(G630),"",INDEX('POR Config List'!G:G,MATCH(G630,'POR Config List'!D:D,0)))</f>
        <v/>
      </c>
      <c r="L630" s="105"/>
      <c r="M630" s="105" t="str">
        <f t="array" ref="M630">IF(ISBLANK(G630),"",INDEX('label approval artwork'!Q:Q,MATCH( G630,'label approval artwork'!F:F,0)))</f>
        <v/>
      </c>
      <c r="N630" s="169" t="str">
        <f t="shared" si="5"/>
        <v/>
      </c>
      <c r="O630" s="102" t="str">
        <f t="array" ref="O630">IF(ISBLANK(G630),"",INDEX('POR Config List'!C:C,MATCH(G630,'POR Config List'!D:D,0)))</f>
        <v/>
      </c>
      <c r="P630" s="105" t="str">
        <f t="shared" si="4"/>
        <v/>
      </c>
      <c r="Q630" s="105" t="str">
        <f t="array" ref="Q630">IF(ISBLANK(G630),"",INDEX('label approval artwork'!J:J,MATCH( G630,'label approval artwork'!F:F,0)))</f>
        <v/>
      </c>
      <c r="R630" s="105" t="str">
        <f t="array" ref="R630">IFERROR( IF(P630&lt;&gt;"EMA",INDEX('label approval artwork'!H:H,MATCH(G630,'label approval artwork'!F:F,0),"")),"")</f>
        <v/>
      </c>
      <c r="S630" s="105"/>
      <c r="T630" s="105" t="str">
        <f t="array" ref="T630">IF(ISBLANK(G630),"",INDEX('POR Config List'!I:I,MATCH(G630,'POR Config List'!D:D,0)))</f>
        <v/>
      </c>
      <c r="AA630" s="100" t="str">
        <f t="array" ref="AA630">IF(ISBLANK(G630),"",INDEX('POR Config List'!E:E,MATCH(G630,'POR Config List'!D:D,0)))</f>
        <v/>
      </c>
      <c r="AC630" s="105"/>
      <c r="AD630" s="100"/>
      <c r="AE630" s="100"/>
      <c r="AF630" s="100"/>
      <c r="AG630" s="100"/>
      <c r="AM630" s="102"/>
      <c r="AN630" s="102"/>
      <c r="AR630" s="119"/>
      <c r="AS630" s="103"/>
    </row>
    <row r="631">
      <c r="A631" s="168"/>
      <c r="B631" s="100" t="str">
        <f t="array" ref="B631">IFERROR( INDEX('POR Config List'!A:A,MATCH(G631,'POR Config List'!D:D,0)),"")</f>
        <v/>
      </c>
      <c r="C631" s="101" t="str">
        <f t="array" ref="C631">IFERROR(INDEX('label approval artwork'!E:E,MATCH(G631,'label approval artwork'!F:F,0),""),"")</f>
        <v/>
      </c>
      <c r="D631" s="102" t="str">
        <f t="shared" si="3"/>
        <v/>
      </c>
      <c r="E631" s="100" t="str">
        <f t="array" ref="E631">IF(ISBLANK(G631),"",INDEX('POR Config List'!K:K,MATCH(G631,'POR Config List'!D:D,0)))</f>
        <v/>
      </c>
      <c r="F631" s="100" t="str">
        <f t="array" ref="F631">IF(ISBLANK(G631),"",INDEX('POR Config List'!J:J,MATCH(G631,'POR Config List'!D:D,0)))</f>
        <v/>
      </c>
      <c r="G631" s="168"/>
      <c r="H631" s="104" t="str">
        <f t="array" ref="H631">IF(ISBLANK(G631),"",INDEX('MP SKUs'!G:G,MATCH(G631,'MP SKUs'!A:A,0)))</f>
        <v/>
      </c>
      <c r="I631" s="105" t="str">
        <f t="array" ref="I631">IF(ISBLANK(G631),"",INDEX('POR Config List'!O:O,MATCH(G631,'POR Config List'!D:D,0)))</f>
        <v/>
      </c>
      <c r="J631" s="104" t="str">
        <f t="array" ref="J631">IF(ISBLANK(G631),"",INDEX('POR Config List'!H:H,MATCH(G631,'POR Config List'!D:D,0)))</f>
        <v/>
      </c>
      <c r="K631" s="105" t="str">
        <f t="array" ref="K631">IF(ISBLANK(G631),"",INDEX('POR Config List'!G:G,MATCH(G631,'POR Config List'!D:D,0)))</f>
        <v/>
      </c>
      <c r="L631" s="105"/>
      <c r="M631" s="105" t="str">
        <f t="array" ref="M631">IF(ISBLANK(G631),"",INDEX('label approval artwork'!Q:Q,MATCH( G631,'label approval artwork'!F:F,0)))</f>
        <v/>
      </c>
      <c r="N631" s="169" t="str">
        <f t="shared" si="5"/>
        <v/>
      </c>
      <c r="O631" s="102" t="str">
        <f t="array" ref="O631">IF(ISBLANK(G631),"",INDEX('POR Config List'!C:C,MATCH(G631,'POR Config List'!D:D,0)))</f>
        <v/>
      </c>
      <c r="P631" s="105" t="str">
        <f t="shared" si="4"/>
        <v/>
      </c>
      <c r="Q631" s="105" t="str">
        <f t="array" ref="Q631">IF(ISBLANK(G631),"",INDEX('label approval artwork'!J:J,MATCH( G631,'label approval artwork'!F:F,0)))</f>
        <v/>
      </c>
      <c r="R631" s="105" t="str">
        <f t="array" ref="R631">IFERROR( IF(P631&lt;&gt;"EMA",INDEX('label approval artwork'!H:H,MATCH(G631,'label approval artwork'!F:F,0),"")),"")</f>
        <v/>
      </c>
      <c r="S631" s="105"/>
      <c r="T631" s="105" t="str">
        <f t="array" ref="T631">IF(ISBLANK(G631),"",INDEX('POR Config List'!I:I,MATCH(G631,'POR Config List'!D:D,0)))</f>
        <v/>
      </c>
      <c r="AA631" s="100" t="str">
        <f t="array" ref="AA631">IF(ISBLANK(G631),"",INDEX('POR Config List'!E:E,MATCH(G631,'POR Config List'!D:D,0)))</f>
        <v/>
      </c>
      <c r="AC631" s="105"/>
      <c r="AD631" s="100"/>
      <c r="AE631" s="100"/>
      <c r="AF631" s="100"/>
      <c r="AG631" s="100"/>
      <c r="AM631" s="102"/>
      <c r="AN631" s="102"/>
      <c r="AR631" s="119"/>
      <c r="AS631" s="103"/>
    </row>
    <row r="632">
      <c r="A632" s="168"/>
      <c r="B632" s="100" t="str">
        <f t="array" ref="B632">IFERROR( INDEX('POR Config List'!A:A,MATCH(G632,'POR Config List'!D:D,0)),"")</f>
        <v/>
      </c>
      <c r="C632" s="101" t="str">
        <f t="array" ref="C632">IFERROR(INDEX('label approval artwork'!E:E,MATCH(G632,'label approval artwork'!F:F,0),""),"")</f>
        <v/>
      </c>
      <c r="D632" s="102" t="str">
        <f t="shared" si="3"/>
        <v/>
      </c>
      <c r="E632" s="100" t="str">
        <f t="array" ref="E632">IF(ISBLANK(G632),"",INDEX('POR Config List'!K:K,MATCH(G632,'POR Config List'!D:D,0)))</f>
        <v/>
      </c>
      <c r="F632" s="100" t="str">
        <f t="array" ref="F632">IF(ISBLANK(G632),"",INDEX('POR Config List'!J:J,MATCH(G632,'POR Config List'!D:D,0)))</f>
        <v/>
      </c>
      <c r="G632" s="168"/>
      <c r="H632" s="104" t="str">
        <f t="array" ref="H632">IF(ISBLANK(G632),"",INDEX('MP SKUs'!G:G,MATCH(G632,'MP SKUs'!A:A,0)))</f>
        <v/>
      </c>
      <c r="I632" s="105" t="str">
        <f t="array" ref="I632">IF(ISBLANK(G632),"",INDEX('POR Config List'!O:O,MATCH(G632,'POR Config List'!D:D,0)))</f>
        <v/>
      </c>
      <c r="J632" s="104" t="str">
        <f t="array" ref="J632">IF(ISBLANK(G632),"",INDEX('POR Config List'!H:H,MATCH(G632,'POR Config List'!D:D,0)))</f>
        <v/>
      </c>
      <c r="K632" s="105" t="str">
        <f t="array" ref="K632">IF(ISBLANK(G632),"",INDEX('POR Config List'!G:G,MATCH(G632,'POR Config List'!D:D,0)))</f>
        <v/>
      </c>
      <c r="L632" s="105"/>
      <c r="M632" s="105" t="str">
        <f t="array" ref="M632">IF(ISBLANK(G632),"",INDEX('label approval artwork'!Q:Q,MATCH( G632,'label approval artwork'!F:F,0)))</f>
        <v/>
      </c>
      <c r="N632" s="169" t="str">
        <f t="shared" si="5"/>
        <v/>
      </c>
      <c r="O632" s="102" t="str">
        <f t="array" ref="O632">IF(ISBLANK(G632),"",INDEX('POR Config List'!C:C,MATCH(G632,'POR Config List'!D:D,0)))</f>
        <v/>
      </c>
      <c r="P632" s="105" t="str">
        <f t="shared" si="4"/>
        <v/>
      </c>
      <c r="Q632" s="105" t="str">
        <f t="array" ref="Q632">IF(ISBLANK(G632),"",INDEX('label approval artwork'!J:J,MATCH( G632,'label approval artwork'!F:F,0)))</f>
        <v/>
      </c>
      <c r="R632" s="105" t="str">
        <f t="array" ref="R632">IFERROR( IF(P632&lt;&gt;"EMA",INDEX('label approval artwork'!H:H,MATCH(G632,'label approval artwork'!F:F,0),"")),"")</f>
        <v/>
      </c>
      <c r="S632" s="105"/>
      <c r="T632" s="105" t="str">
        <f t="array" ref="T632">IF(ISBLANK(G632),"",INDEX('POR Config List'!I:I,MATCH(G632,'POR Config List'!D:D,0)))</f>
        <v/>
      </c>
      <c r="AA632" s="100" t="str">
        <f t="array" ref="AA632">IF(ISBLANK(G632),"",INDEX('POR Config List'!E:E,MATCH(G632,'POR Config List'!D:D,0)))</f>
        <v/>
      </c>
      <c r="AC632" s="105"/>
      <c r="AD632" s="100"/>
      <c r="AE632" s="100"/>
      <c r="AF632" s="100"/>
      <c r="AG632" s="100"/>
      <c r="AM632" s="102"/>
      <c r="AN632" s="102"/>
      <c r="AR632" s="119"/>
      <c r="AS632" s="103"/>
    </row>
    <row r="633">
      <c r="A633" s="168"/>
      <c r="B633" s="100" t="str">
        <f t="array" ref="B633">IFERROR( INDEX('POR Config List'!A:A,MATCH(G633,'POR Config List'!D:D,0)),"")</f>
        <v/>
      </c>
      <c r="C633" s="101" t="str">
        <f t="array" ref="C633">IFERROR(INDEX('label approval artwork'!E:E,MATCH(G633,'label approval artwork'!F:F,0),""),"")</f>
        <v/>
      </c>
      <c r="D633" s="102" t="str">
        <f t="shared" si="3"/>
        <v/>
      </c>
      <c r="E633" s="100" t="str">
        <f t="array" ref="E633">IF(ISBLANK(G633),"",INDEX('POR Config List'!K:K,MATCH(G633,'POR Config List'!D:D,0)))</f>
        <v/>
      </c>
      <c r="F633" s="100" t="str">
        <f t="array" ref="F633">IF(ISBLANK(G633),"",INDEX('POR Config List'!J:J,MATCH(G633,'POR Config List'!D:D,0)))</f>
        <v/>
      </c>
      <c r="G633" s="168"/>
      <c r="H633" s="104" t="str">
        <f t="array" ref="H633">IF(ISBLANK(G633),"",INDEX('MP SKUs'!G:G,MATCH(G633,'MP SKUs'!A:A,0)))</f>
        <v/>
      </c>
      <c r="I633" s="105" t="str">
        <f t="array" ref="I633">IF(ISBLANK(G633),"",INDEX('POR Config List'!O:O,MATCH(G633,'POR Config List'!D:D,0)))</f>
        <v/>
      </c>
      <c r="J633" s="104" t="str">
        <f t="array" ref="J633">IF(ISBLANK(G633),"",INDEX('POR Config List'!H:H,MATCH(G633,'POR Config List'!D:D,0)))</f>
        <v/>
      </c>
      <c r="K633" s="105" t="str">
        <f t="array" ref="K633">IF(ISBLANK(G633),"",INDEX('POR Config List'!G:G,MATCH(G633,'POR Config List'!D:D,0)))</f>
        <v/>
      </c>
      <c r="L633" s="105"/>
      <c r="M633" s="105" t="str">
        <f t="array" ref="M633">IF(ISBLANK(G633),"",INDEX('label approval artwork'!Q:Q,MATCH( G633,'label approval artwork'!F:F,0)))</f>
        <v/>
      </c>
      <c r="N633" s="169" t="str">
        <f t="shared" si="5"/>
        <v/>
      </c>
      <c r="O633" s="102" t="str">
        <f t="array" ref="O633">IF(ISBLANK(G633),"",INDEX('POR Config List'!C:C,MATCH(G633,'POR Config List'!D:D,0)))</f>
        <v/>
      </c>
      <c r="P633" s="105" t="str">
        <f t="shared" si="4"/>
        <v/>
      </c>
      <c r="Q633" s="105" t="str">
        <f t="array" ref="Q633">IF(ISBLANK(G633),"",INDEX('label approval artwork'!J:J,MATCH( G633,'label approval artwork'!F:F,0)))</f>
        <v/>
      </c>
      <c r="R633" s="105" t="str">
        <f t="array" ref="R633">IFERROR( IF(P633&lt;&gt;"EMA",INDEX('label approval artwork'!H:H,MATCH(G633,'label approval artwork'!F:F,0),"")),"")</f>
        <v/>
      </c>
      <c r="S633" s="105"/>
      <c r="T633" s="105" t="str">
        <f t="array" ref="T633">IF(ISBLANK(G633),"",INDEX('POR Config List'!I:I,MATCH(G633,'POR Config List'!D:D,0)))</f>
        <v/>
      </c>
      <c r="AA633" s="100" t="str">
        <f t="array" ref="AA633">IF(ISBLANK(G633),"",INDEX('POR Config List'!E:E,MATCH(G633,'POR Config List'!D:D,0)))</f>
        <v/>
      </c>
      <c r="AC633" s="105"/>
      <c r="AD633" s="100"/>
      <c r="AE633" s="100"/>
      <c r="AF633" s="100"/>
      <c r="AG633" s="100"/>
      <c r="AM633" s="102"/>
      <c r="AN633" s="102"/>
      <c r="AR633" s="119"/>
      <c r="AS633" s="103"/>
    </row>
    <row r="634">
      <c r="A634" s="168"/>
      <c r="B634" s="100" t="str">
        <f t="array" ref="B634">IFERROR( INDEX('POR Config List'!A:A,MATCH(G634,'POR Config List'!D:D,0)),"")</f>
        <v/>
      </c>
      <c r="C634" s="101" t="str">
        <f t="array" ref="C634">IFERROR(INDEX('label approval artwork'!E:E,MATCH(G634,'label approval artwork'!F:F,0),""),"")</f>
        <v/>
      </c>
      <c r="D634" s="102" t="str">
        <f t="shared" si="3"/>
        <v/>
      </c>
      <c r="E634" s="100" t="str">
        <f t="array" ref="E634">IF(ISBLANK(G634),"",INDEX('POR Config List'!K:K,MATCH(G634,'POR Config List'!D:D,0)))</f>
        <v/>
      </c>
      <c r="F634" s="100" t="str">
        <f t="array" ref="F634">IF(ISBLANK(G634),"",INDEX('POR Config List'!J:J,MATCH(G634,'POR Config List'!D:D,0)))</f>
        <v/>
      </c>
      <c r="G634" s="168"/>
      <c r="H634" s="104" t="str">
        <f t="array" ref="H634">IF(ISBLANK(G634),"",INDEX('MP SKUs'!G:G,MATCH(G634,'MP SKUs'!A:A,0)))</f>
        <v/>
      </c>
      <c r="I634" s="105" t="str">
        <f t="array" ref="I634">IF(ISBLANK(G634),"",INDEX('POR Config List'!O:O,MATCH(G634,'POR Config List'!D:D,0)))</f>
        <v/>
      </c>
      <c r="J634" s="104" t="str">
        <f t="array" ref="J634">IF(ISBLANK(G634),"",INDEX('POR Config List'!H:H,MATCH(G634,'POR Config List'!D:D,0)))</f>
        <v/>
      </c>
      <c r="K634" s="105" t="str">
        <f t="array" ref="K634">IF(ISBLANK(G634),"",INDEX('POR Config List'!G:G,MATCH(G634,'POR Config List'!D:D,0)))</f>
        <v/>
      </c>
      <c r="L634" s="105"/>
      <c r="M634" s="105" t="str">
        <f t="array" ref="M634">IF(ISBLANK(G634),"",INDEX('label approval artwork'!Q:Q,MATCH( G634,'label approval artwork'!F:F,0)))</f>
        <v/>
      </c>
      <c r="N634" s="169" t="str">
        <f t="shared" si="5"/>
        <v/>
      </c>
      <c r="O634" s="102" t="str">
        <f t="array" ref="O634">IF(ISBLANK(G634),"",INDEX('POR Config List'!C:C,MATCH(G634,'POR Config List'!D:D,0)))</f>
        <v/>
      </c>
      <c r="P634" s="105" t="str">
        <f t="shared" si="4"/>
        <v/>
      </c>
      <c r="Q634" s="105" t="str">
        <f t="array" ref="Q634">IF(ISBLANK(G634),"",INDEX('label approval artwork'!J:J,MATCH( G634,'label approval artwork'!F:F,0)))</f>
        <v/>
      </c>
      <c r="R634" s="105" t="str">
        <f t="array" ref="R634">IFERROR( IF(P634&lt;&gt;"EMA",INDEX('label approval artwork'!H:H,MATCH(G634,'label approval artwork'!F:F,0),"")),"")</f>
        <v/>
      </c>
      <c r="S634" s="105"/>
      <c r="T634" s="105" t="str">
        <f t="array" ref="T634">IF(ISBLANK(G634),"",INDEX('POR Config List'!I:I,MATCH(G634,'POR Config List'!D:D,0)))</f>
        <v/>
      </c>
      <c r="AA634" s="100" t="str">
        <f t="array" ref="AA634">IF(ISBLANK(G634),"",INDEX('POR Config List'!E:E,MATCH(G634,'POR Config List'!D:D,0)))</f>
        <v/>
      </c>
      <c r="AC634" s="105"/>
      <c r="AD634" s="100"/>
      <c r="AE634" s="100"/>
      <c r="AF634" s="100"/>
      <c r="AG634" s="100"/>
      <c r="AM634" s="102"/>
      <c r="AN634" s="102"/>
      <c r="AR634" s="119"/>
      <c r="AS634" s="103"/>
    </row>
    <row r="635">
      <c r="A635" s="168"/>
      <c r="B635" s="100" t="str">
        <f t="array" ref="B635">IFERROR( INDEX('POR Config List'!A:A,MATCH(G635,'POR Config List'!D:D,0)),"")</f>
        <v/>
      </c>
      <c r="C635" s="101" t="str">
        <f t="array" ref="C635">IFERROR(INDEX('label approval artwork'!E:E,MATCH(G635,'label approval artwork'!F:F,0),""),"")</f>
        <v/>
      </c>
      <c r="D635" s="102" t="str">
        <f t="shared" si="3"/>
        <v/>
      </c>
      <c r="E635" s="100" t="str">
        <f t="array" ref="E635">IF(ISBLANK(G635),"",INDEX('POR Config List'!K:K,MATCH(G635,'POR Config List'!D:D,0)))</f>
        <v/>
      </c>
      <c r="F635" s="100" t="str">
        <f t="array" ref="F635">IF(ISBLANK(G635),"",INDEX('POR Config List'!J:J,MATCH(G635,'POR Config List'!D:D,0)))</f>
        <v/>
      </c>
      <c r="G635" s="168"/>
      <c r="H635" s="104" t="str">
        <f t="array" ref="H635">IF(ISBLANK(G635),"",INDEX('MP SKUs'!G:G,MATCH(G635,'MP SKUs'!A:A,0)))</f>
        <v/>
      </c>
      <c r="I635" s="105" t="str">
        <f t="array" ref="I635">IF(ISBLANK(G635),"",INDEX('POR Config List'!O:O,MATCH(G635,'POR Config List'!D:D,0)))</f>
        <v/>
      </c>
      <c r="J635" s="104" t="str">
        <f t="array" ref="J635">IF(ISBLANK(G635),"",INDEX('POR Config List'!H:H,MATCH(G635,'POR Config List'!D:D,0)))</f>
        <v/>
      </c>
      <c r="K635" s="105" t="str">
        <f t="array" ref="K635">IF(ISBLANK(G635),"",INDEX('POR Config List'!G:G,MATCH(G635,'POR Config List'!D:D,0)))</f>
        <v/>
      </c>
      <c r="L635" s="105"/>
      <c r="M635" s="105" t="str">
        <f t="array" ref="M635">IF(ISBLANK(G635),"",INDEX('label approval artwork'!Q:Q,MATCH( G635,'label approval artwork'!F:F,0)))</f>
        <v/>
      </c>
      <c r="N635" s="169" t="str">
        <f t="shared" si="5"/>
        <v/>
      </c>
      <c r="O635" s="102" t="str">
        <f t="array" ref="O635">IF(ISBLANK(G635),"",INDEX('POR Config List'!C:C,MATCH(G635,'POR Config List'!D:D,0)))</f>
        <v/>
      </c>
      <c r="P635" s="105" t="str">
        <f t="shared" si="4"/>
        <v/>
      </c>
      <c r="Q635" s="105" t="str">
        <f t="array" ref="Q635">IF(ISBLANK(G635),"",INDEX('label approval artwork'!J:J,MATCH( G635,'label approval artwork'!F:F,0)))</f>
        <v/>
      </c>
      <c r="R635" s="105" t="str">
        <f t="array" ref="R635">IFERROR( IF(P635&lt;&gt;"EMA",INDEX('label approval artwork'!H:H,MATCH(G635,'label approval artwork'!F:F,0),"")),"")</f>
        <v/>
      </c>
      <c r="S635" s="105"/>
      <c r="T635" s="105" t="str">
        <f t="array" ref="T635">IF(ISBLANK(G635),"",INDEX('POR Config List'!I:I,MATCH(G635,'POR Config List'!D:D,0)))</f>
        <v/>
      </c>
      <c r="AA635" s="100" t="str">
        <f t="array" ref="AA635">IF(ISBLANK(G635),"",INDEX('POR Config List'!E:E,MATCH(G635,'POR Config List'!D:D,0)))</f>
        <v/>
      </c>
      <c r="AC635" s="105"/>
      <c r="AD635" s="100"/>
      <c r="AE635" s="100"/>
      <c r="AF635" s="100"/>
      <c r="AG635" s="100"/>
      <c r="AM635" s="102"/>
      <c r="AN635" s="102"/>
      <c r="AR635" s="119"/>
      <c r="AS635" s="103"/>
    </row>
    <row r="636">
      <c r="A636" s="168"/>
      <c r="B636" s="100" t="str">
        <f t="array" ref="B636">IFERROR( INDEX('POR Config List'!A:A,MATCH(G636,'POR Config List'!D:D,0)),"")</f>
        <v/>
      </c>
      <c r="C636" s="101" t="str">
        <f t="array" ref="C636">IFERROR(INDEX('label approval artwork'!E:E,MATCH(G636,'label approval artwork'!F:F,0),""),"")</f>
        <v/>
      </c>
      <c r="D636" s="102" t="str">
        <f t="shared" si="3"/>
        <v/>
      </c>
      <c r="E636" s="100" t="str">
        <f t="array" ref="E636">IF(ISBLANK(G636),"",INDEX('POR Config List'!K:K,MATCH(G636,'POR Config List'!D:D,0)))</f>
        <v/>
      </c>
      <c r="F636" s="100" t="str">
        <f t="array" ref="F636">IF(ISBLANK(G636),"",INDEX('POR Config List'!J:J,MATCH(G636,'POR Config List'!D:D,0)))</f>
        <v/>
      </c>
      <c r="G636" s="168"/>
      <c r="H636" s="104" t="str">
        <f t="array" ref="H636">IF(ISBLANK(G636),"",INDEX('MP SKUs'!G:G,MATCH(G636,'MP SKUs'!A:A,0)))</f>
        <v/>
      </c>
      <c r="I636" s="105" t="str">
        <f t="array" ref="I636">IF(ISBLANK(G636),"",INDEX('POR Config List'!O:O,MATCH(G636,'POR Config List'!D:D,0)))</f>
        <v/>
      </c>
      <c r="J636" s="104" t="str">
        <f t="array" ref="J636">IF(ISBLANK(G636),"",INDEX('POR Config List'!H:H,MATCH(G636,'POR Config List'!D:D,0)))</f>
        <v/>
      </c>
      <c r="K636" s="105" t="str">
        <f t="array" ref="K636">IF(ISBLANK(G636),"",INDEX('POR Config List'!G:G,MATCH(G636,'POR Config List'!D:D,0)))</f>
        <v/>
      </c>
      <c r="L636" s="105"/>
      <c r="M636" s="105" t="str">
        <f t="array" ref="M636">IF(ISBLANK(G636),"",INDEX('label approval artwork'!Q:Q,MATCH( G636,'label approval artwork'!F:F,0)))</f>
        <v/>
      </c>
      <c r="N636" s="169" t="str">
        <f t="shared" si="5"/>
        <v/>
      </c>
      <c r="O636" s="102" t="str">
        <f t="array" ref="O636">IF(ISBLANK(G636),"",INDEX('POR Config List'!C:C,MATCH(G636,'POR Config List'!D:D,0)))</f>
        <v/>
      </c>
      <c r="P636" s="105" t="str">
        <f t="shared" si="4"/>
        <v/>
      </c>
      <c r="Q636" s="105" t="str">
        <f t="array" ref="Q636">IF(ISBLANK(G636),"",INDEX('label approval artwork'!J:J,MATCH( G636,'label approval artwork'!F:F,0)))</f>
        <v/>
      </c>
      <c r="R636" s="105" t="str">
        <f t="array" ref="R636">IFERROR( IF(P636&lt;&gt;"EMA",INDEX('label approval artwork'!H:H,MATCH(G636,'label approval artwork'!F:F,0),"")),"")</f>
        <v/>
      </c>
      <c r="S636" s="105"/>
      <c r="T636" s="105" t="str">
        <f t="array" ref="T636">IF(ISBLANK(G636),"",INDEX('POR Config List'!I:I,MATCH(G636,'POR Config List'!D:D,0)))</f>
        <v/>
      </c>
      <c r="AA636" s="100" t="str">
        <f t="array" ref="AA636">IF(ISBLANK(G636),"",INDEX('POR Config List'!E:E,MATCH(G636,'POR Config List'!D:D,0)))</f>
        <v/>
      </c>
      <c r="AC636" s="105"/>
      <c r="AD636" s="100"/>
      <c r="AE636" s="100"/>
      <c r="AF636" s="100"/>
      <c r="AG636" s="100"/>
      <c r="AM636" s="102"/>
      <c r="AN636" s="102"/>
      <c r="AR636" s="119"/>
      <c r="AS636" s="103"/>
    </row>
    <row r="637">
      <c r="A637" s="168"/>
      <c r="B637" s="100" t="str">
        <f t="array" ref="B637">IFERROR( INDEX('POR Config List'!A:A,MATCH(G637,'POR Config List'!D:D,0)),"")</f>
        <v/>
      </c>
      <c r="C637" s="101" t="str">
        <f t="array" ref="C637">IFERROR(INDEX('label approval artwork'!E:E,MATCH(G637,'label approval artwork'!F:F,0),""),"")</f>
        <v/>
      </c>
      <c r="D637" s="102" t="str">
        <f t="shared" si="3"/>
        <v/>
      </c>
      <c r="E637" s="100" t="str">
        <f t="array" ref="E637">IF(ISBLANK(G637),"",INDEX('POR Config List'!K:K,MATCH(G637,'POR Config List'!D:D,0)))</f>
        <v/>
      </c>
      <c r="F637" s="100" t="str">
        <f t="array" ref="F637">IF(ISBLANK(G637),"",INDEX('POR Config List'!J:J,MATCH(G637,'POR Config List'!D:D,0)))</f>
        <v/>
      </c>
      <c r="G637" s="168"/>
      <c r="H637" s="104" t="str">
        <f t="array" ref="H637">IF(ISBLANK(G637),"",INDEX('MP SKUs'!G:G,MATCH(G637,'MP SKUs'!A:A,0)))</f>
        <v/>
      </c>
      <c r="I637" s="105" t="str">
        <f t="array" ref="I637">IF(ISBLANK(G637),"",INDEX('POR Config List'!O:O,MATCH(G637,'POR Config List'!D:D,0)))</f>
        <v/>
      </c>
      <c r="J637" s="104" t="str">
        <f t="array" ref="J637">IF(ISBLANK(G637),"",INDEX('POR Config List'!H:H,MATCH(G637,'POR Config List'!D:D,0)))</f>
        <v/>
      </c>
      <c r="K637" s="105" t="str">
        <f t="array" ref="K637">IF(ISBLANK(G637),"",INDEX('POR Config List'!G:G,MATCH(G637,'POR Config List'!D:D,0)))</f>
        <v/>
      </c>
      <c r="L637" s="105"/>
      <c r="M637" s="105" t="str">
        <f t="array" ref="M637">IF(ISBLANK(G637),"",INDEX('label approval artwork'!Q:Q,MATCH( G637,'label approval artwork'!F:F,0)))</f>
        <v/>
      </c>
      <c r="N637" s="169" t="str">
        <f t="shared" si="5"/>
        <v/>
      </c>
      <c r="O637" s="102" t="str">
        <f t="array" ref="O637">IF(ISBLANK(G637),"",INDEX('POR Config List'!C:C,MATCH(G637,'POR Config List'!D:D,0)))</f>
        <v/>
      </c>
      <c r="P637" s="105" t="str">
        <f t="shared" si="4"/>
        <v/>
      </c>
      <c r="Q637" s="105" t="str">
        <f t="array" ref="Q637">IF(ISBLANK(G637),"",INDEX('label approval artwork'!J:J,MATCH( G637,'label approval artwork'!F:F,0)))</f>
        <v/>
      </c>
      <c r="R637" s="105" t="str">
        <f t="array" ref="R637">IFERROR( IF(P637&lt;&gt;"EMA",INDEX('label approval artwork'!H:H,MATCH(G637,'label approval artwork'!F:F,0),"")),"")</f>
        <v/>
      </c>
      <c r="S637" s="105"/>
      <c r="T637" s="105" t="str">
        <f t="array" ref="T637">IF(ISBLANK(G637),"",INDEX('POR Config List'!I:I,MATCH(G637,'POR Config List'!D:D,0)))</f>
        <v/>
      </c>
      <c r="AA637" s="100" t="str">
        <f t="array" ref="AA637">IF(ISBLANK(G637),"",INDEX('POR Config List'!E:E,MATCH(G637,'POR Config List'!D:D,0)))</f>
        <v/>
      </c>
      <c r="AC637" s="105"/>
      <c r="AD637" s="100"/>
      <c r="AE637" s="100"/>
      <c r="AF637" s="100"/>
      <c r="AG637" s="100"/>
      <c r="AM637" s="102"/>
      <c r="AN637" s="102"/>
      <c r="AR637" s="119"/>
      <c r="AS637" s="103"/>
    </row>
    <row r="638">
      <c r="A638" s="168"/>
      <c r="B638" s="100" t="str">
        <f t="array" ref="B638">IFERROR( INDEX('POR Config List'!A:A,MATCH(G638,'POR Config List'!D:D,0)),"")</f>
        <v/>
      </c>
      <c r="C638" s="101" t="str">
        <f t="array" ref="C638">IFERROR(INDEX('label approval artwork'!E:E,MATCH(G638,'label approval artwork'!F:F,0),""),"")</f>
        <v/>
      </c>
      <c r="D638" s="102" t="str">
        <f t="shared" si="3"/>
        <v/>
      </c>
      <c r="E638" s="100" t="str">
        <f t="array" ref="E638">IF(ISBLANK(G638),"",INDEX('POR Config List'!K:K,MATCH(G638,'POR Config List'!D:D,0)))</f>
        <v/>
      </c>
      <c r="F638" s="100" t="str">
        <f t="array" ref="F638">IF(ISBLANK(G638),"",INDEX('POR Config List'!J:J,MATCH(G638,'POR Config List'!D:D,0)))</f>
        <v/>
      </c>
      <c r="G638" s="168"/>
      <c r="H638" s="104" t="str">
        <f t="array" ref="H638">IF(ISBLANK(G638),"",INDEX('MP SKUs'!G:G,MATCH(G638,'MP SKUs'!A:A,0)))</f>
        <v/>
      </c>
      <c r="I638" s="105" t="str">
        <f t="array" ref="I638">IF(ISBLANK(G638),"",INDEX('POR Config List'!O:O,MATCH(G638,'POR Config List'!D:D,0)))</f>
        <v/>
      </c>
      <c r="J638" s="104" t="str">
        <f t="array" ref="J638">IF(ISBLANK(G638),"",INDEX('POR Config List'!H:H,MATCH(G638,'POR Config List'!D:D,0)))</f>
        <v/>
      </c>
      <c r="K638" s="105" t="str">
        <f t="array" ref="K638">IF(ISBLANK(G638),"",INDEX('POR Config List'!G:G,MATCH(G638,'POR Config List'!D:D,0)))</f>
        <v/>
      </c>
      <c r="L638" s="105"/>
      <c r="M638" s="105" t="str">
        <f t="array" ref="M638">IF(ISBLANK(G638),"",INDEX('label approval artwork'!Q:Q,MATCH( G638,'label approval artwork'!F:F,0)))</f>
        <v/>
      </c>
      <c r="N638" s="169" t="str">
        <f t="shared" si="5"/>
        <v/>
      </c>
      <c r="O638" s="102" t="str">
        <f t="array" ref="O638">IF(ISBLANK(G638),"",INDEX('POR Config List'!C:C,MATCH(G638,'POR Config List'!D:D,0)))</f>
        <v/>
      </c>
      <c r="P638" s="105" t="str">
        <f t="shared" si="4"/>
        <v/>
      </c>
      <c r="Q638" s="105" t="str">
        <f t="array" ref="Q638">IF(ISBLANK(G638),"",INDEX('label approval artwork'!J:J,MATCH( G638,'label approval artwork'!F:F,0)))</f>
        <v/>
      </c>
      <c r="R638" s="105" t="str">
        <f t="array" ref="R638">IFERROR( IF(P638&lt;&gt;"EMA",INDEX('label approval artwork'!H:H,MATCH(G638,'label approval artwork'!F:F,0),"")),"")</f>
        <v/>
      </c>
      <c r="S638" s="105"/>
      <c r="T638" s="105" t="str">
        <f t="array" ref="T638">IF(ISBLANK(G638),"",INDEX('POR Config List'!I:I,MATCH(G638,'POR Config List'!D:D,0)))</f>
        <v/>
      </c>
      <c r="AA638" s="100" t="str">
        <f t="array" ref="AA638">IF(ISBLANK(G638),"",INDEX('POR Config List'!E:E,MATCH(G638,'POR Config List'!D:D,0)))</f>
        <v/>
      </c>
      <c r="AC638" s="105"/>
      <c r="AD638" s="100"/>
      <c r="AE638" s="100"/>
      <c r="AF638" s="100"/>
      <c r="AG638" s="100"/>
      <c r="AM638" s="102"/>
      <c r="AN638" s="102"/>
      <c r="AR638" s="119"/>
      <c r="AS638" s="103"/>
    </row>
    <row r="639">
      <c r="A639" s="168"/>
      <c r="B639" s="100" t="str">
        <f t="array" ref="B639">IFERROR( INDEX('POR Config List'!A:A,MATCH(G639,'POR Config List'!D:D,0)),"")</f>
        <v/>
      </c>
      <c r="C639" s="101" t="str">
        <f t="array" ref="C639">IFERROR(INDEX('label approval artwork'!E:E,MATCH(G639,'label approval artwork'!F:F,0),""),"")</f>
        <v/>
      </c>
      <c r="D639" s="102" t="str">
        <f t="shared" si="3"/>
        <v/>
      </c>
      <c r="E639" s="100" t="str">
        <f t="array" ref="E639">IF(ISBLANK(G639),"",INDEX('POR Config List'!K:K,MATCH(G639,'POR Config List'!D:D,0)))</f>
        <v/>
      </c>
      <c r="F639" s="100" t="str">
        <f t="array" ref="F639">IF(ISBLANK(G639),"",INDEX('POR Config List'!J:J,MATCH(G639,'POR Config List'!D:D,0)))</f>
        <v/>
      </c>
      <c r="G639" s="168"/>
      <c r="H639" s="104" t="str">
        <f t="array" ref="H639">IF(ISBLANK(G639),"",INDEX('MP SKUs'!G:G,MATCH(G639,'MP SKUs'!A:A,0)))</f>
        <v/>
      </c>
      <c r="I639" s="105" t="str">
        <f t="array" ref="I639">IF(ISBLANK(G639),"",INDEX('POR Config List'!O:O,MATCH(G639,'POR Config List'!D:D,0)))</f>
        <v/>
      </c>
      <c r="J639" s="104" t="str">
        <f t="array" ref="J639">IF(ISBLANK(G639),"",INDEX('POR Config List'!H:H,MATCH(G639,'POR Config List'!D:D,0)))</f>
        <v/>
      </c>
      <c r="K639" s="105" t="str">
        <f t="array" ref="K639">IF(ISBLANK(G639),"",INDEX('POR Config List'!G:G,MATCH(G639,'POR Config List'!D:D,0)))</f>
        <v/>
      </c>
      <c r="L639" s="105"/>
      <c r="M639" s="105" t="str">
        <f t="array" ref="M639">IF(ISBLANK(G639),"",INDEX('label approval artwork'!Q:Q,MATCH( G639,'label approval artwork'!F:F,0)))</f>
        <v/>
      </c>
      <c r="N639" s="169" t="str">
        <f t="shared" si="5"/>
        <v/>
      </c>
      <c r="O639" s="102" t="str">
        <f t="array" ref="O639">IF(ISBLANK(G639),"",INDEX('POR Config List'!C:C,MATCH(G639,'POR Config List'!D:D,0)))</f>
        <v/>
      </c>
      <c r="P639" s="105" t="str">
        <f t="shared" si="4"/>
        <v/>
      </c>
      <c r="Q639" s="105" t="str">
        <f t="array" ref="Q639">IF(ISBLANK(G639),"",INDEX('label approval artwork'!J:J,MATCH( G639,'label approval artwork'!F:F,0)))</f>
        <v/>
      </c>
      <c r="R639" s="105" t="str">
        <f t="array" ref="R639">IFERROR( IF(P639&lt;&gt;"EMA",INDEX('label approval artwork'!H:H,MATCH(G639,'label approval artwork'!F:F,0),"")),"")</f>
        <v/>
      </c>
      <c r="S639" s="105"/>
      <c r="T639" s="105" t="str">
        <f t="array" ref="T639">IF(ISBLANK(G639),"",INDEX('POR Config List'!I:I,MATCH(G639,'POR Config List'!D:D,0)))</f>
        <v/>
      </c>
      <c r="AA639" s="100" t="str">
        <f t="array" ref="AA639">IF(ISBLANK(G639),"",INDEX('POR Config List'!E:E,MATCH(G639,'POR Config List'!D:D,0)))</f>
        <v/>
      </c>
      <c r="AC639" s="105"/>
      <c r="AD639" s="100"/>
      <c r="AE639" s="100"/>
      <c r="AF639" s="100"/>
      <c r="AG639" s="100"/>
      <c r="AM639" s="102"/>
      <c r="AN639" s="102"/>
      <c r="AR639" s="119"/>
      <c r="AS639" s="103"/>
    </row>
    <row r="640">
      <c r="A640" s="168"/>
      <c r="B640" s="100" t="str">
        <f t="array" ref="B640">IFERROR( INDEX('POR Config List'!A:A,MATCH(G640,'POR Config List'!D:D,0)),"")</f>
        <v/>
      </c>
      <c r="C640" s="101" t="str">
        <f t="array" ref="C640">IFERROR(INDEX('label approval artwork'!E:E,MATCH(G640,'label approval artwork'!F:F,0),""),"")</f>
        <v/>
      </c>
      <c r="D640" s="102" t="str">
        <f t="shared" si="3"/>
        <v/>
      </c>
      <c r="E640" s="100" t="str">
        <f t="array" ref="E640">IF(ISBLANK(G640),"",INDEX('POR Config List'!K:K,MATCH(G640,'POR Config List'!D:D,0)))</f>
        <v/>
      </c>
      <c r="F640" s="100" t="str">
        <f t="array" ref="F640">IF(ISBLANK(G640),"",INDEX('POR Config List'!J:J,MATCH(G640,'POR Config List'!D:D,0)))</f>
        <v/>
      </c>
      <c r="G640" s="168"/>
      <c r="H640" s="104" t="str">
        <f t="array" ref="H640">IF(ISBLANK(G640),"",INDEX('MP SKUs'!G:G,MATCH(G640,'MP SKUs'!A:A,0)))</f>
        <v/>
      </c>
      <c r="I640" s="105" t="str">
        <f t="array" ref="I640">IF(ISBLANK(G640),"",INDEX('POR Config List'!O:O,MATCH(G640,'POR Config List'!D:D,0)))</f>
        <v/>
      </c>
      <c r="J640" s="104" t="str">
        <f t="array" ref="J640">IF(ISBLANK(G640),"",INDEX('POR Config List'!H:H,MATCH(G640,'POR Config List'!D:D,0)))</f>
        <v/>
      </c>
      <c r="K640" s="105" t="str">
        <f t="array" ref="K640">IF(ISBLANK(G640),"",INDEX('POR Config List'!G:G,MATCH(G640,'POR Config List'!D:D,0)))</f>
        <v/>
      </c>
      <c r="L640" s="105"/>
      <c r="M640" s="105" t="str">
        <f t="array" ref="M640">IF(ISBLANK(G640),"",INDEX('label approval artwork'!Q:Q,MATCH( G640,'label approval artwork'!F:F,0)))</f>
        <v/>
      </c>
      <c r="N640" s="169" t="str">
        <f t="shared" si="5"/>
        <v/>
      </c>
      <c r="O640" s="102" t="str">
        <f t="array" ref="O640">IF(ISBLANK(G640),"",INDEX('POR Config List'!C:C,MATCH(G640,'POR Config List'!D:D,0)))</f>
        <v/>
      </c>
      <c r="P640" s="105" t="str">
        <f t="shared" si="4"/>
        <v/>
      </c>
      <c r="Q640" s="105" t="str">
        <f t="array" ref="Q640">IF(ISBLANK(G640),"",INDEX('label approval artwork'!J:J,MATCH( G640,'label approval artwork'!F:F,0)))</f>
        <v/>
      </c>
      <c r="R640" s="105" t="str">
        <f t="array" ref="R640">IFERROR( IF(P640&lt;&gt;"EMA",INDEX('label approval artwork'!H:H,MATCH(G640,'label approval artwork'!F:F,0),"")),"")</f>
        <v/>
      </c>
      <c r="S640" s="105"/>
      <c r="T640" s="105" t="str">
        <f t="array" ref="T640">IF(ISBLANK(G640),"",INDEX('POR Config List'!I:I,MATCH(G640,'POR Config List'!D:D,0)))</f>
        <v/>
      </c>
      <c r="AA640" s="100" t="str">
        <f t="array" ref="AA640">IF(ISBLANK(G640),"",INDEX('POR Config List'!E:E,MATCH(G640,'POR Config List'!D:D,0)))</f>
        <v/>
      </c>
      <c r="AC640" s="105"/>
      <c r="AD640" s="100"/>
      <c r="AE640" s="100"/>
      <c r="AF640" s="100"/>
      <c r="AG640" s="100"/>
      <c r="AM640" s="102"/>
      <c r="AN640" s="102"/>
      <c r="AR640" s="119"/>
      <c r="AS640" s="103"/>
    </row>
    <row r="641">
      <c r="A641" s="168"/>
      <c r="B641" s="100" t="str">
        <f t="array" ref="B641">IFERROR( INDEX('POR Config List'!A:A,MATCH(G641,'POR Config List'!D:D,0)),"")</f>
        <v/>
      </c>
      <c r="C641" s="101" t="str">
        <f t="array" ref="C641">IFERROR(INDEX('label approval artwork'!E:E,MATCH(G641,'label approval artwork'!F:F,0),""),"")</f>
        <v/>
      </c>
      <c r="D641" s="102" t="str">
        <f t="shared" si="3"/>
        <v/>
      </c>
      <c r="E641" s="100" t="str">
        <f t="array" ref="E641">IF(ISBLANK(G641),"",INDEX('POR Config List'!K:K,MATCH(G641,'POR Config List'!D:D,0)))</f>
        <v/>
      </c>
      <c r="F641" s="100" t="str">
        <f t="array" ref="F641">IF(ISBLANK(G641),"",INDEX('POR Config List'!J:J,MATCH(G641,'POR Config List'!D:D,0)))</f>
        <v/>
      </c>
      <c r="G641" s="168"/>
      <c r="H641" s="104" t="str">
        <f t="array" ref="H641">IF(ISBLANK(G641),"",INDEX('MP SKUs'!G:G,MATCH(G641,'MP SKUs'!A:A,0)))</f>
        <v/>
      </c>
      <c r="I641" s="105" t="str">
        <f t="array" ref="I641">IF(ISBLANK(G641),"",INDEX('POR Config List'!O:O,MATCH(G641,'POR Config List'!D:D,0)))</f>
        <v/>
      </c>
      <c r="J641" s="104" t="str">
        <f t="array" ref="J641">IF(ISBLANK(G641),"",INDEX('POR Config List'!H:H,MATCH(G641,'POR Config List'!D:D,0)))</f>
        <v/>
      </c>
      <c r="K641" s="105" t="str">
        <f t="array" ref="K641">IF(ISBLANK(G641),"",INDEX('POR Config List'!G:G,MATCH(G641,'POR Config List'!D:D,0)))</f>
        <v/>
      </c>
      <c r="L641" s="105"/>
      <c r="M641" s="105" t="str">
        <f t="array" ref="M641">IF(ISBLANK(G641),"",INDEX('label approval artwork'!Q:Q,MATCH( G641,'label approval artwork'!F:F,0)))</f>
        <v/>
      </c>
      <c r="N641" s="169" t="str">
        <f t="shared" si="5"/>
        <v/>
      </c>
      <c r="O641" s="102" t="str">
        <f t="array" ref="O641">IF(ISBLANK(G641),"",INDEX('POR Config List'!C:C,MATCH(G641,'POR Config List'!D:D,0)))</f>
        <v/>
      </c>
      <c r="P641" s="105" t="str">
        <f t="shared" si="4"/>
        <v/>
      </c>
      <c r="Q641" s="105" t="str">
        <f t="array" ref="Q641">IF(ISBLANK(G641),"",INDEX('label approval artwork'!J:J,MATCH( G641,'label approval artwork'!F:F,0)))</f>
        <v/>
      </c>
      <c r="R641" s="105" t="str">
        <f t="array" ref="R641">IFERROR( IF(P641&lt;&gt;"EMA",INDEX('label approval artwork'!H:H,MATCH(G641,'label approval artwork'!F:F,0),"")),"")</f>
        <v/>
      </c>
      <c r="S641" s="105"/>
      <c r="T641" s="105" t="str">
        <f t="array" ref="T641">IF(ISBLANK(G641),"",INDEX('POR Config List'!I:I,MATCH(G641,'POR Config List'!D:D,0)))</f>
        <v/>
      </c>
      <c r="AA641" s="100" t="str">
        <f t="array" ref="AA641">IF(ISBLANK(G641),"",INDEX('POR Config List'!E:E,MATCH(G641,'POR Config List'!D:D,0)))</f>
        <v/>
      </c>
      <c r="AC641" s="105"/>
      <c r="AD641" s="100"/>
      <c r="AE641" s="100"/>
      <c r="AF641" s="100"/>
      <c r="AG641" s="100"/>
      <c r="AM641" s="102"/>
      <c r="AN641" s="102"/>
      <c r="AR641" s="119"/>
      <c r="AS641" s="103"/>
    </row>
    <row r="642">
      <c r="A642" s="168"/>
      <c r="B642" s="100" t="str">
        <f t="array" ref="B642">IFERROR( INDEX('POR Config List'!A:A,MATCH(G642,'POR Config List'!D:D,0)),"")</f>
        <v/>
      </c>
      <c r="C642" s="101" t="str">
        <f t="array" ref="C642">IFERROR(INDEX('label approval artwork'!E:E,MATCH(G642,'label approval artwork'!F:F,0),""),"")</f>
        <v/>
      </c>
      <c r="D642" s="102" t="str">
        <f t="shared" si="3"/>
        <v/>
      </c>
      <c r="E642" s="100" t="str">
        <f t="array" ref="E642">IF(ISBLANK(G642),"",INDEX('POR Config List'!K:K,MATCH(G642,'POR Config List'!D:D,0)))</f>
        <v/>
      </c>
      <c r="F642" s="100" t="str">
        <f t="array" ref="F642">IF(ISBLANK(G642),"",INDEX('POR Config List'!J:J,MATCH(G642,'POR Config List'!D:D,0)))</f>
        <v/>
      </c>
      <c r="G642" s="168"/>
      <c r="H642" s="104" t="str">
        <f t="array" ref="H642">IF(ISBLANK(G642),"",INDEX('MP SKUs'!G:G,MATCH(G642,'MP SKUs'!A:A,0)))</f>
        <v/>
      </c>
      <c r="I642" s="105" t="str">
        <f t="array" ref="I642">IF(ISBLANK(G642),"",INDEX('POR Config List'!O:O,MATCH(G642,'POR Config List'!D:D,0)))</f>
        <v/>
      </c>
      <c r="J642" s="104" t="str">
        <f t="array" ref="J642">IF(ISBLANK(G642),"",INDEX('POR Config List'!H:H,MATCH(G642,'POR Config List'!D:D,0)))</f>
        <v/>
      </c>
      <c r="K642" s="105" t="str">
        <f t="array" ref="K642">IF(ISBLANK(G642),"",INDEX('POR Config List'!G:G,MATCH(G642,'POR Config List'!D:D,0)))</f>
        <v/>
      </c>
      <c r="L642" s="105"/>
      <c r="M642" s="105" t="str">
        <f t="array" ref="M642">IF(ISBLANK(G642),"",INDEX('label approval artwork'!Q:Q,MATCH( G642,'label approval artwork'!F:F,0)))</f>
        <v/>
      </c>
      <c r="N642" s="169" t="str">
        <f t="shared" si="5"/>
        <v/>
      </c>
      <c r="O642" s="102" t="str">
        <f t="array" ref="O642">IF(ISBLANK(G642),"",INDEX('POR Config List'!C:C,MATCH(G642,'POR Config List'!D:D,0)))</f>
        <v/>
      </c>
      <c r="P642" s="105" t="str">
        <f t="shared" si="4"/>
        <v/>
      </c>
      <c r="Q642" s="105" t="str">
        <f t="array" ref="Q642">IF(ISBLANK(G642),"",INDEX('label approval artwork'!J:J,MATCH( G642,'label approval artwork'!F:F,0)))</f>
        <v/>
      </c>
      <c r="R642" s="105" t="str">
        <f t="array" ref="R642">IFERROR( IF(P642&lt;&gt;"EMA",INDEX('label approval artwork'!H:H,MATCH(G642,'label approval artwork'!F:F,0),"")),"")</f>
        <v/>
      </c>
      <c r="S642" s="105"/>
      <c r="T642" s="105" t="str">
        <f t="array" ref="T642">IF(ISBLANK(G642),"",INDEX('POR Config List'!I:I,MATCH(G642,'POR Config List'!D:D,0)))</f>
        <v/>
      </c>
      <c r="AA642" s="100" t="str">
        <f t="array" ref="AA642">IF(ISBLANK(G642),"",INDEX('POR Config List'!E:E,MATCH(G642,'POR Config List'!D:D,0)))</f>
        <v/>
      </c>
      <c r="AC642" s="105"/>
      <c r="AD642" s="100"/>
      <c r="AE642" s="100"/>
      <c r="AF642" s="100"/>
      <c r="AG642" s="100"/>
      <c r="AM642" s="102"/>
      <c r="AN642" s="102"/>
      <c r="AR642" s="119"/>
      <c r="AS642" s="103"/>
    </row>
    <row r="643">
      <c r="A643" s="168"/>
      <c r="B643" s="100" t="str">
        <f t="array" ref="B643">IFERROR( INDEX('POR Config List'!A:A,MATCH(G643,'POR Config List'!D:D,0)),"")</f>
        <v/>
      </c>
      <c r="C643" s="101" t="str">
        <f t="array" ref="C643">IFERROR(INDEX('label approval artwork'!E:E,MATCH(G643,'label approval artwork'!F:F,0),""),"")</f>
        <v/>
      </c>
      <c r="D643" s="102" t="str">
        <f t="shared" si="3"/>
        <v/>
      </c>
      <c r="E643" s="100" t="str">
        <f t="array" ref="E643">IF(ISBLANK(G643),"",INDEX('POR Config List'!K:K,MATCH(G643,'POR Config List'!D:D,0)))</f>
        <v/>
      </c>
      <c r="F643" s="100" t="str">
        <f t="array" ref="F643">IF(ISBLANK(G643),"",INDEX('POR Config List'!J:J,MATCH(G643,'POR Config List'!D:D,0)))</f>
        <v/>
      </c>
      <c r="G643" s="168"/>
      <c r="H643" s="104" t="str">
        <f t="array" ref="H643">IF(ISBLANK(G643),"",INDEX('MP SKUs'!G:G,MATCH(G643,'MP SKUs'!A:A,0)))</f>
        <v/>
      </c>
      <c r="I643" s="105" t="str">
        <f t="array" ref="I643">IF(ISBLANK(G643),"",INDEX('POR Config List'!O:O,MATCH(G643,'POR Config List'!D:D,0)))</f>
        <v/>
      </c>
      <c r="J643" s="104" t="str">
        <f t="array" ref="J643">IF(ISBLANK(G643),"",INDEX('POR Config List'!H:H,MATCH(G643,'POR Config List'!D:D,0)))</f>
        <v/>
      </c>
      <c r="K643" s="105" t="str">
        <f t="array" ref="K643">IF(ISBLANK(G643),"",INDEX('POR Config List'!G:G,MATCH(G643,'POR Config List'!D:D,0)))</f>
        <v/>
      </c>
      <c r="L643" s="105"/>
      <c r="M643" s="105" t="str">
        <f t="array" ref="M643">IF(ISBLANK(G643),"",INDEX('label approval artwork'!Q:Q,MATCH( G643,'label approval artwork'!F:F,0)))</f>
        <v/>
      </c>
      <c r="N643" s="169" t="str">
        <f t="shared" si="5"/>
        <v/>
      </c>
      <c r="O643" s="102" t="str">
        <f t="array" ref="O643">IF(ISBLANK(G643),"",INDEX('POR Config List'!C:C,MATCH(G643,'POR Config List'!D:D,0)))</f>
        <v/>
      </c>
      <c r="P643" s="105" t="str">
        <f t="shared" si="4"/>
        <v/>
      </c>
      <c r="Q643" s="105" t="str">
        <f t="array" ref="Q643">IF(ISBLANK(G643),"",INDEX('label approval artwork'!J:J,MATCH( G643,'label approval artwork'!F:F,0)))</f>
        <v/>
      </c>
      <c r="R643" s="105" t="str">
        <f t="array" ref="R643">IFERROR( IF(P643&lt;&gt;"EMA",INDEX('label approval artwork'!H:H,MATCH(G643,'label approval artwork'!F:F,0),"")),"")</f>
        <v/>
      </c>
      <c r="S643" s="105"/>
      <c r="T643" s="105" t="str">
        <f t="array" ref="T643">IF(ISBLANK(G643),"",INDEX('POR Config List'!I:I,MATCH(G643,'POR Config List'!D:D,0)))</f>
        <v/>
      </c>
      <c r="AA643" s="100" t="str">
        <f t="array" ref="AA643">IF(ISBLANK(G643),"",INDEX('POR Config List'!E:E,MATCH(G643,'POR Config List'!D:D,0)))</f>
        <v/>
      </c>
      <c r="AC643" s="105"/>
      <c r="AD643" s="100"/>
      <c r="AE643" s="100"/>
      <c r="AF643" s="100"/>
      <c r="AG643" s="100"/>
      <c r="AM643" s="102"/>
      <c r="AN643" s="102"/>
      <c r="AR643" s="119"/>
      <c r="AS643" s="103"/>
    </row>
    <row r="644">
      <c r="A644" s="168"/>
      <c r="B644" s="100" t="str">
        <f t="array" ref="B644">IFERROR( INDEX('POR Config List'!A:A,MATCH(G644,'POR Config List'!D:D,0)),"")</f>
        <v/>
      </c>
      <c r="C644" s="101" t="str">
        <f t="array" ref="C644">IFERROR(INDEX('label approval artwork'!E:E,MATCH(G644,'label approval artwork'!F:F,0),""),"")</f>
        <v/>
      </c>
      <c r="D644" s="102" t="str">
        <f t="shared" si="3"/>
        <v/>
      </c>
      <c r="E644" s="100" t="str">
        <f t="array" ref="E644">IF(ISBLANK(G644),"",INDEX('POR Config List'!K:K,MATCH(G644,'POR Config List'!D:D,0)))</f>
        <v/>
      </c>
      <c r="F644" s="100" t="str">
        <f t="array" ref="F644">IF(ISBLANK(G644),"",INDEX('POR Config List'!J:J,MATCH(G644,'POR Config List'!D:D,0)))</f>
        <v/>
      </c>
      <c r="G644" s="168"/>
      <c r="H644" s="104" t="str">
        <f t="array" ref="H644">IF(ISBLANK(G644),"",INDEX('MP SKUs'!G:G,MATCH(G644,'MP SKUs'!A:A,0)))</f>
        <v/>
      </c>
      <c r="I644" s="105" t="str">
        <f t="array" ref="I644">IF(ISBLANK(G644),"",INDEX('POR Config List'!O:O,MATCH(G644,'POR Config List'!D:D,0)))</f>
        <v/>
      </c>
      <c r="J644" s="104" t="str">
        <f t="array" ref="J644">IF(ISBLANK(G644),"",INDEX('POR Config List'!H:H,MATCH(G644,'POR Config List'!D:D,0)))</f>
        <v/>
      </c>
      <c r="K644" s="105" t="str">
        <f t="array" ref="K644">IF(ISBLANK(G644),"",INDEX('POR Config List'!G:G,MATCH(G644,'POR Config List'!D:D,0)))</f>
        <v/>
      </c>
      <c r="L644" s="105"/>
      <c r="M644" s="105" t="str">
        <f t="array" ref="M644">IF(ISBLANK(G644),"",INDEX('label approval artwork'!Q:Q,MATCH( G644,'label approval artwork'!F:F,0)))</f>
        <v/>
      </c>
      <c r="N644" s="169" t="str">
        <f t="shared" si="5"/>
        <v/>
      </c>
      <c r="O644" s="102" t="str">
        <f t="array" ref="O644">IF(ISBLANK(G644),"",INDEX('POR Config List'!C:C,MATCH(G644,'POR Config List'!D:D,0)))</f>
        <v/>
      </c>
      <c r="P644" s="105" t="str">
        <f t="shared" si="4"/>
        <v/>
      </c>
      <c r="Q644" s="105" t="str">
        <f t="array" ref="Q644">IF(ISBLANK(G644),"",INDEX('label approval artwork'!J:J,MATCH( G644,'label approval artwork'!F:F,0)))</f>
        <v/>
      </c>
      <c r="R644" s="105" t="str">
        <f t="array" ref="R644">IFERROR( IF(P644&lt;&gt;"EMA",INDEX('label approval artwork'!H:H,MATCH(G644,'label approval artwork'!F:F,0),"")),"")</f>
        <v/>
      </c>
      <c r="S644" s="105"/>
      <c r="T644" s="105" t="str">
        <f t="array" ref="T644">IF(ISBLANK(G644),"",INDEX('POR Config List'!I:I,MATCH(G644,'POR Config List'!D:D,0)))</f>
        <v/>
      </c>
      <c r="AA644" s="100" t="str">
        <f t="array" ref="AA644">IF(ISBLANK(G644),"",INDEX('POR Config List'!E:E,MATCH(G644,'POR Config List'!D:D,0)))</f>
        <v/>
      </c>
      <c r="AC644" s="105"/>
      <c r="AD644" s="100"/>
      <c r="AE644" s="100"/>
      <c r="AF644" s="100"/>
      <c r="AG644" s="100"/>
      <c r="AM644" s="102"/>
      <c r="AN644" s="102"/>
      <c r="AR644" s="119"/>
      <c r="AS644" s="103"/>
    </row>
    <row r="645">
      <c r="A645" s="168"/>
      <c r="B645" s="100" t="str">
        <f t="array" ref="B645">IFERROR( INDEX('POR Config List'!A:A,MATCH(G645,'POR Config List'!D:D,0)),"")</f>
        <v/>
      </c>
      <c r="C645" s="101" t="str">
        <f t="array" ref="C645">IFERROR(INDEX('label approval artwork'!E:E,MATCH(G645,'label approval artwork'!F:F,0),""),"")</f>
        <v/>
      </c>
      <c r="D645" s="102" t="str">
        <f t="shared" si="3"/>
        <v/>
      </c>
      <c r="E645" s="100" t="str">
        <f t="array" ref="E645">IF(ISBLANK(G645),"",INDEX('POR Config List'!K:K,MATCH(G645,'POR Config List'!D:D,0)))</f>
        <v/>
      </c>
      <c r="F645" s="100" t="str">
        <f t="array" ref="F645">IF(ISBLANK(G645),"",INDEX('POR Config List'!J:J,MATCH(G645,'POR Config List'!D:D,0)))</f>
        <v/>
      </c>
      <c r="G645" s="168"/>
      <c r="H645" s="104" t="str">
        <f t="array" ref="H645">IF(ISBLANK(G645),"",INDEX('MP SKUs'!G:G,MATCH(G645,'MP SKUs'!A:A,0)))</f>
        <v/>
      </c>
      <c r="I645" s="105" t="str">
        <f t="array" ref="I645">IF(ISBLANK(G645),"",INDEX('POR Config List'!O:O,MATCH(G645,'POR Config List'!D:D,0)))</f>
        <v/>
      </c>
      <c r="J645" s="104" t="str">
        <f t="array" ref="J645">IF(ISBLANK(G645),"",INDEX('POR Config List'!H:H,MATCH(G645,'POR Config List'!D:D,0)))</f>
        <v/>
      </c>
      <c r="K645" s="105" t="str">
        <f t="array" ref="K645">IF(ISBLANK(G645),"",INDEX('POR Config List'!G:G,MATCH(G645,'POR Config List'!D:D,0)))</f>
        <v/>
      </c>
      <c r="L645" s="105"/>
      <c r="M645" s="105" t="str">
        <f t="array" ref="M645">IF(ISBLANK(G645),"",INDEX('label approval artwork'!Q:Q,MATCH( G645,'label approval artwork'!F:F,0)))</f>
        <v/>
      </c>
      <c r="N645" s="169" t="str">
        <f t="shared" si="5"/>
        <v/>
      </c>
      <c r="O645" s="102" t="str">
        <f t="array" ref="O645">IF(ISBLANK(G645),"",INDEX('POR Config List'!C:C,MATCH(G645,'POR Config List'!D:D,0)))</f>
        <v/>
      </c>
      <c r="P645" s="105" t="str">
        <f t="shared" si="4"/>
        <v/>
      </c>
      <c r="Q645" s="105" t="str">
        <f t="array" ref="Q645">IF(ISBLANK(G645),"",INDEX('label approval artwork'!J:J,MATCH( G645,'label approval artwork'!F:F,0)))</f>
        <v/>
      </c>
      <c r="R645" s="105" t="str">
        <f t="array" ref="R645">IFERROR( IF(P645&lt;&gt;"EMA",INDEX('label approval artwork'!H:H,MATCH(G645,'label approval artwork'!F:F,0),"")),"")</f>
        <v/>
      </c>
      <c r="S645" s="105"/>
      <c r="T645" s="105" t="str">
        <f t="array" ref="T645">IF(ISBLANK(G645),"",INDEX('POR Config List'!I:I,MATCH(G645,'POR Config List'!D:D,0)))</f>
        <v/>
      </c>
      <c r="AA645" s="100" t="str">
        <f t="array" ref="AA645">IF(ISBLANK(G645),"",INDEX('POR Config List'!E:E,MATCH(G645,'POR Config List'!D:D,0)))</f>
        <v/>
      </c>
      <c r="AC645" s="105"/>
      <c r="AD645" s="100"/>
      <c r="AE645" s="100"/>
      <c r="AF645" s="100"/>
      <c r="AG645" s="100"/>
      <c r="AM645" s="102"/>
      <c r="AN645" s="102"/>
      <c r="AR645" s="119"/>
      <c r="AS645" s="103"/>
    </row>
    <row r="646">
      <c r="A646" s="168"/>
      <c r="B646" s="100" t="str">
        <f t="array" ref="B646">IFERROR( INDEX('POR Config List'!A:A,MATCH(G646,'POR Config List'!D:D,0)),"")</f>
        <v/>
      </c>
      <c r="C646" s="101" t="str">
        <f t="array" ref="C646">IFERROR(INDEX('label approval artwork'!E:E,MATCH(G646,'label approval artwork'!F:F,0),""),"")</f>
        <v/>
      </c>
      <c r="D646" s="102" t="str">
        <f t="shared" si="3"/>
        <v/>
      </c>
      <c r="E646" s="100" t="str">
        <f t="array" ref="E646">IF(ISBLANK(G646),"",INDEX('POR Config List'!K:K,MATCH(G646,'POR Config List'!D:D,0)))</f>
        <v/>
      </c>
      <c r="F646" s="100" t="str">
        <f t="array" ref="F646">IF(ISBLANK(G646),"",INDEX('POR Config List'!J:J,MATCH(G646,'POR Config List'!D:D,0)))</f>
        <v/>
      </c>
      <c r="G646" s="168"/>
      <c r="H646" s="104" t="str">
        <f t="array" ref="H646">IF(ISBLANK(G646),"",INDEX('MP SKUs'!G:G,MATCH(G646,'MP SKUs'!A:A,0)))</f>
        <v/>
      </c>
      <c r="I646" s="105" t="str">
        <f t="array" ref="I646">IF(ISBLANK(G646),"",INDEX('POR Config List'!O:O,MATCH(G646,'POR Config List'!D:D,0)))</f>
        <v/>
      </c>
      <c r="J646" s="104" t="str">
        <f t="array" ref="J646">IF(ISBLANK(G646),"",INDEX('POR Config List'!H:H,MATCH(G646,'POR Config List'!D:D,0)))</f>
        <v/>
      </c>
      <c r="K646" s="105" t="str">
        <f t="array" ref="K646">IF(ISBLANK(G646),"",INDEX('POR Config List'!G:G,MATCH(G646,'POR Config List'!D:D,0)))</f>
        <v/>
      </c>
      <c r="L646" s="105"/>
      <c r="M646" s="105" t="str">
        <f t="array" ref="M646">IF(ISBLANK(G646),"",INDEX('label approval artwork'!Q:Q,MATCH( G646,'label approval artwork'!F:F,0)))</f>
        <v/>
      </c>
      <c r="N646" s="169" t="str">
        <f t="shared" si="5"/>
        <v/>
      </c>
      <c r="O646" s="102" t="str">
        <f t="array" ref="O646">IF(ISBLANK(G646),"",INDEX('POR Config List'!C:C,MATCH(G646,'POR Config List'!D:D,0)))</f>
        <v/>
      </c>
      <c r="P646" s="105" t="str">
        <f t="shared" si="4"/>
        <v/>
      </c>
      <c r="Q646" s="105" t="str">
        <f t="array" ref="Q646">IF(ISBLANK(G646),"",INDEX('label approval artwork'!J:J,MATCH( G646,'label approval artwork'!F:F,0)))</f>
        <v/>
      </c>
      <c r="R646" s="105" t="str">
        <f t="array" ref="R646">IFERROR( IF(P646&lt;&gt;"EMA",INDEX('label approval artwork'!H:H,MATCH(G646,'label approval artwork'!F:F,0),"")),"")</f>
        <v/>
      </c>
      <c r="S646" s="105"/>
      <c r="T646" s="105" t="str">
        <f t="array" ref="T646">IF(ISBLANK(G646),"",INDEX('POR Config List'!I:I,MATCH(G646,'POR Config List'!D:D,0)))</f>
        <v/>
      </c>
      <c r="AA646" s="100" t="str">
        <f t="array" ref="AA646">IF(ISBLANK(G646),"",INDEX('POR Config List'!E:E,MATCH(G646,'POR Config List'!D:D,0)))</f>
        <v/>
      </c>
      <c r="AC646" s="105"/>
      <c r="AD646" s="100"/>
      <c r="AE646" s="100"/>
      <c r="AF646" s="100"/>
      <c r="AG646" s="100"/>
      <c r="AM646" s="102"/>
      <c r="AN646" s="102"/>
      <c r="AR646" s="119"/>
      <c r="AS646" s="103"/>
    </row>
    <row r="647">
      <c r="A647" s="168"/>
      <c r="B647" s="100" t="str">
        <f t="array" ref="B647">IFERROR( INDEX('POR Config List'!A:A,MATCH(G647,'POR Config List'!D:D,0)),"")</f>
        <v/>
      </c>
      <c r="C647" s="101" t="str">
        <f t="array" ref="C647">IFERROR(INDEX('label approval artwork'!E:E,MATCH(G647,'label approval artwork'!F:F,0),""),"")</f>
        <v/>
      </c>
      <c r="D647" s="102" t="str">
        <f t="shared" si="3"/>
        <v/>
      </c>
      <c r="E647" s="100" t="str">
        <f t="array" ref="E647">IF(ISBLANK(G647),"",INDEX('POR Config List'!K:K,MATCH(G647,'POR Config List'!D:D,0)))</f>
        <v/>
      </c>
      <c r="F647" s="100" t="str">
        <f t="array" ref="F647">IF(ISBLANK(G647),"",INDEX('POR Config List'!J:J,MATCH(G647,'POR Config List'!D:D,0)))</f>
        <v/>
      </c>
      <c r="G647" s="168"/>
      <c r="H647" s="104" t="str">
        <f t="array" ref="H647">IF(ISBLANK(G647),"",INDEX('MP SKUs'!G:G,MATCH(G647,'MP SKUs'!A:A,0)))</f>
        <v/>
      </c>
      <c r="I647" s="105" t="str">
        <f t="array" ref="I647">IF(ISBLANK(G647),"",INDEX('POR Config List'!O:O,MATCH(G647,'POR Config List'!D:D,0)))</f>
        <v/>
      </c>
      <c r="J647" s="104" t="str">
        <f t="array" ref="J647">IF(ISBLANK(G647),"",INDEX('POR Config List'!H:H,MATCH(G647,'POR Config List'!D:D,0)))</f>
        <v/>
      </c>
      <c r="K647" s="105" t="str">
        <f t="array" ref="K647">IF(ISBLANK(G647),"",INDEX('POR Config List'!G:G,MATCH(G647,'POR Config List'!D:D,0)))</f>
        <v/>
      </c>
      <c r="L647" s="105"/>
      <c r="M647" s="105" t="str">
        <f t="array" ref="M647">IF(ISBLANK(G647),"",INDEX('label approval artwork'!Q:Q,MATCH( G647,'label approval artwork'!F:F,0)))</f>
        <v/>
      </c>
      <c r="N647" s="169" t="str">
        <f t="shared" si="5"/>
        <v/>
      </c>
      <c r="O647" s="102" t="str">
        <f t="array" ref="O647">IF(ISBLANK(G647),"",INDEX('POR Config List'!C:C,MATCH(G647,'POR Config List'!D:D,0)))</f>
        <v/>
      </c>
      <c r="P647" s="105" t="str">
        <f t="shared" si="4"/>
        <v/>
      </c>
      <c r="Q647" s="105" t="str">
        <f t="array" ref="Q647">IF(ISBLANK(G647),"",INDEX('label approval artwork'!J:J,MATCH( G647,'label approval artwork'!F:F,0)))</f>
        <v/>
      </c>
      <c r="R647" s="105" t="str">
        <f t="array" ref="R647">IFERROR( IF(P647&lt;&gt;"EMA",INDEX('label approval artwork'!H:H,MATCH(G647,'label approval artwork'!F:F,0),"")),"")</f>
        <v/>
      </c>
      <c r="S647" s="105"/>
      <c r="T647" s="105" t="str">
        <f t="array" ref="T647">IF(ISBLANK(G647),"",INDEX('POR Config List'!I:I,MATCH(G647,'POR Config List'!D:D,0)))</f>
        <v/>
      </c>
      <c r="AA647" s="100" t="str">
        <f t="array" ref="AA647">IF(ISBLANK(G647),"",INDEX('POR Config List'!E:E,MATCH(G647,'POR Config List'!D:D,0)))</f>
        <v/>
      </c>
      <c r="AC647" s="105"/>
      <c r="AD647" s="100"/>
      <c r="AE647" s="100"/>
      <c r="AF647" s="100"/>
      <c r="AG647" s="100"/>
      <c r="AM647" s="102"/>
      <c r="AN647" s="102"/>
      <c r="AR647" s="119"/>
      <c r="AS647" s="103"/>
    </row>
    <row r="648">
      <c r="A648" s="168"/>
      <c r="B648" s="100" t="str">
        <f t="array" ref="B648">IFERROR( INDEX('POR Config List'!A:A,MATCH(G648,'POR Config List'!D:D,0)),"")</f>
        <v/>
      </c>
      <c r="C648" s="101" t="str">
        <f t="array" ref="C648">IFERROR(INDEX('label approval artwork'!E:E,MATCH(G648,'label approval artwork'!F:F,0),""),"")</f>
        <v/>
      </c>
      <c r="D648" s="102" t="str">
        <f t="shared" si="3"/>
        <v/>
      </c>
      <c r="E648" s="100" t="str">
        <f t="array" ref="E648">IF(ISBLANK(G648),"",INDEX('POR Config List'!K:K,MATCH(G648,'POR Config List'!D:D,0)))</f>
        <v/>
      </c>
      <c r="F648" s="100" t="str">
        <f t="array" ref="F648">IF(ISBLANK(G648),"",INDEX('POR Config List'!J:J,MATCH(G648,'POR Config List'!D:D,0)))</f>
        <v/>
      </c>
      <c r="G648" s="168"/>
      <c r="H648" s="104" t="str">
        <f t="array" ref="H648">IF(ISBLANK(G648),"",INDEX('MP SKUs'!G:G,MATCH(G648,'MP SKUs'!A:A,0)))</f>
        <v/>
      </c>
      <c r="I648" s="105" t="str">
        <f t="array" ref="I648">IF(ISBLANK(G648),"",INDEX('POR Config List'!O:O,MATCH(G648,'POR Config List'!D:D,0)))</f>
        <v/>
      </c>
      <c r="J648" s="104" t="str">
        <f t="array" ref="J648">IF(ISBLANK(G648),"",INDEX('POR Config List'!H:H,MATCH(G648,'POR Config List'!D:D,0)))</f>
        <v/>
      </c>
      <c r="K648" s="105" t="str">
        <f t="array" ref="K648">IF(ISBLANK(G648),"",INDEX('POR Config List'!G:G,MATCH(G648,'POR Config List'!D:D,0)))</f>
        <v/>
      </c>
      <c r="L648" s="105"/>
      <c r="M648" s="105" t="str">
        <f t="array" ref="M648">IF(ISBLANK(G648),"",INDEX('label approval artwork'!Q:Q,MATCH( G648,'label approval artwork'!F:F,0)))</f>
        <v/>
      </c>
      <c r="N648" s="169" t="str">
        <f t="shared" si="5"/>
        <v/>
      </c>
      <c r="O648" s="102" t="str">
        <f t="array" ref="O648">IF(ISBLANK(G648),"",INDEX('POR Config List'!C:C,MATCH(G648,'POR Config List'!D:D,0)))</f>
        <v/>
      </c>
      <c r="P648" s="105" t="str">
        <f t="shared" si="4"/>
        <v/>
      </c>
      <c r="Q648" s="105" t="str">
        <f t="array" ref="Q648">IF(ISBLANK(G648),"",INDEX('label approval artwork'!J:J,MATCH( G648,'label approval artwork'!F:F,0)))</f>
        <v/>
      </c>
      <c r="R648" s="105" t="str">
        <f t="array" ref="R648">IFERROR( IF(P648&lt;&gt;"EMA",INDEX('label approval artwork'!H:H,MATCH(G648,'label approval artwork'!F:F,0),"")),"")</f>
        <v/>
      </c>
      <c r="S648" s="105"/>
      <c r="T648" s="105" t="str">
        <f t="array" ref="T648">IF(ISBLANK(G648),"",INDEX('POR Config List'!I:I,MATCH(G648,'POR Config List'!D:D,0)))</f>
        <v/>
      </c>
      <c r="AA648" s="100" t="str">
        <f t="array" ref="AA648">IF(ISBLANK(G648),"",INDEX('POR Config List'!E:E,MATCH(G648,'POR Config List'!D:D,0)))</f>
        <v/>
      </c>
      <c r="AC648" s="105"/>
      <c r="AD648" s="100"/>
      <c r="AE648" s="100"/>
      <c r="AF648" s="100"/>
      <c r="AG648" s="100"/>
      <c r="AM648" s="102"/>
      <c r="AN648" s="102"/>
      <c r="AR648" s="119"/>
      <c r="AS648" s="103"/>
    </row>
    <row r="649">
      <c r="A649" s="168"/>
      <c r="B649" s="100" t="str">
        <f t="array" ref="B649">IFERROR( INDEX('POR Config List'!A:A,MATCH(G649,'POR Config List'!D:D,0)),"")</f>
        <v/>
      </c>
      <c r="C649" s="101" t="str">
        <f t="array" ref="C649">IFERROR(INDEX('label approval artwork'!E:E,MATCH(G649,'label approval artwork'!F:F,0),""),"")</f>
        <v/>
      </c>
      <c r="D649" s="102" t="str">
        <f t="shared" si="3"/>
        <v/>
      </c>
      <c r="E649" s="100" t="str">
        <f t="array" ref="E649">IF(ISBLANK(G649),"",INDEX('POR Config List'!K:K,MATCH(G649,'POR Config List'!D:D,0)))</f>
        <v/>
      </c>
      <c r="F649" s="100" t="str">
        <f t="array" ref="F649">IF(ISBLANK(G649),"",INDEX('POR Config List'!J:J,MATCH(G649,'POR Config List'!D:D,0)))</f>
        <v/>
      </c>
      <c r="G649" s="168"/>
      <c r="H649" s="104" t="str">
        <f t="array" ref="H649">IF(ISBLANK(G649),"",INDEX('MP SKUs'!G:G,MATCH(G649,'MP SKUs'!A:A,0)))</f>
        <v/>
      </c>
      <c r="I649" s="105" t="str">
        <f t="array" ref="I649">IF(ISBLANK(G649),"",INDEX('POR Config List'!O:O,MATCH(G649,'POR Config List'!D:D,0)))</f>
        <v/>
      </c>
      <c r="J649" s="104" t="str">
        <f t="array" ref="J649">IF(ISBLANK(G649),"",INDEX('POR Config List'!H:H,MATCH(G649,'POR Config List'!D:D,0)))</f>
        <v/>
      </c>
      <c r="K649" s="105" t="str">
        <f t="array" ref="K649">IF(ISBLANK(G649),"",INDEX('POR Config List'!G:G,MATCH(G649,'POR Config List'!D:D,0)))</f>
        <v/>
      </c>
      <c r="L649" s="105"/>
      <c r="M649" s="105" t="str">
        <f t="array" ref="M649">IF(ISBLANK(G649),"",INDEX('label approval artwork'!Q:Q,MATCH( G649,'label approval artwork'!F:F,0)))</f>
        <v/>
      </c>
      <c r="N649" s="169" t="str">
        <f t="shared" si="5"/>
        <v/>
      </c>
      <c r="O649" s="102" t="str">
        <f t="array" ref="O649">IF(ISBLANK(G649),"",INDEX('POR Config List'!C:C,MATCH(G649,'POR Config List'!D:D,0)))</f>
        <v/>
      </c>
      <c r="P649" s="105" t="str">
        <f t="shared" si="4"/>
        <v/>
      </c>
      <c r="Q649" s="105" t="str">
        <f t="array" ref="Q649">IF(ISBLANK(G649),"",INDEX('label approval artwork'!J:J,MATCH( G649,'label approval artwork'!F:F,0)))</f>
        <v/>
      </c>
      <c r="R649" s="105" t="str">
        <f t="array" ref="R649">IFERROR( IF(P649&lt;&gt;"EMA",INDEX('label approval artwork'!H:H,MATCH(G649,'label approval artwork'!F:F,0),"")),"")</f>
        <v/>
      </c>
      <c r="S649" s="105"/>
      <c r="T649" s="105" t="str">
        <f t="array" ref="T649">IF(ISBLANK(G649),"",INDEX('POR Config List'!I:I,MATCH(G649,'POR Config List'!D:D,0)))</f>
        <v/>
      </c>
      <c r="AA649" s="100" t="str">
        <f t="array" ref="AA649">IF(ISBLANK(G649),"",INDEX('POR Config List'!E:E,MATCH(G649,'POR Config List'!D:D,0)))</f>
        <v/>
      </c>
      <c r="AC649" s="105"/>
      <c r="AD649" s="100"/>
      <c r="AE649" s="100"/>
      <c r="AF649" s="100"/>
      <c r="AG649" s="100"/>
      <c r="AM649" s="102"/>
      <c r="AN649" s="102"/>
      <c r="AR649" s="119"/>
      <c r="AS649" s="103"/>
    </row>
    <row r="650">
      <c r="A650" s="168"/>
      <c r="B650" s="100" t="str">
        <f t="array" ref="B650">IFERROR( INDEX('POR Config List'!A:A,MATCH(G650,'POR Config List'!D:D,0)),"")</f>
        <v/>
      </c>
      <c r="C650" s="101" t="str">
        <f t="array" ref="C650">IFERROR(INDEX('label approval artwork'!E:E,MATCH(G650,'label approval artwork'!F:F,0),""),"")</f>
        <v/>
      </c>
      <c r="D650" s="102" t="str">
        <f t="shared" si="3"/>
        <v/>
      </c>
      <c r="E650" s="100" t="str">
        <f t="array" ref="E650">IF(ISBLANK(G650),"",INDEX('POR Config List'!K:K,MATCH(G650,'POR Config List'!D:D,0)))</f>
        <v/>
      </c>
      <c r="F650" s="100" t="str">
        <f t="array" ref="F650">IF(ISBLANK(G650),"",INDEX('POR Config List'!J:J,MATCH(G650,'POR Config List'!D:D,0)))</f>
        <v/>
      </c>
      <c r="G650" s="168"/>
      <c r="H650" s="104" t="str">
        <f t="array" ref="H650">IF(ISBLANK(G650),"",INDEX('MP SKUs'!G:G,MATCH(G650,'MP SKUs'!A:A,0)))</f>
        <v/>
      </c>
      <c r="I650" s="105" t="str">
        <f t="array" ref="I650">IF(ISBLANK(G650),"",INDEX('POR Config List'!O:O,MATCH(G650,'POR Config List'!D:D,0)))</f>
        <v/>
      </c>
      <c r="J650" s="104" t="str">
        <f t="array" ref="J650">IF(ISBLANK(G650),"",INDEX('POR Config List'!H:H,MATCH(G650,'POR Config List'!D:D,0)))</f>
        <v/>
      </c>
      <c r="K650" s="105" t="str">
        <f t="array" ref="K650">IF(ISBLANK(G650),"",INDEX('POR Config List'!G:G,MATCH(G650,'POR Config List'!D:D,0)))</f>
        <v/>
      </c>
      <c r="L650" s="105"/>
      <c r="M650" s="105" t="str">
        <f t="array" ref="M650">IF(ISBLANK(G650),"",INDEX('label approval artwork'!Q:Q,MATCH( G650,'label approval artwork'!F:F,0)))</f>
        <v/>
      </c>
      <c r="N650" s="169" t="str">
        <f t="shared" si="5"/>
        <v/>
      </c>
      <c r="O650" s="102" t="str">
        <f t="array" ref="O650">IF(ISBLANK(G650),"",INDEX('POR Config List'!C:C,MATCH(G650,'POR Config List'!D:D,0)))</f>
        <v/>
      </c>
      <c r="P650" s="105" t="str">
        <f t="shared" si="4"/>
        <v/>
      </c>
      <c r="Q650" s="105" t="str">
        <f t="array" ref="Q650">IF(ISBLANK(G650),"",INDEX('label approval artwork'!J:J,MATCH( G650,'label approval artwork'!F:F,0)))</f>
        <v/>
      </c>
      <c r="R650" s="105" t="str">
        <f t="array" ref="R650">IFERROR( IF(P650&lt;&gt;"EMA",INDEX('label approval artwork'!H:H,MATCH(G650,'label approval artwork'!F:F,0),"")),"")</f>
        <v/>
      </c>
      <c r="S650" s="105"/>
      <c r="T650" s="105" t="str">
        <f t="array" ref="T650">IF(ISBLANK(G650),"",INDEX('POR Config List'!I:I,MATCH(G650,'POR Config List'!D:D,0)))</f>
        <v/>
      </c>
      <c r="AA650" s="100" t="str">
        <f t="array" ref="AA650">IF(ISBLANK(G650),"",INDEX('POR Config List'!E:E,MATCH(G650,'POR Config List'!D:D,0)))</f>
        <v/>
      </c>
      <c r="AC650" s="105"/>
      <c r="AD650" s="100"/>
      <c r="AE650" s="100"/>
      <c r="AF650" s="100"/>
      <c r="AG650" s="100"/>
      <c r="AM650" s="102"/>
      <c r="AN650" s="102"/>
      <c r="AR650" s="119"/>
      <c r="AS650" s="103"/>
    </row>
    <row r="651">
      <c r="A651" s="168"/>
      <c r="B651" s="100" t="str">
        <f t="array" ref="B651">IFERROR( INDEX('POR Config List'!A:A,MATCH(G651,'POR Config List'!D:D,0)),"")</f>
        <v/>
      </c>
      <c r="C651" s="101" t="str">
        <f t="array" ref="C651">IFERROR(INDEX('label approval artwork'!E:E,MATCH(G651,'label approval artwork'!F:F,0),""),"")</f>
        <v/>
      </c>
      <c r="D651" s="102" t="str">
        <f t="shared" si="3"/>
        <v/>
      </c>
      <c r="E651" s="100" t="str">
        <f t="array" ref="E651">IF(ISBLANK(G651),"",INDEX('POR Config List'!K:K,MATCH(G651,'POR Config List'!D:D,0)))</f>
        <v/>
      </c>
      <c r="F651" s="100" t="str">
        <f t="array" ref="F651">IF(ISBLANK(G651),"",INDEX('POR Config List'!J:J,MATCH(G651,'POR Config List'!D:D,0)))</f>
        <v/>
      </c>
      <c r="G651" s="168"/>
      <c r="H651" s="104" t="str">
        <f t="array" ref="H651">IF(ISBLANK(G651),"",INDEX('MP SKUs'!G:G,MATCH(G651,'MP SKUs'!A:A,0)))</f>
        <v/>
      </c>
      <c r="I651" s="105" t="str">
        <f t="array" ref="I651">IF(ISBLANK(G651),"",INDEX('POR Config List'!O:O,MATCH(G651,'POR Config List'!D:D,0)))</f>
        <v/>
      </c>
      <c r="J651" s="104" t="str">
        <f t="array" ref="J651">IF(ISBLANK(G651),"",INDEX('POR Config List'!H:H,MATCH(G651,'POR Config List'!D:D,0)))</f>
        <v/>
      </c>
      <c r="K651" s="105" t="str">
        <f t="array" ref="K651">IF(ISBLANK(G651),"",INDEX('POR Config List'!G:G,MATCH(G651,'POR Config List'!D:D,0)))</f>
        <v/>
      </c>
      <c r="L651" s="105"/>
      <c r="M651" s="105" t="str">
        <f t="array" ref="M651">IF(ISBLANK(G651),"",INDEX('label approval artwork'!Q:Q,MATCH( G651,'label approval artwork'!F:F,0)))</f>
        <v/>
      </c>
      <c r="N651" s="169" t="str">
        <f t="shared" si="5"/>
        <v/>
      </c>
      <c r="O651" s="102" t="str">
        <f t="array" ref="O651">IF(ISBLANK(G651),"",INDEX('POR Config List'!C:C,MATCH(G651,'POR Config List'!D:D,0)))</f>
        <v/>
      </c>
      <c r="P651" s="105" t="str">
        <f t="shared" si="4"/>
        <v/>
      </c>
      <c r="Q651" s="105" t="str">
        <f t="array" ref="Q651">IF(ISBLANK(G651),"",INDEX('label approval artwork'!J:J,MATCH( G651,'label approval artwork'!F:F,0)))</f>
        <v/>
      </c>
      <c r="R651" s="105" t="str">
        <f t="array" ref="R651">IFERROR( IF(P651&lt;&gt;"EMA",INDEX('label approval artwork'!H:H,MATCH(G651,'label approval artwork'!F:F,0),"")),"")</f>
        <v/>
      </c>
      <c r="S651" s="105"/>
      <c r="T651" s="105" t="str">
        <f t="array" ref="T651">IF(ISBLANK(G651),"",INDEX('POR Config List'!I:I,MATCH(G651,'POR Config List'!D:D,0)))</f>
        <v/>
      </c>
      <c r="AA651" s="100" t="str">
        <f t="array" ref="AA651">IF(ISBLANK(G651),"",INDEX('POR Config List'!E:E,MATCH(G651,'POR Config List'!D:D,0)))</f>
        <v/>
      </c>
      <c r="AC651" s="105"/>
      <c r="AD651" s="100"/>
      <c r="AE651" s="100"/>
      <c r="AF651" s="100"/>
      <c r="AG651" s="100"/>
      <c r="AM651" s="102"/>
      <c r="AN651" s="102"/>
      <c r="AR651" s="119"/>
      <c r="AS651" s="103"/>
    </row>
    <row r="652">
      <c r="A652" s="168"/>
      <c r="B652" s="100" t="str">
        <f t="array" ref="B652">IFERROR( INDEX('POR Config List'!A:A,MATCH(G652,'POR Config List'!D:D,0)),"")</f>
        <v/>
      </c>
      <c r="C652" s="101" t="str">
        <f t="array" ref="C652">IFERROR(INDEX('label approval artwork'!E:E,MATCH(G652,'label approval artwork'!F:F,0),""),"")</f>
        <v/>
      </c>
      <c r="D652" s="102" t="str">
        <f t="shared" si="3"/>
        <v/>
      </c>
      <c r="E652" s="100" t="str">
        <f t="array" ref="E652">IF(ISBLANK(G652),"",INDEX('POR Config List'!K:K,MATCH(G652,'POR Config List'!D:D,0)))</f>
        <v/>
      </c>
      <c r="F652" s="100" t="str">
        <f t="array" ref="F652">IF(ISBLANK(G652),"",INDEX('POR Config List'!J:J,MATCH(G652,'POR Config List'!D:D,0)))</f>
        <v/>
      </c>
      <c r="G652" s="168"/>
      <c r="H652" s="104" t="str">
        <f t="array" ref="H652">IF(ISBLANK(G652),"",INDEX('MP SKUs'!G:G,MATCH(G652,'MP SKUs'!A:A,0)))</f>
        <v/>
      </c>
      <c r="I652" s="105" t="str">
        <f t="array" ref="I652">IF(ISBLANK(G652),"",INDEX('POR Config List'!O:O,MATCH(G652,'POR Config List'!D:D,0)))</f>
        <v/>
      </c>
      <c r="J652" s="104" t="str">
        <f t="array" ref="J652">IF(ISBLANK(G652),"",INDEX('POR Config List'!H:H,MATCH(G652,'POR Config List'!D:D,0)))</f>
        <v/>
      </c>
      <c r="K652" s="105" t="str">
        <f t="array" ref="K652">IF(ISBLANK(G652),"",INDEX('POR Config List'!G:G,MATCH(G652,'POR Config List'!D:D,0)))</f>
        <v/>
      </c>
      <c r="L652" s="105"/>
      <c r="M652" s="105" t="str">
        <f t="array" ref="M652">IF(ISBLANK(G652),"",INDEX('label approval artwork'!Q:Q,MATCH( G652,'label approval artwork'!F:F,0)))</f>
        <v/>
      </c>
      <c r="N652" s="169" t="str">
        <f t="shared" si="5"/>
        <v/>
      </c>
      <c r="O652" s="102" t="str">
        <f t="array" ref="O652">IF(ISBLANK(G652),"",INDEX('POR Config List'!C:C,MATCH(G652,'POR Config List'!D:D,0)))</f>
        <v/>
      </c>
      <c r="P652" s="105" t="str">
        <f t="shared" si="4"/>
        <v/>
      </c>
      <c r="Q652" s="105" t="str">
        <f t="array" ref="Q652">IF(ISBLANK(G652),"",INDEX('label approval artwork'!J:J,MATCH( G652,'label approval artwork'!F:F,0)))</f>
        <v/>
      </c>
      <c r="R652" s="105" t="str">
        <f t="array" ref="R652">IFERROR( IF(P652&lt;&gt;"EMA",INDEX('label approval artwork'!H:H,MATCH(G652,'label approval artwork'!F:F,0),"")),"")</f>
        <v/>
      </c>
      <c r="S652" s="105"/>
      <c r="T652" s="105" t="str">
        <f t="array" ref="T652">IF(ISBLANK(G652),"",INDEX('POR Config List'!I:I,MATCH(G652,'POR Config List'!D:D,0)))</f>
        <v/>
      </c>
      <c r="AA652" s="100" t="str">
        <f t="array" ref="AA652">IF(ISBLANK(G652),"",INDEX('POR Config List'!E:E,MATCH(G652,'POR Config List'!D:D,0)))</f>
        <v/>
      </c>
      <c r="AC652" s="105"/>
      <c r="AD652" s="100"/>
      <c r="AE652" s="100"/>
      <c r="AF652" s="100"/>
      <c r="AG652" s="100"/>
      <c r="AM652" s="102"/>
      <c r="AN652" s="102"/>
      <c r="AR652" s="119"/>
      <c r="AS652" s="103"/>
    </row>
    <row r="653">
      <c r="A653" s="168"/>
      <c r="B653" s="100" t="str">
        <f t="array" ref="B653">IFERROR( INDEX('POR Config List'!A:A,MATCH(G653,'POR Config List'!D:D,0)),"")</f>
        <v/>
      </c>
      <c r="C653" s="101" t="str">
        <f t="array" ref="C653">IFERROR(INDEX('label approval artwork'!E:E,MATCH(G653,'label approval artwork'!F:F,0),""),"")</f>
        <v/>
      </c>
      <c r="D653" s="102" t="str">
        <f t="shared" si="3"/>
        <v/>
      </c>
      <c r="E653" s="100" t="str">
        <f t="array" ref="E653">IF(ISBLANK(G653),"",INDEX('POR Config List'!K:K,MATCH(G653,'POR Config List'!D:D,0)))</f>
        <v/>
      </c>
      <c r="F653" s="100" t="str">
        <f t="array" ref="F653">IF(ISBLANK(G653),"",INDEX('POR Config List'!J:J,MATCH(G653,'POR Config List'!D:D,0)))</f>
        <v/>
      </c>
      <c r="G653" s="168"/>
      <c r="H653" s="104" t="str">
        <f t="array" ref="H653">IF(ISBLANK(G653),"",INDEX('MP SKUs'!G:G,MATCH(G653,'MP SKUs'!A:A,0)))</f>
        <v/>
      </c>
      <c r="I653" s="105" t="str">
        <f t="array" ref="I653">IF(ISBLANK(G653),"",INDEX('POR Config List'!O:O,MATCH(G653,'POR Config List'!D:D,0)))</f>
        <v/>
      </c>
      <c r="J653" s="104" t="str">
        <f t="array" ref="J653">IF(ISBLANK(G653),"",INDEX('POR Config List'!H:H,MATCH(G653,'POR Config List'!D:D,0)))</f>
        <v/>
      </c>
      <c r="K653" s="105" t="str">
        <f t="array" ref="K653">IF(ISBLANK(G653),"",INDEX('POR Config List'!G:G,MATCH(G653,'POR Config List'!D:D,0)))</f>
        <v/>
      </c>
      <c r="L653" s="105"/>
      <c r="M653" s="105" t="str">
        <f t="array" ref="M653">IF(ISBLANK(G653),"",INDEX('label approval artwork'!Q:Q,MATCH( G653,'label approval artwork'!F:F,0)))</f>
        <v/>
      </c>
      <c r="N653" s="169" t="str">
        <f t="shared" si="5"/>
        <v/>
      </c>
      <c r="O653" s="102" t="str">
        <f t="array" ref="O653">IF(ISBLANK(G653),"",INDEX('POR Config List'!C:C,MATCH(G653,'POR Config List'!D:D,0)))</f>
        <v/>
      </c>
      <c r="P653" s="105" t="str">
        <f t="shared" si="4"/>
        <v/>
      </c>
      <c r="Q653" s="105" t="str">
        <f t="array" ref="Q653">IF(ISBLANK(G653),"",INDEX('label approval artwork'!J:J,MATCH( G653,'label approval artwork'!F:F,0)))</f>
        <v/>
      </c>
      <c r="R653" s="105" t="str">
        <f t="array" ref="R653">IFERROR( IF(P653&lt;&gt;"EMA",INDEX('label approval artwork'!H:H,MATCH(G653,'label approval artwork'!F:F,0),"")),"")</f>
        <v/>
      </c>
      <c r="S653" s="105"/>
      <c r="T653" s="105" t="str">
        <f t="array" ref="T653">IF(ISBLANK(G653),"",INDEX('POR Config List'!I:I,MATCH(G653,'POR Config List'!D:D,0)))</f>
        <v/>
      </c>
      <c r="AA653" s="100" t="str">
        <f t="array" ref="AA653">IF(ISBLANK(G653),"",INDEX('POR Config List'!E:E,MATCH(G653,'POR Config List'!D:D,0)))</f>
        <v/>
      </c>
      <c r="AC653" s="105"/>
      <c r="AD653" s="100"/>
      <c r="AE653" s="100"/>
      <c r="AF653" s="100"/>
      <c r="AG653" s="100"/>
      <c r="AM653" s="102"/>
      <c r="AN653" s="102"/>
      <c r="AR653" s="119"/>
      <c r="AS653" s="103"/>
    </row>
    <row r="654">
      <c r="A654" s="168"/>
      <c r="B654" s="100" t="str">
        <f t="array" ref="B654">IFERROR( INDEX('POR Config List'!A:A,MATCH(G654,'POR Config List'!D:D,0)),"")</f>
        <v/>
      </c>
      <c r="C654" s="101" t="str">
        <f t="array" ref="C654">IFERROR(INDEX('label approval artwork'!E:E,MATCH(G654,'label approval artwork'!F:F,0),""),"")</f>
        <v/>
      </c>
      <c r="D654" s="102" t="str">
        <f t="shared" si="3"/>
        <v/>
      </c>
      <c r="E654" s="100" t="str">
        <f t="array" ref="E654">IF(ISBLANK(G654),"",INDEX('POR Config List'!K:K,MATCH(G654,'POR Config List'!D:D,0)))</f>
        <v/>
      </c>
      <c r="F654" s="100" t="str">
        <f t="array" ref="F654">IF(ISBLANK(G654),"",INDEX('POR Config List'!J:J,MATCH(G654,'POR Config List'!D:D,0)))</f>
        <v/>
      </c>
      <c r="G654" s="168"/>
      <c r="H654" s="104" t="str">
        <f t="array" ref="H654">IF(ISBLANK(G654),"",INDEX('MP SKUs'!G:G,MATCH(G654,'MP SKUs'!A:A,0)))</f>
        <v/>
      </c>
      <c r="I654" s="105" t="str">
        <f t="array" ref="I654">IF(ISBLANK(G654),"",INDEX('POR Config List'!O:O,MATCH(G654,'POR Config List'!D:D,0)))</f>
        <v/>
      </c>
      <c r="J654" s="104" t="str">
        <f t="array" ref="J654">IF(ISBLANK(G654),"",INDEX('POR Config List'!H:H,MATCH(G654,'POR Config List'!D:D,0)))</f>
        <v/>
      </c>
      <c r="K654" s="105" t="str">
        <f t="array" ref="K654">IF(ISBLANK(G654),"",INDEX('POR Config List'!G:G,MATCH(G654,'POR Config List'!D:D,0)))</f>
        <v/>
      </c>
      <c r="L654" s="105"/>
      <c r="M654" s="105" t="str">
        <f t="array" ref="M654">IF(ISBLANK(G654),"",INDEX('label approval artwork'!Q:Q,MATCH( G654,'label approval artwork'!F:F,0)))</f>
        <v/>
      </c>
      <c r="N654" s="169" t="str">
        <f t="shared" si="5"/>
        <v/>
      </c>
      <c r="O654" s="102" t="str">
        <f t="array" ref="O654">IF(ISBLANK(G654),"",INDEX('POR Config List'!C:C,MATCH(G654,'POR Config List'!D:D,0)))</f>
        <v/>
      </c>
      <c r="P654" s="105" t="str">
        <f t="shared" si="4"/>
        <v/>
      </c>
      <c r="Q654" s="105" t="str">
        <f t="array" ref="Q654">IF(ISBLANK(G654),"",INDEX('label approval artwork'!J:J,MATCH( G654,'label approval artwork'!F:F,0)))</f>
        <v/>
      </c>
      <c r="R654" s="105" t="str">
        <f t="array" ref="R654">IFERROR( IF(P654&lt;&gt;"EMA",INDEX('label approval artwork'!H:H,MATCH(G654,'label approval artwork'!F:F,0),"")),"")</f>
        <v/>
      </c>
      <c r="S654" s="105"/>
      <c r="T654" s="105" t="str">
        <f t="array" ref="T654">IF(ISBLANK(G654),"",INDEX('POR Config List'!I:I,MATCH(G654,'POR Config List'!D:D,0)))</f>
        <v/>
      </c>
      <c r="AA654" s="100" t="str">
        <f t="array" ref="AA654">IF(ISBLANK(G654),"",INDEX('POR Config List'!E:E,MATCH(G654,'POR Config List'!D:D,0)))</f>
        <v/>
      </c>
      <c r="AC654" s="105"/>
      <c r="AD654" s="100"/>
      <c r="AE654" s="100"/>
      <c r="AF654" s="100"/>
      <c r="AG654" s="100"/>
      <c r="AM654" s="102"/>
      <c r="AN654" s="102"/>
      <c r="AR654" s="119"/>
      <c r="AS654" s="103"/>
    </row>
    <row r="655">
      <c r="A655" s="168"/>
      <c r="B655" s="100" t="str">
        <f t="array" ref="B655">IFERROR( INDEX('POR Config List'!A:A,MATCH(G655,'POR Config List'!D:D,0)),"")</f>
        <v/>
      </c>
      <c r="C655" s="101" t="str">
        <f t="array" ref="C655">IFERROR(INDEX('label approval artwork'!E:E,MATCH(G655,'label approval artwork'!F:F,0),""),"")</f>
        <v/>
      </c>
      <c r="D655" s="102" t="str">
        <f t="shared" si="3"/>
        <v/>
      </c>
      <c r="E655" s="100" t="str">
        <f t="array" ref="E655">IF(ISBLANK(G655),"",INDEX('POR Config List'!K:K,MATCH(G655,'POR Config List'!D:D,0)))</f>
        <v/>
      </c>
      <c r="F655" s="100" t="str">
        <f t="array" ref="F655">IF(ISBLANK(G655),"",INDEX('POR Config List'!J:J,MATCH(G655,'POR Config List'!D:D,0)))</f>
        <v/>
      </c>
      <c r="G655" s="168"/>
      <c r="H655" s="104" t="str">
        <f t="array" ref="H655">IF(ISBLANK(G655),"",INDEX('MP SKUs'!G:G,MATCH(G655,'MP SKUs'!A:A,0)))</f>
        <v/>
      </c>
      <c r="I655" s="105" t="str">
        <f t="array" ref="I655">IF(ISBLANK(G655),"",INDEX('POR Config List'!O:O,MATCH(G655,'POR Config List'!D:D,0)))</f>
        <v/>
      </c>
      <c r="J655" s="104" t="str">
        <f t="array" ref="J655">IF(ISBLANK(G655),"",INDEX('POR Config List'!H:H,MATCH(G655,'POR Config List'!D:D,0)))</f>
        <v/>
      </c>
      <c r="K655" s="105" t="str">
        <f t="array" ref="K655">IF(ISBLANK(G655),"",INDEX('POR Config List'!G:G,MATCH(G655,'POR Config List'!D:D,0)))</f>
        <v/>
      </c>
      <c r="L655" s="105"/>
      <c r="M655" s="105" t="str">
        <f t="array" ref="M655">IF(ISBLANK(G655),"",INDEX('label approval artwork'!Q:Q,MATCH( G655,'label approval artwork'!F:F,0)))</f>
        <v/>
      </c>
      <c r="N655" s="169" t="str">
        <f t="shared" si="5"/>
        <v/>
      </c>
      <c r="O655" s="102" t="str">
        <f t="array" ref="O655">IF(ISBLANK(G655),"",INDEX('POR Config List'!C:C,MATCH(G655,'POR Config List'!D:D,0)))</f>
        <v/>
      </c>
      <c r="P655" s="105" t="str">
        <f t="shared" si="4"/>
        <v/>
      </c>
      <c r="Q655" s="105" t="str">
        <f t="array" ref="Q655">IF(ISBLANK(G655),"",INDEX('label approval artwork'!J:J,MATCH( G655,'label approval artwork'!F:F,0)))</f>
        <v/>
      </c>
      <c r="R655" s="105" t="str">
        <f t="array" ref="R655">IFERROR( IF(P655&lt;&gt;"EMA",INDEX('label approval artwork'!H:H,MATCH(G655,'label approval artwork'!F:F,0),"")),"")</f>
        <v/>
      </c>
      <c r="S655" s="105"/>
      <c r="T655" s="105" t="str">
        <f t="array" ref="T655">IF(ISBLANK(G655),"",INDEX('POR Config List'!I:I,MATCH(G655,'POR Config List'!D:D,0)))</f>
        <v/>
      </c>
      <c r="AA655" s="100" t="str">
        <f t="array" ref="AA655">IF(ISBLANK(G655),"",INDEX('POR Config List'!E:E,MATCH(G655,'POR Config List'!D:D,0)))</f>
        <v/>
      </c>
      <c r="AC655" s="105"/>
      <c r="AD655" s="100"/>
      <c r="AE655" s="100"/>
      <c r="AF655" s="100"/>
      <c r="AG655" s="100"/>
      <c r="AM655" s="102"/>
      <c r="AN655" s="102"/>
      <c r="AR655" s="119"/>
      <c r="AS655" s="103"/>
    </row>
    <row r="656">
      <c r="A656" s="168"/>
      <c r="B656" s="100" t="str">
        <f t="array" ref="B656">IFERROR( INDEX('POR Config List'!A:A,MATCH(G656,'POR Config List'!D:D,0)),"")</f>
        <v/>
      </c>
      <c r="C656" s="101" t="str">
        <f t="array" ref="C656">IFERROR(INDEX('label approval artwork'!E:E,MATCH(G656,'label approval artwork'!F:F,0),""),"")</f>
        <v/>
      </c>
      <c r="D656" s="102" t="str">
        <f t="shared" si="3"/>
        <v/>
      </c>
      <c r="E656" s="100" t="str">
        <f t="array" ref="E656">IF(ISBLANK(G656),"",INDEX('POR Config List'!K:K,MATCH(G656,'POR Config List'!D:D,0)))</f>
        <v/>
      </c>
      <c r="F656" s="100" t="str">
        <f t="array" ref="F656">IF(ISBLANK(G656),"",INDEX('POR Config List'!J:J,MATCH(G656,'POR Config List'!D:D,0)))</f>
        <v/>
      </c>
      <c r="G656" s="168"/>
      <c r="H656" s="104" t="str">
        <f t="array" ref="H656">IF(ISBLANK(G656),"",INDEX('MP SKUs'!G:G,MATCH(G656,'MP SKUs'!A:A,0)))</f>
        <v/>
      </c>
      <c r="I656" s="105" t="str">
        <f t="array" ref="I656">IF(ISBLANK(G656),"",INDEX('POR Config List'!O:O,MATCH(G656,'POR Config List'!D:D,0)))</f>
        <v/>
      </c>
      <c r="J656" s="104" t="str">
        <f t="array" ref="J656">IF(ISBLANK(G656),"",INDEX('POR Config List'!H:H,MATCH(G656,'POR Config List'!D:D,0)))</f>
        <v/>
      </c>
      <c r="K656" s="105" t="str">
        <f t="array" ref="K656">IF(ISBLANK(G656),"",INDEX('POR Config List'!G:G,MATCH(G656,'POR Config List'!D:D,0)))</f>
        <v/>
      </c>
      <c r="L656" s="105"/>
      <c r="M656" s="105" t="str">
        <f t="array" ref="M656">IF(ISBLANK(G656),"",INDEX('label approval artwork'!Q:Q,MATCH( G656,'label approval artwork'!F:F,0)))</f>
        <v/>
      </c>
      <c r="N656" s="169" t="str">
        <f t="shared" si="5"/>
        <v/>
      </c>
      <c r="O656" s="102" t="str">
        <f t="array" ref="O656">IF(ISBLANK(G656),"",INDEX('POR Config List'!C:C,MATCH(G656,'POR Config List'!D:D,0)))</f>
        <v/>
      </c>
      <c r="P656" s="105" t="str">
        <f t="shared" si="4"/>
        <v/>
      </c>
      <c r="Q656" s="105" t="str">
        <f t="array" ref="Q656">IF(ISBLANK(G656),"",INDEX('label approval artwork'!J:J,MATCH( G656,'label approval artwork'!F:F,0)))</f>
        <v/>
      </c>
      <c r="R656" s="105" t="str">
        <f t="array" ref="R656">IFERROR( IF(P656&lt;&gt;"EMA",INDEX('label approval artwork'!H:H,MATCH(G656,'label approval artwork'!F:F,0),"")),"")</f>
        <v/>
      </c>
      <c r="S656" s="105"/>
      <c r="T656" s="105" t="str">
        <f t="array" ref="T656">IF(ISBLANK(G656),"",INDEX('POR Config List'!I:I,MATCH(G656,'POR Config List'!D:D,0)))</f>
        <v/>
      </c>
      <c r="AA656" s="100" t="str">
        <f t="array" ref="AA656">IF(ISBLANK(G656),"",INDEX('POR Config List'!E:E,MATCH(G656,'POR Config List'!D:D,0)))</f>
        <v/>
      </c>
      <c r="AC656" s="105"/>
      <c r="AD656" s="100"/>
      <c r="AE656" s="100"/>
      <c r="AF656" s="100"/>
      <c r="AG656" s="100"/>
      <c r="AM656" s="102"/>
      <c r="AN656" s="102"/>
      <c r="AR656" s="119"/>
      <c r="AS656" s="103"/>
    </row>
    <row r="657">
      <c r="A657" s="168"/>
      <c r="B657" s="100" t="str">
        <f t="array" ref="B657">IFERROR( INDEX('POR Config List'!A:A,MATCH(G657,'POR Config List'!D:D,0)),"")</f>
        <v/>
      </c>
      <c r="C657" s="101" t="str">
        <f t="array" ref="C657">IFERROR(INDEX('label approval artwork'!E:E,MATCH(G657,'label approval artwork'!F:F,0),""),"")</f>
        <v/>
      </c>
      <c r="D657" s="102" t="str">
        <f t="shared" si="3"/>
        <v/>
      </c>
      <c r="E657" s="100" t="str">
        <f t="array" ref="E657">IF(ISBLANK(G657),"",INDEX('POR Config List'!K:K,MATCH(G657,'POR Config List'!D:D,0)))</f>
        <v/>
      </c>
      <c r="F657" s="100" t="str">
        <f t="array" ref="F657">IF(ISBLANK(G657),"",INDEX('POR Config List'!J:J,MATCH(G657,'POR Config List'!D:D,0)))</f>
        <v/>
      </c>
      <c r="G657" s="168"/>
      <c r="H657" s="104" t="str">
        <f t="array" ref="H657">IF(ISBLANK(G657),"",INDEX('MP SKUs'!G:G,MATCH(G657,'MP SKUs'!A:A,0)))</f>
        <v/>
      </c>
      <c r="I657" s="105" t="str">
        <f t="array" ref="I657">IF(ISBLANK(G657),"",INDEX('POR Config List'!O:O,MATCH(G657,'POR Config List'!D:D,0)))</f>
        <v/>
      </c>
      <c r="J657" s="104" t="str">
        <f t="array" ref="J657">IF(ISBLANK(G657),"",INDEX('POR Config List'!H:H,MATCH(G657,'POR Config List'!D:D,0)))</f>
        <v/>
      </c>
      <c r="K657" s="105" t="str">
        <f t="array" ref="K657">IF(ISBLANK(G657),"",INDEX('POR Config List'!G:G,MATCH(G657,'POR Config List'!D:D,0)))</f>
        <v/>
      </c>
      <c r="L657" s="105"/>
      <c r="M657" s="105" t="str">
        <f t="array" ref="M657">IF(ISBLANK(G657),"",INDEX('label approval artwork'!Q:Q,MATCH( G657,'label approval artwork'!F:F,0)))</f>
        <v/>
      </c>
      <c r="N657" s="169" t="str">
        <f t="shared" si="5"/>
        <v/>
      </c>
      <c r="O657" s="102" t="str">
        <f t="array" ref="O657">IF(ISBLANK(G657),"",INDEX('POR Config List'!C:C,MATCH(G657,'POR Config List'!D:D,0)))</f>
        <v/>
      </c>
      <c r="P657" s="105" t="str">
        <f t="shared" si="4"/>
        <v/>
      </c>
      <c r="Q657" s="105" t="str">
        <f t="array" ref="Q657">IF(ISBLANK(G657),"",INDEX('label approval artwork'!J:J,MATCH( G657,'label approval artwork'!F:F,0)))</f>
        <v/>
      </c>
      <c r="R657" s="105" t="str">
        <f t="array" ref="R657">IFERROR( IF(P657&lt;&gt;"EMA",INDEX('label approval artwork'!H:H,MATCH(G657,'label approval artwork'!F:F,0),"")),"")</f>
        <v/>
      </c>
      <c r="S657" s="105"/>
      <c r="T657" s="105" t="str">
        <f t="array" ref="T657">IF(ISBLANK(G657),"",INDEX('POR Config List'!I:I,MATCH(G657,'POR Config List'!D:D,0)))</f>
        <v/>
      </c>
      <c r="AA657" s="100" t="str">
        <f t="array" ref="AA657">IF(ISBLANK(G657),"",INDEX('POR Config List'!E:E,MATCH(G657,'POR Config List'!D:D,0)))</f>
        <v/>
      </c>
      <c r="AC657" s="105"/>
      <c r="AD657" s="100"/>
      <c r="AE657" s="100"/>
      <c r="AF657" s="100"/>
      <c r="AG657" s="100"/>
      <c r="AM657" s="102"/>
      <c r="AN657" s="102"/>
      <c r="AR657" s="119"/>
      <c r="AS657" s="103"/>
    </row>
    <row r="658">
      <c r="A658" s="168"/>
      <c r="B658" s="100" t="str">
        <f t="array" ref="B658">IFERROR( INDEX('POR Config List'!A:A,MATCH(G658,'POR Config List'!D:D,0)),"")</f>
        <v/>
      </c>
      <c r="C658" s="101" t="str">
        <f t="array" ref="C658">IFERROR(INDEX('label approval artwork'!E:E,MATCH(G658,'label approval artwork'!F:F,0),""),"")</f>
        <v/>
      </c>
      <c r="D658" s="102" t="str">
        <f t="shared" si="3"/>
        <v/>
      </c>
      <c r="E658" s="100" t="str">
        <f t="array" ref="E658">IF(ISBLANK(G658),"",INDEX('POR Config List'!K:K,MATCH(G658,'POR Config List'!D:D,0)))</f>
        <v/>
      </c>
      <c r="F658" s="100" t="str">
        <f t="array" ref="F658">IF(ISBLANK(G658),"",INDEX('POR Config List'!J:J,MATCH(G658,'POR Config List'!D:D,0)))</f>
        <v/>
      </c>
      <c r="G658" s="168"/>
      <c r="H658" s="104" t="str">
        <f t="array" ref="H658">IF(ISBLANK(G658),"",INDEX('MP SKUs'!G:G,MATCH(G658,'MP SKUs'!A:A,0)))</f>
        <v/>
      </c>
      <c r="I658" s="105" t="str">
        <f t="array" ref="I658">IF(ISBLANK(G658),"",INDEX('POR Config List'!O:O,MATCH(G658,'POR Config List'!D:D,0)))</f>
        <v/>
      </c>
      <c r="J658" s="104" t="str">
        <f t="array" ref="J658">IF(ISBLANK(G658),"",INDEX('POR Config List'!H:H,MATCH(G658,'POR Config List'!D:D,0)))</f>
        <v/>
      </c>
      <c r="K658" s="105" t="str">
        <f t="array" ref="K658">IF(ISBLANK(G658),"",INDEX('POR Config List'!G:G,MATCH(G658,'POR Config List'!D:D,0)))</f>
        <v/>
      </c>
      <c r="L658" s="105"/>
      <c r="M658" s="105" t="str">
        <f t="array" ref="M658">IF(ISBLANK(G658),"",INDEX('label approval artwork'!Q:Q,MATCH( G658,'label approval artwork'!F:F,0)))</f>
        <v/>
      </c>
      <c r="N658" s="169" t="str">
        <f t="shared" si="5"/>
        <v/>
      </c>
      <c r="O658" s="102" t="str">
        <f t="array" ref="O658">IF(ISBLANK(G658),"",INDEX('POR Config List'!C:C,MATCH(G658,'POR Config List'!D:D,0)))</f>
        <v/>
      </c>
      <c r="P658" s="105" t="str">
        <f t="shared" si="4"/>
        <v/>
      </c>
      <c r="Q658" s="105" t="str">
        <f t="array" ref="Q658">IF(ISBLANK(G658),"",INDEX('label approval artwork'!J:J,MATCH( G658,'label approval artwork'!F:F,0)))</f>
        <v/>
      </c>
      <c r="R658" s="105" t="str">
        <f t="array" ref="R658">IFERROR( IF(P658&lt;&gt;"EMA",INDEX('label approval artwork'!H:H,MATCH(G658,'label approval artwork'!F:F,0),"")),"")</f>
        <v/>
      </c>
      <c r="S658" s="105"/>
      <c r="T658" s="105" t="str">
        <f t="array" ref="T658">IF(ISBLANK(G658),"",INDEX('POR Config List'!I:I,MATCH(G658,'POR Config List'!D:D,0)))</f>
        <v/>
      </c>
      <c r="AA658" s="100" t="str">
        <f t="array" ref="AA658">IF(ISBLANK(G658),"",INDEX('POR Config List'!E:E,MATCH(G658,'POR Config List'!D:D,0)))</f>
        <v/>
      </c>
      <c r="AC658" s="105"/>
      <c r="AD658" s="100"/>
      <c r="AE658" s="100"/>
      <c r="AF658" s="100"/>
      <c r="AG658" s="100"/>
      <c r="AM658" s="102"/>
      <c r="AN658" s="102"/>
      <c r="AR658" s="119"/>
      <c r="AS658" s="103"/>
    </row>
    <row r="659">
      <c r="A659" s="168"/>
      <c r="B659" s="100" t="str">
        <f t="array" ref="B659">IFERROR( INDEX('POR Config List'!A:A,MATCH(G659,'POR Config List'!D:D,0)),"")</f>
        <v/>
      </c>
      <c r="C659" s="101" t="str">
        <f t="array" ref="C659">IFERROR(INDEX('label approval artwork'!E:E,MATCH(G659,'label approval artwork'!F:F,0),""),"")</f>
        <v/>
      </c>
      <c r="D659" s="102" t="str">
        <f t="shared" si="3"/>
        <v/>
      </c>
      <c r="E659" s="100" t="str">
        <f t="array" ref="E659">IF(ISBLANK(G659),"",INDEX('POR Config List'!K:K,MATCH(G659,'POR Config List'!D:D,0)))</f>
        <v/>
      </c>
      <c r="F659" s="100" t="str">
        <f t="array" ref="F659">IF(ISBLANK(G659),"",INDEX('POR Config List'!J:J,MATCH(G659,'POR Config List'!D:D,0)))</f>
        <v/>
      </c>
      <c r="G659" s="168"/>
      <c r="H659" s="104" t="str">
        <f t="array" ref="H659">IF(ISBLANK(G659),"",INDEX('MP SKUs'!G:G,MATCH(G659,'MP SKUs'!A:A,0)))</f>
        <v/>
      </c>
      <c r="I659" s="105" t="str">
        <f t="array" ref="I659">IF(ISBLANK(G659),"",INDEX('POR Config List'!O:O,MATCH(G659,'POR Config List'!D:D,0)))</f>
        <v/>
      </c>
      <c r="J659" s="104" t="str">
        <f t="array" ref="J659">IF(ISBLANK(G659),"",INDEX('POR Config List'!H:H,MATCH(G659,'POR Config List'!D:D,0)))</f>
        <v/>
      </c>
      <c r="K659" s="105" t="str">
        <f t="array" ref="K659">IF(ISBLANK(G659),"",INDEX('POR Config List'!G:G,MATCH(G659,'POR Config List'!D:D,0)))</f>
        <v/>
      </c>
      <c r="L659" s="105"/>
      <c r="M659" s="105" t="str">
        <f t="array" ref="M659">IF(ISBLANK(G659),"",INDEX('label approval artwork'!Q:Q,MATCH( G659,'label approval artwork'!F:F,0)))</f>
        <v/>
      </c>
      <c r="N659" s="169" t="str">
        <f t="shared" si="5"/>
        <v/>
      </c>
      <c r="O659" s="102" t="str">
        <f t="array" ref="O659">IF(ISBLANK(G659),"",INDEX('POR Config List'!C:C,MATCH(G659,'POR Config List'!D:D,0)))</f>
        <v/>
      </c>
      <c r="P659" s="105" t="str">
        <f t="shared" si="4"/>
        <v/>
      </c>
      <c r="Q659" s="105" t="str">
        <f t="array" ref="Q659">IF(ISBLANK(G659),"",INDEX('label approval artwork'!J:J,MATCH( G659,'label approval artwork'!F:F,0)))</f>
        <v/>
      </c>
      <c r="R659" s="105" t="str">
        <f t="array" ref="R659">IFERROR( IF(P659&lt;&gt;"EMA",INDEX('label approval artwork'!H:H,MATCH(G659,'label approval artwork'!F:F,0),"")),"")</f>
        <v/>
      </c>
      <c r="S659" s="105"/>
      <c r="T659" s="105" t="str">
        <f t="array" ref="T659">IF(ISBLANK(G659),"",INDEX('POR Config List'!I:I,MATCH(G659,'POR Config List'!D:D,0)))</f>
        <v/>
      </c>
      <c r="AA659" s="100" t="str">
        <f t="array" ref="AA659">IF(ISBLANK(G659),"",INDEX('POR Config List'!E:E,MATCH(G659,'POR Config List'!D:D,0)))</f>
        <v/>
      </c>
      <c r="AC659" s="105"/>
      <c r="AD659" s="100"/>
      <c r="AE659" s="100"/>
      <c r="AF659" s="100"/>
      <c r="AG659" s="100"/>
      <c r="AM659" s="102"/>
      <c r="AN659" s="102"/>
      <c r="AR659" s="119"/>
      <c r="AS659" s="103"/>
    </row>
    <row r="660">
      <c r="A660" s="168"/>
      <c r="B660" s="100" t="str">
        <f t="array" ref="B660">IFERROR( INDEX('POR Config List'!A:A,MATCH(G660,'POR Config List'!D:D,0)),"")</f>
        <v/>
      </c>
      <c r="C660" s="101" t="str">
        <f t="array" ref="C660">IFERROR(INDEX('label approval artwork'!E:E,MATCH(G660,'label approval artwork'!F:F,0),""),"")</f>
        <v/>
      </c>
      <c r="D660" s="102" t="str">
        <f t="shared" si="3"/>
        <v/>
      </c>
      <c r="E660" s="100" t="str">
        <f t="array" ref="E660">IF(ISBLANK(G660),"",INDEX('POR Config List'!K:K,MATCH(G660,'POR Config List'!D:D,0)))</f>
        <v/>
      </c>
      <c r="F660" s="100" t="str">
        <f t="array" ref="F660">IF(ISBLANK(G660),"",INDEX('POR Config List'!J:J,MATCH(G660,'POR Config List'!D:D,0)))</f>
        <v/>
      </c>
      <c r="G660" s="168"/>
      <c r="H660" s="104" t="str">
        <f t="array" ref="H660">IF(ISBLANK(G660),"",INDEX('MP SKUs'!G:G,MATCH(G660,'MP SKUs'!A:A,0)))</f>
        <v/>
      </c>
      <c r="I660" s="105" t="str">
        <f t="array" ref="I660">IF(ISBLANK(G660),"",INDEX('POR Config List'!O:O,MATCH(G660,'POR Config List'!D:D,0)))</f>
        <v/>
      </c>
      <c r="J660" s="104" t="str">
        <f t="array" ref="J660">IF(ISBLANK(G660),"",INDEX('POR Config List'!H:H,MATCH(G660,'POR Config List'!D:D,0)))</f>
        <v/>
      </c>
      <c r="K660" s="105" t="str">
        <f t="array" ref="K660">IF(ISBLANK(G660),"",INDEX('POR Config List'!G:G,MATCH(G660,'POR Config List'!D:D,0)))</f>
        <v/>
      </c>
      <c r="L660" s="105"/>
      <c r="M660" s="105" t="str">
        <f t="array" ref="M660">IF(ISBLANK(G660),"",INDEX('label approval artwork'!Q:Q,MATCH( G660,'label approval artwork'!F:F,0)))</f>
        <v/>
      </c>
      <c r="N660" s="169" t="str">
        <f t="shared" si="5"/>
        <v/>
      </c>
      <c r="O660" s="102" t="str">
        <f t="array" ref="O660">IF(ISBLANK(G660),"",INDEX('POR Config List'!C:C,MATCH(G660,'POR Config List'!D:D,0)))</f>
        <v/>
      </c>
      <c r="P660" s="105" t="str">
        <f t="shared" si="4"/>
        <v/>
      </c>
      <c r="Q660" s="105" t="str">
        <f t="array" ref="Q660">IF(ISBLANK(G660),"",INDEX('label approval artwork'!J:J,MATCH( G660,'label approval artwork'!F:F,0)))</f>
        <v/>
      </c>
      <c r="R660" s="105" t="str">
        <f t="array" ref="R660">IFERROR( IF(P660&lt;&gt;"EMA",INDEX('label approval artwork'!H:H,MATCH(G660,'label approval artwork'!F:F,0),"")),"")</f>
        <v/>
      </c>
      <c r="S660" s="105"/>
      <c r="T660" s="105" t="str">
        <f t="array" ref="T660">IF(ISBLANK(G660),"",INDEX('POR Config List'!I:I,MATCH(G660,'POR Config List'!D:D,0)))</f>
        <v/>
      </c>
      <c r="AA660" s="100" t="str">
        <f t="array" ref="AA660">IF(ISBLANK(G660),"",INDEX('POR Config List'!E:E,MATCH(G660,'POR Config List'!D:D,0)))</f>
        <v/>
      </c>
      <c r="AC660" s="105"/>
      <c r="AD660" s="100"/>
      <c r="AE660" s="100"/>
      <c r="AF660" s="100"/>
      <c r="AG660" s="100"/>
      <c r="AM660" s="102"/>
      <c r="AN660" s="102"/>
      <c r="AR660" s="119"/>
      <c r="AS660" s="103"/>
    </row>
    <row r="661">
      <c r="A661" s="168"/>
      <c r="B661" s="100" t="str">
        <f t="array" ref="B661">IFERROR( INDEX('POR Config List'!A:A,MATCH(G661,'POR Config List'!D:D,0)),"")</f>
        <v/>
      </c>
      <c r="C661" s="101" t="str">
        <f t="array" ref="C661">IFERROR(INDEX('label approval artwork'!E:E,MATCH(G661,'label approval artwork'!F:F,0),""),"")</f>
        <v/>
      </c>
      <c r="D661" s="102" t="str">
        <f t="shared" si="3"/>
        <v/>
      </c>
      <c r="E661" s="100" t="str">
        <f t="array" ref="E661">IF(ISBLANK(G661),"",INDEX('POR Config List'!K:K,MATCH(G661,'POR Config List'!D:D,0)))</f>
        <v/>
      </c>
      <c r="F661" s="100" t="str">
        <f t="array" ref="F661">IF(ISBLANK(G661),"",INDEX('POR Config List'!J:J,MATCH(G661,'POR Config List'!D:D,0)))</f>
        <v/>
      </c>
      <c r="G661" s="168"/>
      <c r="H661" s="104" t="str">
        <f t="array" ref="H661">IF(ISBLANK(G661),"",INDEX('MP SKUs'!G:G,MATCH(G661,'MP SKUs'!A:A,0)))</f>
        <v/>
      </c>
      <c r="I661" s="105" t="str">
        <f t="array" ref="I661">IF(ISBLANK(G661),"",INDEX('POR Config List'!O:O,MATCH(G661,'POR Config List'!D:D,0)))</f>
        <v/>
      </c>
      <c r="J661" s="104" t="str">
        <f t="array" ref="J661">IF(ISBLANK(G661),"",INDEX('POR Config List'!H:H,MATCH(G661,'POR Config List'!D:D,0)))</f>
        <v/>
      </c>
      <c r="K661" s="105" t="str">
        <f t="array" ref="K661">IF(ISBLANK(G661),"",INDEX('POR Config List'!G:G,MATCH(G661,'POR Config List'!D:D,0)))</f>
        <v/>
      </c>
      <c r="L661" s="105"/>
      <c r="M661" s="105" t="str">
        <f t="array" ref="M661">IF(ISBLANK(G661),"",INDEX('label approval artwork'!Q:Q,MATCH( G661,'label approval artwork'!F:F,0)))</f>
        <v/>
      </c>
      <c r="N661" s="169" t="str">
        <f t="shared" si="5"/>
        <v/>
      </c>
      <c r="O661" s="102" t="str">
        <f t="array" ref="O661">IF(ISBLANK(G661),"",INDEX('POR Config List'!C:C,MATCH(G661,'POR Config List'!D:D,0)))</f>
        <v/>
      </c>
      <c r="P661" s="105" t="str">
        <f t="shared" si="4"/>
        <v/>
      </c>
      <c r="Q661" s="105" t="str">
        <f t="array" ref="Q661">IF(ISBLANK(G661),"",INDEX('label approval artwork'!J:J,MATCH( G661,'label approval artwork'!F:F,0)))</f>
        <v/>
      </c>
      <c r="R661" s="105" t="str">
        <f t="array" ref="R661">IFERROR( IF(P661&lt;&gt;"EMA",INDEX('label approval artwork'!H:H,MATCH(G661,'label approval artwork'!F:F,0),"")),"")</f>
        <v/>
      </c>
      <c r="S661" s="105"/>
      <c r="T661" s="105" t="str">
        <f t="array" ref="T661">IF(ISBLANK(G661),"",INDEX('POR Config List'!I:I,MATCH(G661,'POR Config List'!D:D,0)))</f>
        <v/>
      </c>
      <c r="AA661" s="100" t="str">
        <f t="array" ref="AA661">IF(ISBLANK(G661),"",INDEX('POR Config List'!E:E,MATCH(G661,'POR Config List'!D:D,0)))</f>
        <v/>
      </c>
      <c r="AC661" s="105"/>
      <c r="AD661" s="100"/>
      <c r="AE661" s="100"/>
      <c r="AF661" s="100"/>
      <c r="AG661" s="100"/>
      <c r="AM661" s="102"/>
      <c r="AN661" s="102"/>
      <c r="AR661" s="119"/>
      <c r="AS661" s="103"/>
    </row>
    <row r="662">
      <c r="A662" s="168"/>
      <c r="B662" s="100" t="str">
        <f t="array" ref="B662">IFERROR( INDEX('POR Config List'!A:A,MATCH(G662,'POR Config List'!D:D,0)),"")</f>
        <v/>
      </c>
      <c r="C662" s="101" t="str">
        <f t="array" ref="C662">IFERROR(INDEX('label approval artwork'!E:E,MATCH(G662,'label approval artwork'!F:F,0),""),"")</f>
        <v/>
      </c>
      <c r="D662" s="102" t="str">
        <f t="shared" si="3"/>
        <v/>
      </c>
      <c r="E662" s="100" t="str">
        <f t="array" ref="E662">IF(ISBLANK(G662),"",INDEX('POR Config List'!K:K,MATCH(G662,'POR Config List'!D:D,0)))</f>
        <v/>
      </c>
      <c r="F662" s="100" t="str">
        <f t="array" ref="F662">IF(ISBLANK(G662),"",INDEX('POR Config List'!J:J,MATCH(G662,'POR Config List'!D:D,0)))</f>
        <v/>
      </c>
      <c r="G662" s="168"/>
      <c r="H662" s="104" t="str">
        <f t="array" ref="H662">IF(ISBLANK(G662),"",INDEX('MP SKUs'!G:G,MATCH(G662,'MP SKUs'!A:A,0)))</f>
        <v/>
      </c>
      <c r="I662" s="105" t="str">
        <f t="array" ref="I662">IF(ISBLANK(G662),"",INDEX('POR Config List'!O:O,MATCH(G662,'POR Config List'!D:D,0)))</f>
        <v/>
      </c>
      <c r="J662" s="104" t="str">
        <f t="array" ref="J662">IF(ISBLANK(G662),"",INDEX('POR Config List'!H:H,MATCH(G662,'POR Config List'!D:D,0)))</f>
        <v/>
      </c>
      <c r="K662" s="105" t="str">
        <f t="array" ref="K662">IF(ISBLANK(G662),"",INDEX('POR Config List'!G:G,MATCH(G662,'POR Config List'!D:D,0)))</f>
        <v/>
      </c>
      <c r="L662" s="105"/>
      <c r="M662" s="105" t="str">
        <f t="array" ref="M662">IF(ISBLANK(G662),"",INDEX('label approval artwork'!Q:Q,MATCH( G662,'label approval artwork'!F:F,0)))</f>
        <v/>
      </c>
      <c r="N662" s="169" t="str">
        <f t="shared" si="5"/>
        <v/>
      </c>
      <c r="O662" s="102" t="str">
        <f t="array" ref="O662">IF(ISBLANK(G662),"",INDEX('POR Config List'!C:C,MATCH(G662,'POR Config List'!D:D,0)))</f>
        <v/>
      </c>
      <c r="P662" s="105" t="str">
        <f t="shared" si="4"/>
        <v/>
      </c>
      <c r="Q662" s="105" t="str">
        <f t="array" ref="Q662">IF(ISBLANK(G662),"",INDEX('label approval artwork'!J:J,MATCH( G662,'label approval artwork'!F:F,0)))</f>
        <v/>
      </c>
      <c r="R662" s="105" t="str">
        <f t="array" ref="R662">IFERROR( IF(P662&lt;&gt;"EMA",INDEX('label approval artwork'!H:H,MATCH(G662,'label approval artwork'!F:F,0),"")),"")</f>
        <v/>
      </c>
      <c r="S662" s="105"/>
      <c r="T662" s="105" t="str">
        <f t="array" ref="T662">IF(ISBLANK(G662),"",INDEX('POR Config List'!I:I,MATCH(G662,'POR Config List'!D:D,0)))</f>
        <v/>
      </c>
      <c r="AA662" s="100" t="str">
        <f t="array" ref="AA662">IF(ISBLANK(G662),"",INDEX('POR Config List'!E:E,MATCH(G662,'POR Config List'!D:D,0)))</f>
        <v/>
      </c>
      <c r="AC662" s="105"/>
      <c r="AD662" s="100"/>
      <c r="AE662" s="100"/>
      <c r="AF662" s="100"/>
      <c r="AG662" s="100"/>
      <c r="AM662" s="102"/>
      <c r="AN662" s="102"/>
      <c r="AR662" s="119"/>
      <c r="AS662" s="103"/>
    </row>
    <row r="663">
      <c r="A663" s="168"/>
      <c r="B663" s="100" t="str">
        <f t="array" ref="B663">IFERROR( INDEX('POR Config List'!A:A,MATCH(G663,'POR Config List'!D:D,0)),"")</f>
        <v/>
      </c>
      <c r="C663" s="101" t="str">
        <f t="array" ref="C663">IFERROR(INDEX('label approval artwork'!E:E,MATCH(G663,'label approval artwork'!F:F,0),""),"")</f>
        <v/>
      </c>
      <c r="D663" s="102" t="str">
        <f t="shared" si="3"/>
        <v/>
      </c>
      <c r="E663" s="100" t="str">
        <f t="array" ref="E663">IF(ISBLANK(G663),"",INDEX('POR Config List'!K:K,MATCH(G663,'POR Config List'!D:D,0)))</f>
        <v/>
      </c>
      <c r="F663" s="100" t="str">
        <f t="array" ref="F663">IF(ISBLANK(G663),"",INDEX('POR Config List'!J:J,MATCH(G663,'POR Config List'!D:D,0)))</f>
        <v/>
      </c>
      <c r="G663" s="168"/>
      <c r="H663" s="104" t="str">
        <f t="array" ref="H663">IF(ISBLANK(G663),"",INDEX('MP SKUs'!G:G,MATCH(G663,'MP SKUs'!A:A,0)))</f>
        <v/>
      </c>
      <c r="I663" s="105" t="str">
        <f t="array" ref="I663">IF(ISBLANK(G663),"",INDEX('POR Config List'!O:O,MATCH(G663,'POR Config List'!D:D,0)))</f>
        <v/>
      </c>
      <c r="J663" s="104" t="str">
        <f t="array" ref="J663">IF(ISBLANK(G663),"",INDEX('POR Config List'!H:H,MATCH(G663,'POR Config List'!D:D,0)))</f>
        <v/>
      </c>
      <c r="K663" s="105" t="str">
        <f t="array" ref="K663">IF(ISBLANK(G663),"",INDEX('POR Config List'!G:G,MATCH(G663,'POR Config List'!D:D,0)))</f>
        <v/>
      </c>
      <c r="L663" s="105"/>
      <c r="M663" s="105" t="str">
        <f t="array" ref="M663">IF(ISBLANK(G663),"",INDEX('label approval artwork'!Q:Q,MATCH( G663,'label approval artwork'!F:F,0)))</f>
        <v/>
      </c>
      <c r="N663" s="169" t="str">
        <f t="shared" si="5"/>
        <v/>
      </c>
      <c r="O663" s="102" t="str">
        <f t="array" ref="O663">IF(ISBLANK(G663),"",INDEX('POR Config List'!C:C,MATCH(G663,'POR Config List'!D:D,0)))</f>
        <v/>
      </c>
      <c r="P663" s="105" t="str">
        <f t="shared" si="4"/>
        <v/>
      </c>
      <c r="Q663" s="105" t="str">
        <f t="array" ref="Q663">IF(ISBLANK(G663),"",INDEX('label approval artwork'!J:J,MATCH( G663,'label approval artwork'!F:F,0)))</f>
        <v/>
      </c>
      <c r="R663" s="105" t="str">
        <f t="array" ref="R663">IFERROR( IF(P663&lt;&gt;"EMA",INDEX('label approval artwork'!H:H,MATCH(G663,'label approval artwork'!F:F,0),"")),"")</f>
        <v/>
      </c>
      <c r="S663" s="105"/>
      <c r="T663" s="105" t="str">
        <f t="array" ref="T663">IF(ISBLANK(G663),"",INDEX('POR Config List'!I:I,MATCH(G663,'POR Config List'!D:D,0)))</f>
        <v/>
      </c>
      <c r="AA663" s="100" t="str">
        <f t="array" ref="AA663">IF(ISBLANK(G663),"",INDEX('POR Config List'!E:E,MATCH(G663,'POR Config List'!D:D,0)))</f>
        <v/>
      </c>
      <c r="AC663" s="105"/>
      <c r="AD663" s="100"/>
      <c r="AE663" s="100"/>
      <c r="AF663" s="100"/>
      <c r="AG663" s="100"/>
      <c r="AM663" s="102"/>
      <c r="AN663" s="102"/>
      <c r="AR663" s="119"/>
      <c r="AS663" s="103"/>
    </row>
    <row r="664">
      <c r="A664" s="168"/>
      <c r="B664" s="100" t="str">
        <f t="array" ref="B664">IFERROR( INDEX('POR Config List'!A:A,MATCH(G664,'POR Config List'!D:D,0)),"")</f>
        <v/>
      </c>
      <c r="C664" s="101" t="str">
        <f t="array" ref="C664">IFERROR(INDEX('label approval artwork'!E:E,MATCH(G664,'label approval artwork'!F:F,0),""),"")</f>
        <v/>
      </c>
      <c r="D664" s="102" t="str">
        <f t="shared" si="3"/>
        <v/>
      </c>
      <c r="E664" s="100" t="str">
        <f t="array" ref="E664">IF(ISBLANK(G664),"",INDEX('POR Config List'!K:K,MATCH(G664,'POR Config List'!D:D,0)))</f>
        <v/>
      </c>
      <c r="F664" s="100" t="str">
        <f t="array" ref="F664">IF(ISBLANK(G664),"",INDEX('POR Config List'!J:J,MATCH(G664,'POR Config List'!D:D,0)))</f>
        <v/>
      </c>
      <c r="G664" s="168"/>
      <c r="H664" s="104" t="str">
        <f t="array" ref="H664">IF(ISBLANK(G664),"",INDEX('MP SKUs'!G:G,MATCH(G664,'MP SKUs'!A:A,0)))</f>
        <v/>
      </c>
      <c r="I664" s="105" t="str">
        <f t="array" ref="I664">IF(ISBLANK(G664),"",INDEX('POR Config List'!O:O,MATCH(G664,'POR Config List'!D:D,0)))</f>
        <v/>
      </c>
      <c r="J664" s="104" t="str">
        <f t="array" ref="J664">IF(ISBLANK(G664),"",INDEX('POR Config List'!H:H,MATCH(G664,'POR Config List'!D:D,0)))</f>
        <v/>
      </c>
      <c r="K664" s="105" t="str">
        <f t="array" ref="K664">IF(ISBLANK(G664),"",INDEX('POR Config List'!G:G,MATCH(G664,'POR Config List'!D:D,0)))</f>
        <v/>
      </c>
      <c r="L664" s="105"/>
      <c r="M664" s="105" t="str">
        <f t="array" ref="M664">IF(ISBLANK(G664),"",INDEX('label approval artwork'!Q:Q,MATCH( G664,'label approval artwork'!F:F,0)))</f>
        <v/>
      </c>
      <c r="N664" s="169" t="str">
        <f t="shared" si="5"/>
        <v/>
      </c>
      <c r="O664" s="102" t="str">
        <f t="array" ref="O664">IF(ISBLANK(G664),"",INDEX('POR Config List'!C:C,MATCH(G664,'POR Config List'!D:D,0)))</f>
        <v/>
      </c>
      <c r="P664" s="105" t="str">
        <f t="shared" si="4"/>
        <v/>
      </c>
      <c r="Q664" s="105" t="str">
        <f t="array" ref="Q664">IF(ISBLANK(G664),"",INDEX('label approval artwork'!J:J,MATCH( G664,'label approval artwork'!F:F,0)))</f>
        <v/>
      </c>
      <c r="R664" s="105" t="str">
        <f t="array" ref="R664">IFERROR( IF(P664&lt;&gt;"EMA",INDEX('label approval artwork'!H:H,MATCH(G664,'label approval artwork'!F:F,0),"")),"")</f>
        <v/>
      </c>
      <c r="S664" s="105"/>
      <c r="T664" s="105" t="str">
        <f t="array" ref="T664">IF(ISBLANK(G664),"",INDEX('POR Config List'!I:I,MATCH(G664,'POR Config List'!D:D,0)))</f>
        <v/>
      </c>
      <c r="AA664" s="100" t="str">
        <f t="array" ref="AA664">IF(ISBLANK(G664),"",INDEX('POR Config List'!E:E,MATCH(G664,'POR Config List'!D:D,0)))</f>
        <v/>
      </c>
      <c r="AC664" s="105"/>
      <c r="AD664" s="100"/>
      <c r="AE664" s="100"/>
      <c r="AF664" s="100"/>
      <c r="AG664" s="100"/>
      <c r="AM664" s="102"/>
      <c r="AN664" s="102"/>
      <c r="AR664" s="119"/>
      <c r="AS664" s="103"/>
    </row>
    <row r="665">
      <c r="A665" s="168"/>
      <c r="B665" s="100" t="str">
        <f t="array" ref="B665">IFERROR( INDEX('POR Config List'!A:A,MATCH(G665,'POR Config List'!D:D,0)),"")</f>
        <v/>
      </c>
      <c r="C665" s="101" t="str">
        <f t="array" ref="C665">IFERROR(INDEX('label approval artwork'!E:E,MATCH(G665,'label approval artwork'!F:F,0),""),"")</f>
        <v/>
      </c>
      <c r="D665" s="102" t="str">
        <f t="shared" si="3"/>
        <v/>
      </c>
      <c r="E665" s="100" t="str">
        <f t="array" ref="E665">IF(ISBLANK(G665),"",INDEX('POR Config List'!K:K,MATCH(G665,'POR Config List'!D:D,0)))</f>
        <v/>
      </c>
      <c r="F665" s="100" t="str">
        <f t="array" ref="F665">IF(ISBLANK(G665),"",INDEX('POR Config List'!J:J,MATCH(G665,'POR Config List'!D:D,0)))</f>
        <v/>
      </c>
      <c r="G665" s="168"/>
      <c r="H665" s="104" t="str">
        <f t="array" ref="H665">IF(ISBLANK(G665),"",INDEX('MP SKUs'!G:G,MATCH(G665,'MP SKUs'!A:A,0)))</f>
        <v/>
      </c>
      <c r="I665" s="105" t="str">
        <f t="array" ref="I665">IF(ISBLANK(G665),"",INDEX('POR Config List'!O:O,MATCH(G665,'POR Config List'!D:D,0)))</f>
        <v/>
      </c>
      <c r="J665" s="104" t="str">
        <f t="array" ref="J665">IF(ISBLANK(G665),"",INDEX('POR Config List'!H:H,MATCH(G665,'POR Config List'!D:D,0)))</f>
        <v/>
      </c>
      <c r="K665" s="105" t="str">
        <f t="array" ref="K665">IF(ISBLANK(G665),"",INDEX('POR Config List'!G:G,MATCH(G665,'POR Config List'!D:D,0)))</f>
        <v/>
      </c>
      <c r="L665" s="105"/>
      <c r="M665" s="105" t="str">
        <f t="array" ref="M665">IF(ISBLANK(G665),"",INDEX('label approval artwork'!Q:Q,MATCH( G665,'label approval artwork'!F:F,0)))</f>
        <v/>
      </c>
      <c r="N665" s="169" t="str">
        <f t="shared" si="5"/>
        <v/>
      </c>
      <c r="O665" s="102" t="str">
        <f t="array" ref="O665">IF(ISBLANK(G665),"",INDEX('POR Config List'!C:C,MATCH(G665,'POR Config List'!D:D,0)))</f>
        <v/>
      </c>
      <c r="P665" s="105" t="str">
        <f t="shared" si="4"/>
        <v/>
      </c>
      <c r="Q665" s="105" t="str">
        <f t="array" ref="Q665">IF(ISBLANK(G665),"",INDEX('label approval artwork'!J:J,MATCH( G665,'label approval artwork'!F:F,0)))</f>
        <v/>
      </c>
      <c r="R665" s="105" t="str">
        <f t="array" ref="R665">IFERROR( IF(P665&lt;&gt;"EMA",INDEX('label approval artwork'!H:H,MATCH(G665,'label approval artwork'!F:F,0),"")),"")</f>
        <v/>
      </c>
      <c r="S665" s="105"/>
      <c r="T665" s="105" t="str">
        <f t="array" ref="T665">IF(ISBLANK(G665),"",INDEX('POR Config List'!I:I,MATCH(G665,'POR Config List'!D:D,0)))</f>
        <v/>
      </c>
      <c r="AA665" s="100" t="str">
        <f t="array" ref="AA665">IF(ISBLANK(G665),"",INDEX('POR Config List'!E:E,MATCH(G665,'POR Config List'!D:D,0)))</f>
        <v/>
      </c>
      <c r="AC665" s="105"/>
      <c r="AD665" s="100"/>
      <c r="AE665" s="100"/>
      <c r="AF665" s="100"/>
      <c r="AG665" s="100"/>
      <c r="AM665" s="102"/>
      <c r="AN665" s="102"/>
      <c r="AR665" s="119"/>
      <c r="AS665" s="103"/>
    </row>
    <row r="666">
      <c r="A666" s="168"/>
      <c r="B666" s="100" t="str">
        <f t="array" ref="B666">IFERROR( INDEX('POR Config List'!A:A,MATCH(G666,'POR Config List'!D:D,0)),"")</f>
        <v/>
      </c>
      <c r="C666" s="101" t="str">
        <f t="array" ref="C666">IFERROR(INDEX('label approval artwork'!E:E,MATCH(G666,'label approval artwork'!F:F,0),""),"")</f>
        <v/>
      </c>
      <c r="D666" s="102" t="str">
        <f t="shared" si="3"/>
        <v/>
      </c>
      <c r="E666" s="100" t="str">
        <f t="array" ref="E666">IF(ISBLANK(G666),"",INDEX('POR Config List'!K:K,MATCH(G666,'POR Config List'!D:D,0)))</f>
        <v/>
      </c>
      <c r="F666" s="100" t="str">
        <f t="array" ref="F666">IF(ISBLANK(G666),"",INDEX('POR Config List'!J:J,MATCH(G666,'POR Config List'!D:D,0)))</f>
        <v/>
      </c>
      <c r="G666" s="168"/>
      <c r="H666" s="104" t="str">
        <f t="array" ref="H666">IF(ISBLANK(G666),"",INDEX('MP SKUs'!G:G,MATCH(G666,'MP SKUs'!A:A,0)))</f>
        <v/>
      </c>
      <c r="I666" s="105" t="str">
        <f t="array" ref="I666">IF(ISBLANK(G666),"",INDEX('POR Config List'!O:O,MATCH(G666,'POR Config List'!D:D,0)))</f>
        <v/>
      </c>
      <c r="J666" s="104" t="str">
        <f t="array" ref="J666">IF(ISBLANK(G666),"",INDEX('POR Config List'!H:H,MATCH(G666,'POR Config List'!D:D,0)))</f>
        <v/>
      </c>
      <c r="K666" s="105" t="str">
        <f t="array" ref="K666">IF(ISBLANK(G666),"",INDEX('POR Config List'!G:G,MATCH(G666,'POR Config List'!D:D,0)))</f>
        <v/>
      </c>
      <c r="L666" s="105"/>
      <c r="M666" s="105" t="str">
        <f t="array" ref="M666">IF(ISBLANK(G666),"",INDEX('label approval artwork'!Q:Q,MATCH( G666,'label approval artwork'!F:F,0)))</f>
        <v/>
      </c>
      <c r="N666" s="169" t="str">
        <f t="shared" si="5"/>
        <v/>
      </c>
      <c r="O666" s="102" t="str">
        <f t="array" ref="O666">IF(ISBLANK(G666),"",INDEX('POR Config List'!C:C,MATCH(G666,'POR Config List'!D:D,0)))</f>
        <v/>
      </c>
      <c r="P666" s="105" t="str">
        <f t="shared" si="4"/>
        <v/>
      </c>
      <c r="Q666" s="105" t="str">
        <f t="array" ref="Q666">IF(ISBLANK(G666),"",INDEX('label approval artwork'!J:J,MATCH( G666,'label approval artwork'!F:F,0)))</f>
        <v/>
      </c>
      <c r="R666" s="105" t="str">
        <f t="array" ref="R666">IFERROR( IF(P666&lt;&gt;"EMA",INDEX('label approval artwork'!H:H,MATCH(G666,'label approval artwork'!F:F,0),"")),"")</f>
        <v/>
      </c>
      <c r="S666" s="105"/>
      <c r="T666" s="105" t="str">
        <f t="array" ref="T666">IF(ISBLANK(G666),"",INDEX('POR Config List'!I:I,MATCH(G666,'POR Config List'!D:D,0)))</f>
        <v/>
      </c>
      <c r="AA666" s="100" t="str">
        <f t="array" ref="AA666">IF(ISBLANK(G666),"",INDEX('POR Config List'!E:E,MATCH(G666,'POR Config List'!D:D,0)))</f>
        <v/>
      </c>
      <c r="AC666" s="105"/>
      <c r="AD666" s="100"/>
      <c r="AE666" s="100"/>
      <c r="AF666" s="100"/>
      <c r="AG666" s="100"/>
      <c r="AM666" s="102"/>
      <c r="AN666" s="102"/>
      <c r="AR666" s="119"/>
      <c r="AS666" s="103"/>
    </row>
    <row r="667">
      <c r="A667" s="168"/>
      <c r="B667" s="100" t="str">
        <f t="array" ref="B667">IFERROR( INDEX('POR Config List'!A:A,MATCH(G667,'POR Config List'!D:D,0)),"")</f>
        <v/>
      </c>
      <c r="C667" s="101" t="str">
        <f t="array" ref="C667">IFERROR(INDEX('label approval artwork'!E:E,MATCH(G667,'label approval artwork'!F:F,0),""),"")</f>
        <v/>
      </c>
      <c r="D667" s="102" t="str">
        <f t="shared" si="3"/>
        <v/>
      </c>
      <c r="E667" s="100" t="str">
        <f t="array" ref="E667">IF(ISBLANK(G667),"",INDEX('POR Config List'!K:K,MATCH(G667,'POR Config List'!D:D,0)))</f>
        <v/>
      </c>
      <c r="F667" s="100" t="str">
        <f t="array" ref="F667">IF(ISBLANK(G667),"",INDEX('POR Config List'!J:J,MATCH(G667,'POR Config List'!D:D,0)))</f>
        <v/>
      </c>
      <c r="G667" s="168"/>
      <c r="H667" s="104" t="str">
        <f t="array" ref="H667">IF(ISBLANK(G667),"",INDEX('MP SKUs'!G:G,MATCH(G667,'MP SKUs'!A:A,0)))</f>
        <v/>
      </c>
      <c r="I667" s="105" t="str">
        <f t="array" ref="I667">IF(ISBLANK(G667),"",INDEX('POR Config List'!O:O,MATCH(G667,'POR Config List'!D:D,0)))</f>
        <v/>
      </c>
      <c r="J667" s="104" t="str">
        <f t="array" ref="J667">IF(ISBLANK(G667),"",INDEX('POR Config List'!H:H,MATCH(G667,'POR Config List'!D:D,0)))</f>
        <v/>
      </c>
      <c r="K667" s="105" t="str">
        <f t="array" ref="K667">IF(ISBLANK(G667),"",INDEX('POR Config List'!G:G,MATCH(G667,'POR Config List'!D:D,0)))</f>
        <v/>
      </c>
      <c r="L667" s="105"/>
      <c r="M667" s="105" t="str">
        <f t="array" ref="M667">IF(ISBLANK(G667),"",INDEX('label approval artwork'!Q:Q,MATCH( G667,'label approval artwork'!F:F,0)))</f>
        <v/>
      </c>
      <c r="N667" s="169" t="str">
        <f t="shared" si="5"/>
        <v/>
      </c>
      <c r="O667" s="102" t="str">
        <f t="array" ref="O667">IF(ISBLANK(G667),"",INDEX('POR Config List'!C:C,MATCH(G667,'POR Config List'!D:D,0)))</f>
        <v/>
      </c>
      <c r="P667" s="105" t="str">
        <f t="shared" si="4"/>
        <v/>
      </c>
      <c r="Q667" s="105" t="str">
        <f t="array" ref="Q667">IF(ISBLANK(G667),"",INDEX('label approval artwork'!J:J,MATCH( G667,'label approval artwork'!F:F,0)))</f>
        <v/>
      </c>
      <c r="R667" s="105" t="str">
        <f t="array" ref="R667">IFERROR( IF(P667&lt;&gt;"EMA",INDEX('label approval artwork'!H:H,MATCH(G667,'label approval artwork'!F:F,0),"")),"")</f>
        <v/>
      </c>
      <c r="S667" s="105"/>
      <c r="T667" s="105" t="str">
        <f t="array" ref="T667">IF(ISBLANK(G667),"",INDEX('POR Config List'!I:I,MATCH(G667,'POR Config List'!D:D,0)))</f>
        <v/>
      </c>
      <c r="AA667" s="100" t="str">
        <f t="array" ref="AA667">IF(ISBLANK(G667),"",INDEX('POR Config List'!E:E,MATCH(G667,'POR Config List'!D:D,0)))</f>
        <v/>
      </c>
      <c r="AC667" s="105"/>
      <c r="AD667" s="100"/>
      <c r="AE667" s="100"/>
      <c r="AF667" s="100"/>
      <c r="AG667" s="100"/>
      <c r="AM667" s="102"/>
      <c r="AN667" s="102"/>
      <c r="AR667" s="119"/>
      <c r="AS667" s="103"/>
    </row>
    <row r="668">
      <c r="A668" s="168"/>
      <c r="B668" s="100" t="str">
        <f t="array" ref="B668">IFERROR( INDEX('POR Config List'!A:A,MATCH(G668,'POR Config List'!D:D,0)),"")</f>
        <v/>
      </c>
      <c r="C668" s="101" t="str">
        <f t="array" ref="C668">IFERROR(INDEX('label approval artwork'!E:E,MATCH(G668,'label approval artwork'!F:F,0),""),"")</f>
        <v/>
      </c>
      <c r="D668" s="102" t="str">
        <f t="shared" si="3"/>
        <v/>
      </c>
      <c r="E668" s="100" t="str">
        <f t="array" ref="E668">IF(ISBLANK(G668),"",INDEX('POR Config List'!K:K,MATCH(G668,'POR Config List'!D:D,0)))</f>
        <v/>
      </c>
      <c r="F668" s="100" t="str">
        <f t="array" ref="F668">IF(ISBLANK(G668),"",INDEX('POR Config List'!J:J,MATCH(G668,'POR Config List'!D:D,0)))</f>
        <v/>
      </c>
      <c r="G668" s="168"/>
      <c r="H668" s="104" t="str">
        <f t="array" ref="H668">IF(ISBLANK(G668),"",INDEX('MP SKUs'!G:G,MATCH(G668,'MP SKUs'!A:A,0)))</f>
        <v/>
      </c>
      <c r="I668" s="105" t="str">
        <f t="array" ref="I668">IF(ISBLANK(G668),"",INDEX('POR Config List'!O:O,MATCH(G668,'POR Config List'!D:D,0)))</f>
        <v/>
      </c>
      <c r="J668" s="104" t="str">
        <f t="array" ref="J668">IF(ISBLANK(G668),"",INDEX('POR Config List'!H:H,MATCH(G668,'POR Config List'!D:D,0)))</f>
        <v/>
      </c>
      <c r="K668" s="105" t="str">
        <f t="array" ref="K668">IF(ISBLANK(G668),"",INDEX('POR Config List'!G:G,MATCH(G668,'POR Config List'!D:D,0)))</f>
        <v/>
      </c>
      <c r="L668" s="105"/>
      <c r="M668" s="105" t="str">
        <f t="array" ref="M668">IF(ISBLANK(G668),"",INDEX('label approval artwork'!Q:Q,MATCH( G668,'label approval artwork'!F:F,0)))</f>
        <v/>
      </c>
      <c r="N668" s="169" t="str">
        <f t="shared" si="5"/>
        <v/>
      </c>
      <c r="O668" s="102" t="str">
        <f t="array" ref="O668">IF(ISBLANK(G668),"",INDEX('POR Config List'!C:C,MATCH(G668,'POR Config List'!D:D,0)))</f>
        <v/>
      </c>
      <c r="P668" s="105" t="str">
        <f t="shared" si="4"/>
        <v/>
      </c>
      <c r="Q668" s="105" t="str">
        <f t="array" ref="Q668">IF(ISBLANK(G668),"",INDEX('label approval artwork'!J:J,MATCH( G668,'label approval artwork'!F:F,0)))</f>
        <v/>
      </c>
      <c r="R668" s="105" t="str">
        <f t="array" ref="R668">IFERROR( IF(P668&lt;&gt;"EMA",INDEX('label approval artwork'!H:H,MATCH(G668,'label approval artwork'!F:F,0),"")),"")</f>
        <v/>
      </c>
      <c r="S668" s="105"/>
      <c r="T668" s="105" t="str">
        <f t="array" ref="T668">IF(ISBLANK(G668),"",INDEX('POR Config List'!I:I,MATCH(G668,'POR Config List'!D:D,0)))</f>
        <v/>
      </c>
      <c r="AA668" s="100" t="str">
        <f t="array" ref="AA668">IF(ISBLANK(G668),"",INDEX('POR Config List'!E:E,MATCH(G668,'POR Config List'!D:D,0)))</f>
        <v/>
      </c>
      <c r="AC668" s="105"/>
      <c r="AD668" s="100"/>
      <c r="AE668" s="100"/>
      <c r="AF668" s="100"/>
      <c r="AG668" s="100"/>
      <c r="AM668" s="102"/>
      <c r="AN668" s="102"/>
      <c r="AR668" s="119"/>
      <c r="AS668" s="103"/>
    </row>
    <row r="669">
      <c r="A669" s="168"/>
      <c r="B669" s="100" t="str">
        <f t="array" ref="B669">IFERROR( INDEX('POR Config List'!A:A,MATCH(G669,'POR Config List'!D:D,0)),"")</f>
        <v/>
      </c>
      <c r="C669" s="101" t="str">
        <f t="array" ref="C669">IFERROR(INDEX('label approval artwork'!E:E,MATCH(G669,'label approval artwork'!F:F,0),""),"")</f>
        <v/>
      </c>
      <c r="D669" s="102" t="str">
        <f t="shared" si="3"/>
        <v/>
      </c>
      <c r="E669" s="100" t="str">
        <f t="array" ref="E669">IF(ISBLANK(G669),"",INDEX('POR Config List'!K:K,MATCH(G669,'POR Config List'!D:D,0)))</f>
        <v/>
      </c>
      <c r="F669" s="100" t="str">
        <f t="array" ref="F669">IF(ISBLANK(G669),"",INDEX('POR Config List'!J:J,MATCH(G669,'POR Config List'!D:D,0)))</f>
        <v/>
      </c>
      <c r="G669" s="168"/>
      <c r="H669" s="104" t="str">
        <f t="array" ref="H669">IF(ISBLANK(G669),"",INDEX('MP SKUs'!G:G,MATCH(G669,'MP SKUs'!A:A,0)))</f>
        <v/>
      </c>
      <c r="I669" s="105" t="str">
        <f t="array" ref="I669">IF(ISBLANK(G669),"",INDEX('POR Config List'!O:O,MATCH(G669,'POR Config List'!D:D,0)))</f>
        <v/>
      </c>
      <c r="J669" s="104" t="str">
        <f t="array" ref="J669">IF(ISBLANK(G669),"",INDEX('POR Config List'!H:H,MATCH(G669,'POR Config List'!D:D,0)))</f>
        <v/>
      </c>
      <c r="K669" s="105" t="str">
        <f t="array" ref="K669">IF(ISBLANK(G669),"",INDEX('POR Config List'!G:G,MATCH(G669,'POR Config List'!D:D,0)))</f>
        <v/>
      </c>
      <c r="L669" s="105"/>
      <c r="M669" s="105" t="str">
        <f t="array" ref="M669">IF(ISBLANK(G669),"",INDEX('label approval artwork'!Q:Q,MATCH( G669,'label approval artwork'!F:F,0)))</f>
        <v/>
      </c>
      <c r="N669" s="169" t="str">
        <f t="shared" si="5"/>
        <v/>
      </c>
      <c r="O669" s="102" t="str">
        <f t="array" ref="O669">IF(ISBLANK(G669),"",INDEX('POR Config List'!C:C,MATCH(G669,'POR Config List'!D:D,0)))</f>
        <v/>
      </c>
      <c r="P669" s="105" t="str">
        <f t="shared" si="4"/>
        <v/>
      </c>
      <c r="Q669" s="105" t="str">
        <f t="array" ref="Q669">IF(ISBLANK(G669),"",INDEX('label approval artwork'!J:J,MATCH( G669,'label approval artwork'!F:F,0)))</f>
        <v/>
      </c>
      <c r="R669" s="105" t="str">
        <f t="array" ref="R669">IFERROR( IF(P669&lt;&gt;"EMA",INDEX('label approval artwork'!H:H,MATCH(G669,'label approval artwork'!F:F,0),"")),"")</f>
        <v/>
      </c>
      <c r="S669" s="105"/>
      <c r="T669" s="105" t="str">
        <f t="array" ref="T669">IF(ISBLANK(G669),"",INDEX('POR Config List'!I:I,MATCH(G669,'POR Config List'!D:D,0)))</f>
        <v/>
      </c>
      <c r="AA669" s="100" t="str">
        <f t="array" ref="AA669">IF(ISBLANK(G669),"",INDEX('POR Config List'!E:E,MATCH(G669,'POR Config List'!D:D,0)))</f>
        <v/>
      </c>
      <c r="AC669" s="105"/>
      <c r="AD669" s="100"/>
      <c r="AE669" s="100"/>
      <c r="AF669" s="100"/>
      <c r="AG669" s="100"/>
      <c r="AM669" s="102"/>
      <c r="AN669" s="102"/>
      <c r="AR669" s="119"/>
      <c r="AS669" s="103"/>
    </row>
    <row r="670">
      <c r="A670" s="168"/>
      <c r="B670" s="100" t="str">
        <f t="array" ref="B670">IFERROR( INDEX('POR Config List'!A:A,MATCH(G670,'POR Config List'!D:D,0)),"")</f>
        <v/>
      </c>
      <c r="C670" s="101" t="str">
        <f t="array" ref="C670">IFERROR(INDEX('label approval artwork'!E:E,MATCH(G670,'label approval artwork'!F:F,0),""),"")</f>
        <v/>
      </c>
      <c r="D670" s="102" t="str">
        <f t="shared" si="3"/>
        <v/>
      </c>
      <c r="E670" s="100" t="str">
        <f t="array" ref="E670">IF(ISBLANK(G670),"",INDEX('POR Config List'!K:K,MATCH(G670,'POR Config List'!D:D,0)))</f>
        <v/>
      </c>
      <c r="F670" s="100" t="str">
        <f t="array" ref="F670">IF(ISBLANK(G670),"",INDEX('POR Config List'!J:J,MATCH(G670,'POR Config List'!D:D,0)))</f>
        <v/>
      </c>
      <c r="G670" s="168"/>
      <c r="H670" s="104" t="str">
        <f t="array" ref="H670">IF(ISBLANK(G670),"",INDEX('MP SKUs'!G:G,MATCH(G670,'MP SKUs'!A:A,0)))</f>
        <v/>
      </c>
      <c r="I670" s="105" t="str">
        <f t="array" ref="I670">IF(ISBLANK(G670),"",INDEX('POR Config List'!O:O,MATCH(G670,'POR Config List'!D:D,0)))</f>
        <v/>
      </c>
      <c r="J670" s="104" t="str">
        <f t="array" ref="J670">IF(ISBLANK(G670),"",INDEX('POR Config List'!H:H,MATCH(G670,'POR Config List'!D:D,0)))</f>
        <v/>
      </c>
      <c r="K670" s="105" t="str">
        <f t="array" ref="K670">IF(ISBLANK(G670),"",INDEX('POR Config List'!G:G,MATCH(G670,'POR Config List'!D:D,0)))</f>
        <v/>
      </c>
      <c r="L670" s="105"/>
      <c r="M670" s="105" t="str">
        <f t="array" ref="M670">IF(ISBLANK(G670),"",INDEX('label approval artwork'!Q:Q,MATCH( G670,'label approval artwork'!F:F,0)))</f>
        <v/>
      </c>
      <c r="N670" s="169" t="str">
        <f t="shared" si="5"/>
        <v/>
      </c>
      <c r="O670" s="102" t="str">
        <f t="array" ref="O670">IF(ISBLANK(G670),"",INDEX('POR Config List'!C:C,MATCH(G670,'POR Config List'!D:D,0)))</f>
        <v/>
      </c>
      <c r="P670" s="105" t="str">
        <f t="shared" si="4"/>
        <v/>
      </c>
      <c r="Q670" s="105" t="str">
        <f t="array" ref="Q670">IF(ISBLANK(G670),"",INDEX('label approval artwork'!J:J,MATCH( G670,'label approval artwork'!F:F,0)))</f>
        <v/>
      </c>
      <c r="R670" s="105" t="str">
        <f t="array" ref="R670">IFERROR( IF(P670&lt;&gt;"EMA",INDEX('label approval artwork'!H:H,MATCH(G670,'label approval artwork'!F:F,0),"")),"")</f>
        <v/>
      </c>
      <c r="S670" s="105"/>
      <c r="T670" s="105" t="str">
        <f t="array" ref="T670">IF(ISBLANK(G670),"",INDEX('POR Config List'!I:I,MATCH(G670,'POR Config List'!D:D,0)))</f>
        <v/>
      </c>
      <c r="AA670" s="100" t="str">
        <f t="array" ref="AA670">IF(ISBLANK(G670),"",INDEX('POR Config List'!E:E,MATCH(G670,'POR Config List'!D:D,0)))</f>
        <v/>
      </c>
      <c r="AC670" s="105"/>
      <c r="AD670" s="100"/>
      <c r="AE670" s="100"/>
      <c r="AF670" s="100"/>
      <c r="AG670" s="100"/>
      <c r="AM670" s="102"/>
      <c r="AN670" s="102"/>
      <c r="AR670" s="119"/>
      <c r="AS670" s="103"/>
    </row>
    <row r="671">
      <c r="A671" s="168"/>
      <c r="B671" s="100" t="str">
        <f t="array" ref="B671">IFERROR( INDEX('POR Config List'!A:A,MATCH(G671,'POR Config List'!D:D,0)),"")</f>
        <v/>
      </c>
      <c r="C671" s="101" t="str">
        <f t="array" ref="C671">IFERROR(INDEX('label approval artwork'!E:E,MATCH(G671,'label approval artwork'!F:F,0),""),"")</f>
        <v/>
      </c>
      <c r="D671" s="102" t="str">
        <f t="shared" si="3"/>
        <v/>
      </c>
      <c r="E671" s="100" t="str">
        <f t="array" ref="E671">IF(ISBLANK(G671),"",INDEX('POR Config List'!K:K,MATCH(G671,'POR Config List'!D:D,0)))</f>
        <v/>
      </c>
      <c r="F671" s="100" t="str">
        <f t="array" ref="F671">IF(ISBLANK(G671),"",INDEX('POR Config List'!J:J,MATCH(G671,'POR Config List'!D:D,0)))</f>
        <v/>
      </c>
      <c r="G671" s="168"/>
      <c r="H671" s="104" t="str">
        <f t="array" ref="H671">IF(ISBLANK(G671),"",INDEX('MP SKUs'!G:G,MATCH(G671,'MP SKUs'!A:A,0)))</f>
        <v/>
      </c>
      <c r="I671" s="105" t="str">
        <f t="array" ref="I671">IF(ISBLANK(G671),"",INDEX('POR Config List'!O:O,MATCH(G671,'POR Config List'!D:D,0)))</f>
        <v/>
      </c>
      <c r="J671" s="104" t="str">
        <f t="array" ref="J671">IF(ISBLANK(G671),"",INDEX('POR Config List'!H:H,MATCH(G671,'POR Config List'!D:D,0)))</f>
        <v/>
      </c>
      <c r="K671" s="105" t="str">
        <f t="array" ref="K671">IF(ISBLANK(G671),"",INDEX('POR Config List'!G:G,MATCH(G671,'POR Config List'!D:D,0)))</f>
        <v/>
      </c>
      <c r="L671" s="105"/>
      <c r="M671" s="105" t="str">
        <f t="array" ref="M671">IF(ISBLANK(G671),"",INDEX('label approval artwork'!Q:Q,MATCH( G671,'label approval artwork'!F:F,0)))</f>
        <v/>
      </c>
      <c r="N671" s="169" t="str">
        <f t="shared" si="5"/>
        <v/>
      </c>
      <c r="O671" s="102" t="str">
        <f t="array" ref="O671">IF(ISBLANK(G671),"",INDEX('POR Config List'!C:C,MATCH(G671,'POR Config List'!D:D,0)))</f>
        <v/>
      </c>
      <c r="P671" s="105" t="str">
        <f t="shared" si="4"/>
        <v/>
      </c>
      <c r="Q671" s="105" t="str">
        <f t="array" ref="Q671">IF(ISBLANK(G671),"",INDEX('label approval artwork'!J:J,MATCH( G671,'label approval artwork'!F:F,0)))</f>
        <v/>
      </c>
      <c r="R671" s="105" t="str">
        <f t="array" ref="R671">IFERROR( IF(P671&lt;&gt;"EMA",INDEX('label approval artwork'!H:H,MATCH(G671,'label approval artwork'!F:F,0),"")),"")</f>
        <v/>
      </c>
      <c r="S671" s="105"/>
      <c r="T671" s="105" t="str">
        <f t="array" ref="T671">IF(ISBLANK(G671),"",INDEX('POR Config List'!I:I,MATCH(G671,'POR Config List'!D:D,0)))</f>
        <v/>
      </c>
      <c r="AA671" s="100" t="str">
        <f t="array" ref="AA671">IF(ISBLANK(G671),"",INDEX('POR Config List'!E:E,MATCH(G671,'POR Config List'!D:D,0)))</f>
        <v/>
      </c>
      <c r="AC671" s="105"/>
      <c r="AD671" s="100"/>
      <c r="AE671" s="100"/>
      <c r="AF671" s="100"/>
      <c r="AG671" s="100"/>
      <c r="AM671" s="102"/>
      <c r="AN671" s="102"/>
      <c r="AR671" s="119"/>
      <c r="AS671" s="103"/>
    </row>
    <row r="672">
      <c r="A672" s="168"/>
      <c r="B672" s="100" t="str">
        <f t="array" ref="B672">IFERROR( INDEX('POR Config List'!A:A,MATCH(G672,'POR Config List'!D:D,0)),"")</f>
        <v/>
      </c>
      <c r="C672" s="101" t="str">
        <f t="array" ref="C672">IFERROR(INDEX('label approval artwork'!E:E,MATCH(G672,'label approval artwork'!F:F,0),""),"")</f>
        <v/>
      </c>
      <c r="D672" s="102" t="str">
        <f t="shared" si="3"/>
        <v/>
      </c>
      <c r="E672" s="100" t="str">
        <f t="array" ref="E672">IF(ISBLANK(G672),"",INDEX('POR Config List'!K:K,MATCH(G672,'POR Config List'!D:D,0)))</f>
        <v/>
      </c>
      <c r="F672" s="100" t="str">
        <f t="array" ref="F672">IF(ISBLANK(G672),"",INDEX('POR Config List'!J:J,MATCH(G672,'POR Config List'!D:D,0)))</f>
        <v/>
      </c>
      <c r="G672" s="168"/>
      <c r="H672" s="104" t="str">
        <f t="array" ref="H672">IF(ISBLANK(G672),"",INDEX('MP SKUs'!G:G,MATCH(G672,'MP SKUs'!A:A,0)))</f>
        <v/>
      </c>
      <c r="I672" s="105" t="str">
        <f t="array" ref="I672">IF(ISBLANK(G672),"",INDEX('POR Config List'!O:O,MATCH(G672,'POR Config List'!D:D,0)))</f>
        <v/>
      </c>
      <c r="J672" s="104" t="str">
        <f t="array" ref="J672">IF(ISBLANK(G672),"",INDEX('POR Config List'!H:H,MATCH(G672,'POR Config List'!D:D,0)))</f>
        <v/>
      </c>
      <c r="K672" s="105" t="str">
        <f t="array" ref="K672">IF(ISBLANK(G672),"",INDEX('POR Config List'!G:G,MATCH(G672,'POR Config List'!D:D,0)))</f>
        <v/>
      </c>
      <c r="L672" s="105"/>
      <c r="M672" s="105" t="str">
        <f t="array" ref="M672">IF(ISBLANK(G672),"",INDEX('label approval artwork'!Q:Q,MATCH( G672,'label approval artwork'!F:F,0)))</f>
        <v/>
      </c>
      <c r="N672" s="169" t="str">
        <f t="shared" si="5"/>
        <v/>
      </c>
      <c r="O672" s="102" t="str">
        <f t="array" ref="O672">IF(ISBLANK(G672),"",INDEX('POR Config List'!C:C,MATCH(G672,'POR Config List'!D:D,0)))</f>
        <v/>
      </c>
      <c r="P672" s="105" t="str">
        <f t="shared" si="4"/>
        <v/>
      </c>
      <c r="Q672" s="105" t="str">
        <f t="array" ref="Q672">IF(ISBLANK(G672),"",INDEX('label approval artwork'!J:J,MATCH( G672,'label approval artwork'!F:F,0)))</f>
        <v/>
      </c>
      <c r="R672" s="105" t="str">
        <f t="array" ref="R672">IFERROR( IF(P672&lt;&gt;"EMA",INDEX('label approval artwork'!H:H,MATCH(G672,'label approval artwork'!F:F,0),"")),"")</f>
        <v/>
      </c>
      <c r="S672" s="105"/>
      <c r="T672" s="105" t="str">
        <f t="array" ref="T672">IF(ISBLANK(G672),"",INDEX('POR Config List'!I:I,MATCH(G672,'POR Config List'!D:D,0)))</f>
        <v/>
      </c>
      <c r="AA672" s="100" t="str">
        <f t="array" ref="AA672">IF(ISBLANK(G672),"",INDEX('POR Config List'!E:E,MATCH(G672,'POR Config List'!D:D,0)))</f>
        <v/>
      </c>
      <c r="AC672" s="105"/>
      <c r="AD672" s="100"/>
      <c r="AE672" s="100"/>
      <c r="AF672" s="100"/>
      <c r="AG672" s="100"/>
      <c r="AM672" s="102"/>
      <c r="AN672" s="102"/>
      <c r="AR672" s="119"/>
      <c r="AS672" s="103"/>
    </row>
    <row r="673">
      <c r="A673" s="168"/>
      <c r="B673" s="100" t="str">
        <f t="array" ref="B673">IFERROR( INDEX('POR Config List'!A:A,MATCH(G673,'POR Config List'!D:D,0)),"")</f>
        <v/>
      </c>
      <c r="C673" s="101" t="str">
        <f t="array" ref="C673">IFERROR(INDEX('label approval artwork'!E:E,MATCH(G673,'label approval artwork'!F:F,0),""),"")</f>
        <v/>
      </c>
      <c r="D673" s="102" t="str">
        <f t="shared" si="3"/>
        <v/>
      </c>
      <c r="E673" s="100" t="str">
        <f t="array" ref="E673">IF(ISBLANK(G673),"",INDEX('POR Config List'!K:K,MATCH(G673,'POR Config List'!D:D,0)))</f>
        <v/>
      </c>
      <c r="F673" s="100" t="str">
        <f t="array" ref="F673">IF(ISBLANK(G673),"",INDEX('POR Config List'!J:J,MATCH(G673,'POR Config List'!D:D,0)))</f>
        <v/>
      </c>
      <c r="G673" s="168"/>
      <c r="H673" s="104" t="str">
        <f t="array" ref="H673">IF(ISBLANK(G673),"",INDEX('MP SKUs'!G:G,MATCH(G673,'MP SKUs'!A:A,0)))</f>
        <v/>
      </c>
      <c r="I673" s="105" t="str">
        <f t="array" ref="I673">IF(ISBLANK(G673),"",INDEX('POR Config List'!O:O,MATCH(G673,'POR Config List'!D:D,0)))</f>
        <v/>
      </c>
      <c r="J673" s="104" t="str">
        <f t="array" ref="J673">IF(ISBLANK(G673),"",INDEX('POR Config List'!H:H,MATCH(G673,'POR Config List'!D:D,0)))</f>
        <v/>
      </c>
      <c r="K673" s="105" t="str">
        <f t="array" ref="K673">IF(ISBLANK(G673),"",INDEX('POR Config List'!G:G,MATCH(G673,'POR Config List'!D:D,0)))</f>
        <v/>
      </c>
      <c r="L673" s="105"/>
      <c r="M673" s="105" t="str">
        <f t="array" ref="M673">IF(ISBLANK(G673),"",INDEX('label approval artwork'!Q:Q,MATCH( G673,'label approval artwork'!F:F,0)))</f>
        <v/>
      </c>
      <c r="N673" s="169" t="str">
        <f t="shared" si="5"/>
        <v/>
      </c>
      <c r="O673" s="102" t="str">
        <f t="array" ref="O673">IF(ISBLANK(G673),"",INDEX('POR Config List'!C:C,MATCH(G673,'POR Config List'!D:D,0)))</f>
        <v/>
      </c>
      <c r="P673" s="105" t="str">
        <f t="shared" si="4"/>
        <v/>
      </c>
      <c r="Q673" s="105" t="str">
        <f t="array" ref="Q673">IF(ISBLANK(G673),"",INDEX('label approval artwork'!J:J,MATCH( G673,'label approval artwork'!F:F,0)))</f>
        <v/>
      </c>
      <c r="R673" s="105" t="str">
        <f t="array" ref="R673">IFERROR( IF(P673&lt;&gt;"EMA",INDEX('label approval artwork'!H:H,MATCH(G673,'label approval artwork'!F:F,0),"")),"")</f>
        <v/>
      </c>
      <c r="S673" s="105"/>
      <c r="T673" s="105" t="str">
        <f t="array" ref="T673">IF(ISBLANK(G673),"",INDEX('POR Config List'!I:I,MATCH(G673,'POR Config List'!D:D,0)))</f>
        <v/>
      </c>
      <c r="AA673" s="100" t="str">
        <f t="array" ref="AA673">IF(ISBLANK(G673),"",INDEX('POR Config List'!E:E,MATCH(G673,'POR Config List'!D:D,0)))</f>
        <v/>
      </c>
      <c r="AC673" s="105"/>
      <c r="AD673" s="100"/>
      <c r="AE673" s="100"/>
      <c r="AF673" s="100"/>
      <c r="AG673" s="100"/>
      <c r="AM673" s="102"/>
      <c r="AN673" s="102"/>
      <c r="AR673" s="119"/>
      <c r="AS673" s="103"/>
    </row>
    <row r="674">
      <c r="A674" s="168"/>
      <c r="B674" s="100" t="str">
        <f t="array" ref="B674">IFERROR( INDEX('POR Config List'!A:A,MATCH(G674,'POR Config List'!D:D,0)),"")</f>
        <v/>
      </c>
      <c r="C674" s="101" t="str">
        <f t="array" ref="C674">IFERROR(INDEX('label approval artwork'!E:E,MATCH(G674,'label approval artwork'!F:F,0),""),"")</f>
        <v/>
      </c>
      <c r="D674" s="102" t="str">
        <f t="shared" si="3"/>
        <v/>
      </c>
      <c r="E674" s="100" t="str">
        <f t="array" ref="E674">IF(ISBLANK(G674),"",INDEX('POR Config List'!K:K,MATCH(G674,'POR Config List'!D:D,0)))</f>
        <v/>
      </c>
      <c r="F674" s="100" t="str">
        <f t="array" ref="F674">IF(ISBLANK(G674),"",INDEX('POR Config List'!J:J,MATCH(G674,'POR Config List'!D:D,0)))</f>
        <v/>
      </c>
      <c r="G674" s="168"/>
      <c r="H674" s="104" t="str">
        <f t="array" ref="H674">IF(ISBLANK(G674),"",INDEX('MP SKUs'!G:G,MATCH(G674,'MP SKUs'!A:A,0)))</f>
        <v/>
      </c>
      <c r="I674" s="105" t="str">
        <f t="array" ref="I674">IF(ISBLANK(G674),"",INDEX('POR Config List'!O:O,MATCH(G674,'POR Config List'!D:D,0)))</f>
        <v/>
      </c>
      <c r="J674" s="104" t="str">
        <f t="array" ref="J674">IF(ISBLANK(G674),"",INDEX('POR Config List'!H:H,MATCH(G674,'POR Config List'!D:D,0)))</f>
        <v/>
      </c>
      <c r="K674" s="105" t="str">
        <f t="array" ref="K674">IF(ISBLANK(G674),"",INDEX('POR Config List'!G:G,MATCH(G674,'POR Config List'!D:D,0)))</f>
        <v/>
      </c>
      <c r="L674" s="105"/>
      <c r="M674" s="105" t="str">
        <f t="array" ref="M674">IF(ISBLANK(G674),"",INDEX('label approval artwork'!Q:Q,MATCH( G674,'label approval artwork'!F:F,0)))</f>
        <v/>
      </c>
      <c r="N674" s="169" t="str">
        <f t="shared" si="5"/>
        <v/>
      </c>
      <c r="O674" s="102" t="str">
        <f t="array" ref="O674">IF(ISBLANK(G674),"",INDEX('POR Config List'!C:C,MATCH(G674,'POR Config List'!D:D,0)))</f>
        <v/>
      </c>
      <c r="P674" s="105" t="str">
        <f t="shared" si="4"/>
        <v/>
      </c>
      <c r="Q674" s="105" t="str">
        <f t="array" ref="Q674">IF(ISBLANK(G674),"",INDEX('label approval artwork'!J:J,MATCH( G674,'label approval artwork'!F:F,0)))</f>
        <v/>
      </c>
      <c r="R674" s="105" t="str">
        <f t="array" ref="R674">IFERROR( IF(P674&lt;&gt;"EMA",INDEX('label approval artwork'!H:H,MATCH(G674,'label approval artwork'!F:F,0),"")),"")</f>
        <v/>
      </c>
      <c r="S674" s="105"/>
      <c r="T674" s="105" t="str">
        <f t="array" ref="T674">IF(ISBLANK(G674),"",INDEX('POR Config List'!I:I,MATCH(G674,'POR Config List'!D:D,0)))</f>
        <v/>
      </c>
      <c r="AA674" s="100" t="str">
        <f t="array" ref="AA674">IF(ISBLANK(G674),"",INDEX('POR Config List'!E:E,MATCH(G674,'POR Config List'!D:D,0)))</f>
        <v/>
      </c>
      <c r="AC674" s="105"/>
      <c r="AD674" s="100"/>
      <c r="AE674" s="100"/>
      <c r="AF674" s="100"/>
      <c r="AG674" s="100"/>
      <c r="AM674" s="102"/>
      <c r="AN674" s="102"/>
      <c r="AR674" s="119"/>
      <c r="AS674" s="103"/>
    </row>
    <row r="675">
      <c r="A675" s="168"/>
      <c r="B675" s="100" t="str">
        <f t="array" ref="B675">IFERROR( INDEX('POR Config List'!A:A,MATCH(G675,'POR Config List'!D:D,0)),"")</f>
        <v/>
      </c>
      <c r="C675" s="101" t="str">
        <f t="array" ref="C675">IFERROR(INDEX('label approval artwork'!E:E,MATCH(G675,'label approval artwork'!F:F,0),""),"")</f>
        <v/>
      </c>
      <c r="D675" s="102" t="str">
        <f t="shared" si="3"/>
        <v/>
      </c>
      <c r="E675" s="100" t="str">
        <f t="array" ref="E675">IF(ISBLANK(G675),"",INDEX('POR Config List'!K:K,MATCH(G675,'POR Config List'!D:D,0)))</f>
        <v/>
      </c>
      <c r="F675" s="100" t="str">
        <f t="array" ref="F675">IF(ISBLANK(G675),"",INDEX('POR Config List'!J:J,MATCH(G675,'POR Config List'!D:D,0)))</f>
        <v/>
      </c>
      <c r="G675" s="168"/>
      <c r="H675" s="104" t="str">
        <f t="array" ref="H675">IF(ISBLANK(G675),"",INDEX('MP SKUs'!G:G,MATCH(G675,'MP SKUs'!A:A,0)))</f>
        <v/>
      </c>
      <c r="I675" s="105" t="str">
        <f t="array" ref="I675">IF(ISBLANK(G675),"",INDEX('POR Config List'!O:O,MATCH(G675,'POR Config List'!D:D,0)))</f>
        <v/>
      </c>
      <c r="J675" s="104" t="str">
        <f t="array" ref="J675">IF(ISBLANK(G675),"",INDEX('POR Config List'!H:H,MATCH(G675,'POR Config List'!D:D,0)))</f>
        <v/>
      </c>
      <c r="K675" s="105" t="str">
        <f t="array" ref="K675">IF(ISBLANK(G675),"",INDEX('POR Config List'!G:G,MATCH(G675,'POR Config List'!D:D,0)))</f>
        <v/>
      </c>
      <c r="L675" s="105"/>
      <c r="M675" s="105" t="str">
        <f t="array" ref="M675">IF(ISBLANK(G675),"",INDEX('label approval artwork'!Q:Q,MATCH( G675,'label approval artwork'!F:F,0)))</f>
        <v/>
      </c>
      <c r="N675" s="169" t="str">
        <f t="shared" si="5"/>
        <v/>
      </c>
      <c r="O675" s="102" t="str">
        <f t="array" ref="O675">IF(ISBLANK(G675),"",INDEX('POR Config List'!C:C,MATCH(G675,'POR Config List'!D:D,0)))</f>
        <v/>
      </c>
      <c r="P675" s="105" t="str">
        <f t="shared" si="4"/>
        <v/>
      </c>
      <c r="Q675" s="105" t="str">
        <f t="array" ref="Q675">IF(ISBLANK(G675),"",INDEX('label approval artwork'!J:J,MATCH( G675,'label approval artwork'!F:F,0)))</f>
        <v/>
      </c>
      <c r="R675" s="105" t="str">
        <f t="array" ref="R675">IFERROR( IF(P675&lt;&gt;"EMA",INDEX('label approval artwork'!H:H,MATCH(G675,'label approval artwork'!F:F,0),"")),"")</f>
        <v/>
      </c>
      <c r="S675" s="105"/>
      <c r="T675" s="105" t="str">
        <f t="array" ref="T675">IF(ISBLANK(G675),"",INDEX('POR Config List'!I:I,MATCH(G675,'POR Config List'!D:D,0)))</f>
        <v/>
      </c>
      <c r="AA675" s="100" t="str">
        <f t="array" ref="AA675">IF(ISBLANK(G675),"",INDEX('POR Config List'!E:E,MATCH(G675,'POR Config List'!D:D,0)))</f>
        <v/>
      </c>
      <c r="AC675" s="105"/>
      <c r="AD675" s="100"/>
      <c r="AE675" s="100"/>
      <c r="AF675" s="100"/>
      <c r="AG675" s="100"/>
      <c r="AM675" s="102"/>
      <c r="AN675" s="102"/>
      <c r="AR675" s="119"/>
      <c r="AS675" s="103"/>
    </row>
    <row r="676">
      <c r="A676" s="168"/>
      <c r="B676" s="100" t="str">
        <f t="array" ref="B676">IFERROR( INDEX('POR Config List'!A:A,MATCH(G676,'POR Config List'!D:D,0)),"")</f>
        <v/>
      </c>
      <c r="C676" s="101" t="str">
        <f t="array" ref="C676">IFERROR(INDEX('label approval artwork'!E:E,MATCH(G676,'label approval artwork'!F:F,0),""),"")</f>
        <v/>
      </c>
      <c r="D676" s="102" t="str">
        <f t="shared" si="3"/>
        <v/>
      </c>
      <c r="E676" s="100" t="str">
        <f t="array" ref="E676">IF(ISBLANK(G676),"",INDEX('POR Config List'!K:K,MATCH(G676,'POR Config List'!D:D,0)))</f>
        <v/>
      </c>
      <c r="F676" s="100" t="str">
        <f t="array" ref="F676">IF(ISBLANK(G676),"",INDEX('POR Config List'!J:J,MATCH(G676,'POR Config List'!D:D,0)))</f>
        <v/>
      </c>
      <c r="G676" s="168"/>
      <c r="H676" s="104" t="str">
        <f t="array" ref="H676">IF(ISBLANK(G676),"",INDEX('MP SKUs'!G:G,MATCH(G676,'MP SKUs'!A:A,0)))</f>
        <v/>
      </c>
      <c r="I676" s="105" t="str">
        <f t="array" ref="I676">IF(ISBLANK(G676),"",INDEX('POR Config List'!O:O,MATCH(G676,'POR Config List'!D:D,0)))</f>
        <v/>
      </c>
      <c r="J676" s="104" t="str">
        <f t="array" ref="J676">IF(ISBLANK(G676),"",INDEX('POR Config List'!H:H,MATCH(G676,'POR Config List'!D:D,0)))</f>
        <v/>
      </c>
      <c r="K676" s="105" t="str">
        <f t="array" ref="K676">IF(ISBLANK(G676),"",INDEX('POR Config List'!G:G,MATCH(G676,'POR Config List'!D:D,0)))</f>
        <v/>
      </c>
      <c r="L676" s="105"/>
      <c r="M676" s="105" t="str">
        <f t="array" ref="M676">IF(ISBLANK(G676),"",INDEX('label approval artwork'!Q:Q,MATCH( G676,'label approval artwork'!F:F,0)))</f>
        <v/>
      </c>
      <c r="N676" s="169" t="str">
        <f t="shared" si="5"/>
        <v/>
      </c>
      <c r="O676" s="102" t="str">
        <f t="array" ref="O676">IF(ISBLANK(G676),"",INDEX('POR Config List'!C:C,MATCH(G676,'POR Config List'!D:D,0)))</f>
        <v/>
      </c>
      <c r="P676" s="105" t="str">
        <f t="shared" si="4"/>
        <v/>
      </c>
      <c r="Q676" s="105" t="str">
        <f t="array" ref="Q676">IF(ISBLANK(G676),"",INDEX('label approval artwork'!J:J,MATCH( G676,'label approval artwork'!F:F,0)))</f>
        <v/>
      </c>
      <c r="R676" s="105" t="str">
        <f t="array" ref="R676">IFERROR( IF(P676&lt;&gt;"EMA",INDEX('label approval artwork'!H:H,MATCH(G676,'label approval artwork'!F:F,0),"")),"")</f>
        <v/>
      </c>
      <c r="S676" s="105"/>
      <c r="T676" s="105" t="str">
        <f t="array" ref="T676">IF(ISBLANK(G676),"",INDEX('POR Config List'!I:I,MATCH(G676,'POR Config List'!D:D,0)))</f>
        <v/>
      </c>
      <c r="AA676" s="100" t="str">
        <f t="array" ref="AA676">IF(ISBLANK(G676),"",INDEX('POR Config List'!E:E,MATCH(G676,'POR Config List'!D:D,0)))</f>
        <v/>
      </c>
      <c r="AC676" s="105"/>
      <c r="AD676" s="100"/>
      <c r="AE676" s="100"/>
      <c r="AF676" s="100"/>
      <c r="AG676" s="100"/>
      <c r="AM676" s="102"/>
      <c r="AN676" s="102"/>
      <c r="AR676" s="119"/>
      <c r="AS676" s="103"/>
    </row>
    <row r="677">
      <c r="A677" s="168"/>
      <c r="B677" s="100" t="str">
        <f t="array" ref="B677">IFERROR( INDEX('POR Config List'!A:A,MATCH(G677,'POR Config List'!D:D,0)),"")</f>
        <v/>
      </c>
      <c r="C677" s="101" t="str">
        <f t="array" ref="C677">IFERROR(INDEX('label approval artwork'!E:E,MATCH(G677,'label approval artwork'!F:F,0),""),"")</f>
        <v/>
      </c>
      <c r="D677" s="102" t="str">
        <f t="shared" si="3"/>
        <v/>
      </c>
      <c r="E677" s="100" t="str">
        <f t="array" ref="E677">IF(ISBLANK(G677),"",INDEX('POR Config List'!K:K,MATCH(G677,'POR Config List'!D:D,0)))</f>
        <v/>
      </c>
      <c r="F677" s="100" t="str">
        <f t="array" ref="F677">IF(ISBLANK(G677),"",INDEX('POR Config List'!J:J,MATCH(G677,'POR Config List'!D:D,0)))</f>
        <v/>
      </c>
      <c r="G677" s="168"/>
      <c r="H677" s="104" t="str">
        <f t="array" ref="H677">IF(ISBLANK(G677),"",INDEX('MP SKUs'!G:G,MATCH(G677,'MP SKUs'!A:A,0)))</f>
        <v/>
      </c>
      <c r="I677" s="105" t="str">
        <f t="array" ref="I677">IF(ISBLANK(G677),"",INDEX('POR Config List'!O:O,MATCH(G677,'POR Config List'!D:D,0)))</f>
        <v/>
      </c>
      <c r="J677" s="104" t="str">
        <f t="array" ref="J677">IF(ISBLANK(G677),"",INDEX('POR Config List'!H:H,MATCH(G677,'POR Config List'!D:D,0)))</f>
        <v/>
      </c>
      <c r="K677" s="105" t="str">
        <f t="array" ref="K677">IF(ISBLANK(G677),"",INDEX('POR Config List'!G:G,MATCH(G677,'POR Config List'!D:D,0)))</f>
        <v/>
      </c>
      <c r="L677" s="105"/>
      <c r="M677" s="105" t="str">
        <f t="array" ref="M677">IF(ISBLANK(G677),"",INDEX('label approval artwork'!Q:Q,MATCH( G677,'label approval artwork'!F:F,0)))</f>
        <v/>
      </c>
      <c r="N677" s="169" t="str">
        <f t="shared" si="5"/>
        <v/>
      </c>
      <c r="O677" s="102" t="str">
        <f t="array" ref="O677">IF(ISBLANK(G677),"",INDEX('POR Config List'!C:C,MATCH(G677,'POR Config List'!D:D,0)))</f>
        <v/>
      </c>
      <c r="P677" s="105" t="str">
        <f t="shared" si="4"/>
        <v/>
      </c>
      <c r="Q677" s="105" t="str">
        <f t="array" ref="Q677">IF(ISBLANK(G677),"",INDEX('label approval artwork'!J:J,MATCH( G677,'label approval artwork'!F:F,0)))</f>
        <v/>
      </c>
      <c r="R677" s="105" t="str">
        <f t="array" ref="R677">IFERROR( IF(P677&lt;&gt;"EMA",INDEX('label approval artwork'!H:H,MATCH(G677,'label approval artwork'!F:F,0),"")),"")</f>
        <v/>
      </c>
      <c r="S677" s="105"/>
      <c r="T677" s="105" t="str">
        <f t="array" ref="T677">IF(ISBLANK(G677),"",INDEX('POR Config List'!I:I,MATCH(G677,'POR Config List'!D:D,0)))</f>
        <v/>
      </c>
      <c r="AA677" s="100" t="str">
        <f t="array" ref="AA677">IF(ISBLANK(G677),"",INDEX('POR Config List'!E:E,MATCH(G677,'POR Config List'!D:D,0)))</f>
        <v/>
      </c>
      <c r="AC677" s="105"/>
      <c r="AD677" s="100"/>
      <c r="AE677" s="100"/>
      <c r="AF677" s="100"/>
      <c r="AG677" s="100"/>
      <c r="AM677" s="102"/>
      <c r="AN677" s="102"/>
      <c r="AR677" s="119"/>
      <c r="AS677" s="103"/>
    </row>
    <row r="678">
      <c r="A678" s="168"/>
      <c r="B678" s="100" t="str">
        <f t="array" ref="B678">IFERROR( INDEX('POR Config List'!A:A,MATCH(G678,'POR Config List'!D:D,0)),"")</f>
        <v/>
      </c>
      <c r="C678" s="101" t="str">
        <f t="array" ref="C678">IFERROR(INDEX('label approval artwork'!E:E,MATCH(G678,'label approval artwork'!F:F,0),""),"")</f>
        <v/>
      </c>
      <c r="D678" s="102" t="str">
        <f t="shared" si="3"/>
        <v/>
      </c>
      <c r="E678" s="100" t="str">
        <f t="array" ref="E678">IF(ISBLANK(G678),"",INDEX('POR Config List'!K:K,MATCH(G678,'POR Config List'!D:D,0)))</f>
        <v/>
      </c>
      <c r="F678" s="100" t="str">
        <f t="array" ref="F678">IF(ISBLANK(G678),"",INDEX('POR Config List'!J:J,MATCH(G678,'POR Config List'!D:D,0)))</f>
        <v/>
      </c>
      <c r="G678" s="168"/>
      <c r="H678" s="104" t="str">
        <f t="array" ref="H678">IF(ISBLANK(G678),"",INDEX('MP SKUs'!G:G,MATCH(G678,'MP SKUs'!A:A,0)))</f>
        <v/>
      </c>
      <c r="I678" s="105" t="str">
        <f t="array" ref="I678">IF(ISBLANK(G678),"",INDEX('POR Config List'!O:O,MATCH(G678,'POR Config List'!D:D,0)))</f>
        <v/>
      </c>
      <c r="J678" s="104" t="str">
        <f t="array" ref="J678">IF(ISBLANK(G678),"",INDEX('POR Config List'!H:H,MATCH(G678,'POR Config List'!D:D,0)))</f>
        <v/>
      </c>
      <c r="K678" s="105" t="str">
        <f t="array" ref="K678">IF(ISBLANK(G678),"",INDEX('POR Config List'!G:G,MATCH(G678,'POR Config List'!D:D,0)))</f>
        <v/>
      </c>
      <c r="L678" s="105"/>
      <c r="M678" s="105" t="str">
        <f t="array" ref="M678">IF(ISBLANK(G678),"",INDEX('label approval artwork'!Q:Q,MATCH( G678,'label approval artwork'!F:F,0)))</f>
        <v/>
      </c>
      <c r="N678" s="169" t="str">
        <f t="shared" si="5"/>
        <v/>
      </c>
      <c r="O678" s="102" t="str">
        <f t="array" ref="O678">IF(ISBLANK(G678),"",INDEX('POR Config List'!C:C,MATCH(G678,'POR Config List'!D:D,0)))</f>
        <v/>
      </c>
      <c r="P678" s="105" t="str">
        <f t="shared" si="4"/>
        <v/>
      </c>
      <c r="Q678" s="105" t="str">
        <f t="array" ref="Q678">IF(ISBLANK(G678),"",INDEX('label approval artwork'!J:J,MATCH( G678,'label approval artwork'!F:F,0)))</f>
        <v/>
      </c>
      <c r="R678" s="105" t="str">
        <f t="array" ref="R678">IFERROR( IF(P678&lt;&gt;"EMA",INDEX('label approval artwork'!H:H,MATCH(G678,'label approval artwork'!F:F,0),"")),"")</f>
        <v/>
      </c>
      <c r="S678" s="105"/>
      <c r="T678" s="105" t="str">
        <f t="array" ref="T678">IF(ISBLANK(G678),"",INDEX('POR Config List'!I:I,MATCH(G678,'POR Config List'!D:D,0)))</f>
        <v/>
      </c>
      <c r="AA678" s="100" t="str">
        <f t="array" ref="AA678">IF(ISBLANK(G678),"",INDEX('POR Config List'!E:E,MATCH(G678,'POR Config List'!D:D,0)))</f>
        <v/>
      </c>
      <c r="AC678" s="105"/>
      <c r="AD678" s="100"/>
      <c r="AE678" s="100"/>
      <c r="AF678" s="100"/>
      <c r="AG678" s="100"/>
      <c r="AM678" s="102"/>
      <c r="AN678" s="102"/>
      <c r="AR678" s="119"/>
      <c r="AS678" s="103"/>
    </row>
    <row r="679">
      <c r="A679" s="168"/>
      <c r="B679" s="100" t="str">
        <f t="array" ref="B679">IFERROR( INDEX('POR Config List'!A:A,MATCH(G679,'POR Config List'!D:D,0)),"")</f>
        <v/>
      </c>
      <c r="C679" s="101" t="str">
        <f t="array" ref="C679">IFERROR(INDEX('label approval artwork'!E:E,MATCH(G679,'label approval artwork'!F:F,0),""),"")</f>
        <v/>
      </c>
      <c r="D679" s="102" t="str">
        <f t="shared" si="3"/>
        <v/>
      </c>
      <c r="E679" s="100" t="str">
        <f t="array" ref="E679">IF(ISBLANK(G679),"",INDEX('POR Config List'!K:K,MATCH(G679,'POR Config List'!D:D,0)))</f>
        <v/>
      </c>
      <c r="F679" s="100" t="str">
        <f t="array" ref="F679">IF(ISBLANK(G679),"",INDEX('POR Config List'!J:J,MATCH(G679,'POR Config List'!D:D,0)))</f>
        <v/>
      </c>
      <c r="G679" s="168"/>
      <c r="H679" s="104" t="str">
        <f t="array" ref="H679">IF(ISBLANK(G679),"",INDEX('MP SKUs'!G:G,MATCH(G679,'MP SKUs'!A:A,0)))</f>
        <v/>
      </c>
      <c r="I679" s="105" t="str">
        <f t="array" ref="I679">IF(ISBLANK(G679),"",INDEX('POR Config List'!O:O,MATCH(G679,'POR Config List'!D:D,0)))</f>
        <v/>
      </c>
      <c r="J679" s="104" t="str">
        <f t="array" ref="J679">IF(ISBLANK(G679),"",INDEX('POR Config List'!H:H,MATCH(G679,'POR Config List'!D:D,0)))</f>
        <v/>
      </c>
      <c r="K679" s="105" t="str">
        <f t="array" ref="K679">IF(ISBLANK(G679),"",INDEX('POR Config List'!G:G,MATCH(G679,'POR Config List'!D:D,0)))</f>
        <v/>
      </c>
      <c r="L679" s="105"/>
      <c r="M679" s="105" t="str">
        <f t="array" ref="M679">IF(ISBLANK(G679),"",INDEX('label approval artwork'!Q:Q,MATCH( G679,'label approval artwork'!F:F,0)))</f>
        <v/>
      </c>
      <c r="N679" s="169" t="str">
        <f t="shared" si="5"/>
        <v/>
      </c>
      <c r="O679" s="102" t="str">
        <f t="array" ref="O679">IF(ISBLANK(G679),"",INDEX('POR Config List'!C:C,MATCH(G679,'POR Config List'!D:D,0)))</f>
        <v/>
      </c>
      <c r="P679" s="105" t="str">
        <f t="shared" si="4"/>
        <v/>
      </c>
      <c r="Q679" s="105" t="str">
        <f t="array" ref="Q679">IF(ISBLANK(G679),"",INDEX('label approval artwork'!J:J,MATCH( G679,'label approval artwork'!F:F,0)))</f>
        <v/>
      </c>
      <c r="R679" s="105" t="str">
        <f t="array" ref="R679">IFERROR( IF(P679&lt;&gt;"EMA",INDEX('label approval artwork'!H:H,MATCH(G679,'label approval artwork'!F:F,0),"")),"")</f>
        <v/>
      </c>
      <c r="S679" s="105"/>
      <c r="T679" s="105" t="str">
        <f t="array" ref="T679">IF(ISBLANK(G679),"",INDEX('POR Config List'!I:I,MATCH(G679,'POR Config List'!D:D,0)))</f>
        <v/>
      </c>
      <c r="AA679" s="100" t="str">
        <f t="array" ref="AA679">IF(ISBLANK(G679),"",INDEX('POR Config List'!E:E,MATCH(G679,'POR Config List'!D:D,0)))</f>
        <v/>
      </c>
      <c r="AC679" s="105"/>
      <c r="AD679" s="100"/>
      <c r="AE679" s="100"/>
      <c r="AF679" s="100"/>
      <c r="AG679" s="100"/>
      <c r="AM679" s="102"/>
      <c r="AN679" s="102"/>
      <c r="AR679" s="119"/>
      <c r="AS679" s="103"/>
    </row>
    <row r="680">
      <c r="A680" s="168"/>
      <c r="B680" s="100" t="str">
        <f t="array" ref="B680">IFERROR( INDEX('POR Config List'!A:A,MATCH(G680,'POR Config List'!D:D,0)),"")</f>
        <v/>
      </c>
      <c r="C680" s="101" t="str">
        <f t="array" ref="C680">IFERROR(INDEX('label approval artwork'!E:E,MATCH(G680,'label approval artwork'!F:F,0),""),"")</f>
        <v/>
      </c>
      <c r="D680" s="102" t="str">
        <f t="shared" si="3"/>
        <v/>
      </c>
      <c r="E680" s="100" t="str">
        <f t="array" ref="E680">IF(ISBLANK(G680),"",INDEX('POR Config List'!K:K,MATCH(G680,'POR Config List'!D:D,0)))</f>
        <v/>
      </c>
      <c r="F680" s="100" t="str">
        <f t="array" ref="F680">IF(ISBLANK(G680),"",INDEX('POR Config List'!J:J,MATCH(G680,'POR Config List'!D:D,0)))</f>
        <v/>
      </c>
      <c r="G680" s="168"/>
      <c r="H680" s="104" t="str">
        <f t="array" ref="H680">IF(ISBLANK(G680),"",INDEX('MP SKUs'!G:G,MATCH(G680,'MP SKUs'!A:A,0)))</f>
        <v/>
      </c>
      <c r="I680" s="105" t="str">
        <f t="array" ref="I680">IF(ISBLANK(G680),"",INDEX('POR Config List'!O:O,MATCH(G680,'POR Config List'!D:D,0)))</f>
        <v/>
      </c>
      <c r="J680" s="104" t="str">
        <f t="array" ref="J680">IF(ISBLANK(G680),"",INDEX('POR Config List'!H:H,MATCH(G680,'POR Config List'!D:D,0)))</f>
        <v/>
      </c>
      <c r="K680" s="105" t="str">
        <f t="array" ref="K680">IF(ISBLANK(G680),"",INDEX('POR Config List'!G:G,MATCH(G680,'POR Config List'!D:D,0)))</f>
        <v/>
      </c>
      <c r="L680" s="105"/>
      <c r="M680" s="105" t="str">
        <f t="array" ref="M680">IF(ISBLANK(G680),"",INDEX('label approval artwork'!Q:Q,MATCH( G680,'label approval artwork'!F:F,0)))</f>
        <v/>
      </c>
      <c r="N680" s="169" t="str">
        <f t="shared" si="5"/>
        <v/>
      </c>
      <c r="O680" s="102" t="str">
        <f t="array" ref="O680">IF(ISBLANK(G680),"",INDEX('POR Config List'!C:C,MATCH(G680,'POR Config List'!D:D,0)))</f>
        <v/>
      </c>
      <c r="P680" s="105" t="str">
        <f t="shared" si="4"/>
        <v/>
      </c>
      <c r="Q680" s="105" t="str">
        <f t="array" ref="Q680">IF(ISBLANK(G680),"",INDEX('label approval artwork'!J:J,MATCH( G680,'label approval artwork'!F:F,0)))</f>
        <v/>
      </c>
      <c r="R680" s="105" t="str">
        <f t="array" ref="R680">IFERROR( IF(P680&lt;&gt;"EMA",INDEX('label approval artwork'!H:H,MATCH(G680,'label approval artwork'!F:F,0),"")),"")</f>
        <v/>
      </c>
      <c r="S680" s="105"/>
      <c r="T680" s="105" t="str">
        <f t="array" ref="T680">IF(ISBLANK(G680),"",INDEX('POR Config List'!I:I,MATCH(G680,'POR Config List'!D:D,0)))</f>
        <v/>
      </c>
      <c r="AA680" s="100" t="str">
        <f t="array" ref="AA680">IF(ISBLANK(G680),"",INDEX('POR Config List'!E:E,MATCH(G680,'POR Config List'!D:D,0)))</f>
        <v/>
      </c>
      <c r="AC680" s="105"/>
      <c r="AD680" s="100"/>
      <c r="AE680" s="100"/>
      <c r="AF680" s="100"/>
      <c r="AG680" s="100"/>
      <c r="AM680" s="102"/>
      <c r="AN680" s="102"/>
      <c r="AR680" s="119"/>
      <c r="AS680" s="103"/>
    </row>
    <row r="681">
      <c r="A681" s="168"/>
      <c r="B681" s="100" t="str">
        <f t="array" ref="B681">IFERROR( INDEX('POR Config List'!A:A,MATCH(G681,'POR Config List'!D:D,0)),"")</f>
        <v/>
      </c>
      <c r="C681" s="101" t="str">
        <f t="array" ref="C681">IFERROR(INDEX('label approval artwork'!E:E,MATCH(G681,'label approval artwork'!F:F,0),""),"")</f>
        <v/>
      </c>
      <c r="D681" s="102" t="str">
        <f t="shared" si="3"/>
        <v/>
      </c>
      <c r="E681" s="100" t="str">
        <f t="array" ref="E681">IF(ISBLANK(G681),"",INDEX('POR Config List'!K:K,MATCH(G681,'POR Config List'!D:D,0)))</f>
        <v/>
      </c>
      <c r="F681" s="100" t="str">
        <f t="array" ref="F681">IF(ISBLANK(G681),"",INDEX('POR Config List'!J:J,MATCH(G681,'POR Config List'!D:D,0)))</f>
        <v/>
      </c>
      <c r="G681" s="168"/>
      <c r="H681" s="104" t="str">
        <f t="array" ref="H681">IF(ISBLANK(G681),"",INDEX('MP SKUs'!G:G,MATCH(G681,'MP SKUs'!A:A,0)))</f>
        <v/>
      </c>
      <c r="I681" s="105" t="str">
        <f t="array" ref="I681">IF(ISBLANK(G681),"",INDEX('POR Config List'!O:O,MATCH(G681,'POR Config List'!D:D,0)))</f>
        <v/>
      </c>
      <c r="J681" s="104" t="str">
        <f t="array" ref="J681">IF(ISBLANK(G681),"",INDEX('POR Config List'!H:H,MATCH(G681,'POR Config List'!D:D,0)))</f>
        <v/>
      </c>
      <c r="K681" s="105" t="str">
        <f t="array" ref="K681">IF(ISBLANK(G681),"",INDEX('POR Config List'!G:G,MATCH(G681,'POR Config List'!D:D,0)))</f>
        <v/>
      </c>
      <c r="L681" s="105"/>
      <c r="M681" s="105" t="str">
        <f t="array" ref="M681">IF(ISBLANK(G681),"",INDEX('label approval artwork'!Q:Q,MATCH( G681,'label approval artwork'!F:F,0)))</f>
        <v/>
      </c>
      <c r="N681" s="169" t="str">
        <f t="shared" si="5"/>
        <v/>
      </c>
      <c r="O681" s="102" t="str">
        <f t="array" ref="O681">IF(ISBLANK(G681),"",INDEX('POR Config List'!C:C,MATCH(G681,'POR Config List'!D:D,0)))</f>
        <v/>
      </c>
      <c r="P681" s="105" t="str">
        <f t="shared" si="4"/>
        <v/>
      </c>
      <c r="Q681" s="105" t="str">
        <f t="array" ref="Q681">IF(ISBLANK(G681),"",INDEX('label approval artwork'!J:J,MATCH( G681,'label approval artwork'!F:F,0)))</f>
        <v/>
      </c>
      <c r="R681" s="105" t="str">
        <f t="array" ref="R681">IFERROR( IF(P681&lt;&gt;"EMA",INDEX('label approval artwork'!H:H,MATCH(G681,'label approval artwork'!F:F,0),"")),"")</f>
        <v/>
      </c>
      <c r="S681" s="105"/>
      <c r="T681" s="105" t="str">
        <f t="array" ref="T681">IF(ISBLANK(G681),"",INDEX('POR Config List'!I:I,MATCH(G681,'POR Config List'!D:D,0)))</f>
        <v/>
      </c>
      <c r="AA681" s="100" t="str">
        <f t="array" ref="AA681">IF(ISBLANK(G681),"",INDEX('POR Config List'!E:E,MATCH(G681,'POR Config List'!D:D,0)))</f>
        <v/>
      </c>
      <c r="AC681" s="105"/>
      <c r="AD681" s="100"/>
      <c r="AE681" s="100"/>
      <c r="AF681" s="100"/>
      <c r="AG681" s="100"/>
      <c r="AM681" s="102"/>
      <c r="AN681" s="102"/>
      <c r="AR681" s="119"/>
      <c r="AS681" s="103"/>
    </row>
    <row r="682">
      <c r="A682" s="168"/>
      <c r="B682" s="100" t="str">
        <f t="array" ref="B682">IFERROR( INDEX('POR Config List'!A:A,MATCH(G682,'POR Config List'!D:D,0)),"")</f>
        <v/>
      </c>
      <c r="C682" s="101" t="str">
        <f t="array" ref="C682">IFERROR(INDEX('label approval artwork'!E:E,MATCH(G682,'label approval artwork'!F:F,0),""),"")</f>
        <v/>
      </c>
      <c r="D682" s="102" t="str">
        <f t="shared" si="3"/>
        <v/>
      </c>
      <c r="E682" s="100" t="str">
        <f t="array" ref="E682">IF(ISBLANK(G682),"",INDEX('POR Config List'!K:K,MATCH(G682,'POR Config List'!D:D,0)))</f>
        <v/>
      </c>
      <c r="F682" s="100" t="str">
        <f t="array" ref="F682">IF(ISBLANK(G682),"",INDEX('POR Config List'!J:J,MATCH(G682,'POR Config List'!D:D,0)))</f>
        <v/>
      </c>
      <c r="G682" s="168"/>
      <c r="H682" s="104" t="str">
        <f t="array" ref="H682">IF(ISBLANK(G682),"",INDEX('MP SKUs'!G:G,MATCH(G682,'MP SKUs'!A:A,0)))</f>
        <v/>
      </c>
      <c r="I682" s="105" t="str">
        <f t="array" ref="I682">IF(ISBLANK(G682),"",INDEX('POR Config List'!O:O,MATCH(G682,'POR Config List'!D:D,0)))</f>
        <v/>
      </c>
      <c r="J682" s="104" t="str">
        <f t="array" ref="J682">IF(ISBLANK(G682),"",INDEX('POR Config List'!H:H,MATCH(G682,'POR Config List'!D:D,0)))</f>
        <v/>
      </c>
      <c r="K682" s="105" t="str">
        <f t="array" ref="K682">IF(ISBLANK(G682),"",INDEX('POR Config List'!G:G,MATCH(G682,'POR Config List'!D:D,0)))</f>
        <v/>
      </c>
      <c r="L682" s="105"/>
      <c r="M682" s="105" t="str">
        <f t="array" ref="M682">IF(ISBLANK(G682),"",INDEX('label approval artwork'!Q:Q,MATCH( G682,'label approval artwork'!F:F,0)))</f>
        <v/>
      </c>
      <c r="N682" s="169" t="str">
        <f t="shared" si="5"/>
        <v/>
      </c>
      <c r="O682" s="102" t="str">
        <f t="array" ref="O682">IF(ISBLANK(G682),"",INDEX('POR Config List'!C:C,MATCH(G682,'POR Config List'!D:D,0)))</f>
        <v/>
      </c>
      <c r="P682" s="105" t="str">
        <f t="shared" si="4"/>
        <v/>
      </c>
      <c r="Q682" s="105" t="str">
        <f t="array" ref="Q682">IF(ISBLANK(G682),"",INDEX('label approval artwork'!J:J,MATCH( G682,'label approval artwork'!F:F,0)))</f>
        <v/>
      </c>
      <c r="R682" s="105" t="str">
        <f t="array" ref="R682">IFERROR( IF(P682&lt;&gt;"EMA",INDEX('label approval artwork'!H:H,MATCH(G682,'label approval artwork'!F:F,0),"")),"")</f>
        <v/>
      </c>
      <c r="S682" s="105"/>
      <c r="T682" s="105" t="str">
        <f t="array" ref="T682">IF(ISBLANK(G682),"",INDEX('POR Config List'!I:I,MATCH(G682,'POR Config List'!D:D,0)))</f>
        <v/>
      </c>
      <c r="AA682" s="100" t="str">
        <f t="array" ref="AA682">IF(ISBLANK(G682),"",INDEX('POR Config List'!E:E,MATCH(G682,'POR Config List'!D:D,0)))</f>
        <v/>
      </c>
      <c r="AC682" s="105"/>
      <c r="AD682" s="100"/>
      <c r="AE682" s="100"/>
      <c r="AF682" s="100"/>
      <c r="AG682" s="100"/>
      <c r="AM682" s="102"/>
      <c r="AN682" s="102"/>
      <c r="AR682" s="119"/>
      <c r="AS682" s="103"/>
    </row>
    <row r="683">
      <c r="A683" s="168"/>
      <c r="B683" s="100" t="str">
        <f t="array" ref="B683">IFERROR( INDEX('POR Config List'!A:A,MATCH(G683,'POR Config List'!D:D,0)),"")</f>
        <v/>
      </c>
      <c r="C683" s="101" t="str">
        <f t="array" ref="C683">IFERROR(INDEX('label approval artwork'!E:E,MATCH(G683,'label approval artwork'!F:F,0),""),"")</f>
        <v/>
      </c>
      <c r="D683" s="102" t="str">
        <f t="shared" si="3"/>
        <v/>
      </c>
      <c r="E683" s="100" t="str">
        <f t="array" ref="E683">IF(ISBLANK(G683),"",INDEX('POR Config List'!K:K,MATCH(G683,'POR Config List'!D:D,0)))</f>
        <v/>
      </c>
      <c r="F683" s="100" t="str">
        <f t="array" ref="F683">IF(ISBLANK(G683),"",INDEX('POR Config List'!J:J,MATCH(G683,'POR Config List'!D:D,0)))</f>
        <v/>
      </c>
      <c r="G683" s="168"/>
      <c r="H683" s="104" t="str">
        <f t="array" ref="H683">IF(ISBLANK(G683),"",INDEX('MP SKUs'!G:G,MATCH(G683,'MP SKUs'!A:A,0)))</f>
        <v/>
      </c>
      <c r="I683" s="105" t="str">
        <f t="array" ref="I683">IF(ISBLANK(G683),"",INDEX('POR Config List'!O:O,MATCH(G683,'POR Config List'!D:D,0)))</f>
        <v/>
      </c>
      <c r="J683" s="104" t="str">
        <f t="array" ref="J683">IF(ISBLANK(G683),"",INDEX('POR Config List'!H:H,MATCH(G683,'POR Config List'!D:D,0)))</f>
        <v/>
      </c>
      <c r="K683" s="105" t="str">
        <f t="array" ref="K683">IF(ISBLANK(G683),"",INDEX('POR Config List'!G:G,MATCH(G683,'POR Config List'!D:D,0)))</f>
        <v/>
      </c>
      <c r="L683" s="105"/>
      <c r="M683" s="105" t="str">
        <f t="array" ref="M683">IF(ISBLANK(G683),"",INDEX('label approval artwork'!Q:Q,MATCH( G683,'label approval artwork'!F:F,0)))</f>
        <v/>
      </c>
      <c r="N683" s="169" t="str">
        <f t="shared" si="5"/>
        <v/>
      </c>
      <c r="O683" s="102" t="str">
        <f t="array" ref="O683">IF(ISBLANK(G683),"",INDEX('POR Config List'!C:C,MATCH(G683,'POR Config List'!D:D,0)))</f>
        <v/>
      </c>
      <c r="P683" s="105" t="str">
        <f t="shared" si="4"/>
        <v/>
      </c>
      <c r="Q683" s="105" t="str">
        <f t="array" ref="Q683">IF(ISBLANK(G683),"",INDEX('label approval artwork'!J:J,MATCH( G683,'label approval artwork'!F:F,0)))</f>
        <v/>
      </c>
      <c r="R683" s="105" t="str">
        <f t="array" ref="R683">IFERROR( IF(P683&lt;&gt;"EMA",INDEX('label approval artwork'!H:H,MATCH(G683,'label approval artwork'!F:F,0),"")),"")</f>
        <v/>
      </c>
      <c r="S683" s="105"/>
      <c r="T683" s="105" t="str">
        <f t="array" ref="T683">IF(ISBLANK(G683),"",INDEX('POR Config List'!I:I,MATCH(G683,'POR Config List'!D:D,0)))</f>
        <v/>
      </c>
      <c r="AA683" s="100" t="str">
        <f t="array" ref="AA683">IF(ISBLANK(G683),"",INDEX('POR Config List'!E:E,MATCH(G683,'POR Config List'!D:D,0)))</f>
        <v/>
      </c>
      <c r="AC683" s="105"/>
      <c r="AD683" s="100"/>
      <c r="AE683" s="100"/>
      <c r="AF683" s="100"/>
      <c r="AG683" s="100"/>
      <c r="AM683" s="102"/>
      <c r="AN683" s="102"/>
      <c r="AR683" s="119"/>
      <c r="AS683" s="103"/>
    </row>
    <row r="684">
      <c r="A684" s="168"/>
      <c r="B684" s="100" t="str">
        <f t="array" ref="B684">IFERROR( INDEX('POR Config List'!A:A,MATCH(G684,'POR Config List'!D:D,0)),"")</f>
        <v/>
      </c>
      <c r="C684" s="101" t="str">
        <f t="array" ref="C684">IFERROR(INDEX('label approval artwork'!E:E,MATCH(G684,'label approval artwork'!F:F,0),""),"")</f>
        <v/>
      </c>
      <c r="D684" s="102" t="str">
        <f t="shared" si="3"/>
        <v/>
      </c>
      <c r="E684" s="100" t="str">
        <f t="array" ref="E684">IF(ISBLANK(G684),"",INDEX('POR Config List'!K:K,MATCH(G684,'POR Config List'!D:D,0)))</f>
        <v/>
      </c>
      <c r="F684" s="100" t="str">
        <f t="array" ref="F684">IF(ISBLANK(G684),"",INDEX('POR Config List'!J:J,MATCH(G684,'POR Config List'!D:D,0)))</f>
        <v/>
      </c>
      <c r="G684" s="168"/>
      <c r="H684" s="104" t="str">
        <f t="array" ref="H684">IF(ISBLANK(G684),"",INDEX('MP SKUs'!G:G,MATCH(G684,'MP SKUs'!A:A,0)))</f>
        <v/>
      </c>
      <c r="I684" s="105" t="str">
        <f t="array" ref="I684">IF(ISBLANK(G684),"",INDEX('POR Config List'!O:O,MATCH(G684,'POR Config List'!D:D,0)))</f>
        <v/>
      </c>
      <c r="J684" s="104" t="str">
        <f t="array" ref="J684">IF(ISBLANK(G684),"",INDEX('POR Config List'!H:H,MATCH(G684,'POR Config List'!D:D,0)))</f>
        <v/>
      </c>
      <c r="K684" s="105" t="str">
        <f t="array" ref="K684">IF(ISBLANK(G684),"",INDEX('POR Config List'!G:G,MATCH(G684,'POR Config List'!D:D,0)))</f>
        <v/>
      </c>
      <c r="L684" s="105"/>
      <c r="M684" s="105" t="str">
        <f t="array" ref="M684">IF(ISBLANK(G684),"",INDEX('label approval artwork'!Q:Q,MATCH( G684,'label approval artwork'!F:F,0)))</f>
        <v/>
      </c>
      <c r="N684" s="169" t="str">
        <f t="shared" si="5"/>
        <v/>
      </c>
      <c r="O684" s="102" t="str">
        <f t="array" ref="O684">IF(ISBLANK(G684),"",INDEX('POR Config List'!C:C,MATCH(G684,'POR Config List'!D:D,0)))</f>
        <v/>
      </c>
      <c r="P684" s="105" t="str">
        <f t="shared" si="4"/>
        <v/>
      </c>
      <c r="Q684" s="105" t="str">
        <f t="array" ref="Q684">IF(ISBLANK(G684),"",INDEX('label approval artwork'!J:J,MATCH( G684,'label approval artwork'!F:F,0)))</f>
        <v/>
      </c>
      <c r="R684" s="105" t="str">
        <f t="array" ref="R684">IFERROR( IF(P684&lt;&gt;"EMA",INDEX('label approval artwork'!H:H,MATCH(G684,'label approval artwork'!F:F,0),"")),"")</f>
        <v/>
      </c>
      <c r="S684" s="105"/>
      <c r="T684" s="105" t="str">
        <f t="array" ref="T684">IF(ISBLANK(G684),"",INDEX('POR Config List'!I:I,MATCH(G684,'POR Config List'!D:D,0)))</f>
        <v/>
      </c>
      <c r="AA684" s="100" t="str">
        <f t="array" ref="AA684">IF(ISBLANK(G684),"",INDEX('POR Config List'!E:E,MATCH(G684,'POR Config List'!D:D,0)))</f>
        <v/>
      </c>
      <c r="AC684" s="105"/>
      <c r="AD684" s="100"/>
      <c r="AE684" s="100"/>
      <c r="AF684" s="100"/>
      <c r="AG684" s="100"/>
      <c r="AM684" s="102"/>
      <c r="AN684" s="102"/>
      <c r="AR684" s="119"/>
      <c r="AS684" s="103"/>
    </row>
    <row r="685">
      <c r="A685" s="168"/>
      <c r="B685" s="100" t="str">
        <f t="array" ref="B685">IFERROR( INDEX('POR Config List'!A:A,MATCH(G685,'POR Config List'!D:D,0)),"")</f>
        <v/>
      </c>
      <c r="C685" s="101" t="str">
        <f t="array" ref="C685">IFERROR(INDEX('label approval artwork'!E:E,MATCH(G685,'label approval artwork'!F:F,0),""),"")</f>
        <v/>
      </c>
      <c r="D685" s="102" t="str">
        <f t="shared" si="3"/>
        <v/>
      </c>
      <c r="E685" s="100" t="str">
        <f t="array" ref="E685">IF(ISBLANK(G685),"",INDEX('POR Config List'!K:K,MATCH(G685,'POR Config List'!D:D,0)))</f>
        <v/>
      </c>
      <c r="F685" s="100" t="str">
        <f t="array" ref="F685">IF(ISBLANK(G685),"",INDEX('POR Config List'!J:J,MATCH(G685,'POR Config List'!D:D,0)))</f>
        <v/>
      </c>
      <c r="G685" s="168"/>
      <c r="H685" s="104" t="str">
        <f t="array" ref="H685">IF(ISBLANK(G685),"",INDEX('MP SKUs'!G:G,MATCH(G685,'MP SKUs'!A:A,0)))</f>
        <v/>
      </c>
      <c r="I685" s="105" t="str">
        <f t="array" ref="I685">IF(ISBLANK(G685),"",INDEX('POR Config List'!O:O,MATCH(G685,'POR Config List'!D:D,0)))</f>
        <v/>
      </c>
      <c r="J685" s="104" t="str">
        <f t="array" ref="J685">IF(ISBLANK(G685),"",INDEX('POR Config List'!H:H,MATCH(G685,'POR Config List'!D:D,0)))</f>
        <v/>
      </c>
      <c r="K685" s="105" t="str">
        <f t="array" ref="K685">IF(ISBLANK(G685),"",INDEX('POR Config List'!G:G,MATCH(G685,'POR Config List'!D:D,0)))</f>
        <v/>
      </c>
      <c r="L685" s="105"/>
      <c r="M685" s="105" t="str">
        <f t="array" ref="M685">IF(ISBLANK(G685),"",INDEX('label approval artwork'!Q:Q,MATCH( G685,'label approval artwork'!F:F,0)))</f>
        <v/>
      </c>
      <c r="N685" s="169" t="str">
        <f t="shared" si="5"/>
        <v/>
      </c>
      <c r="O685" s="102" t="str">
        <f t="array" ref="O685">IF(ISBLANK(G685),"",INDEX('POR Config List'!C:C,MATCH(G685,'POR Config List'!D:D,0)))</f>
        <v/>
      </c>
      <c r="P685" s="105" t="str">
        <f t="shared" si="4"/>
        <v/>
      </c>
      <c r="Q685" s="105" t="str">
        <f t="array" ref="Q685">IF(ISBLANK(G685),"",INDEX('label approval artwork'!J:J,MATCH( G685,'label approval artwork'!F:F,0)))</f>
        <v/>
      </c>
      <c r="R685" s="105" t="str">
        <f t="array" ref="R685">IFERROR( IF(P685&lt;&gt;"EMA",INDEX('label approval artwork'!H:H,MATCH(G685,'label approval artwork'!F:F,0),"")),"")</f>
        <v/>
      </c>
      <c r="S685" s="105"/>
      <c r="T685" s="105" t="str">
        <f t="array" ref="T685">IF(ISBLANK(G685),"",INDEX('POR Config List'!I:I,MATCH(G685,'POR Config List'!D:D,0)))</f>
        <v/>
      </c>
      <c r="AA685" s="100" t="str">
        <f t="array" ref="AA685">IF(ISBLANK(G685),"",INDEX('POR Config List'!E:E,MATCH(G685,'POR Config List'!D:D,0)))</f>
        <v/>
      </c>
      <c r="AC685" s="105"/>
      <c r="AD685" s="100"/>
      <c r="AE685" s="100"/>
      <c r="AF685" s="100"/>
      <c r="AG685" s="100"/>
      <c r="AM685" s="102"/>
      <c r="AN685" s="102"/>
      <c r="AR685" s="119"/>
      <c r="AS685" s="103"/>
    </row>
    <row r="686">
      <c r="A686" s="168"/>
      <c r="B686" s="100" t="str">
        <f t="array" ref="B686">IFERROR( INDEX('POR Config List'!A:A,MATCH(G686,'POR Config List'!D:D,0)),"")</f>
        <v/>
      </c>
      <c r="C686" s="101" t="str">
        <f t="array" ref="C686">IFERROR(INDEX('label approval artwork'!E:E,MATCH(G686,'label approval artwork'!F:F,0),""),"")</f>
        <v/>
      </c>
      <c r="D686" s="102" t="str">
        <f t="shared" si="3"/>
        <v/>
      </c>
      <c r="E686" s="100" t="str">
        <f t="array" ref="E686">IF(ISBLANK(G686),"",INDEX('POR Config List'!K:K,MATCH(G686,'POR Config List'!D:D,0)))</f>
        <v/>
      </c>
      <c r="F686" s="100" t="str">
        <f t="array" ref="F686">IF(ISBLANK(G686),"",INDEX('POR Config List'!J:J,MATCH(G686,'POR Config List'!D:D,0)))</f>
        <v/>
      </c>
      <c r="G686" s="168"/>
      <c r="H686" s="104" t="str">
        <f t="array" ref="H686">IF(ISBLANK(G686),"",INDEX('MP SKUs'!G:G,MATCH(G686,'MP SKUs'!A:A,0)))</f>
        <v/>
      </c>
      <c r="I686" s="105" t="str">
        <f t="array" ref="I686">IF(ISBLANK(G686),"",INDEX('POR Config List'!O:O,MATCH(G686,'POR Config List'!D:D,0)))</f>
        <v/>
      </c>
      <c r="J686" s="104" t="str">
        <f t="array" ref="J686">IF(ISBLANK(G686),"",INDEX('POR Config List'!H:H,MATCH(G686,'POR Config List'!D:D,0)))</f>
        <v/>
      </c>
      <c r="K686" s="105" t="str">
        <f t="array" ref="K686">IF(ISBLANK(G686),"",INDEX('POR Config List'!G:G,MATCH(G686,'POR Config List'!D:D,0)))</f>
        <v/>
      </c>
      <c r="L686" s="105"/>
      <c r="M686" s="105" t="str">
        <f t="array" ref="M686">IF(ISBLANK(G686),"",INDEX('label approval artwork'!Q:Q,MATCH( G686,'label approval artwork'!F:F,0)))</f>
        <v/>
      </c>
      <c r="N686" s="169" t="str">
        <f t="shared" si="5"/>
        <v/>
      </c>
      <c r="O686" s="102" t="str">
        <f t="array" ref="O686">IF(ISBLANK(G686),"",INDEX('POR Config List'!C:C,MATCH(G686,'POR Config List'!D:D,0)))</f>
        <v/>
      </c>
      <c r="P686" s="105" t="str">
        <f t="shared" si="4"/>
        <v/>
      </c>
      <c r="Q686" s="105" t="str">
        <f t="array" ref="Q686">IF(ISBLANK(G686),"",INDEX('label approval artwork'!J:J,MATCH( G686,'label approval artwork'!F:F,0)))</f>
        <v/>
      </c>
      <c r="R686" s="105" t="str">
        <f t="array" ref="R686">IFERROR( IF(P686&lt;&gt;"EMA",INDEX('label approval artwork'!H:H,MATCH(G686,'label approval artwork'!F:F,0),"")),"")</f>
        <v/>
      </c>
      <c r="S686" s="105"/>
      <c r="T686" s="105" t="str">
        <f t="array" ref="T686">IF(ISBLANK(G686),"",INDEX('POR Config List'!I:I,MATCH(G686,'POR Config List'!D:D,0)))</f>
        <v/>
      </c>
      <c r="AA686" s="100" t="str">
        <f t="array" ref="AA686">IF(ISBLANK(G686),"",INDEX('POR Config List'!E:E,MATCH(G686,'POR Config List'!D:D,0)))</f>
        <v/>
      </c>
      <c r="AC686" s="105"/>
      <c r="AD686" s="100"/>
      <c r="AE686" s="100"/>
      <c r="AF686" s="100"/>
      <c r="AG686" s="100"/>
      <c r="AM686" s="102"/>
      <c r="AN686" s="102"/>
      <c r="AR686" s="119"/>
      <c r="AS686" s="103"/>
    </row>
    <row r="687">
      <c r="A687" s="168"/>
      <c r="B687" s="100" t="str">
        <f t="array" ref="B687">IFERROR( INDEX('POR Config List'!A:A,MATCH(G687,'POR Config List'!D:D,0)),"")</f>
        <v/>
      </c>
      <c r="C687" s="101" t="str">
        <f t="array" ref="C687">IFERROR(INDEX('label approval artwork'!E:E,MATCH(G687,'label approval artwork'!F:F,0),""),"")</f>
        <v/>
      </c>
      <c r="D687" s="102" t="str">
        <f t="shared" si="3"/>
        <v/>
      </c>
      <c r="E687" s="100" t="str">
        <f t="array" ref="E687">IF(ISBLANK(G687),"",INDEX('POR Config List'!K:K,MATCH(G687,'POR Config List'!D:D,0)))</f>
        <v/>
      </c>
      <c r="F687" s="100" t="str">
        <f t="array" ref="F687">IF(ISBLANK(G687),"",INDEX('POR Config List'!J:J,MATCH(G687,'POR Config List'!D:D,0)))</f>
        <v/>
      </c>
      <c r="G687" s="168"/>
      <c r="H687" s="104" t="str">
        <f t="array" ref="H687">IF(ISBLANK(G687),"",INDEX('MP SKUs'!G:G,MATCH(G687,'MP SKUs'!A:A,0)))</f>
        <v/>
      </c>
      <c r="I687" s="105" t="str">
        <f t="array" ref="I687">IF(ISBLANK(G687),"",INDEX('POR Config List'!O:O,MATCH(G687,'POR Config List'!D:D,0)))</f>
        <v/>
      </c>
      <c r="J687" s="104" t="str">
        <f t="array" ref="J687">IF(ISBLANK(G687),"",INDEX('POR Config List'!H:H,MATCH(G687,'POR Config List'!D:D,0)))</f>
        <v/>
      </c>
      <c r="K687" s="105" t="str">
        <f t="array" ref="K687">IF(ISBLANK(G687),"",INDEX('POR Config List'!G:G,MATCH(G687,'POR Config List'!D:D,0)))</f>
        <v/>
      </c>
      <c r="L687" s="105"/>
      <c r="M687" s="105" t="str">
        <f t="array" ref="M687">IF(ISBLANK(G687),"",INDEX('label approval artwork'!Q:Q,MATCH( G687,'label approval artwork'!F:F,0)))</f>
        <v/>
      </c>
      <c r="N687" s="169" t="str">
        <f t="shared" si="5"/>
        <v/>
      </c>
      <c r="O687" s="102" t="str">
        <f t="array" ref="O687">IF(ISBLANK(G687),"",INDEX('POR Config List'!C:C,MATCH(G687,'POR Config List'!D:D,0)))</f>
        <v/>
      </c>
      <c r="P687" s="105" t="str">
        <f t="shared" si="4"/>
        <v/>
      </c>
      <c r="Q687" s="105" t="str">
        <f t="array" ref="Q687">IF(ISBLANK(G687),"",INDEX('label approval artwork'!J:J,MATCH( G687,'label approval artwork'!F:F,0)))</f>
        <v/>
      </c>
      <c r="R687" s="105" t="str">
        <f t="array" ref="R687">IFERROR( IF(P687&lt;&gt;"EMA",INDEX('label approval artwork'!H:H,MATCH(G687,'label approval artwork'!F:F,0),"")),"")</f>
        <v/>
      </c>
      <c r="S687" s="105"/>
      <c r="T687" s="105" t="str">
        <f t="array" ref="T687">IF(ISBLANK(G687),"",INDEX('POR Config List'!I:I,MATCH(G687,'POR Config List'!D:D,0)))</f>
        <v/>
      </c>
      <c r="AA687" s="100" t="str">
        <f t="array" ref="AA687">IF(ISBLANK(G687),"",INDEX('POR Config List'!E:E,MATCH(G687,'POR Config List'!D:D,0)))</f>
        <v/>
      </c>
      <c r="AC687" s="105"/>
      <c r="AD687" s="100"/>
      <c r="AE687" s="100"/>
      <c r="AF687" s="100"/>
      <c r="AG687" s="100"/>
      <c r="AM687" s="102"/>
      <c r="AN687" s="102"/>
      <c r="AR687" s="119"/>
      <c r="AS687" s="103"/>
    </row>
    <row r="688">
      <c r="A688" s="168"/>
      <c r="B688" s="100" t="str">
        <f t="array" ref="B688">IFERROR( INDEX('POR Config List'!A:A,MATCH(G688,'POR Config List'!D:D,0)),"")</f>
        <v/>
      </c>
      <c r="C688" s="101" t="str">
        <f t="array" ref="C688">IFERROR(INDEX('label approval artwork'!E:E,MATCH(G688,'label approval artwork'!F:F,0),""),"")</f>
        <v/>
      </c>
      <c r="D688" s="102" t="str">
        <f t="shared" si="3"/>
        <v/>
      </c>
      <c r="E688" s="100" t="str">
        <f t="array" ref="E688">IF(ISBLANK(G688),"",INDEX('POR Config List'!K:K,MATCH(G688,'POR Config List'!D:D,0)))</f>
        <v/>
      </c>
      <c r="F688" s="100" t="str">
        <f t="array" ref="F688">IF(ISBLANK(G688),"",INDEX('POR Config List'!J:J,MATCH(G688,'POR Config List'!D:D,0)))</f>
        <v/>
      </c>
      <c r="G688" s="168"/>
      <c r="H688" s="104" t="str">
        <f t="array" ref="H688">IF(ISBLANK(G688),"",INDEX('MP SKUs'!G:G,MATCH(G688,'MP SKUs'!A:A,0)))</f>
        <v/>
      </c>
      <c r="I688" s="105" t="str">
        <f t="array" ref="I688">IF(ISBLANK(G688),"",INDEX('POR Config List'!O:O,MATCH(G688,'POR Config List'!D:D,0)))</f>
        <v/>
      </c>
      <c r="J688" s="104" t="str">
        <f t="array" ref="J688">IF(ISBLANK(G688),"",INDEX('POR Config List'!H:H,MATCH(G688,'POR Config List'!D:D,0)))</f>
        <v/>
      </c>
      <c r="K688" s="105" t="str">
        <f t="array" ref="K688">IF(ISBLANK(G688),"",INDEX('POR Config List'!G:G,MATCH(G688,'POR Config List'!D:D,0)))</f>
        <v/>
      </c>
      <c r="L688" s="105"/>
      <c r="M688" s="105" t="str">
        <f t="array" ref="M688">IF(ISBLANK(G688),"",INDEX('label approval artwork'!Q:Q,MATCH( G688,'label approval artwork'!F:F,0)))</f>
        <v/>
      </c>
      <c r="N688" s="169" t="str">
        <f t="shared" si="5"/>
        <v/>
      </c>
      <c r="O688" s="102" t="str">
        <f t="array" ref="O688">IF(ISBLANK(G688),"",INDEX('POR Config List'!C:C,MATCH(G688,'POR Config List'!D:D,0)))</f>
        <v/>
      </c>
      <c r="P688" s="105" t="str">
        <f t="shared" si="4"/>
        <v/>
      </c>
      <c r="Q688" s="105" t="str">
        <f t="array" ref="Q688">IF(ISBLANK(G688),"",INDEX('label approval artwork'!J:J,MATCH( G688,'label approval artwork'!F:F,0)))</f>
        <v/>
      </c>
      <c r="R688" s="105" t="str">
        <f t="array" ref="R688">IFERROR( IF(P688&lt;&gt;"EMA",INDEX('label approval artwork'!H:H,MATCH(G688,'label approval artwork'!F:F,0),"")),"")</f>
        <v/>
      </c>
      <c r="S688" s="105"/>
      <c r="T688" s="105" t="str">
        <f t="array" ref="T688">IF(ISBLANK(G688),"",INDEX('POR Config List'!I:I,MATCH(G688,'POR Config List'!D:D,0)))</f>
        <v/>
      </c>
      <c r="AA688" s="100" t="str">
        <f t="array" ref="AA688">IF(ISBLANK(G688),"",INDEX('POR Config List'!E:E,MATCH(G688,'POR Config List'!D:D,0)))</f>
        <v/>
      </c>
      <c r="AC688" s="105"/>
      <c r="AD688" s="100"/>
      <c r="AE688" s="100"/>
      <c r="AF688" s="100"/>
      <c r="AG688" s="100"/>
      <c r="AM688" s="102"/>
      <c r="AN688" s="102"/>
      <c r="AR688" s="119"/>
      <c r="AS688" s="103"/>
    </row>
    <row r="689">
      <c r="A689" s="168"/>
      <c r="B689" s="100" t="str">
        <f t="array" ref="B689">IFERROR( INDEX('POR Config List'!A:A,MATCH(G689,'POR Config List'!D:D,0)),"")</f>
        <v/>
      </c>
      <c r="C689" s="101" t="str">
        <f t="array" ref="C689">IFERROR(INDEX('label approval artwork'!E:E,MATCH(G689,'label approval artwork'!F:F,0),""),"")</f>
        <v/>
      </c>
      <c r="D689" s="102" t="str">
        <f t="shared" si="3"/>
        <v/>
      </c>
      <c r="E689" s="100" t="str">
        <f t="array" ref="E689">IF(ISBLANK(G689),"",INDEX('POR Config List'!K:K,MATCH(G689,'POR Config List'!D:D,0)))</f>
        <v/>
      </c>
      <c r="F689" s="100" t="str">
        <f t="array" ref="F689">IF(ISBLANK(G689),"",INDEX('POR Config List'!J:J,MATCH(G689,'POR Config List'!D:D,0)))</f>
        <v/>
      </c>
      <c r="G689" s="168"/>
      <c r="H689" s="104" t="str">
        <f t="array" ref="H689">IF(ISBLANK(G689),"",INDEX('MP SKUs'!G:G,MATCH(G689,'MP SKUs'!A:A,0)))</f>
        <v/>
      </c>
      <c r="I689" s="105" t="str">
        <f t="array" ref="I689">IF(ISBLANK(G689),"",INDEX('POR Config List'!O:O,MATCH(G689,'POR Config List'!D:D,0)))</f>
        <v/>
      </c>
      <c r="J689" s="104" t="str">
        <f t="array" ref="J689">IF(ISBLANK(G689),"",INDEX('POR Config List'!H:H,MATCH(G689,'POR Config List'!D:D,0)))</f>
        <v/>
      </c>
      <c r="K689" s="105" t="str">
        <f t="array" ref="K689">IF(ISBLANK(G689),"",INDEX('POR Config List'!G:G,MATCH(G689,'POR Config List'!D:D,0)))</f>
        <v/>
      </c>
      <c r="L689" s="105"/>
      <c r="M689" s="105" t="str">
        <f t="array" ref="M689">IF(ISBLANK(G689),"",INDEX('label approval artwork'!Q:Q,MATCH( G689,'label approval artwork'!F:F,0)))</f>
        <v/>
      </c>
      <c r="N689" s="169" t="str">
        <f t="shared" si="5"/>
        <v/>
      </c>
      <c r="O689" s="102" t="str">
        <f t="array" ref="O689">IF(ISBLANK(G689),"",INDEX('POR Config List'!C:C,MATCH(G689,'POR Config List'!D:D,0)))</f>
        <v/>
      </c>
      <c r="P689" s="105" t="str">
        <f t="shared" si="4"/>
        <v/>
      </c>
      <c r="Q689" s="105" t="str">
        <f t="array" ref="Q689">IF(ISBLANK(G689),"",INDEX('label approval artwork'!J:J,MATCH( G689,'label approval artwork'!F:F,0)))</f>
        <v/>
      </c>
      <c r="R689" s="105" t="str">
        <f t="array" ref="R689">IFERROR( IF(P689&lt;&gt;"EMA",INDEX('label approval artwork'!H:H,MATCH(G689,'label approval artwork'!F:F,0),"")),"")</f>
        <v/>
      </c>
      <c r="S689" s="105"/>
      <c r="T689" s="105" t="str">
        <f t="array" ref="T689">IF(ISBLANK(G689),"",INDEX('POR Config List'!I:I,MATCH(G689,'POR Config List'!D:D,0)))</f>
        <v/>
      </c>
      <c r="AA689" s="100" t="str">
        <f t="array" ref="AA689">IF(ISBLANK(G689),"",INDEX('POR Config List'!E:E,MATCH(G689,'POR Config List'!D:D,0)))</f>
        <v/>
      </c>
      <c r="AC689" s="105"/>
      <c r="AD689" s="100"/>
      <c r="AE689" s="100"/>
      <c r="AF689" s="100"/>
      <c r="AG689" s="100"/>
      <c r="AM689" s="102"/>
      <c r="AN689" s="102"/>
      <c r="AR689" s="119"/>
      <c r="AS689" s="103"/>
    </row>
    <row r="690">
      <c r="A690" s="168"/>
      <c r="B690" s="100" t="str">
        <f t="array" ref="B690">IFERROR( INDEX('POR Config List'!A:A,MATCH(G690,'POR Config List'!D:D,0)),"")</f>
        <v/>
      </c>
      <c r="C690" s="101" t="str">
        <f t="array" ref="C690">IFERROR(INDEX('label approval artwork'!E:E,MATCH(G690,'label approval artwork'!F:F,0),""),"")</f>
        <v/>
      </c>
      <c r="D690" s="102" t="str">
        <f t="shared" si="3"/>
        <v/>
      </c>
      <c r="E690" s="100" t="str">
        <f t="array" ref="E690">IF(ISBLANK(G690),"",INDEX('POR Config List'!K:K,MATCH(G690,'POR Config List'!D:D,0)))</f>
        <v/>
      </c>
      <c r="F690" s="100" t="str">
        <f t="array" ref="F690">IF(ISBLANK(G690),"",INDEX('POR Config List'!J:J,MATCH(G690,'POR Config List'!D:D,0)))</f>
        <v/>
      </c>
      <c r="G690" s="168"/>
      <c r="H690" s="104" t="str">
        <f t="array" ref="H690">IF(ISBLANK(G690),"",INDEX('MP SKUs'!G:G,MATCH(G690,'MP SKUs'!A:A,0)))</f>
        <v/>
      </c>
      <c r="I690" s="105" t="str">
        <f t="array" ref="I690">IF(ISBLANK(G690),"",INDEX('POR Config List'!O:O,MATCH(G690,'POR Config List'!D:D,0)))</f>
        <v/>
      </c>
      <c r="J690" s="104" t="str">
        <f t="array" ref="J690">IF(ISBLANK(G690),"",INDEX('POR Config List'!H:H,MATCH(G690,'POR Config List'!D:D,0)))</f>
        <v/>
      </c>
      <c r="K690" s="105" t="str">
        <f t="array" ref="K690">IF(ISBLANK(G690),"",INDEX('POR Config List'!G:G,MATCH(G690,'POR Config List'!D:D,0)))</f>
        <v/>
      </c>
      <c r="L690" s="105"/>
      <c r="M690" s="105" t="str">
        <f t="array" ref="M690">IF(ISBLANK(G690),"",INDEX('label approval artwork'!Q:Q,MATCH( G690,'label approval artwork'!F:F,0)))</f>
        <v/>
      </c>
      <c r="N690" s="169" t="str">
        <f t="shared" si="5"/>
        <v/>
      </c>
      <c r="O690" s="102" t="str">
        <f t="array" ref="O690">IF(ISBLANK(G690),"",INDEX('POR Config List'!C:C,MATCH(G690,'POR Config List'!D:D,0)))</f>
        <v/>
      </c>
      <c r="P690" s="105" t="str">
        <f t="shared" si="4"/>
        <v/>
      </c>
      <c r="Q690" s="105" t="str">
        <f t="array" ref="Q690">IF(ISBLANK(G690),"",INDEX('label approval artwork'!J:J,MATCH( G690,'label approval artwork'!F:F,0)))</f>
        <v/>
      </c>
      <c r="R690" s="105" t="str">
        <f t="array" ref="R690">IFERROR( IF(P690&lt;&gt;"EMA",INDEX('label approval artwork'!H:H,MATCH(G690,'label approval artwork'!F:F,0),"")),"")</f>
        <v/>
      </c>
      <c r="S690" s="105"/>
      <c r="T690" s="105" t="str">
        <f t="array" ref="T690">IF(ISBLANK(G690),"",INDEX('POR Config List'!I:I,MATCH(G690,'POR Config List'!D:D,0)))</f>
        <v/>
      </c>
      <c r="AA690" s="100" t="str">
        <f t="array" ref="AA690">IF(ISBLANK(G690),"",INDEX('POR Config List'!E:E,MATCH(G690,'POR Config List'!D:D,0)))</f>
        <v/>
      </c>
      <c r="AC690" s="105"/>
      <c r="AD690" s="100"/>
      <c r="AE690" s="100"/>
      <c r="AF690" s="100"/>
      <c r="AG690" s="100"/>
      <c r="AM690" s="102"/>
      <c r="AN690" s="102"/>
      <c r="AR690" s="119"/>
      <c r="AS690" s="103"/>
    </row>
    <row r="691">
      <c r="A691" s="168"/>
      <c r="B691" s="100" t="str">
        <f t="array" ref="B691">IFERROR( INDEX('POR Config List'!A:A,MATCH(G691,'POR Config List'!D:D,0)),"")</f>
        <v/>
      </c>
      <c r="C691" s="101" t="str">
        <f t="array" ref="C691">IFERROR(INDEX('label approval artwork'!E:E,MATCH(G691,'label approval artwork'!F:F,0),""),"")</f>
        <v/>
      </c>
      <c r="D691" s="102" t="str">
        <f t="shared" si="3"/>
        <v/>
      </c>
      <c r="E691" s="100" t="str">
        <f t="array" ref="E691">IF(ISBLANK(G691),"",INDEX('POR Config List'!K:K,MATCH(G691,'POR Config List'!D:D,0)))</f>
        <v/>
      </c>
      <c r="F691" s="100" t="str">
        <f t="array" ref="F691">IF(ISBLANK(G691),"",INDEX('POR Config List'!J:J,MATCH(G691,'POR Config List'!D:D,0)))</f>
        <v/>
      </c>
      <c r="G691" s="168"/>
      <c r="H691" s="104" t="str">
        <f t="array" ref="H691">IF(ISBLANK(G691),"",INDEX('MP SKUs'!G:G,MATCH(G691,'MP SKUs'!A:A,0)))</f>
        <v/>
      </c>
      <c r="I691" s="105" t="str">
        <f t="array" ref="I691">IF(ISBLANK(G691),"",INDEX('POR Config List'!O:O,MATCH(G691,'POR Config List'!D:D,0)))</f>
        <v/>
      </c>
      <c r="J691" s="104" t="str">
        <f t="array" ref="J691">IF(ISBLANK(G691),"",INDEX('POR Config List'!H:H,MATCH(G691,'POR Config List'!D:D,0)))</f>
        <v/>
      </c>
      <c r="K691" s="105" t="str">
        <f t="array" ref="K691">IF(ISBLANK(G691),"",INDEX('POR Config List'!G:G,MATCH(G691,'POR Config List'!D:D,0)))</f>
        <v/>
      </c>
      <c r="L691" s="105"/>
      <c r="M691" s="105" t="str">
        <f t="array" ref="M691">IF(ISBLANK(G691),"",INDEX('label approval artwork'!Q:Q,MATCH( G691,'label approval artwork'!F:F,0)))</f>
        <v/>
      </c>
      <c r="N691" s="169" t="str">
        <f t="shared" si="5"/>
        <v/>
      </c>
      <c r="O691" s="102" t="str">
        <f t="array" ref="O691">IF(ISBLANK(G691),"",INDEX('POR Config List'!C:C,MATCH(G691,'POR Config List'!D:D,0)))</f>
        <v/>
      </c>
      <c r="P691" s="105" t="str">
        <f t="shared" si="4"/>
        <v/>
      </c>
      <c r="Q691" s="105" t="str">
        <f t="array" ref="Q691">IF(ISBLANK(G691),"",INDEX('label approval artwork'!J:J,MATCH( G691,'label approval artwork'!F:F,0)))</f>
        <v/>
      </c>
      <c r="R691" s="105" t="str">
        <f t="array" ref="R691">IFERROR( IF(P691&lt;&gt;"EMA",INDEX('label approval artwork'!H:H,MATCH(G691,'label approval artwork'!F:F,0),"")),"")</f>
        <v/>
      </c>
      <c r="S691" s="105"/>
      <c r="T691" s="105" t="str">
        <f t="array" ref="T691">IF(ISBLANK(G691),"",INDEX('POR Config List'!I:I,MATCH(G691,'POR Config List'!D:D,0)))</f>
        <v/>
      </c>
      <c r="AA691" s="100" t="str">
        <f t="array" ref="AA691">IF(ISBLANK(G691),"",INDEX('POR Config List'!E:E,MATCH(G691,'POR Config List'!D:D,0)))</f>
        <v/>
      </c>
      <c r="AC691" s="105"/>
      <c r="AD691" s="100"/>
      <c r="AE691" s="100"/>
      <c r="AF691" s="100"/>
      <c r="AG691" s="100"/>
      <c r="AM691" s="102"/>
      <c r="AN691" s="102"/>
      <c r="AR691" s="119"/>
      <c r="AS691" s="103"/>
    </row>
    <row r="692">
      <c r="A692" s="168"/>
      <c r="B692" s="100" t="str">
        <f t="array" ref="B692">IFERROR( INDEX('POR Config List'!A:A,MATCH(G692,'POR Config List'!D:D,0)),"")</f>
        <v/>
      </c>
      <c r="C692" s="101" t="str">
        <f t="array" ref="C692">IFERROR(INDEX('label approval artwork'!E:E,MATCH(G692,'label approval artwork'!F:F,0),""),"")</f>
        <v/>
      </c>
      <c r="D692" s="102" t="str">
        <f t="shared" si="3"/>
        <v/>
      </c>
      <c r="E692" s="100" t="str">
        <f t="array" ref="E692">IF(ISBLANK(G692),"",INDEX('POR Config List'!K:K,MATCH(G692,'POR Config List'!D:D,0)))</f>
        <v/>
      </c>
      <c r="F692" s="100" t="str">
        <f t="array" ref="F692">IF(ISBLANK(G692),"",INDEX('POR Config List'!J:J,MATCH(G692,'POR Config List'!D:D,0)))</f>
        <v/>
      </c>
      <c r="G692" s="168"/>
      <c r="H692" s="104" t="str">
        <f t="array" ref="H692">IF(ISBLANK(G692),"",INDEX('MP SKUs'!G:G,MATCH(G692,'MP SKUs'!A:A,0)))</f>
        <v/>
      </c>
      <c r="I692" s="105" t="str">
        <f t="array" ref="I692">IF(ISBLANK(G692),"",INDEX('POR Config List'!O:O,MATCH(G692,'POR Config List'!D:D,0)))</f>
        <v/>
      </c>
      <c r="J692" s="104" t="str">
        <f t="array" ref="J692">IF(ISBLANK(G692),"",INDEX('POR Config List'!H:H,MATCH(G692,'POR Config List'!D:D,0)))</f>
        <v/>
      </c>
      <c r="K692" s="105" t="str">
        <f t="array" ref="K692">IF(ISBLANK(G692),"",INDEX('POR Config List'!G:G,MATCH(G692,'POR Config List'!D:D,0)))</f>
        <v/>
      </c>
      <c r="L692" s="105"/>
      <c r="M692" s="105" t="str">
        <f t="array" ref="M692">IF(ISBLANK(G692),"",INDEX('label approval artwork'!Q:Q,MATCH( G692,'label approval artwork'!F:F,0)))</f>
        <v/>
      </c>
      <c r="N692" s="169" t="str">
        <f t="shared" si="5"/>
        <v/>
      </c>
      <c r="O692" s="102" t="str">
        <f t="array" ref="O692">IF(ISBLANK(G692),"",INDEX('POR Config List'!C:C,MATCH(G692,'POR Config List'!D:D,0)))</f>
        <v/>
      </c>
      <c r="P692" s="105" t="str">
        <f t="shared" si="4"/>
        <v/>
      </c>
      <c r="Q692" s="105" t="str">
        <f t="array" ref="Q692">IF(ISBLANK(G692),"",INDEX('label approval artwork'!J:J,MATCH( G692,'label approval artwork'!F:F,0)))</f>
        <v/>
      </c>
      <c r="R692" s="105" t="str">
        <f t="array" ref="R692">IFERROR( IF(P692&lt;&gt;"EMA",INDEX('label approval artwork'!H:H,MATCH(G692,'label approval artwork'!F:F,0),"")),"")</f>
        <v/>
      </c>
      <c r="S692" s="105"/>
      <c r="T692" s="105" t="str">
        <f t="array" ref="T692">IF(ISBLANK(G692),"",INDEX('POR Config List'!I:I,MATCH(G692,'POR Config List'!D:D,0)))</f>
        <v/>
      </c>
      <c r="AA692" s="100" t="str">
        <f t="array" ref="AA692">IF(ISBLANK(G692),"",INDEX('POR Config List'!E:E,MATCH(G692,'POR Config List'!D:D,0)))</f>
        <v/>
      </c>
      <c r="AC692" s="105"/>
      <c r="AD692" s="100"/>
      <c r="AE692" s="100"/>
      <c r="AF692" s="100"/>
      <c r="AG692" s="100"/>
      <c r="AM692" s="102"/>
      <c r="AN692" s="102"/>
      <c r="AR692" s="119"/>
      <c r="AS692" s="103"/>
    </row>
    <row r="693">
      <c r="A693" s="168"/>
      <c r="B693" s="100" t="str">
        <f t="array" ref="B693">IFERROR( INDEX('POR Config List'!A:A,MATCH(G693,'POR Config List'!D:D,0)),"")</f>
        <v/>
      </c>
      <c r="C693" s="101" t="str">
        <f t="array" ref="C693">IFERROR(INDEX('label approval artwork'!E:E,MATCH(G693,'label approval artwork'!F:F,0),""),"")</f>
        <v/>
      </c>
      <c r="D693" s="102" t="str">
        <f t="shared" si="3"/>
        <v/>
      </c>
      <c r="E693" s="100" t="str">
        <f t="array" ref="E693">IF(ISBLANK(G693),"",INDEX('POR Config List'!K:K,MATCH(G693,'POR Config List'!D:D,0)))</f>
        <v/>
      </c>
      <c r="F693" s="100" t="str">
        <f t="array" ref="F693">IF(ISBLANK(G693),"",INDEX('POR Config List'!J:J,MATCH(G693,'POR Config List'!D:D,0)))</f>
        <v/>
      </c>
      <c r="G693" s="168"/>
      <c r="H693" s="104" t="str">
        <f t="array" ref="H693">IF(ISBLANK(G693),"",INDEX('MP SKUs'!G:G,MATCH(G693,'MP SKUs'!A:A,0)))</f>
        <v/>
      </c>
      <c r="I693" s="105" t="str">
        <f t="array" ref="I693">IF(ISBLANK(G693),"",INDEX('POR Config List'!O:O,MATCH(G693,'POR Config List'!D:D,0)))</f>
        <v/>
      </c>
      <c r="J693" s="104" t="str">
        <f t="array" ref="J693">IF(ISBLANK(G693),"",INDEX('POR Config List'!H:H,MATCH(G693,'POR Config List'!D:D,0)))</f>
        <v/>
      </c>
      <c r="K693" s="105" t="str">
        <f t="array" ref="K693">IF(ISBLANK(G693),"",INDEX('POR Config List'!G:G,MATCH(G693,'POR Config List'!D:D,0)))</f>
        <v/>
      </c>
      <c r="L693" s="105"/>
      <c r="M693" s="105" t="str">
        <f t="array" ref="M693">IF(ISBLANK(G693),"",INDEX('label approval artwork'!Q:Q,MATCH( G693,'label approval artwork'!F:F,0)))</f>
        <v/>
      </c>
      <c r="N693" s="169" t="str">
        <f t="shared" si="5"/>
        <v/>
      </c>
      <c r="O693" s="102" t="str">
        <f t="array" ref="O693">IF(ISBLANK(G693),"",INDEX('POR Config List'!C:C,MATCH(G693,'POR Config List'!D:D,0)))</f>
        <v/>
      </c>
      <c r="P693" s="105" t="str">
        <f t="shared" si="4"/>
        <v/>
      </c>
      <c r="Q693" s="105" t="str">
        <f t="array" ref="Q693">IF(ISBLANK(G693),"",INDEX('label approval artwork'!J:J,MATCH( G693,'label approval artwork'!F:F,0)))</f>
        <v/>
      </c>
      <c r="R693" s="105" t="str">
        <f t="array" ref="R693">IFERROR( IF(P693&lt;&gt;"EMA",INDEX('label approval artwork'!H:H,MATCH(G693,'label approval artwork'!F:F,0),"")),"")</f>
        <v/>
      </c>
      <c r="S693" s="105"/>
      <c r="T693" s="105" t="str">
        <f t="array" ref="T693">IF(ISBLANK(G693),"",INDEX('POR Config List'!I:I,MATCH(G693,'POR Config List'!D:D,0)))</f>
        <v/>
      </c>
      <c r="AA693" s="100" t="str">
        <f t="array" ref="AA693">IF(ISBLANK(G693),"",INDEX('POR Config List'!E:E,MATCH(G693,'POR Config List'!D:D,0)))</f>
        <v/>
      </c>
      <c r="AC693" s="105"/>
      <c r="AD693" s="100"/>
      <c r="AE693" s="100"/>
      <c r="AF693" s="100"/>
      <c r="AG693" s="100"/>
      <c r="AM693" s="102"/>
      <c r="AN693" s="102"/>
      <c r="AR693" s="119"/>
      <c r="AS693" s="103"/>
    </row>
    <row r="694">
      <c r="A694" s="168"/>
      <c r="B694" s="100" t="str">
        <f t="array" ref="B694">IFERROR( INDEX('POR Config List'!A:A,MATCH(G694,'POR Config List'!D:D,0)),"")</f>
        <v/>
      </c>
      <c r="C694" s="101" t="str">
        <f t="array" ref="C694">IFERROR(INDEX('label approval artwork'!E:E,MATCH(G694,'label approval artwork'!F:F,0),""),"")</f>
        <v/>
      </c>
      <c r="D694" s="102" t="str">
        <f t="shared" si="3"/>
        <v/>
      </c>
      <c r="E694" s="100" t="str">
        <f t="array" ref="E694">IF(ISBLANK(G694),"",INDEX('POR Config List'!K:K,MATCH(G694,'POR Config List'!D:D,0)))</f>
        <v/>
      </c>
      <c r="F694" s="100" t="str">
        <f t="array" ref="F694">IF(ISBLANK(G694),"",INDEX('POR Config List'!J:J,MATCH(G694,'POR Config List'!D:D,0)))</f>
        <v/>
      </c>
      <c r="G694" s="168"/>
      <c r="H694" s="104" t="str">
        <f t="array" ref="H694">IF(ISBLANK(G694),"",INDEX('MP SKUs'!G:G,MATCH(G694,'MP SKUs'!A:A,0)))</f>
        <v/>
      </c>
      <c r="I694" s="105" t="str">
        <f t="array" ref="I694">IF(ISBLANK(G694),"",INDEX('POR Config List'!O:O,MATCH(G694,'POR Config List'!D:D,0)))</f>
        <v/>
      </c>
      <c r="J694" s="104" t="str">
        <f t="array" ref="J694">IF(ISBLANK(G694),"",INDEX('POR Config List'!H:H,MATCH(G694,'POR Config List'!D:D,0)))</f>
        <v/>
      </c>
      <c r="K694" s="105" t="str">
        <f t="array" ref="K694">IF(ISBLANK(G694),"",INDEX('POR Config List'!G:G,MATCH(G694,'POR Config List'!D:D,0)))</f>
        <v/>
      </c>
      <c r="L694" s="105"/>
      <c r="M694" s="105" t="str">
        <f t="array" ref="M694">IF(ISBLANK(G694),"",INDEX('label approval artwork'!Q:Q,MATCH( G694,'label approval artwork'!F:F,0)))</f>
        <v/>
      </c>
      <c r="N694" s="169" t="str">
        <f t="shared" si="5"/>
        <v/>
      </c>
      <c r="O694" s="102" t="str">
        <f t="array" ref="O694">IF(ISBLANK(G694),"",INDEX('POR Config List'!C:C,MATCH(G694,'POR Config List'!D:D,0)))</f>
        <v/>
      </c>
      <c r="P694" s="105" t="str">
        <f t="shared" si="4"/>
        <v/>
      </c>
      <c r="Q694" s="105" t="str">
        <f t="array" ref="Q694">IF(ISBLANK(G694),"",INDEX('label approval artwork'!J:J,MATCH( G694,'label approval artwork'!F:F,0)))</f>
        <v/>
      </c>
      <c r="R694" s="105" t="str">
        <f t="array" ref="R694">IFERROR( IF(P694&lt;&gt;"EMA",INDEX('label approval artwork'!H:H,MATCH(G694,'label approval artwork'!F:F,0),"")),"")</f>
        <v/>
      </c>
      <c r="S694" s="105"/>
      <c r="T694" s="105" t="str">
        <f t="array" ref="T694">IF(ISBLANK(G694),"",INDEX('POR Config List'!I:I,MATCH(G694,'POR Config List'!D:D,0)))</f>
        <v/>
      </c>
      <c r="AA694" s="100" t="str">
        <f t="array" ref="AA694">IF(ISBLANK(G694),"",INDEX('POR Config List'!E:E,MATCH(G694,'POR Config List'!D:D,0)))</f>
        <v/>
      </c>
      <c r="AC694" s="105"/>
      <c r="AD694" s="100"/>
      <c r="AE694" s="100"/>
      <c r="AF694" s="100"/>
      <c r="AG694" s="100"/>
      <c r="AM694" s="102"/>
      <c r="AN694" s="102"/>
      <c r="AR694" s="119"/>
      <c r="AS694" s="103"/>
    </row>
    <row r="695">
      <c r="A695" s="168"/>
      <c r="B695" s="100" t="str">
        <f t="array" ref="B695">IFERROR( INDEX('POR Config List'!A:A,MATCH(G695,'POR Config List'!D:D,0)),"")</f>
        <v/>
      </c>
      <c r="C695" s="101" t="str">
        <f t="array" ref="C695">IFERROR(INDEX('label approval artwork'!E:E,MATCH(G695,'label approval artwork'!F:F,0),""),"")</f>
        <v/>
      </c>
      <c r="D695" s="102" t="str">
        <f t="shared" si="3"/>
        <v/>
      </c>
      <c r="E695" s="100" t="str">
        <f t="array" ref="E695">IF(ISBLANK(G695),"",INDEX('POR Config List'!K:K,MATCH(G695,'POR Config List'!D:D,0)))</f>
        <v/>
      </c>
      <c r="F695" s="100" t="str">
        <f t="array" ref="F695">IF(ISBLANK(G695),"",INDEX('POR Config List'!J:J,MATCH(G695,'POR Config List'!D:D,0)))</f>
        <v/>
      </c>
      <c r="G695" s="168"/>
      <c r="H695" s="104" t="str">
        <f t="array" ref="H695">IF(ISBLANK(G695),"",INDEX('MP SKUs'!G:G,MATCH(G695,'MP SKUs'!A:A,0)))</f>
        <v/>
      </c>
      <c r="I695" s="105" t="str">
        <f t="array" ref="I695">IF(ISBLANK(G695),"",INDEX('POR Config List'!O:O,MATCH(G695,'POR Config List'!D:D,0)))</f>
        <v/>
      </c>
      <c r="J695" s="104" t="str">
        <f t="array" ref="J695">IF(ISBLANK(G695),"",INDEX('POR Config List'!H:H,MATCH(G695,'POR Config List'!D:D,0)))</f>
        <v/>
      </c>
      <c r="K695" s="105" t="str">
        <f t="array" ref="K695">IF(ISBLANK(G695),"",INDEX('POR Config List'!G:G,MATCH(G695,'POR Config List'!D:D,0)))</f>
        <v/>
      </c>
      <c r="L695" s="105"/>
      <c r="M695" s="105" t="str">
        <f t="array" ref="M695">IF(ISBLANK(G695),"",INDEX('label approval artwork'!Q:Q,MATCH( G695,'label approval artwork'!F:F,0)))</f>
        <v/>
      </c>
      <c r="N695" s="169" t="str">
        <f t="shared" si="5"/>
        <v/>
      </c>
      <c r="O695" s="102" t="str">
        <f t="array" ref="O695">IF(ISBLANK(G695),"",INDEX('POR Config List'!C:C,MATCH(G695,'POR Config List'!D:D,0)))</f>
        <v/>
      </c>
      <c r="P695" s="105" t="str">
        <f t="shared" si="4"/>
        <v/>
      </c>
      <c r="Q695" s="105" t="str">
        <f t="array" ref="Q695">IF(ISBLANK(G695),"",INDEX('label approval artwork'!J:J,MATCH( G695,'label approval artwork'!F:F,0)))</f>
        <v/>
      </c>
      <c r="R695" s="105" t="str">
        <f t="array" ref="R695">IFERROR( IF(P695&lt;&gt;"EMA",INDEX('label approval artwork'!H:H,MATCH(G695,'label approval artwork'!F:F,0),"")),"")</f>
        <v/>
      </c>
      <c r="S695" s="105"/>
      <c r="T695" s="105" t="str">
        <f t="array" ref="T695">IF(ISBLANK(G695),"",INDEX('POR Config List'!I:I,MATCH(G695,'POR Config List'!D:D,0)))</f>
        <v/>
      </c>
      <c r="AA695" s="100" t="str">
        <f t="array" ref="AA695">IF(ISBLANK(G695),"",INDEX('POR Config List'!E:E,MATCH(G695,'POR Config List'!D:D,0)))</f>
        <v/>
      </c>
      <c r="AC695" s="105"/>
      <c r="AD695" s="100"/>
      <c r="AE695" s="100"/>
      <c r="AF695" s="100"/>
      <c r="AG695" s="100"/>
      <c r="AM695" s="102"/>
      <c r="AN695" s="102"/>
      <c r="AR695" s="119"/>
      <c r="AS695" s="103"/>
    </row>
    <row r="696">
      <c r="A696" s="168"/>
      <c r="B696" s="100" t="str">
        <f t="array" ref="B696">IFERROR( INDEX('POR Config List'!A:A,MATCH(G696,'POR Config List'!D:D,0)),"")</f>
        <v/>
      </c>
      <c r="C696" s="101" t="str">
        <f t="array" ref="C696">IFERROR(INDEX('label approval artwork'!E:E,MATCH(G696,'label approval artwork'!F:F,0),""),"")</f>
        <v/>
      </c>
      <c r="D696" s="102" t="str">
        <f t="shared" si="3"/>
        <v/>
      </c>
      <c r="E696" s="100" t="str">
        <f t="array" ref="E696">IF(ISBLANK(G696),"",INDEX('POR Config List'!K:K,MATCH(G696,'POR Config List'!D:D,0)))</f>
        <v/>
      </c>
      <c r="F696" s="100" t="str">
        <f t="array" ref="F696">IF(ISBLANK(G696),"",INDEX('POR Config List'!J:J,MATCH(G696,'POR Config List'!D:D,0)))</f>
        <v/>
      </c>
      <c r="G696" s="168"/>
      <c r="H696" s="104" t="str">
        <f t="array" ref="H696">IF(ISBLANK(G696),"",INDEX('MP SKUs'!G:G,MATCH(G696,'MP SKUs'!A:A,0)))</f>
        <v/>
      </c>
      <c r="I696" s="105" t="str">
        <f t="array" ref="I696">IF(ISBLANK(G696),"",INDEX('POR Config List'!O:O,MATCH(G696,'POR Config List'!D:D,0)))</f>
        <v/>
      </c>
      <c r="J696" s="104" t="str">
        <f t="array" ref="J696">IF(ISBLANK(G696),"",INDEX('POR Config List'!H:H,MATCH(G696,'POR Config List'!D:D,0)))</f>
        <v/>
      </c>
      <c r="K696" s="105" t="str">
        <f t="array" ref="K696">IF(ISBLANK(G696),"",INDEX('POR Config List'!G:G,MATCH(G696,'POR Config List'!D:D,0)))</f>
        <v/>
      </c>
      <c r="L696" s="105"/>
      <c r="M696" s="105" t="str">
        <f t="array" ref="M696">IF(ISBLANK(G696),"",INDEX('label approval artwork'!Q:Q,MATCH( G696,'label approval artwork'!F:F,0)))</f>
        <v/>
      </c>
      <c r="N696" s="169" t="str">
        <f t="shared" si="5"/>
        <v/>
      </c>
      <c r="O696" s="102" t="str">
        <f t="array" ref="O696">IF(ISBLANK(G696),"",INDEX('POR Config List'!C:C,MATCH(G696,'POR Config List'!D:D,0)))</f>
        <v/>
      </c>
      <c r="P696" s="105" t="str">
        <f t="shared" si="4"/>
        <v/>
      </c>
      <c r="Q696" s="105" t="str">
        <f t="array" ref="Q696">IF(ISBLANK(G696),"",INDEX('label approval artwork'!J:J,MATCH( G696,'label approval artwork'!F:F,0)))</f>
        <v/>
      </c>
      <c r="R696" s="105" t="str">
        <f t="array" ref="R696">IFERROR( IF(P696&lt;&gt;"EMA",INDEX('label approval artwork'!H:H,MATCH(G696,'label approval artwork'!F:F,0),"")),"")</f>
        <v/>
      </c>
      <c r="S696" s="105"/>
      <c r="T696" s="105" t="str">
        <f t="array" ref="T696">IF(ISBLANK(G696),"",INDEX('POR Config List'!I:I,MATCH(G696,'POR Config List'!D:D,0)))</f>
        <v/>
      </c>
      <c r="AA696" s="100" t="str">
        <f t="array" ref="AA696">IF(ISBLANK(G696),"",INDEX('POR Config List'!E:E,MATCH(G696,'POR Config List'!D:D,0)))</f>
        <v/>
      </c>
      <c r="AC696" s="105"/>
      <c r="AD696" s="100"/>
      <c r="AE696" s="100"/>
      <c r="AF696" s="100"/>
      <c r="AG696" s="100"/>
      <c r="AM696" s="102"/>
      <c r="AN696" s="102"/>
      <c r="AR696" s="119"/>
      <c r="AS696" s="103"/>
    </row>
    <row r="697">
      <c r="A697" s="168"/>
      <c r="B697" s="100" t="str">
        <f t="array" ref="B697">IFERROR( INDEX('POR Config List'!A:A,MATCH(G697,'POR Config List'!D:D,0)),"")</f>
        <v/>
      </c>
      <c r="C697" s="101" t="str">
        <f t="array" ref="C697">IFERROR(INDEX('label approval artwork'!E:E,MATCH(G697,'label approval artwork'!F:F,0),""),"")</f>
        <v/>
      </c>
      <c r="D697" s="102" t="str">
        <f t="shared" si="3"/>
        <v/>
      </c>
      <c r="E697" s="100" t="str">
        <f t="array" ref="E697">IF(ISBLANK(G697),"",INDEX('POR Config List'!K:K,MATCH(G697,'POR Config List'!D:D,0)))</f>
        <v/>
      </c>
      <c r="F697" s="100" t="str">
        <f t="array" ref="F697">IF(ISBLANK(G697),"",INDEX('POR Config List'!J:J,MATCH(G697,'POR Config List'!D:D,0)))</f>
        <v/>
      </c>
      <c r="G697" s="168"/>
      <c r="H697" s="104" t="str">
        <f t="array" ref="H697">IF(ISBLANK(G697),"",INDEX('MP SKUs'!G:G,MATCH(G697,'MP SKUs'!A:A,0)))</f>
        <v/>
      </c>
      <c r="I697" s="105" t="str">
        <f t="array" ref="I697">IF(ISBLANK(G697),"",INDEX('POR Config List'!O:O,MATCH(G697,'POR Config List'!D:D,0)))</f>
        <v/>
      </c>
      <c r="J697" s="104" t="str">
        <f t="array" ref="J697">IF(ISBLANK(G697),"",INDEX('POR Config List'!H:H,MATCH(G697,'POR Config List'!D:D,0)))</f>
        <v/>
      </c>
      <c r="K697" s="105" t="str">
        <f t="array" ref="K697">IF(ISBLANK(G697),"",INDEX('POR Config List'!G:G,MATCH(G697,'POR Config List'!D:D,0)))</f>
        <v/>
      </c>
      <c r="L697" s="105"/>
      <c r="M697" s="105" t="str">
        <f t="array" ref="M697">IF(ISBLANK(G697),"",INDEX('label approval artwork'!Q:Q,MATCH( G697,'label approval artwork'!F:F,0)))</f>
        <v/>
      </c>
      <c r="N697" s="169" t="str">
        <f t="shared" si="5"/>
        <v/>
      </c>
      <c r="O697" s="102" t="str">
        <f t="array" ref="O697">IF(ISBLANK(G697),"",INDEX('POR Config List'!C:C,MATCH(G697,'POR Config List'!D:D,0)))</f>
        <v/>
      </c>
      <c r="P697" s="105" t="str">
        <f t="shared" si="4"/>
        <v/>
      </c>
      <c r="Q697" s="105" t="str">
        <f t="array" ref="Q697">IF(ISBLANK(G697),"",INDEX('label approval artwork'!J:J,MATCH( G697,'label approval artwork'!F:F,0)))</f>
        <v/>
      </c>
      <c r="R697" s="105" t="str">
        <f t="array" ref="R697">IFERROR( IF(P697&lt;&gt;"EMA",INDEX('label approval artwork'!H:H,MATCH(G697,'label approval artwork'!F:F,0),"")),"")</f>
        <v/>
      </c>
      <c r="S697" s="105"/>
      <c r="T697" s="105" t="str">
        <f t="array" ref="T697">IF(ISBLANK(G697),"",INDEX('POR Config List'!I:I,MATCH(G697,'POR Config List'!D:D,0)))</f>
        <v/>
      </c>
      <c r="AA697" s="100" t="str">
        <f t="array" ref="AA697">IF(ISBLANK(G697),"",INDEX('POR Config List'!E:E,MATCH(G697,'POR Config List'!D:D,0)))</f>
        <v/>
      </c>
      <c r="AC697" s="105"/>
      <c r="AD697" s="100"/>
      <c r="AE697" s="100"/>
      <c r="AF697" s="100"/>
      <c r="AG697" s="100"/>
      <c r="AM697" s="102"/>
      <c r="AN697" s="102"/>
      <c r="AR697" s="119"/>
      <c r="AS697" s="103"/>
    </row>
    <row r="698">
      <c r="A698" s="168"/>
      <c r="B698" s="100" t="str">
        <f t="array" ref="B698">IFERROR( INDEX('POR Config List'!A:A,MATCH(G698,'POR Config List'!D:D,0)),"")</f>
        <v/>
      </c>
      <c r="C698" s="101" t="str">
        <f t="array" ref="C698">IFERROR(INDEX('label approval artwork'!E:E,MATCH(G698,'label approval artwork'!F:F,0),""),"")</f>
        <v/>
      </c>
      <c r="D698" s="102" t="str">
        <f t="shared" si="3"/>
        <v/>
      </c>
      <c r="E698" s="100" t="str">
        <f t="array" ref="E698">IF(ISBLANK(G698),"",INDEX('POR Config List'!K:K,MATCH(G698,'POR Config List'!D:D,0)))</f>
        <v/>
      </c>
      <c r="F698" s="100" t="str">
        <f t="array" ref="F698">IF(ISBLANK(G698),"",INDEX('POR Config List'!J:J,MATCH(G698,'POR Config List'!D:D,0)))</f>
        <v/>
      </c>
      <c r="G698" s="168"/>
      <c r="H698" s="104" t="str">
        <f t="array" ref="H698">IF(ISBLANK(G698),"",INDEX('MP SKUs'!G:G,MATCH(G698,'MP SKUs'!A:A,0)))</f>
        <v/>
      </c>
      <c r="I698" s="105" t="str">
        <f t="array" ref="I698">IF(ISBLANK(G698),"",INDEX('POR Config List'!O:O,MATCH(G698,'POR Config List'!D:D,0)))</f>
        <v/>
      </c>
      <c r="J698" s="104" t="str">
        <f t="array" ref="J698">IF(ISBLANK(G698),"",INDEX('POR Config List'!H:H,MATCH(G698,'POR Config List'!D:D,0)))</f>
        <v/>
      </c>
      <c r="K698" s="105" t="str">
        <f t="array" ref="K698">IF(ISBLANK(G698),"",INDEX('POR Config List'!G:G,MATCH(G698,'POR Config List'!D:D,0)))</f>
        <v/>
      </c>
      <c r="L698" s="105"/>
      <c r="M698" s="105" t="str">
        <f t="array" ref="M698">IF(ISBLANK(G698),"",INDEX('label approval artwork'!Q:Q,MATCH( G698,'label approval artwork'!F:F,0)))</f>
        <v/>
      </c>
      <c r="N698" s="169" t="str">
        <f t="shared" si="5"/>
        <v/>
      </c>
      <c r="O698" s="102" t="str">
        <f t="array" ref="O698">IF(ISBLANK(G698),"",INDEX('POR Config List'!C:C,MATCH(G698,'POR Config List'!D:D,0)))</f>
        <v/>
      </c>
      <c r="P698" s="105" t="str">
        <f t="shared" si="4"/>
        <v/>
      </c>
      <c r="Q698" s="105" t="str">
        <f t="array" ref="Q698">IF(ISBLANK(G698),"",INDEX('label approval artwork'!J:J,MATCH( G698,'label approval artwork'!F:F,0)))</f>
        <v/>
      </c>
      <c r="R698" s="105" t="str">
        <f t="array" ref="R698">IFERROR( IF(P698&lt;&gt;"EMA",INDEX('label approval artwork'!H:H,MATCH(G698,'label approval artwork'!F:F,0),"")),"")</f>
        <v/>
      </c>
      <c r="S698" s="105"/>
      <c r="T698" s="105" t="str">
        <f t="array" ref="T698">IF(ISBLANK(G698),"",INDEX('POR Config List'!I:I,MATCH(G698,'POR Config List'!D:D,0)))</f>
        <v/>
      </c>
      <c r="AA698" s="100" t="str">
        <f t="array" ref="AA698">IF(ISBLANK(G698),"",INDEX('POR Config List'!E:E,MATCH(G698,'POR Config List'!D:D,0)))</f>
        <v/>
      </c>
      <c r="AC698" s="105"/>
      <c r="AD698" s="100"/>
      <c r="AE698" s="100"/>
      <c r="AF698" s="100"/>
      <c r="AG698" s="100"/>
      <c r="AM698" s="102"/>
      <c r="AN698" s="102"/>
      <c r="AR698" s="119"/>
      <c r="AS698" s="103"/>
    </row>
    <row r="699">
      <c r="A699" s="168"/>
      <c r="B699" s="100" t="str">
        <f t="array" ref="B699">IFERROR( INDEX('POR Config List'!A:A,MATCH(G699,'POR Config List'!D:D,0)),"")</f>
        <v/>
      </c>
      <c r="C699" s="101" t="str">
        <f t="array" ref="C699">IFERROR(INDEX('label approval artwork'!E:E,MATCH(G699,'label approval artwork'!F:F,0),""),"")</f>
        <v/>
      </c>
      <c r="D699" s="102" t="str">
        <f t="shared" si="3"/>
        <v/>
      </c>
      <c r="E699" s="100" t="str">
        <f t="array" ref="E699">IF(ISBLANK(G699),"",INDEX('POR Config List'!K:K,MATCH(G699,'POR Config List'!D:D,0)))</f>
        <v/>
      </c>
      <c r="F699" s="100" t="str">
        <f t="array" ref="F699">IF(ISBLANK(G699),"",INDEX('POR Config List'!J:J,MATCH(G699,'POR Config List'!D:D,0)))</f>
        <v/>
      </c>
      <c r="G699" s="168"/>
      <c r="H699" s="104" t="str">
        <f t="array" ref="H699">IF(ISBLANK(G699),"",INDEX('MP SKUs'!G:G,MATCH(G699,'MP SKUs'!A:A,0)))</f>
        <v/>
      </c>
      <c r="I699" s="105" t="str">
        <f t="array" ref="I699">IF(ISBLANK(G699),"",INDEX('POR Config List'!O:O,MATCH(G699,'POR Config List'!D:D,0)))</f>
        <v/>
      </c>
      <c r="J699" s="104" t="str">
        <f t="array" ref="J699">IF(ISBLANK(G699),"",INDEX('POR Config List'!H:H,MATCH(G699,'POR Config List'!D:D,0)))</f>
        <v/>
      </c>
      <c r="K699" s="105" t="str">
        <f t="array" ref="K699">IF(ISBLANK(G699),"",INDEX('POR Config List'!G:G,MATCH(G699,'POR Config List'!D:D,0)))</f>
        <v/>
      </c>
      <c r="L699" s="105"/>
      <c r="M699" s="105" t="str">
        <f t="array" ref="M699">IF(ISBLANK(G699),"",INDEX('label approval artwork'!Q:Q,MATCH( G699,'label approval artwork'!F:F,0)))</f>
        <v/>
      </c>
      <c r="N699" s="169" t="str">
        <f t="shared" si="5"/>
        <v/>
      </c>
      <c r="O699" s="102" t="str">
        <f t="array" ref="O699">IF(ISBLANK(G699),"",INDEX('POR Config List'!C:C,MATCH(G699,'POR Config List'!D:D,0)))</f>
        <v/>
      </c>
      <c r="P699" s="105" t="str">
        <f t="shared" si="4"/>
        <v/>
      </c>
      <c r="Q699" s="105" t="str">
        <f t="array" ref="Q699">IF(ISBLANK(G699),"",INDEX('label approval artwork'!J:J,MATCH( G699,'label approval artwork'!F:F,0)))</f>
        <v/>
      </c>
      <c r="R699" s="105" t="str">
        <f t="array" ref="R699">IFERROR( IF(P699&lt;&gt;"EMA",INDEX('label approval artwork'!H:H,MATCH(G699,'label approval artwork'!F:F,0),"")),"")</f>
        <v/>
      </c>
      <c r="S699" s="105"/>
      <c r="T699" s="105" t="str">
        <f t="array" ref="T699">IF(ISBLANK(G699),"",INDEX('POR Config List'!I:I,MATCH(G699,'POR Config List'!D:D,0)))</f>
        <v/>
      </c>
      <c r="AA699" s="100" t="str">
        <f t="array" ref="AA699">IF(ISBLANK(G699),"",INDEX('POR Config List'!E:E,MATCH(G699,'POR Config List'!D:D,0)))</f>
        <v/>
      </c>
      <c r="AC699" s="105"/>
      <c r="AD699" s="100"/>
      <c r="AE699" s="100"/>
      <c r="AF699" s="100"/>
      <c r="AG699" s="100"/>
      <c r="AM699" s="102"/>
      <c r="AN699" s="102"/>
      <c r="AR699" s="119"/>
      <c r="AS699" s="103"/>
    </row>
    <row r="700">
      <c r="A700" s="168"/>
      <c r="B700" s="100" t="str">
        <f t="array" ref="B700">IFERROR( INDEX('POR Config List'!A:A,MATCH(G700,'POR Config List'!D:D,0)),"")</f>
        <v/>
      </c>
      <c r="C700" s="101" t="str">
        <f t="array" ref="C700">IFERROR(INDEX('label approval artwork'!E:E,MATCH(G700,'label approval artwork'!F:F,0),""),"")</f>
        <v/>
      </c>
      <c r="D700" s="102" t="str">
        <f t="shared" si="3"/>
        <v/>
      </c>
      <c r="E700" s="100" t="str">
        <f t="array" ref="E700">IF(ISBLANK(G700),"",INDEX('POR Config List'!K:K,MATCH(G700,'POR Config List'!D:D,0)))</f>
        <v/>
      </c>
      <c r="F700" s="100" t="str">
        <f t="array" ref="F700">IF(ISBLANK(G700),"",INDEX('POR Config List'!J:J,MATCH(G700,'POR Config List'!D:D,0)))</f>
        <v/>
      </c>
      <c r="G700" s="168"/>
      <c r="H700" s="104" t="str">
        <f t="array" ref="H700">IF(ISBLANK(G700),"",INDEX('MP SKUs'!G:G,MATCH(G700,'MP SKUs'!A:A,0)))</f>
        <v/>
      </c>
      <c r="I700" s="105" t="str">
        <f t="array" ref="I700">IF(ISBLANK(G700),"",INDEX('POR Config List'!O:O,MATCH(G700,'POR Config List'!D:D,0)))</f>
        <v/>
      </c>
      <c r="J700" s="104" t="str">
        <f t="array" ref="J700">IF(ISBLANK(G700),"",INDEX('POR Config List'!H:H,MATCH(G700,'POR Config List'!D:D,0)))</f>
        <v/>
      </c>
      <c r="K700" s="105" t="str">
        <f t="array" ref="K700">IF(ISBLANK(G700),"",INDEX('POR Config List'!G:G,MATCH(G700,'POR Config List'!D:D,0)))</f>
        <v/>
      </c>
      <c r="L700" s="105"/>
      <c r="M700" s="105" t="str">
        <f t="array" ref="M700">IF(ISBLANK(G700),"",INDEX('label approval artwork'!Q:Q,MATCH( G700,'label approval artwork'!F:F,0)))</f>
        <v/>
      </c>
      <c r="N700" s="169" t="str">
        <f t="shared" si="5"/>
        <v/>
      </c>
      <c r="O700" s="102" t="str">
        <f t="array" ref="O700">IF(ISBLANK(G700),"",INDEX('POR Config List'!C:C,MATCH(G700,'POR Config List'!D:D,0)))</f>
        <v/>
      </c>
      <c r="P700" s="105" t="str">
        <f t="shared" si="4"/>
        <v/>
      </c>
      <c r="Q700" s="105" t="str">
        <f t="array" ref="Q700">IF(ISBLANK(G700),"",INDEX('label approval artwork'!J:J,MATCH( G700,'label approval artwork'!F:F,0)))</f>
        <v/>
      </c>
      <c r="R700" s="105" t="str">
        <f t="array" ref="R700">IFERROR( IF(P700&lt;&gt;"EMA",INDEX('label approval artwork'!H:H,MATCH(G700,'label approval artwork'!F:F,0),"")),"")</f>
        <v/>
      </c>
      <c r="S700" s="105"/>
      <c r="T700" s="105" t="str">
        <f t="array" ref="T700">IF(ISBLANK(G700),"",INDEX('POR Config List'!I:I,MATCH(G700,'POR Config List'!D:D,0)))</f>
        <v/>
      </c>
      <c r="AA700" s="100" t="str">
        <f t="array" ref="AA700">IF(ISBLANK(G700),"",INDEX('POR Config List'!E:E,MATCH(G700,'POR Config List'!D:D,0)))</f>
        <v/>
      </c>
      <c r="AC700" s="105"/>
      <c r="AD700" s="100"/>
      <c r="AE700" s="100"/>
      <c r="AF700" s="100"/>
      <c r="AG700" s="100"/>
      <c r="AM700" s="102"/>
      <c r="AN700" s="102"/>
      <c r="AR700" s="119"/>
      <c r="AS700" s="103"/>
    </row>
    <row r="701">
      <c r="A701" s="168"/>
      <c r="B701" s="100" t="str">
        <f t="array" ref="B701">IFERROR( INDEX('POR Config List'!A:A,MATCH(G701,'POR Config List'!D:D,0)),"")</f>
        <v/>
      </c>
      <c r="C701" s="101" t="str">
        <f t="array" ref="C701">IFERROR(INDEX('label approval artwork'!E:E,MATCH(G701,'label approval artwork'!F:F,0),""),"")</f>
        <v/>
      </c>
      <c r="D701" s="102" t="str">
        <f t="shared" si="3"/>
        <v/>
      </c>
      <c r="E701" s="100" t="str">
        <f t="array" ref="E701">IF(ISBLANK(G701),"",INDEX('POR Config List'!K:K,MATCH(G701,'POR Config List'!D:D,0)))</f>
        <v/>
      </c>
      <c r="F701" s="100" t="str">
        <f t="array" ref="F701">IF(ISBLANK(G701),"",INDEX('POR Config List'!J:J,MATCH(G701,'POR Config List'!D:D,0)))</f>
        <v/>
      </c>
      <c r="G701" s="168"/>
      <c r="H701" s="104" t="str">
        <f t="array" ref="H701">IF(ISBLANK(G701),"",INDEX('MP SKUs'!G:G,MATCH(G701,'MP SKUs'!A:A,0)))</f>
        <v/>
      </c>
      <c r="I701" s="105" t="str">
        <f t="array" ref="I701">IF(ISBLANK(G701),"",INDEX('POR Config List'!O:O,MATCH(G701,'POR Config List'!D:D,0)))</f>
        <v/>
      </c>
      <c r="J701" s="104" t="str">
        <f t="array" ref="J701">IF(ISBLANK(G701),"",INDEX('POR Config List'!H:H,MATCH(G701,'POR Config List'!D:D,0)))</f>
        <v/>
      </c>
      <c r="K701" s="105" t="str">
        <f t="array" ref="K701">IF(ISBLANK(G701),"",INDEX('POR Config List'!G:G,MATCH(G701,'POR Config List'!D:D,0)))</f>
        <v/>
      </c>
      <c r="L701" s="105"/>
      <c r="M701" s="105" t="str">
        <f t="array" ref="M701">IF(ISBLANK(G701),"",INDEX('label approval artwork'!Q:Q,MATCH( G701,'label approval artwork'!F:F,0)))</f>
        <v/>
      </c>
      <c r="N701" s="169" t="str">
        <f t="shared" si="5"/>
        <v/>
      </c>
      <c r="O701" s="102" t="str">
        <f t="array" ref="O701">IF(ISBLANK(G701),"",INDEX('POR Config List'!C:C,MATCH(G701,'POR Config List'!D:D,0)))</f>
        <v/>
      </c>
      <c r="P701" s="105" t="str">
        <f t="shared" si="4"/>
        <v/>
      </c>
      <c r="Q701" s="105" t="str">
        <f t="array" ref="Q701">IF(ISBLANK(G701),"",INDEX('label approval artwork'!J:J,MATCH( G701,'label approval artwork'!F:F,0)))</f>
        <v/>
      </c>
      <c r="R701" s="105" t="str">
        <f t="array" ref="R701">IFERROR( IF(P701&lt;&gt;"EMA",INDEX('label approval artwork'!H:H,MATCH(G701,'label approval artwork'!F:F,0),"")),"")</f>
        <v/>
      </c>
      <c r="S701" s="105"/>
      <c r="T701" s="105" t="str">
        <f t="array" ref="T701">IF(ISBLANK(G701),"",INDEX('POR Config List'!I:I,MATCH(G701,'POR Config List'!D:D,0)))</f>
        <v/>
      </c>
      <c r="AA701" s="100" t="str">
        <f t="array" ref="AA701">IF(ISBLANK(G701),"",INDEX('POR Config List'!E:E,MATCH(G701,'POR Config List'!D:D,0)))</f>
        <v/>
      </c>
      <c r="AC701" s="105"/>
      <c r="AD701" s="100"/>
      <c r="AE701" s="100"/>
      <c r="AF701" s="100"/>
      <c r="AG701" s="100"/>
      <c r="AM701" s="102"/>
      <c r="AN701" s="102"/>
      <c r="AR701" s="119"/>
      <c r="AS701" s="103"/>
    </row>
    <row r="702">
      <c r="A702" s="168"/>
      <c r="B702" s="100" t="str">
        <f t="array" ref="B702">IFERROR( INDEX('POR Config List'!A:A,MATCH(G702,'POR Config List'!D:D,0)),"")</f>
        <v/>
      </c>
      <c r="C702" s="101" t="str">
        <f t="array" ref="C702">IFERROR(INDEX('label approval artwork'!E:E,MATCH(G702,'label approval artwork'!F:F,0),""),"")</f>
        <v/>
      </c>
      <c r="D702" s="102" t="str">
        <f t="shared" si="3"/>
        <v/>
      </c>
      <c r="E702" s="100" t="str">
        <f t="array" ref="E702">IF(ISBLANK(G702),"",INDEX('POR Config List'!K:K,MATCH(G702,'POR Config List'!D:D,0)))</f>
        <v/>
      </c>
      <c r="F702" s="100" t="str">
        <f t="array" ref="F702">IF(ISBLANK(G702),"",INDEX('POR Config List'!J:J,MATCH(G702,'POR Config List'!D:D,0)))</f>
        <v/>
      </c>
      <c r="G702" s="168"/>
      <c r="H702" s="104" t="str">
        <f t="array" ref="H702">IF(ISBLANK(G702),"",INDEX('MP SKUs'!G:G,MATCH(G702,'MP SKUs'!A:A,0)))</f>
        <v/>
      </c>
      <c r="I702" s="105" t="str">
        <f t="array" ref="I702">IF(ISBLANK(G702),"",INDEX('POR Config List'!O:O,MATCH(G702,'POR Config List'!D:D,0)))</f>
        <v/>
      </c>
      <c r="J702" s="104" t="str">
        <f t="array" ref="J702">IF(ISBLANK(G702),"",INDEX('POR Config List'!H:H,MATCH(G702,'POR Config List'!D:D,0)))</f>
        <v/>
      </c>
      <c r="K702" s="105" t="str">
        <f t="array" ref="K702">IF(ISBLANK(G702),"",INDEX('POR Config List'!G:G,MATCH(G702,'POR Config List'!D:D,0)))</f>
        <v/>
      </c>
      <c r="L702" s="105"/>
      <c r="M702" s="105" t="str">
        <f t="array" ref="M702">IF(ISBLANK(G702),"",INDEX('label approval artwork'!Q:Q,MATCH( G702,'label approval artwork'!F:F,0)))</f>
        <v/>
      </c>
      <c r="N702" s="169" t="str">
        <f t="shared" si="5"/>
        <v/>
      </c>
      <c r="O702" s="102" t="str">
        <f t="array" ref="O702">IF(ISBLANK(G702),"",INDEX('POR Config List'!C:C,MATCH(G702,'POR Config List'!D:D,0)))</f>
        <v/>
      </c>
      <c r="P702" s="105" t="str">
        <f t="shared" si="4"/>
        <v/>
      </c>
      <c r="Q702" s="105" t="str">
        <f t="array" ref="Q702">IF(ISBLANK(G702),"",INDEX('label approval artwork'!J:J,MATCH( G702,'label approval artwork'!F:F,0)))</f>
        <v/>
      </c>
      <c r="R702" s="105" t="str">
        <f t="array" ref="R702">IFERROR( IF(P702&lt;&gt;"EMA",INDEX('label approval artwork'!H:H,MATCH(G702,'label approval artwork'!F:F,0),"")),"")</f>
        <v/>
      </c>
      <c r="S702" s="105"/>
      <c r="T702" s="105" t="str">
        <f t="array" ref="T702">IF(ISBLANK(G702),"",INDEX('POR Config List'!I:I,MATCH(G702,'POR Config List'!D:D,0)))</f>
        <v/>
      </c>
      <c r="AA702" s="100" t="str">
        <f t="array" ref="AA702">IF(ISBLANK(G702),"",INDEX('POR Config List'!E:E,MATCH(G702,'POR Config List'!D:D,0)))</f>
        <v/>
      </c>
      <c r="AC702" s="105"/>
      <c r="AD702" s="100"/>
      <c r="AE702" s="100"/>
      <c r="AF702" s="100"/>
      <c r="AG702" s="100"/>
      <c r="AM702" s="102"/>
      <c r="AN702" s="102"/>
      <c r="AR702" s="119"/>
      <c r="AS702" s="103"/>
    </row>
    <row r="703">
      <c r="A703" s="168"/>
      <c r="B703" s="100" t="str">
        <f t="array" ref="B703">IFERROR( INDEX('POR Config List'!A:A,MATCH(G703,'POR Config List'!D:D,0)),"")</f>
        <v/>
      </c>
      <c r="C703" s="101" t="str">
        <f t="array" ref="C703">IFERROR(INDEX('label approval artwork'!E:E,MATCH(G703,'label approval artwork'!F:F,0),""),"")</f>
        <v/>
      </c>
      <c r="D703" s="102" t="str">
        <f t="shared" si="3"/>
        <v/>
      </c>
      <c r="E703" s="100" t="str">
        <f t="array" ref="E703">IF(ISBLANK(G703),"",INDEX('POR Config List'!K:K,MATCH(G703,'POR Config List'!D:D,0)))</f>
        <v/>
      </c>
      <c r="F703" s="100" t="str">
        <f t="array" ref="F703">IF(ISBLANK(G703),"",INDEX('POR Config List'!J:J,MATCH(G703,'POR Config List'!D:D,0)))</f>
        <v/>
      </c>
      <c r="G703" s="168"/>
      <c r="H703" s="104" t="str">
        <f t="array" ref="H703">IF(ISBLANK(G703),"",INDEX('MP SKUs'!G:G,MATCH(G703,'MP SKUs'!A:A,0)))</f>
        <v/>
      </c>
      <c r="I703" s="105" t="str">
        <f t="array" ref="I703">IF(ISBLANK(G703),"",INDEX('POR Config List'!O:O,MATCH(G703,'POR Config List'!D:D,0)))</f>
        <v/>
      </c>
      <c r="J703" s="104" t="str">
        <f t="array" ref="J703">IF(ISBLANK(G703),"",INDEX('POR Config List'!H:H,MATCH(G703,'POR Config List'!D:D,0)))</f>
        <v/>
      </c>
      <c r="K703" s="105" t="str">
        <f t="array" ref="K703">IF(ISBLANK(G703),"",INDEX('POR Config List'!G:G,MATCH(G703,'POR Config List'!D:D,0)))</f>
        <v/>
      </c>
      <c r="L703" s="105"/>
      <c r="M703" s="105" t="str">
        <f t="array" ref="M703">IF(ISBLANK(G703),"",INDEX('label approval artwork'!Q:Q,MATCH( G703,'label approval artwork'!F:F,0)))</f>
        <v/>
      </c>
      <c r="N703" s="169" t="str">
        <f t="shared" si="5"/>
        <v/>
      </c>
      <c r="O703" s="102" t="str">
        <f t="array" ref="O703">IF(ISBLANK(G703),"",INDEX('POR Config List'!C:C,MATCH(G703,'POR Config List'!D:D,0)))</f>
        <v/>
      </c>
      <c r="P703" s="105" t="str">
        <f t="shared" si="4"/>
        <v/>
      </c>
      <c r="Q703" s="105" t="str">
        <f t="array" ref="Q703">IF(ISBLANK(G703),"",INDEX('label approval artwork'!J:J,MATCH( G703,'label approval artwork'!F:F,0)))</f>
        <v/>
      </c>
      <c r="R703" s="105" t="str">
        <f t="array" ref="R703">IFERROR( IF(P703&lt;&gt;"EMA",INDEX('label approval artwork'!H:H,MATCH(G703,'label approval artwork'!F:F,0),"")),"")</f>
        <v/>
      </c>
      <c r="S703" s="105"/>
      <c r="T703" s="105" t="str">
        <f t="array" ref="T703">IF(ISBLANK(G703),"",INDEX('POR Config List'!I:I,MATCH(G703,'POR Config List'!D:D,0)))</f>
        <v/>
      </c>
      <c r="AA703" s="100" t="str">
        <f t="array" ref="AA703">IF(ISBLANK(G703),"",INDEX('POR Config List'!E:E,MATCH(G703,'POR Config List'!D:D,0)))</f>
        <v/>
      </c>
      <c r="AC703" s="105"/>
      <c r="AD703" s="100"/>
      <c r="AE703" s="100"/>
      <c r="AF703" s="100"/>
      <c r="AG703" s="100"/>
      <c r="AM703" s="102"/>
      <c r="AN703" s="102"/>
      <c r="AR703" s="119"/>
      <c r="AS703" s="103"/>
    </row>
    <row r="704">
      <c r="A704" s="168"/>
      <c r="B704" s="100" t="str">
        <f t="array" ref="B704">IFERROR( INDEX('POR Config List'!A:A,MATCH(G704,'POR Config List'!D:D,0)),"")</f>
        <v/>
      </c>
      <c r="C704" s="101" t="str">
        <f t="array" ref="C704">IFERROR(INDEX('label approval artwork'!E:E,MATCH(G704,'label approval artwork'!F:F,0),""),"")</f>
        <v/>
      </c>
      <c r="D704" s="102" t="str">
        <f t="shared" si="3"/>
        <v/>
      </c>
      <c r="E704" s="100" t="str">
        <f t="array" ref="E704">IF(ISBLANK(G704),"",INDEX('POR Config List'!K:K,MATCH(G704,'POR Config List'!D:D,0)))</f>
        <v/>
      </c>
      <c r="F704" s="100" t="str">
        <f t="array" ref="F704">IF(ISBLANK(G704),"",INDEX('POR Config List'!J:J,MATCH(G704,'POR Config List'!D:D,0)))</f>
        <v/>
      </c>
      <c r="G704" s="168"/>
      <c r="H704" s="104" t="str">
        <f t="array" ref="H704">IF(ISBLANK(G704),"",INDEX('MP SKUs'!G:G,MATCH(G704,'MP SKUs'!A:A,0)))</f>
        <v/>
      </c>
      <c r="I704" s="105" t="str">
        <f t="array" ref="I704">IF(ISBLANK(G704),"",INDEX('POR Config List'!O:O,MATCH(G704,'POR Config List'!D:D,0)))</f>
        <v/>
      </c>
      <c r="J704" s="104" t="str">
        <f t="array" ref="J704">IF(ISBLANK(G704),"",INDEX('POR Config List'!H:H,MATCH(G704,'POR Config List'!D:D,0)))</f>
        <v/>
      </c>
      <c r="K704" s="105" t="str">
        <f t="array" ref="K704">IF(ISBLANK(G704),"",INDEX('POR Config List'!G:G,MATCH(G704,'POR Config List'!D:D,0)))</f>
        <v/>
      </c>
      <c r="L704" s="105"/>
      <c r="M704" s="105" t="str">
        <f t="array" ref="M704">IF(ISBLANK(G704),"",INDEX('label approval artwork'!Q:Q,MATCH( G704,'label approval artwork'!F:F,0)))</f>
        <v/>
      </c>
      <c r="N704" s="169" t="str">
        <f t="shared" si="5"/>
        <v/>
      </c>
      <c r="O704" s="102" t="str">
        <f t="array" ref="O704">IF(ISBLANK(G704),"",INDEX('POR Config List'!C:C,MATCH(G704,'POR Config List'!D:D,0)))</f>
        <v/>
      </c>
      <c r="P704" s="105" t="str">
        <f t="shared" si="4"/>
        <v/>
      </c>
      <c r="Q704" s="105" t="str">
        <f t="array" ref="Q704">IF(ISBLANK(G704),"",INDEX('label approval artwork'!J:J,MATCH( G704,'label approval artwork'!F:F,0)))</f>
        <v/>
      </c>
      <c r="R704" s="105" t="str">
        <f t="array" ref="R704">IFERROR( IF(P704&lt;&gt;"EMA",INDEX('label approval artwork'!H:H,MATCH(G704,'label approval artwork'!F:F,0),"")),"")</f>
        <v/>
      </c>
      <c r="S704" s="105"/>
      <c r="T704" s="105" t="str">
        <f t="array" ref="T704">IF(ISBLANK(G704),"",INDEX('POR Config List'!I:I,MATCH(G704,'POR Config List'!D:D,0)))</f>
        <v/>
      </c>
      <c r="AA704" s="100" t="str">
        <f t="array" ref="AA704">IF(ISBLANK(G704),"",INDEX('POR Config List'!E:E,MATCH(G704,'POR Config List'!D:D,0)))</f>
        <v/>
      </c>
      <c r="AC704" s="105"/>
      <c r="AD704" s="100"/>
      <c r="AE704" s="100"/>
      <c r="AF704" s="100"/>
      <c r="AG704" s="100"/>
      <c r="AM704" s="102"/>
      <c r="AN704" s="102"/>
      <c r="AR704" s="119"/>
      <c r="AS704" s="103"/>
    </row>
    <row r="705">
      <c r="A705" s="168"/>
      <c r="B705" s="100" t="str">
        <f t="array" ref="B705">IFERROR( INDEX('POR Config List'!A:A,MATCH(G705,'POR Config List'!D:D,0)),"")</f>
        <v/>
      </c>
      <c r="C705" s="101" t="str">
        <f t="array" ref="C705">IFERROR(INDEX('label approval artwork'!E:E,MATCH(G705,'label approval artwork'!F:F,0),""),"")</f>
        <v/>
      </c>
      <c r="D705" s="102" t="str">
        <f t="shared" si="3"/>
        <v/>
      </c>
      <c r="E705" s="100" t="str">
        <f t="array" ref="E705">IF(ISBLANK(G705),"",INDEX('POR Config List'!K:K,MATCH(G705,'POR Config List'!D:D,0)))</f>
        <v/>
      </c>
      <c r="F705" s="100" t="str">
        <f t="array" ref="F705">IF(ISBLANK(G705),"",INDEX('POR Config List'!J:J,MATCH(G705,'POR Config List'!D:D,0)))</f>
        <v/>
      </c>
      <c r="G705" s="168"/>
      <c r="H705" s="104" t="str">
        <f t="array" ref="H705">IF(ISBLANK(G705),"",INDEX('MP SKUs'!G:G,MATCH(G705,'MP SKUs'!A:A,0)))</f>
        <v/>
      </c>
      <c r="I705" s="105" t="str">
        <f t="array" ref="I705">IF(ISBLANK(G705),"",INDEX('POR Config List'!O:O,MATCH(G705,'POR Config List'!D:D,0)))</f>
        <v/>
      </c>
      <c r="J705" s="104" t="str">
        <f t="array" ref="J705">IF(ISBLANK(G705),"",INDEX('POR Config List'!H:H,MATCH(G705,'POR Config List'!D:D,0)))</f>
        <v/>
      </c>
      <c r="K705" s="105" t="str">
        <f t="array" ref="K705">IF(ISBLANK(G705),"",INDEX('POR Config List'!G:G,MATCH(G705,'POR Config List'!D:D,0)))</f>
        <v/>
      </c>
      <c r="L705" s="105"/>
      <c r="M705" s="105" t="str">
        <f t="array" ref="M705">IF(ISBLANK(G705),"",INDEX('label approval artwork'!Q:Q,MATCH( G705,'label approval artwork'!F:F,0)))</f>
        <v/>
      </c>
      <c r="N705" s="169" t="str">
        <f t="shared" si="5"/>
        <v/>
      </c>
      <c r="O705" s="102" t="str">
        <f t="array" ref="O705">IF(ISBLANK(G705),"",INDEX('POR Config List'!C:C,MATCH(G705,'POR Config List'!D:D,0)))</f>
        <v/>
      </c>
      <c r="P705" s="105" t="str">
        <f t="shared" si="4"/>
        <v/>
      </c>
      <c r="Q705" s="105" t="str">
        <f t="array" ref="Q705">IF(ISBLANK(G705),"",INDEX('label approval artwork'!J:J,MATCH( G705,'label approval artwork'!F:F,0)))</f>
        <v/>
      </c>
      <c r="R705" s="105" t="str">
        <f t="array" ref="R705">IFERROR( IF(P705&lt;&gt;"EMA",INDEX('label approval artwork'!H:H,MATCH(G705,'label approval artwork'!F:F,0),"")),"")</f>
        <v/>
      </c>
      <c r="S705" s="105"/>
      <c r="T705" s="105" t="str">
        <f t="array" ref="T705">IF(ISBLANK(G705),"",INDEX('POR Config List'!I:I,MATCH(G705,'POR Config List'!D:D,0)))</f>
        <v/>
      </c>
      <c r="AA705" s="100" t="str">
        <f t="array" ref="AA705">IF(ISBLANK(G705),"",INDEX('POR Config List'!E:E,MATCH(G705,'POR Config List'!D:D,0)))</f>
        <v/>
      </c>
      <c r="AC705" s="105"/>
      <c r="AD705" s="100"/>
      <c r="AE705" s="100"/>
      <c r="AF705" s="100"/>
      <c r="AG705" s="100"/>
      <c r="AM705" s="102"/>
      <c r="AN705" s="102"/>
      <c r="AR705" s="119"/>
      <c r="AS705" s="103"/>
    </row>
    <row r="706">
      <c r="A706" s="168"/>
      <c r="B706" s="100" t="str">
        <f t="array" ref="B706">IFERROR( INDEX('POR Config List'!A:A,MATCH(G706,'POR Config List'!D:D,0)),"")</f>
        <v/>
      </c>
      <c r="C706" s="101" t="str">
        <f t="array" ref="C706">IFERROR(INDEX('label approval artwork'!E:E,MATCH(G706,'label approval artwork'!F:F,0),""),"")</f>
        <v/>
      </c>
      <c r="D706" s="102" t="str">
        <f t="shared" si="3"/>
        <v/>
      </c>
      <c r="E706" s="100" t="str">
        <f t="array" ref="E706">IF(ISBLANK(G706),"",INDEX('POR Config List'!K:K,MATCH(G706,'POR Config List'!D:D,0)))</f>
        <v/>
      </c>
      <c r="F706" s="100" t="str">
        <f t="array" ref="F706">IF(ISBLANK(G706),"",INDEX('POR Config List'!J:J,MATCH(G706,'POR Config List'!D:D,0)))</f>
        <v/>
      </c>
      <c r="G706" s="168"/>
      <c r="H706" s="104" t="str">
        <f t="array" ref="H706">IF(ISBLANK(G706),"",INDEX('MP SKUs'!G:G,MATCH(G706,'MP SKUs'!A:A,0)))</f>
        <v/>
      </c>
      <c r="I706" s="105" t="str">
        <f t="array" ref="I706">IF(ISBLANK(G706),"",INDEX('POR Config List'!O:O,MATCH(G706,'POR Config List'!D:D,0)))</f>
        <v/>
      </c>
      <c r="J706" s="104" t="str">
        <f t="array" ref="J706">IF(ISBLANK(G706),"",INDEX('POR Config List'!H:H,MATCH(G706,'POR Config List'!D:D,0)))</f>
        <v/>
      </c>
      <c r="K706" s="105" t="str">
        <f t="array" ref="K706">IF(ISBLANK(G706),"",INDEX('POR Config List'!G:G,MATCH(G706,'POR Config List'!D:D,0)))</f>
        <v/>
      </c>
      <c r="L706" s="105"/>
      <c r="M706" s="105" t="str">
        <f t="array" ref="M706">IF(ISBLANK(G706),"",INDEX('label approval artwork'!Q:Q,MATCH( G706,'label approval artwork'!F:F,0)))</f>
        <v/>
      </c>
      <c r="N706" s="169" t="str">
        <f t="shared" si="5"/>
        <v/>
      </c>
      <c r="O706" s="102" t="str">
        <f t="array" ref="O706">IF(ISBLANK(G706),"",INDEX('POR Config List'!C:C,MATCH(G706,'POR Config List'!D:D,0)))</f>
        <v/>
      </c>
      <c r="P706" s="105" t="str">
        <f t="shared" si="4"/>
        <v/>
      </c>
      <c r="Q706" s="105" t="str">
        <f t="array" ref="Q706">IF(ISBLANK(G706),"",INDEX('label approval artwork'!J:J,MATCH( G706,'label approval artwork'!F:F,0)))</f>
        <v/>
      </c>
      <c r="R706" s="105" t="str">
        <f t="array" ref="R706">IFERROR( IF(P706&lt;&gt;"EMA",INDEX('label approval artwork'!H:H,MATCH(G706,'label approval artwork'!F:F,0),"")),"")</f>
        <v/>
      </c>
      <c r="S706" s="105"/>
      <c r="T706" s="105" t="str">
        <f t="array" ref="T706">IF(ISBLANK(G706),"",INDEX('POR Config List'!I:I,MATCH(G706,'POR Config List'!D:D,0)))</f>
        <v/>
      </c>
      <c r="AA706" s="100" t="str">
        <f t="array" ref="AA706">IF(ISBLANK(G706),"",INDEX('POR Config List'!E:E,MATCH(G706,'POR Config List'!D:D,0)))</f>
        <v/>
      </c>
      <c r="AC706" s="105"/>
      <c r="AD706" s="100"/>
      <c r="AE706" s="100"/>
      <c r="AF706" s="100"/>
      <c r="AG706" s="100"/>
      <c r="AM706" s="102"/>
      <c r="AN706" s="102"/>
      <c r="AR706" s="119"/>
      <c r="AS706" s="103"/>
    </row>
    <row r="707">
      <c r="A707" s="168"/>
      <c r="B707" s="100" t="str">
        <f t="array" ref="B707">IFERROR( INDEX('POR Config List'!A:A,MATCH(G707,'POR Config List'!D:D,0)),"")</f>
        <v/>
      </c>
      <c r="C707" s="101" t="str">
        <f t="array" ref="C707">IFERROR(INDEX('label approval artwork'!E:E,MATCH(G707,'label approval artwork'!F:F,0),""),"")</f>
        <v/>
      </c>
      <c r="D707" s="102" t="str">
        <f t="shared" si="3"/>
        <v/>
      </c>
      <c r="E707" s="100" t="str">
        <f t="array" ref="E707">IF(ISBLANK(G707),"",INDEX('POR Config List'!K:K,MATCH(G707,'POR Config List'!D:D,0)))</f>
        <v/>
      </c>
      <c r="F707" s="100" t="str">
        <f t="array" ref="F707">IF(ISBLANK(G707),"",INDEX('POR Config List'!J:J,MATCH(G707,'POR Config List'!D:D,0)))</f>
        <v/>
      </c>
      <c r="G707" s="168"/>
      <c r="H707" s="104" t="str">
        <f t="array" ref="H707">IF(ISBLANK(G707),"",INDEX('MP SKUs'!G:G,MATCH(G707,'MP SKUs'!A:A,0)))</f>
        <v/>
      </c>
      <c r="I707" s="105" t="str">
        <f t="array" ref="I707">IF(ISBLANK(G707),"",INDEX('POR Config List'!O:O,MATCH(G707,'POR Config List'!D:D,0)))</f>
        <v/>
      </c>
      <c r="J707" s="104" t="str">
        <f t="array" ref="J707">IF(ISBLANK(G707),"",INDEX('POR Config List'!H:H,MATCH(G707,'POR Config List'!D:D,0)))</f>
        <v/>
      </c>
      <c r="K707" s="105" t="str">
        <f t="array" ref="K707">IF(ISBLANK(G707),"",INDEX('POR Config List'!G:G,MATCH(G707,'POR Config List'!D:D,0)))</f>
        <v/>
      </c>
      <c r="L707" s="105"/>
      <c r="M707" s="105" t="str">
        <f t="array" ref="M707">IF(ISBLANK(G707),"",INDEX('label approval artwork'!Q:Q,MATCH( G707,'label approval artwork'!F:F,0)))</f>
        <v/>
      </c>
      <c r="N707" s="169" t="str">
        <f t="shared" si="5"/>
        <v/>
      </c>
      <c r="O707" s="102" t="str">
        <f t="array" ref="O707">IF(ISBLANK(G707),"",INDEX('POR Config List'!C:C,MATCH(G707,'POR Config List'!D:D,0)))</f>
        <v/>
      </c>
      <c r="P707" s="105" t="str">
        <f t="shared" si="4"/>
        <v/>
      </c>
      <c r="Q707" s="105" t="str">
        <f t="array" ref="Q707">IF(ISBLANK(G707),"",INDEX('label approval artwork'!J:J,MATCH( G707,'label approval artwork'!F:F,0)))</f>
        <v/>
      </c>
      <c r="R707" s="105" t="str">
        <f t="array" ref="R707">IFERROR( IF(P707&lt;&gt;"EMA",INDEX('label approval artwork'!H:H,MATCH(G707,'label approval artwork'!F:F,0),"")),"")</f>
        <v/>
      </c>
      <c r="S707" s="105"/>
      <c r="T707" s="105" t="str">
        <f t="array" ref="T707">IF(ISBLANK(G707),"",INDEX('POR Config List'!I:I,MATCH(G707,'POR Config List'!D:D,0)))</f>
        <v/>
      </c>
      <c r="AA707" s="100" t="str">
        <f t="array" ref="AA707">IF(ISBLANK(G707),"",INDEX('POR Config List'!E:E,MATCH(G707,'POR Config List'!D:D,0)))</f>
        <v/>
      </c>
      <c r="AC707" s="105"/>
      <c r="AD707" s="100"/>
      <c r="AE707" s="100"/>
      <c r="AF707" s="100"/>
      <c r="AG707" s="100"/>
      <c r="AM707" s="102"/>
      <c r="AN707" s="102"/>
      <c r="AR707" s="119"/>
      <c r="AS707" s="103"/>
    </row>
    <row r="708">
      <c r="A708" s="168"/>
      <c r="B708" s="100" t="str">
        <f t="array" ref="B708">IFERROR( INDEX('POR Config List'!A:A,MATCH(G708,'POR Config List'!D:D,0)),"")</f>
        <v/>
      </c>
      <c r="C708" s="101" t="str">
        <f t="array" ref="C708">IFERROR(INDEX('label approval artwork'!E:E,MATCH(G708,'label approval artwork'!F:F,0),""),"")</f>
        <v/>
      </c>
      <c r="D708" s="102" t="str">
        <f t="shared" si="3"/>
        <v/>
      </c>
      <c r="E708" s="100" t="str">
        <f t="array" ref="E708">IF(ISBLANK(G708),"",INDEX('POR Config List'!K:K,MATCH(G708,'POR Config List'!D:D,0)))</f>
        <v/>
      </c>
      <c r="F708" s="100" t="str">
        <f t="array" ref="F708">IF(ISBLANK(G708),"",INDEX('POR Config List'!J:J,MATCH(G708,'POR Config List'!D:D,0)))</f>
        <v/>
      </c>
      <c r="G708" s="168"/>
      <c r="H708" s="104" t="str">
        <f t="array" ref="H708">IF(ISBLANK(G708),"",INDEX('MP SKUs'!G:G,MATCH(G708,'MP SKUs'!A:A,0)))</f>
        <v/>
      </c>
      <c r="I708" s="105" t="str">
        <f t="array" ref="I708">IF(ISBLANK(G708),"",INDEX('POR Config List'!O:O,MATCH(G708,'POR Config List'!D:D,0)))</f>
        <v/>
      </c>
      <c r="J708" s="104" t="str">
        <f t="array" ref="J708">IF(ISBLANK(G708),"",INDEX('POR Config List'!H:H,MATCH(G708,'POR Config List'!D:D,0)))</f>
        <v/>
      </c>
      <c r="K708" s="105" t="str">
        <f t="array" ref="K708">IF(ISBLANK(G708),"",INDEX('POR Config List'!G:G,MATCH(G708,'POR Config List'!D:D,0)))</f>
        <v/>
      </c>
      <c r="L708" s="105"/>
      <c r="M708" s="105" t="str">
        <f t="array" ref="M708">IF(ISBLANK(G708),"",INDEX('label approval artwork'!Q:Q,MATCH( G708,'label approval artwork'!F:F,0)))</f>
        <v/>
      </c>
      <c r="N708" s="169" t="str">
        <f t="shared" si="5"/>
        <v/>
      </c>
      <c r="O708" s="102" t="str">
        <f t="array" ref="O708">IF(ISBLANK(G708),"",INDEX('POR Config List'!C:C,MATCH(G708,'POR Config List'!D:D,0)))</f>
        <v/>
      </c>
      <c r="P708" s="105" t="str">
        <f t="shared" si="4"/>
        <v/>
      </c>
      <c r="Q708" s="105" t="str">
        <f t="array" ref="Q708">IF(ISBLANK(G708),"",INDEX('label approval artwork'!J:J,MATCH( G708,'label approval artwork'!F:F,0)))</f>
        <v/>
      </c>
      <c r="R708" s="105" t="str">
        <f t="array" ref="R708">IFERROR( IF(P708&lt;&gt;"EMA",INDEX('label approval artwork'!H:H,MATCH(G708,'label approval artwork'!F:F,0),"")),"")</f>
        <v/>
      </c>
      <c r="S708" s="105"/>
      <c r="T708" s="105" t="str">
        <f t="array" ref="T708">IF(ISBLANK(G708),"",INDEX('POR Config List'!I:I,MATCH(G708,'POR Config List'!D:D,0)))</f>
        <v/>
      </c>
      <c r="AA708" s="100" t="str">
        <f t="array" ref="AA708">IF(ISBLANK(G708),"",INDEX('POR Config List'!E:E,MATCH(G708,'POR Config List'!D:D,0)))</f>
        <v/>
      </c>
      <c r="AC708" s="105"/>
      <c r="AD708" s="100"/>
      <c r="AE708" s="100"/>
      <c r="AF708" s="100"/>
      <c r="AG708" s="100"/>
      <c r="AM708" s="102"/>
      <c r="AN708" s="102"/>
      <c r="AR708" s="119"/>
      <c r="AS708" s="103"/>
    </row>
    <row r="709">
      <c r="A709" s="168"/>
      <c r="B709" s="100" t="str">
        <f t="array" ref="B709">IFERROR( INDEX('POR Config List'!A:A,MATCH(G709,'POR Config List'!D:D,0)),"")</f>
        <v/>
      </c>
      <c r="C709" s="101" t="str">
        <f t="array" ref="C709">IFERROR(INDEX('label approval artwork'!E:E,MATCH(G709,'label approval artwork'!F:F,0),""),"")</f>
        <v/>
      </c>
      <c r="D709" s="102" t="str">
        <f t="shared" si="3"/>
        <v/>
      </c>
      <c r="E709" s="100" t="str">
        <f t="array" ref="E709">IF(ISBLANK(G709),"",INDEX('POR Config List'!K:K,MATCH(G709,'POR Config List'!D:D,0)))</f>
        <v/>
      </c>
      <c r="F709" s="100" t="str">
        <f t="array" ref="F709">IF(ISBLANK(G709),"",INDEX('POR Config List'!J:J,MATCH(G709,'POR Config List'!D:D,0)))</f>
        <v/>
      </c>
      <c r="G709" s="168"/>
      <c r="H709" s="104" t="str">
        <f t="array" ref="H709">IF(ISBLANK(G709),"",INDEX('MP SKUs'!G:G,MATCH(G709,'MP SKUs'!A:A,0)))</f>
        <v/>
      </c>
      <c r="I709" s="105" t="str">
        <f t="array" ref="I709">IF(ISBLANK(G709),"",INDEX('POR Config List'!O:O,MATCH(G709,'POR Config List'!D:D,0)))</f>
        <v/>
      </c>
      <c r="J709" s="104" t="str">
        <f t="array" ref="J709">IF(ISBLANK(G709),"",INDEX('POR Config List'!H:H,MATCH(G709,'POR Config List'!D:D,0)))</f>
        <v/>
      </c>
      <c r="K709" s="105" t="str">
        <f t="array" ref="K709">IF(ISBLANK(G709),"",INDEX('POR Config List'!G:G,MATCH(G709,'POR Config List'!D:D,0)))</f>
        <v/>
      </c>
      <c r="L709" s="105"/>
      <c r="M709" s="105" t="str">
        <f t="array" ref="M709">IF(ISBLANK(G709),"",INDEX('label approval artwork'!Q:Q,MATCH( G709,'label approval artwork'!F:F,0)))</f>
        <v/>
      </c>
      <c r="N709" s="169" t="str">
        <f t="shared" si="5"/>
        <v/>
      </c>
      <c r="O709" s="102" t="str">
        <f t="array" ref="O709">IF(ISBLANK(G709),"",INDEX('POR Config List'!C:C,MATCH(G709,'POR Config List'!D:D,0)))</f>
        <v/>
      </c>
      <c r="P709" s="105" t="str">
        <f t="shared" si="4"/>
        <v/>
      </c>
      <c r="Q709" s="105" t="str">
        <f t="array" ref="Q709">IF(ISBLANK(G709),"",INDEX('label approval artwork'!J:J,MATCH( G709,'label approval artwork'!F:F,0)))</f>
        <v/>
      </c>
      <c r="R709" s="105" t="str">
        <f t="array" ref="R709">IFERROR( IF(P709&lt;&gt;"EMA",INDEX('label approval artwork'!H:H,MATCH(G709,'label approval artwork'!F:F,0),"")),"")</f>
        <v/>
      </c>
      <c r="S709" s="105"/>
      <c r="T709" s="105" t="str">
        <f t="array" ref="T709">IF(ISBLANK(G709),"",INDEX('POR Config List'!I:I,MATCH(G709,'POR Config List'!D:D,0)))</f>
        <v/>
      </c>
      <c r="AA709" s="100" t="str">
        <f t="array" ref="AA709">IF(ISBLANK(G709),"",INDEX('POR Config List'!E:E,MATCH(G709,'POR Config List'!D:D,0)))</f>
        <v/>
      </c>
      <c r="AC709" s="105"/>
      <c r="AD709" s="100"/>
      <c r="AE709" s="100"/>
      <c r="AF709" s="100"/>
      <c r="AG709" s="100"/>
      <c r="AM709" s="102"/>
      <c r="AN709" s="102"/>
      <c r="AR709" s="119"/>
      <c r="AS709" s="103"/>
    </row>
    <row r="710">
      <c r="A710" s="168"/>
      <c r="B710" s="100" t="str">
        <f t="array" ref="B710">IFERROR( INDEX('POR Config List'!A:A,MATCH(G710,'POR Config List'!D:D,0)),"")</f>
        <v/>
      </c>
      <c r="C710" s="101" t="str">
        <f t="array" ref="C710">IFERROR(INDEX('label approval artwork'!E:E,MATCH(G710,'label approval artwork'!F:F,0),""),"")</f>
        <v/>
      </c>
      <c r="D710" s="102" t="str">
        <f t="shared" si="3"/>
        <v/>
      </c>
      <c r="E710" s="100" t="str">
        <f t="array" ref="E710">IF(ISBLANK(G710),"",INDEX('POR Config List'!K:K,MATCH(G710,'POR Config List'!D:D,0)))</f>
        <v/>
      </c>
      <c r="F710" s="100" t="str">
        <f t="array" ref="F710">IF(ISBLANK(G710),"",INDEX('POR Config List'!J:J,MATCH(G710,'POR Config List'!D:D,0)))</f>
        <v/>
      </c>
      <c r="G710" s="168"/>
      <c r="H710" s="104" t="str">
        <f t="array" ref="H710">IF(ISBLANK(G710),"",INDEX('MP SKUs'!G:G,MATCH(G710,'MP SKUs'!A:A,0)))</f>
        <v/>
      </c>
      <c r="I710" s="105" t="str">
        <f t="array" ref="I710">IF(ISBLANK(G710),"",INDEX('POR Config List'!O:O,MATCH(G710,'POR Config List'!D:D,0)))</f>
        <v/>
      </c>
      <c r="J710" s="104" t="str">
        <f t="array" ref="J710">IF(ISBLANK(G710),"",INDEX('POR Config List'!H:H,MATCH(G710,'POR Config List'!D:D,0)))</f>
        <v/>
      </c>
      <c r="K710" s="105" t="str">
        <f t="array" ref="K710">IF(ISBLANK(G710),"",INDEX('POR Config List'!G:G,MATCH(G710,'POR Config List'!D:D,0)))</f>
        <v/>
      </c>
      <c r="L710" s="105"/>
      <c r="M710" s="105" t="str">
        <f t="array" ref="M710">IF(ISBLANK(G710),"",INDEX('label approval artwork'!Q:Q,MATCH( G710,'label approval artwork'!F:F,0)))</f>
        <v/>
      </c>
      <c r="N710" s="169" t="str">
        <f t="shared" si="5"/>
        <v/>
      </c>
      <c r="O710" s="102" t="str">
        <f t="array" ref="O710">IF(ISBLANK(G710),"",INDEX('POR Config List'!C:C,MATCH(G710,'POR Config List'!D:D,0)))</f>
        <v/>
      </c>
      <c r="P710" s="105" t="str">
        <f t="shared" si="4"/>
        <v/>
      </c>
      <c r="Q710" s="105" t="str">
        <f t="array" ref="Q710">IF(ISBLANK(G710),"",INDEX('label approval artwork'!J:J,MATCH( G710,'label approval artwork'!F:F,0)))</f>
        <v/>
      </c>
      <c r="R710" s="105" t="str">
        <f t="array" ref="R710">IFERROR( IF(P710&lt;&gt;"EMA",INDEX('label approval artwork'!H:H,MATCH(G710,'label approval artwork'!F:F,0),"")),"")</f>
        <v/>
      </c>
      <c r="S710" s="105"/>
      <c r="T710" s="105" t="str">
        <f t="array" ref="T710">IF(ISBLANK(G710),"",INDEX('POR Config List'!I:I,MATCH(G710,'POR Config List'!D:D,0)))</f>
        <v/>
      </c>
      <c r="AA710" s="100" t="str">
        <f t="array" ref="AA710">IF(ISBLANK(G710),"",INDEX('POR Config List'!E:E,MATCH(G710,'POR Config List'!D:D,0)))</f>
        <v/>
      </c>
      <c r="AC710" s="105"/>
      <c r="AD710" s="100"/>
      <c r="AE710" s="100"/>
      <c r="AF710" s="100"/>
      <c r="AG710" s="100"/>
      <c r="AM710" s="102"/>
      <c r="AN710" s="102"/>
      <c r="AR710" s="119"/>
      <c r="AS710" s="103"/>
    </row>
    <row r="711">
      <c r="A711" s="168"/>
      <c r="B711" s="100" t="str">
        <f t="array" ref="B711">IFERROR( INDEX('POR Config List'!A:A,MATCH(G711,'POR Config List'!D:D,0)),"")</f>
        <v/>
      </c>
      <c r="C711" s="101" t="str">
        <f t="array" ref="C711">IFERROR(INDEX('label approval artwork'!E:E,MATCH(G711,'label approval artwork'!F:F,0),""),"")</f>
        <v/>
      </c>
      <c r="D711" s="102" t="str">
        <f t="shared" si="3"/>
        <v/>
      </c>
      <c r="E711" s="100" t="str">
        <f t="array" ref="E711">IF(ISBLANK(G711),"",INDEX('POR Config List'!K:K,MATCH(G711,'POR Config List'!D:D,0)))</f>
        <v/>
      </c>
      <c r="F711" s="100" t="str">
        <f t="array" ref="F711">IF(ISBLANK(G711),"",INDEX('POR Config List'!J:J,MATCH(G711,'POR Config List'!D:D,0)))</f>
        <v/>
      </c>
      <c r="G711" s="168"/>
      <c r="H711" s="104" t="str">
        <f t="array" ref="H711">IF(ISBLANK(G711),"",INDEX('MP SKUs'!G:G,MATCH(G711,'MP SKUs'!A:A,0)))</f>
        <v/>
      </c>
      <c r="I711" s="105" t="str">
        <f t="array" ref="I711">IF(ISBLANK(G711),"",INDEX('POR Config List'!O:O,MATCH(G711,'POR Config List'!D:D,0)))</f>
        <v/>
      </c>
      <c r="J711" s="104" t="str">
        <f t="array" ref="J711">IF(ISBLANK(G711),"",INDEX('POR Config List'!H:H,MATCH(G711,'POR Config List'!D:D,0)))</f>
        <v/>
      </c>
      <c r="K711" s="105" t="str">
        <f t="array" ref="K711">IF(ISBLANK(G711),"",INDEX('POR Config List'!G:G,MATCH(G711,'POR Config List'!D:D,0)))</f>
        <v/>
      </c>
      <c r="L711" s="105"/>
      <c r="M711" s="105" t="str">
        <f t="array" ref="M711">IF(ISBLANK(G711),"",INDEX('label approval artwork'!Q:Q,MATCH( G711,'label approval artwork'!F:F,0)))</f>
        <v/>
      </c>
      <c r="N711" s="169" t="str">
        <f t="shared" si="5"/>
        <v/>
      </c>
      <c r="O711" s="102" t="str">
        <f t="array" ref="O711">IF(ISBLANK(G711),"",INDEX('POR Config List'!C:C,MATCH(G711,'POR Config List'!D:D,0)))</f>
        <v/>
      </c>
      <c r="P711" s="105" t="str">
        <f t="shared" si="4"/>
        <v/>
      </c>
      <c r="Q711" s="105" t="str">
        <f t="array" ref="Q711">IF(ISBLANK(G711),"",INDEX('label approval artwork'!J:J,MATCH( G711,'label approval artwork'!F:F,0)))</f>
        <v/>
      </c>
      <c r="R711" s="105" t="str">
        <f t="array" ref="R711">IFERROR( IF(P711&lt;&gt;"EMA",INDEX('label approval artwork'!H:H,MATCH(G711,'label approval artwork'!F:F,0),"")),"")</f>
        <v/>
      </c>
      <c r="S711" s="105"/>
      <c r="T711" s="105" t="str">
        <f t="array" ref="T711">IF(ISBLANK(G711),"",INDEX('POR Config List'!I:I,MATCH(G711,'POR Config List'!D:D,0)))</f>
        <v/>
      </c>
      <c r="AA711" s="100" t="str">
        <f t="array" ref="AA711">IF(ISBLANK(G711),"",INDEX('POR Config List'!E:E,MATCH(G711,'POR Config List'!D:D,0)))</f>
        <v/>
      </c>
      <c r="AC711" s="105"/>
      <c r="AD711" s="100"/>
      <c r="AE711" s="100"/>
      <c r="AF711" s="100"/>
      <c r="AG711" s="100"/>
      <c r="AM711" s="102"/>
      <c r="AN711" s="102"/>
      <c r="AR711" s="119"/>
      <c r="AS711" s="103"/>
    </row>
    <row r="712">
      <c r="A712" s="168"/>
      <c r="B712" s="100" t="str">
        <f t="array" ref="B712">IFERROR( INDEX('POR Config List'!A:A,MATCH(G712,'POR Config List'!D:D,0)),"")</f>
        <v/>
      </c>
      <c r="C712" s="101" t="str">
        <f t="array" ref="C712">IFERROR(INDEX('label approval artwork'!E:E,MATCH(G712,'label approval artwork'!F:F,0),""),"")</f>
        <v/>
      </c>
      <c r="D712" s="102" t="str">
        <f t="shared" si="3"/>
        <v/>
      </c>
      <c r="E712" s="100" t="str">
        <f t="array" ref="E712">IF(ISBLANK(G712),"",INDEX('POR Config List'!K:K,MATCH(G712,'POR Config List'!D:D,0)))</f>
        <v/>
      </c>
      <c r="F712" s="100" t="str">
        <f t="array" ref="F712">IF(ISBLANK(G712),"",INDEX('POR Config List'!J:J,MATCH(G712,'POR Config List'!D:D,0)))</f>
        <v/>
      </c>
      <c r="G712" s="168"/>
      <c r="H712" s="104" t="str">
        <f t="array" ref="H712">IF(ISBLANK(G712),"",INDEX('MP SKUs'!G:G,MATCH(G712,'MP SKUs'!A:A,0)))</f>
        <v/>
      </c>
      <c r="I712" s="105" t="str">
        <f t="array" ref="I712">IF(ISBLANK(G712),"",INDEX('POR Config List'!O:O,MATCH(G712,'POR Config List'!D:D,0)))</f>
        <v/>
      </c>
      <c r="J712" s="104" t="str">
        <f t="array" ref="J712">IF(ISBLANK(G712),"",INDEX('POR Config List'!H:H,MATCH(G712,'POR Config List'!D:D,0)))</f>
        <v/>
      </c>
      <c r="K712" s="105" t="str">
        <f t="array" ref="K712">IF(ISBLANK(G712),"",INDEX('POR Config List'!G:G,MATCH(G712,'POR Config List'!D:D,0)))</f>
        <v/>
      </c>
      <c r="L712" s="105"/>
      <c r="M712" s="105" t="str">
        <f t="array" ref="M712">IF(ISBLANK(G712),"",INDEX('label approval artwork'!Q:Q,MATCH( G712,'label approval artwork'!F:F,0)))</f>
        <v/>
      </c>
      <c r="N712" s="169" t="str">
        <f t="shared" si="5"/>
        <v/>
      </c>
      <c r="O712" s="102" t="str">
        <f t="array" ref="O712">IF(ISBLANK(G712),"",INDEX('POR Config List'!C:C,MATCH(G712,'POR Config List'!D:D,0)))</f>
        <v/>
      </c>
      <c r="P712" s="105" t="str">
        <f t="shared" si="4"/>
        <v/>
      </c>
      <c r="Q712" s="105" t="str">
        <f t="array" ref="Q712">IF(ISBLANK(G712),"",INDEX('label approval artwork'!J:J,MATCH( G712,'label approval artwork'!F:F,0)))</f>
        <v/>
      </c>
      <c r="R712" s="105" t="str">
        <f t="array" ref="R712">IFERROR( IF(P712&lt;&gt;"EMA",INDEX('label approval artwork'!H:H,MATCH(G712,'label approval artwork'!F:F,0),"")),"")</f>
        <v/>
      </c>
      <c r="S712" s="105"/>
      <c r="T712" s="105" t="str">
        <f t="array" ref="T712">IF(ISBLANK(G712),"",INDEX('POR Config List'!I:I,MATCH(G712,'POR Config List'!D:D,0)))</f>
        <v/>
      </c>
      <c r="AA712" s="100" t="str">
        <f t="array" ref="AA712">IF(ISBLANK(G712),"",INDEX('POR Config List'!E:E,MATCH(G712,'POR Config List'!D:D,0)))</f>
        <v/>
      </c>
      <c r="AC712" s="105"/>
      <c r="AD712" s="100"/>
      <c r="AE712" s="100"/>
      <c r="AF712" s="100"/>
      <c r="AG712" s="100"/>
      <c r="AM712" s="102"/>
      <c r="AN712" s="102"/>
      <c r="AR712" s="119"/>
      <c r="AS712" s="103"/>
    </row>
    <row r="713">
      <c r="A713" s="168"/>
      <c r="B713" s="100" t="str">
        <f t="array" ref="B713">IFERROR( INDEX('POR Config List'!A:A,MATCH(G713,'POR Config List'!D:D,0)),"")</f>
        <v/>
      </c>
      <c r="C713" s="101" t="str">
        <f t="array" ref="C713">IFERROR(INDEX('label approval artwork'!E:E,MATCH(G713,'label approval artwork'!F:F,0),""),"")</f>
        <v/>
      </c>
      <c r="D713" s="102" t="str">
        <f t="shared" si="3"/>
        <v/>
      </c>
      <c r="E713" s="100" t="str">
        <f t="array" ref="E713">IF(ISBLANK(G713),"",INDEX('POR Config List'!K:K,MATCH(G713,'POR Config List'!D:D,0)))</f>
        <v/>
      </c>
      <c r="F713" s="100" t="str">
        <f t="array" ref="F713">IF(ISBLANK(G713),"",INDEX('POR Config List'!J:J,MATCH(G713,'POR Config List'!D:D,0)))</f>
        <v/>
      </c>
      <c r="G713" s="168"/>
      <c r="H713" s="104" t="str">
        <f t="array" ref="H713">IF(ISBLANK(G713),"",INDEX('MP SKUs'!G:G,MATCH(G713,'MP SKUs'!A:A,0)))</f>
        <v/>
      </c>
      <c r="I713" s="105" t="str">
        <f t="array" ref="I713">IF(ISBLANK(G713),"",INDEX('POR Config List'!O:O,MATCH(G713,'POR Config List'!D:D,0)))</f>
        <v/>
      </c>
      <c r="J713" s="104" t="str">
        <f t="array" ref="J713">IF(ISBLANK(G713),"",INDEX('POR Config List'!H:H,MATCH(G713,'POR Config List'!D:D,0)))</f>
        <v/>
      </c>
      <c r="K713" s="105" t="str">
        <f t="array" ref="K713">IF(ISBLANK(G713),"",INDEX('POR Config List'!G:G,MATCH(G713,'POR Config List'!D:D,0)))</f>
        <v/>
      </c>
      <c r="L713" s="105"/>
      <c r="M713" s="105" t="str">
        <f t="array" ref="M713">IF(ISBLANK(G713),"",INDEX('label approval artwork'!Q:Q,MATCH( G713,'label approval artwork'!F:F,0)))</f>
        <v/>
      </c>
      <c r="N713" s="169" t="str">
        <f t="shared" si="5"/>
        <v/>
      </c>
      <c r="O713" s="102" t="str">
        <f t="array" ref="O713">IF(ISBLANK(G713),"",INDEX('POR Config List'!C:C,MATCH(G713,'POR Config List'!D:D,0)))</f>
        <v/>
      </c>
      <c r="P713" s="105" t="str">
        <f t="shared" si="4"/>
        <v/>
      </c>
      <c r="Q713" s="105" t="str">
        <f t="array" ref="Q713">IF(ISBLANK(G713),"",INDEX('label approval artwork'!J:J,MATCH( G713,'label approval artwork'!F:F,0)))</f>
        <v/>
      </c>
      <c r="R713" s="105" t="str">
        <f t="array" ref="R713">IFERROR( IF(P713&lt;&gt;"EMA",INDEX('label approval artwork'!H:H,MATCH(G713,'label approval artwork'!F:F,0),"")),"")</f>
        <v/>
      </c>
      <c r="S713" s="105"/>
      <c r="T713" s="105" t="str">
        <f t="array" ref="T713">IF(ISBLANK(G713),"",INDEX('POR Config List'!I:I,MATCH(G713,'POR Config List'!D:D,0)))</f>
        <v/>
      </c>
      <c r="AA713" s="100" t="str">
        <f t="array" ref="AA713">IF(ISBLANK(G713),"",INDEX('POR Config List'!E:E,MATCH(G713,'POR Config List'!D:D,0)))</f>
        <v/>
      </c>
      <c r="AC713" s="105"/>
      <c r="AD713" s="100"/>
      <c r="AE713" s="100"/>
      <c r="AF713" s="100"/>
      <c r="AG713" s="100"/>
      <c r="AM713" s="102"/>
      <c r="AN713" s="102"/>
      <c r="AR713" s="119"/>
      <c r="AS713" s="103"/>
    </row>
    <row r="714">
      <c r="A714" s="168"/>
      <c r="B714" s="100" t="str">
        <f t="array" ref="B714">IFERROR( INDEX('POR Config List'!A:A,MATCH(G714,'POR Config List'!D:D,0)),"")</f>
        <v/>
      </c>
      <c r="C714" s="101" t="str">
        <f t="array" ref="C714">IFERROR(INDEX('label approval artwork'!E:E,MATCH(G714,'label approval artwork'!F:F,0),""),"")</f>
        <v/>
      </c>
      <c r="D714" s="102" t="str">
        <f t="shared" si="3"/>
        <v/>
      </c>
      <c r="E714" s="100" t="str">
        <f t="array" ref="E714">IF(ISBLANK(G714),"",INDEX('POR Config List'!K:K,MATCH(G714,'POR Config List'!D:D,0)))</f>
        <v/>
      </c>
      <c r="F714" s="100" t="str">
        <f t="array" ref="F714">IF(ISBLANK(G714),"",INDEX('POR Config List'!J:J,MATCH(G714,'POR Config List'!D:D,0)))</f>
        <v/>
      </c>
      <c r="G714" s="168"/>
      <c r="H714" s="104" t="str">
        <f t="array" ref="H714">IF(ISBLANK(G714),"",INDEX('MP SKUs'!G:G,MATCH(G714,'MP SKUs'!A:A,0)))</f>
        <v/>
      </c>
      <c r="I714" s="105" t="str">
        <f t="array" ref="I714">IF(ISBLANK(G714),"",INDEX('POR Config List'!O:O,MATCH(G714,'POR Config List'!D:D,0)))</f>
        <v/>
      </c>
      <c r="J714" s="104" t="str">
        <f t="array" ref="J714">IF(ISBLANK(G714),"",INDEX('POR Config List'!H:H,MATCH(G714,'POR Config List'!D:D,0)))</f>
        <v/>
      </c>
      <c r="K714" s="105" t="str">
        <f t="array" ref="K714">IF(ISBLANK(G714),"",INDEX('POR Config List'!G:G,MATCH(G714,'POR Config List'!D:D,0)))</f>
        <v/>
      </c>
      <c r="L714" s="105"/>
      <c r="M714" s="105" t="str">
        <f t="array" ref="M714">IF(ISBLANK(G714),"",INDEX('label approval artwork'!Q:Q,MATCH( G714,'label approval artwork'!F:F,0)))</f>
        <v/>
      </c>
      <c r="N714" s="169" t="str">
        <f t="shared" si="5"/>
        <v/>
      </c>
      <c r="O714" s="102" t="str">
        <f t="array" ref="O714">IF(ISBLANK(G714),"",INDEX('POR Config List'!C:C,MATCH(G714,'POR Config List'!D:D,0)))</f>
        <v/>
      </c>
      <c r="P714" s="105" t="str">
        <f t="shared" si="4"/>
        <v/>
      </c>
      <c r="Q714" s="105" t="str">
        <f t="array" ref="Q714">IF(ISBLANK(G714),"",INDEX('label approval artwork'!J:J,MATCH( G714,'label approval artwork'!F:F,0)))</f>
        <v/>
      </c>
      <c r="R714" s="105" t="str">
        <f t="array" ref="R714">IFERROR( IF(P714&lt;&gt;"EMA",INDEX('label approval artwork'!H:H,MATCH(G714,'label approval artwork'!F:F,0),"")),"")</f>
        <v/>
      </c>
      <c r="S714" s="105"/>
      <c r="T714" s="105" t="str">
        <f t="array" ref="T714">IF(ISBLANK(G714),"",INDEX('POR Config List'!I:I,MATCH(G714,'POR Config List'!D:D,0)))</f>
        <v/>
      </c>
      <c r="AA714" s="100" t="str">
        <f t="array" ref="AA714">IF(ISBLANK(G714),"",INDEX('POR Config List'!E:E,MATCH(G714,'POR Config List'!D:D,0)))</f>
        <v/>
      </c>
      <c r="AC714" s="105"/>
      <c r="AD714" s="100"/>
      <c r="AE714" s="100"/>
      <c r="AF714" s="100"/>
      <c r="AG714" s="100"/>
      <c r="AM714" s="102"/>
      <c r="AN714" s="102"/>
      <c r="AR714" s="119"/>
      <c r="AS714" s="103"/>
    </row>
    <row r="715">
      <c r="A715" s="168"/>
      <c r="B715" s="100" t="str">
        <f t="array" ref="B715">IFERROR( INDEX('POR Config List'!A:A,MATCH(G715,'POR Config List'!D:D,0)),"")</f>
        <v/>
      </c>
      <c r="C715" s="101" t="str">
        <f t="array" ref="C715">IFERROR(INDEX('label approval artwork'!E:E,MATCH(G715,'label approval artwork'!F:F,0),""),"")</f>
        <v/>
      </c>
      <c r="D715" s="102" t="str">
        <f t="shared" si="3"/>
        <v/>
      </c>
      <c r="E715" s="100" t="str">
        <f t="array" ref="E715">IF(ISBLANK(G715),"",INDEX('POR Config List'!K:K,MATCH(G715,'POR Config List'!D:D,0)))</f>
        <v/>
      </c>
      <c r="F715" s="100" t="str">
        <f t="array" ref="F715">IF(ISBLANK(G715),"",INDEX('POR Config List'!J:J,MATCH(G715,'POR Config List'!D:D,0)))</f>
        <v/>
      </c>
      <c r="G715" s="168"/>
      <c r="H715" s="104" t="str">
        <f t="array" ref="H715">IF(ISBLANK(G715),"",INDEX('MP SKUs'!G:G,MATCH(G715,'MP SKUs'!A:A,0)))</f>
        <v/>
      </c>
      <c r="I715" s="105" t="str">
        <f t="array" ref="I715">IF(ISBLANK(G715),"",INDEX('POR Config List'!O:O,MATCH(G715,'POR Config List'!D:D,0)))</f>
        <v/>
      </c>
      <c r="J715" s="104" t="str">
        <f t="array" ref="J715">IF(ISBLANK(G715),"",INDEX('POR Config List'!H:H,MATCH(G715,'POR Config List'!D:D,0)))</f>
        <v/>
      </c>
      <c r="K715" s="105" t="str">
        <f t="array" ref="K715">IF(ISBLANK(G715),"",INDEX('POR Config List'!G:G,MATCH(G715,'POR Config List'!D:D,0)))</f>
        <v/>
      </c>
      <c r="L715" s="105"/>
      <c r="M715" s="105" t="str">
        <f t="array" ref="M715">IF(ISBLANK(G715),"",INDEX('label approval artwork'!Q:Q,MATCH( G715,'label approval artwork'!F:F,0)))</f>
        <v/>
      </c>
      <c r="N715" s="169" t="str">
        <f t="shared" si="5"/>
        <v/>
      </c>
      <c r="O715" s="102" t="str">
        <f t="array" ref="O715">IF(ISBLANK(G715),"",INDEX('POR Config List'!C:C,MATCH(G715,'POR Config List'!D:D,0)))</f>
        <v/>
      </c>
      <c r="P715" s="105" t="str">
        <f t="shared" si="4"/>
        <v/>
      </c>
      <c r="Q715" s="105" t="str">
        <f t="array" ref="Q715">IF(ISBLANK(G715),"",INDEX('label approval artwork'!J:J,MATCH( G715,'label approval artwork'!F:F,0)))</f>
        <v/>
      </c>
      <c r="R715" s="105" t="str">
        <f t="array" ref="R715">IFERROR( IF(P715&lt;&gt;"EMA",INDEX('label approval artwork'!H:H,MATCH(G715,'label approval artwork'!F:F,0),"")),"")</f>
        <v/>
      </c>
      <c r="S715" s="105"/>
      <c r="T715" s="105" t="str">
        <f t="array" ref="T715">IF(ISBLANK(G715),"",INDEX('POR Config List'!I:I,MATCH(G715,'POR Config List'!D:D,0)))</f>
        <v/>
      </c>
      <c r="AA715" s="100" t="str">
        <f t="array" ref="AA715">IF(ISBLANK(G715),"",INDEX('POR Config List'!E:E,MATCH(G715,'POR Config List'!D:D,0)))</f>
        <v/>
      </c>
      <c r="AC715" s="105"/>
      <c r="AD715" s="100"/>
      <c r="AE715" s="100"/>
      <c r="AF715" s="100"/>
      <c r="AG715" s="100"/>
      <c r="AM715" s="102"/>
      <c r="AN715" s="102"/>
      <c r="AR715" s="119"/>
      <c r="AS715" s="103"/>
    </row>
    <row r="716">
      <c r="A716" s="168"/>
      <c r="B716" s="100" t="str">
        <f t="array" ref="B716">IFERROR( INDEX('POR Config List'!A:A,MATCH(G716,'POR Config List'!D:D,0)),"")</f>
        <v/>
      </c>
      <c r="C716" s="101" t="str">
        <f t="array" ref="C716">IFERROR(INDEX('label approval artwork'!E:E,MATCH(G716,'label approval artwork'!F:F,0),""),"")</f>
        <v/>
      </c>
      <c r="D716" s="102" t="str">
        <f t="shared" si="3"/>
        <v/>
      </c>
      <c r="E716" s="100" t="str">
        <f t="array" ref="E716">IF(ISBLANK(G716),"",INDEX('POR Config List'!K:K,MATCH(G716,'POR Config List'!D:D,0)))</f>
        <v/>
      </c>
      <c r="F716" s="100" t="str">
        <f t="array" ref="F716">IF(ISBLANK(G716),"",INDEX('POR Config List'!J:J,MATCH(G716,'POR Config List'!D:D,0)))</f>
        <v/>
      </c>
      <c r="G716" s="168"/>
      <c r="H716" s="104" t="str">
        <f t="array" ref="H716">IF(ISBLANK(G716),"",INDEX('MP SKUs'!G:G,MATCH(G716,'MP SKUs'!A:A,0)))</f>
        <v/>
      </c>
      <c r="I716" s="105" t="str">
        <f t="array" ref="I716">IF(ISBLANK(G716),"",INDEX('POR Config List'!O:O,MATCH(G716,'POR Config List'!D:D,0)))</f>
        <v/>
      </c>
      <c r="J716" s="104" t="str">
        <f t="array" ref="J716">IF(ISBLANK(G716),"",INDEX('POR Config List'!H:H,MATCH(G716,'POR Config List'!D:D,0)))</f>
        <v/>
      </c>
      <c r="K716" s="105" t="str">
        <f t="array" ref="K716">IF(ISBLANK(G716),"",INDEX('POR Config List'!G:G,MATCH(G716,'POR Config List'!D:D,0)))</f>
        <v/>
      </c>
      <c r="L716" s="105"/>
      <c r="M716" s="105" t="str">
        <f t="array" ref="M716">IF(ISBLANK(G716),"",INDEX('label approval artwork'!Q:Q,MATCH( G716,'label approval artwork'!F:F,0)))</f>
        <v/>
      </c>
      <c r="N716" s="169" t="str">
        <f t="shared" si="5"/>
        <v/>
      </c>
      <c r="O716" s="102" t="str">
        <f t="array" ref="O716">IF(ISBLANK(G716),"",INDEX('POR Config List'!C:C,MATCH(G716,'POR Config List'!D:D,0)))</f>
        <v/>
      </c>
      <c r="P716" s="105" t="str">
        <f t="shared" si="4"/>
        <v/>
      </c>
      <c r="Q716" s="105" t="str">
        <f t="array" ref="Q716">IF(ISBLANK(G716),"",INDEX('label approval artwork'!J:J,MATCH( G716,'label approval artwork'!F:F,0)))</f>
        <v/>
      </c>
      <c r="R716" s="105" t="str">
        <f t="array" ref="R716">IFERROR( IF(P716&lt;&gt;"EMA",INDEX('label approval artwork'!H:H,MATCH(G716,'label approval artwork'!F:F,0),"")),"")</f>
        <v/>
      </c>
      <c r="S716" s="105"/>
      <c r="T716" s="105" t="str">
        <f t="array" ref="T716">IF(ISBLANK(G716),"",INDEX('POR Config List'!I:I,MATCH(G716,'POR Config List'!D:D,0)))</f>
        <v/>
      </c>
      <c r="AA716" s="100" t="str">
        <f t="array" ref="AA716">IF(ISBLANK(G716),"",INDEX('POR Config List'!E:E,MATCH(G716,'POR Config List'!D:D,0)))</f>
        <v/>
      </c>
      <c r="AC716" s="105"/>
      <c r="AD716" s="100"/>
      <c r="AE716" s="100"/>
      <c r="AF716" s="100"/>
      <c r="AG716" s="100"/>
      <c r="AM716" s="102"/>
      <c r="AN716" s="102"/>
      <c r="AR716" s="119"/>
      <c r="AS716" s="103"/>
    </row>
    <row r="717">
      <c r="A717" s="168"/>
      <c r="B717" s="100" t="str">
        <f t="array" ref="B717">IFERROR( INDEX('POR Config List'!A:A,MATCH(G717,'POR Config List'!D:D,0)),"")</f>
        <v/>
      </c>
      <c r="C717" s="101" t="str">
        <f t="array" ref="C717">IFERROR(INDEX('label approval artwork'!E:E,MATCH(G717,'label approval artwork'!F:F,0),""),"")</f>
        <v/>
      </c>
      <c r="D717" s="102" t="str">
        <f t="shared" si="3"/>
        <v/>
      </c>
      <c r="E717" s="100" t="str">
        <f t="array" ref="E717">IF(ISBLANK(G717),"",INDEX('POR Config List'!K:K,MATCH(G717,'POR Config List'!D:D,0)))</f>
        <v/>
      </c>
      <c r="F717" s="100" t="str">
        <f t="array" ref="F717">IF(ISBLANK(G717),"",INDEX('POR Config List'!J:J,MATCH(G717,'POR Config List'!D:D,0)))</f>
        <v/>
      </c>
      <c r="G717" s="168"/>
      <c r="H717" s="104" t="str">
        <f t="array" ref="H717">IF(ISBLANK(G717),"",INDEX('MP SKUs'!G:G,MATCH(G717,'MP SKUs'!A:A,0)))</f>
        <v/>
      </c>
      <c r="I717" s="105" t="str">
        <f t="array" ref="I717">IF(ISBLANK(G717),"",INDEX('POR Config List'!O:O,MATCH(G717,'POR Config List'!D:D,0)))</f>
        <v/>
      </c>
      <c r="J717" s="104" t="str">
        <f t="array" ref="J717">IF(ISBLANK(G717),"",INDEX('POR Config List'!H:H,MATCH(G717,'POR Config List'!D:D,0)))</f>
        <v/>
      </c>
      <c r="K717" s="105" t="str">
        <f t="array" ref="K717">IF(ISBLANK(G717),"",INDEX('POR Config List'!G:G,MATCH(G717,'POR Config List'!D:D,0)))</f>
        <v/>
      </c>
      <c r="L717" s="105"/>
      <c r="M717" s="105" t="str">
        <f t="array" ref="M717">IF(ISBLANK(G717),"",INDEX('label approval artwork'!Q:Q,MATCH( G717,'label approval artwork'!F:F,0)))</f>
        <v/>
      </c>
      <c r="N717" s="169" t="str">
        <f t="shared" si="5"/>
        <v/>
      </c>
      <c r="O717" s="102" t="str">
        <f t="array" ref="O717">IF(ISBLANK(G717),"",INDEX('POR Config List'!C:C,MATCH(G717,'POR Config List'!D:D,0)))</f>
        <v/>
      </c>
      <c r="P717" s="105" t="str">
        <f t="shared" si="4"/>
        <v/>
      </c>
      <c r="Q717" s="105" t="str">
        <f t="array" ref="Q717">IF(ISBLANK(G717),"",INDEX('label approval artwork'!J:J,MATCH( G717,'label approval artwork'!F:F,0)))</f>
        <v/>
      </c>
      <c r="R717" s="105" t="str">
        <f t="array" ref="R717">IFERROR( IF(P717&lt;&gt;"EMA",INDEX('label approval artwork'!H:H,MATCH(G717,'label approval artwork'!F:F,0),"")),"")</f>
        <v/>
      </c>
      <c r="S717" s="105"/>
      <c r="T717" s="105" t="str">
        <f t="array" ref="T717">IF(ISBLANK(G717),"",INDEX('POR Config List'!I:I,MATCH(G717,'POR Config List'!D:D,0)))</f>
        <v/>
      </c>
      <c r="AA717" s="100" t="str">
        <f t="array" ref="AA717">IF(ISBLANK(G717),"",INDEX('POR Config List'!E:E,MATCH(G717,'POR Config List'!D:D,0)))</f>
        <v/>
      </c>
      <c r="AC717" s="105"/>
      <c r="AD717" s="100"/>
      <c r="AE717" s="100"/>
      <c r="AF717" s="100"/>
      <c r="AG717" s="100"/>
      <c r="AM717" s="102"/>
      <c r="AN717" s="102"/>
      <c r="AR717" s="119"/>
      <c r="AS717" s="103"/>
    </row>
    <row r="718">
      <c r="A718" s="168"/>
      <c r="B718" s="100" t="str">
        <f t="array" ref="B718">IFERROR( INDEX('POR Config List'!A:A,MATCH(G718,'POR Config List'!D:D,0)),"")</f>
        <v/>
      </c>
      <c r="C718" s="101" t="str">
        <f t="array" ref="C718">IFERROR(INDEX('label approval artwork'!E:E,MATCH(G718,'label approval artwork'!F:F,0),""),"")</f>
        <v/>
      </c>
      <c r="D718" s="102" t="str">
        <f t="shared" si="3"/>
        <v/>
      </c>
      <c r="E718" s="100" t="str">
        <f t="array" ref="E718">IF(ISBLANK(G718),"",INDEX('POR Config List'!K:K,MATCH(G718,'POR Config List'!D:D,0)))</f>
        <v/>
      </c>
      <c r="F718" s="100" t="str">
        <f t="array" ref="F718">IF(ISBLANK(G718),"",INDEX('POR Config List'!J:J,MATCH(G718,'POR Config List'!D:D,0)))</f>
        <v/>
      </c>
      <c r="G718" s="168"/>
      <c r="H718" s="104" t="str">
        <f t="array" ref="H718">IF(ISBLANK(G718),"",INDEX('MP SKUs'!G:G,MATCH(G718,'MP SKUs'!A:A,0)))</f>
        <v/>
      </c>
      <c r="I718" s="105" t="str">
        <f t="array" ref="I718">IF(ISBLANK(G718),"",INDEX('POR Config List'!O:O,MATCH(G718,'POR Config List'!D:D,0)))</f>
        <v/>
      </c>
      <c r="J718" s="104" t="str">
        <f t="array" ref="J718">IF(ISBLANK(G718),"",INDEX('POR Config List'!H:H,MATCH(G718,'POR Config List'!D:D,0)))</f>
        <v/>
      </c>
      <c r="K718" s="105" t="str">
        <f t="array" ref="K718">IF(ISBLANK(G718),"",INDEX('POR Config List'!G:G,MATCH(G718,'POR Config List'!D:D,0)))</f>
        <v/>
      </c>
      <c r="L718" s="105"/>
      <c r="M718" s="105" t="str">
        <f t="array" ref="M718">IF(ISBLANK(G718),"",INDEX('label approval artwork'!Q:Q,MATCH( G718,'label approval artwork'!F:F,0)))</f>
        <v/>
      </c>
      <c r="N718" s="169" t="str">
        <f t="shared" si="5"/>
        <v/>
      </c>
      <c r="O718" s="102" t="str">
        <f t="array" ref="O718">IF(ISBLANK(G718),"",INDEX('POR Config List'!C:C,MATCH(G718,'POR Config List'!D:D,0)))</f>
        <v/>
      </c>
      <c r="P718" s="105" t="str">
        <f t="shared" si="4"/>
        <v/>
      </c>
      <c r="Q718" s="105" t="str">
        <f t="array" ref="Q718">IF(ISBLANK(G718),"",INDEX('label approval artwork'!J:J,MATCH( G718,'label approval artwork'!F:F,0)))</f>
        <v/>
      </c>
      <c r="R718" s="105" t="str">
        <f t="array" ref="R718">IFERROR( IF(P718&lt;&gt;"EMA",INDEX('label approval artwork'!H:H,MATCH(G718,'label approval artwork'!F:F,0),"")),"")</f>
        <v/>
      </c>
      <c r="S718" s="105"/>
      <c r="T718" s="105" t="str">
        <f t="array" ref="T718">IF(ISBLANK(G718),"",INDEX('POR Config List'!I:I,MATCH(G718,'POR Config List'!D:D,0)))</f>
        <v/>
      </c>
      <c r="AA718" s="100" t="str">
        <f t="array" ref="AA718">IF(ISBLANK(G718),"",INDEX('POR Config List'!E:E,MATCH(G718,'POR Config List'!D:D,0)))</f>
        <v/>
      </c>
      <c r="AC718" s="105"/>
      <c r="AD718" s="100"/>
      <c r="AE718" s="100"/>
      <c r="AF718" s="100"/>
      <c r="AG718" s="100"/>
      <c r="AM718" s="102"/>
      <c r="AN718" s="102"/>
      <c r="AR718" s="119"/>
      <c r="AS718" s="103"/>
    </row>
    <row r="719">
      <c r="A719" s="168"/>
      <c r="B719" s="100" t="str">
        <f t="array" ref="B719">IFERROR( INDEX('POR Config List'!A:A,MATCH(G719,'POR Config List'!D:D,0)),"")</f>
        <v/>
      </c>
      <c r="C719" s="101" t="str">
        <f t="array" ref="C719">IFERROR(INDEX('label approval artwork'!E:E,MATCH(G719,'label approval artwork'!F:F,0),""),"")</f>
        <v/>
      </c>
      <c r="D719" s="102" t="str">
        <f t="shared" si="3"/>
        <v/>
      </c>
      <c r="E719" s="100" t="str">
        <f t="array" ref="E719">IF(ISBLANK(G719),"",INDEX('POR Config List'!K:K,MATCH(G719,'POR Config List'!D:D,0)))</f>
        <v/>
      </c>
      <c r="F719" s="100" t="str">
        <f t="array" ref="F719">IF(ISBLANK(G719),"",INDEX('POR Config List'!J:J,MATCH(G719,'POR Config List'!D:D,0)))</f>
        <v/>
      </c>
      <c r="G719" s="168"/>
      <c r="H719" s="104" t="str">
        <f t="array" ref="H719">IF(ISBLANK(G719),"",INDEX('MP SKUs'!G:G,MATCH(G719,'MP SKUs'!A:A,0)))</f>
        <v/>
      </c>
      <c r="I719" s="105" t="str">
        <f t="array" ref="I719">IF(ISBLANK(G719),"",INDEX('POR Config List'!O:O,MATCH(G719,'POR Config List'!D:D,0)))</f>
        <v/>
      </c>
      <c r="J719" s="104" t="str">
        <f t="array" ref="J719">IF(ISBLANK(G719),"",INDEX('POR Config List'!H:H,MATCH(G719,'POR Config List'!D:D,0)))</f>
        <v/>
      </c>
      <c r="K719" s="105" t="str">
        <f t="array" ref="K719">IF(ISBLANK(G719),"",INDEX('POR Config List'!G:G,MATCH(G719,'POR Config List'!D:D,0)))</f>
        <v/>
      </c>
      <c r="L719" s="105"/>
      <c r="M719" s="105" t="str">
        <f t="array" ref="M719">IF(ISBLANK(G719),"",INDEX('label approval artwork'!Q:Q,MATCH( G719,'label approval artwork'!F:F,0)))</f>
        <v/>
      </c>
      <c r="N719" s="169" t="str">
        <f t="shared" si="5"/>
        <v/>
      </c>
      <c r="O719" s="102" t="str">
        <f t="array" ref="O719">IF(ISBLANK(G719),"",INDEX('POR Config List'!C:C,MATCH(G719,'POR Config List'!D:D,0)))</f>
        <v/>
      </c>
      <c r="P719" s="105" t="str">
        <f t="shared" si="4"/>
        <v/>
      </c>
      <c r="Q719" s="105" t="str">
        <f t="array" ref="Q719">IF(ISBLANK(G719),"",INDEX('label approval artwork'!J:J,MATCH( G719,'label approval artwork'!F:F,0)))</f>
        <v/>
      </c>
      <c r="R719" s="105" t="str">
        <f t="array" ref="R719">IFERROR( IF(P719&lt;&gt;"EMA",INDEX('label approval artwork'!H:H,MATCH(G719,'label approval artwork'!F:F,0),"")),"")</f>
        <v/>
      </c>
      <c r="S719" s="105"/>
      <c r="T719" s="105" t="str">
        <f t="array" ref="T719">IF(ISBLANK(G719),"",INDEX('POR Config List'!I:I,MATCH(G719,'POR Config List'!D:D,0)))</f>
        <v/>
      </c>
      <c r="AA719" s="100" t="str">
        <f t="array" ref="AA719">IF(ISBLANK(G719),"",INDEX('POR Config List'!E:E,MATCH(G719,'POR Config List'!D:D,0)))</f>
        <v/>
      </c>
      <c r="AC719" s="105"/>
      <c r="AD719" s="100"/>
      <c r="AE719" s="100"/>
      <c r="AF719" s="100"/>
      <c r="AG719" s="100"/>
      <c r="AM719" s="102"/>
      <c r="AN719" s="102"/>
      <c r="AR719" s="119"/>
      <c r="AS719" s="103"/>
    </row>
    <row r="720">
      <c r="A720" s="168"/>
      <c r="B720" s="100" t="str">
        <f t="array" ref="B720">IFERROR( INDEX('POR Config List'!A:A,MATCH(G720,'POR Config List'!D:D,0)),"")</f>
        <v/>
      </c>
      <c r="C720" s="101" t="str">
        <f t="array" ref="C720">IFERROR(INDEX('label approval artwork'!E:E,MATCH(G720,'label approval artwork'!F:F,0),""),"")</f>
        <v/>
      </c>
      <c r="D720" s="102" t="str">
        <f t="shared" si="3"/>
        <v/>
      </c>
      <c r="E720" s="100" t="str">
        <f t="array" ref="E720">IF(ISBLANK(G720),"",INDEX('POR Config List'!K:K,MATCH(G720,'POR Config List'!D:D,0)))</f>
        <v/>
      </c>
      <c r="F720" s="100" t="str">
        <f t="array" ref="F720">IF(ISBLANK(G720),"",INDEX('POR Config List'!J:J,MATCH(G720,'POR Config List'!D:D,0)))</f>
        <v/>
      </c>
      <c r="G720" s="168"/>
      <c r="H720" s="104" t="str">
        <f t="array" ref="H720">IF(ISBLANK(G720),"",INDEX('MP SKUs'!G:G,MATCH(G720,'MP SKUs'!A:A,0)))</f>
        <v/>
      </c>
      <c r="I720" s="105" t="str">
        <f t="array" ref="I720">IF(ISBLANK(G720),"",INDEX('POR Config List'!O:O,MATCH(G720,'POR Config List'!D:D,0)))</f>
        <v/>
      </c>
      <c r="J720" s="104" t="str">
        <f t="array" ref="J720">IF(ISBLANK(G720),"",INDEX('POR Config List'!H:H,MATCH(G720,'POR Config List'!D:D,0)))</f>
        <v/>
      </c>
      <c r="K720" s="105" t="str">
        <f t="array" ref="K720">IF(ISBLANK(G720),"",INDEX('POR Config List'!G:G,MATCH(G720,'POR Config List'!D:D,0)))</f>
        <v/>
      </c>
      <c r="L720" s="105"/>
      <c r="M720" s="105" t="str">
        <f t="array" ref="M720">IF(ISBLANK(G720),"",INDEX('label approval artwork'!Q:Q,MATCH( G720,'label approval artwork'!F:F,0)))</f>
        <v/>
      </c>
      <c r="N720" s="169" t="str">
        <f t="shared" si="5"/>
        <v/>
      </c>
      <c r="O720" s="102" t="str">
        <f t="array" ref="O720">IF(ISBLANK(G720),"",INDEX('POR Config List'!C:C,MATCH(G720,'POR Config List'!D:D,0)))</f>
        <v/>
      </c>
      <c r="P720" s="105" t="str">
        <f t="shared" si="4"/>
        <v/>
      </c>
      <c r="Q720" s="105" t="str">
        <f t="array" ref="Q720">IF(ISBLANK(G720),"",INDEX('label approval artwork'!J:J,MATCH( G720,'label approval artwork'!F:F,0)))</f>
        <v/>
      </c>
      <c r="R720" s="105" t="str">
        <f t="array" ref="R720">IFERROR( IF(P720&lt;&gt;"EMA",INDEX('label approval artwork'!H:H,MATCH(G720,'label approval artwork'!F:F,0),"")),"")</f>
        <v/>
      </c>
      <c r="S720" s="105"/>
      <c r="T720" s="105" t="str">
        <f t="array" ref="T720">IF(ISBLANK(G720),"",INDEX('POR Config List'!I:I,MATCH(G720,'POR Config List'!D:D,0)))</f>
        <v/>
      </c>
      <c r="AA720" s="100" t="str">
        <f t="array" ref="AA720">IF(ISBLANK(G720),"",INDEX('POR Config List'!E:E,MATCH(G720,'POR Config List'!D:D,0)))</f>
        <v/>
      </c>
      <c r="AC720" s="105"/>
      <c r="AD720" s="100"/>
      <c r="AE720" s="100"/>
      <c r="AF720" s="100"/>
      <c r="AG720" s="100"/>
      <c r="AM720" s="102"/>
      <c r="AN720" s="102"/>
      <c r="AR720" s="119"/>
      <c r="AS720" s="103"/>
    </row>
    <row r="721">
      <c r="A721" s="168"/>
      <c r="B721" s="100" t="str">
        <f t="array" ref="B721">IFERROR( INDEX('POR Config List'!A:A,MATCH(G721,'POR Config List'!D:D,0)),"")</f>
        <v/>
      </c>
      <c r="C721" s="101" t="str">
        <f t="array" ref="C721">IFERROR(INDEX('label approval artwork'!E:E,MATCH(G721,'label approval artwork'!F:F,0),""),"")</f>
        <v/>
      </c>
      <c r="D721" s="102" t="str">
        <f t="shared" si="3"/>
        <v/>
      </c>
      <c r="E721" s="100" t="str">
        <f t="array" ref="E721">IF(ISBLANK(G721),"",INDEX('POR Config List'!K:K,MATCH(G721,'POR Config List'!D:D,0)))</f>
        <v/>
      </c>
      <c r="F721" s="100" t="str">
        <f t="array" ref="F721">IF(ISBLANK(G721),"",INDEX('POR Config List'!J:J,MATCH(G721,'POR Config List'!D:D,0)))</f>
        <v/>
      </c>
      <c r="G721" s="168"/>
      <c r="H721" s="104" t="str">
        <f t="array" ref="H721">IF(ISBLANK(G721),"",INDEX('MP SKUs'!G:G,MATCH(G721,'MP SKUs'!A:A,0)))</f>
        <v/>
      </c>
      <c r="I721" s="105" t="str">
        <f t="array" ref="I721">IF(ISBLANK(G721),"",INDEX('POR Config List'!O:O,MATCH(G721,'POR Config List'!D:D,0)))</f>
        <v/>
      </c>
      <c r="J721" s="104" t="str">
        <f t="array" ref="J721">IF(ISBLANK(G721),"",INDEX('POR Config List'!H:H,MATCH(G721,'POR Config List'!D:D,0)))</f>
        <v/>
      </c>
      <c r="K721" s="105" t="str">
        <f t="array" ref="K721">IF(ISBLANK(G721),"",INDEX('POR Config List'!G:G,MATCH(G721,'POR Config List'!D:D,0)))</f>
        <v/>
      </c>
      <c r="L721" s="105"/>
      <c r="M721" s="105" t="str">
        <f t="array" ref="M721">IF(ISBLANK(G721),"",INDEX('label approval artwork'!Q:Q,MATCH( G721,'label approval artwork'!F:F,0)))</f>
        <v/>
      </c>
      <c r="N721" s="169" t="str">
        <f t="shared" si="5"/>
        <v/>
      </c>
      <c r="O721" s="102" t="str">
        <f t="array" ref="O721">IF(ISBLANK(G721),"",INDEX('POR Config List'!C:C,MATCH(G721,'POR Config List'!D:D,0)))</f>
        <v/>
      </c>
      <c r="P721" s="105" t="str">
        <f t="shared" si="4"/>
        <v/>
      </c>
      <c r="Q721" s="105" t="str">
        <f t="array" ref="Q721">IF(ISBLANK(G721),"",INDEX('label approval artwork'!J:J,MATCH( G721,'label approval artwork'!F:F,0)))</f>
        <v/>
      </c>
      <c r="R721" s="105" t="str">
        <f t="array" ref="R721">IFERROR( IF(P721&lt;&gt;"EMA",INDEX('label approval artwork'!H:H,MATCH(G721,'label approval artwork'!F:F,0),"")),"")</f>
        <v/>
      </c>
      <c r="S721" s="105"/>
      <c r="T721" s="105" t="str">
        <f t="array" ref="T721">IF(ISBLANK(G721),"",INDEX('POR Config List'!I:I,MATCH(G721,'POR Config List'!D:D,0)))</f>
        <v/>
      </c>
      <c r="AA721" s="100" t="str">
        <f t="array" ref="AA721">IF(ISBLANK(G721),"",INDEX('POR Config List'!E:E,MATCH(G721,'POR Config List'!D:D,0)))</f>
        <v/>
      </c>
      <c r="AC721" s="105"/>
      <c r="AD721" s="100"/>
      <c r="AE721" s="100"/>
      <c r="AF721" s="100"/>
      <c r="AG721" s="100"/>
      <c r="AM721" s="102"/>
      <c r="AN721" s="102"/>
      <c r="AR721" s="119"/>
      <c r="AS721" s="103"/>
    </row>
    <row r="722">
      <c r="A722" s="168"/>
      <c r="B722" s="100" t="str">
        <f t="array" ref="B722">IFERROR( INDEX('POR Config List'!A:A,MATCH(G722,'POR Config List'!D:D,0)),"")</f>
        <v/>
      </c>
      <c r="C722" s="101" t="str">
        <f t="array" ref="C722">IFERROR(INDEX('label approval artwork'!E:E,MATCH(G722,'label approval artwork'!F:F,0),""),"")</f>
        <v/>
      </c>
      <c r="D722" s="102" t="str">
        <f t="shared" si="3"/>
        <v/>
      </c>
      <c r="E722" s="100" t="str">
        <f t="array" ref="E722">IF(ISBLANK(G722),"",INDEX('POR Config List'!K:K,MATCH(G722,'POR Config List'!D:D,0)))</f>
        <v/>
      </c>
      <c r="F722" s="100" t="str">
        <f t="array" ref="F722">IF(ISBLANK(G722),"",INDEX('POR Config List'!J:J,MATCH(G722,'POR Config List'!D:D,0)))</f>
        <v/>
      </c>
      <c r="G722" s="168"/>
      <c r="H722" s="104" t="str">
        <f t="array" ref="H722">IF(ISBLANK(G722),"",INDEX('MP SKUs'!G:G,MATCH(G722,'MP SKUs'!A:A,0)))</f>
        <v/>
      </c>
      <c r="I722" s="105" t="str">
        <f t="array" ref="I722">IF(ISBLANK(G722),"",INDEX('POR Config List'!O:O,MATCH(G722,'POR Config List'!D:D,0)))</f>
        <v/>
      </c>
      <c r="J722" s="104" t="str">
        <f t="array" ref="J722">IF(ISBLANK(G722),"",INDEX('POR Config List'!H:H,MATCH(G722,'POR Config List'!D:D,0)))</f>
        <v/>
      </c>
      <c r="K722" s="105" t="str">
        <f t="array" ref="K722">IF(ISBLANK(G722),"",INDEX('POR Config List'!G:G,MATCH(G722,'POR Config List'!D:D,0)))</f>
        <v/>
      </c>
      <c r="L722" s="105"/>
      <c r="M722" s="105" t="str">
        <f t="array" ref="M722">IF(ISBLANK(G722),"",INDEX('label approval artwork'!Q:Q,MATCH( G722,'label approval artwork'!F:F,0)))</f>
        <v/>
      </c>
      <c r="N722" s="169" t="str">
        <f t="shared" si="5"/>
        <v/>
      </c>
      <c r="O722" s="102" t="str">
        <f t="array" ref="O722">IF(ISBLANK(G722),"",INDEX('POR Config List'!C:C,MATCH(G722,'POR Config List'!D:D,0)))</f>
        <v/>
      </c>
      <c r="P722" s="105" t="str">
        <f t="shared" si="4"/>
        <v/>
      </c>
      <c r="Q722" s="105" t="str">
        <f t="array" ref="Q722">IF(ISBLANK(G722),"",INDEX('label approval artwork'!J:J,MATCH( G722,'label approval artwork'!F:F,0)))</f>
        <v/>
      </c>
      <c r="R722" s="105" t="str">
        <f t="array" ref="R722">IFERROR( IF(P722&lt;&gt;"EMA",INDEX('label approval artwork'!H:H,MATCH(G722,'label approval artwork'!F:F,0),"")),"")</f>
        <v/>
      </c>
      <c r="S722" s="105"/>
      <c r="T722" s="105" t="str">
        <f t="array" ref="T722">IF(ISBLANK(G722),"",INDEX('POR Config List'!I:I,MATCH(G722,'POR Config List'!D:D,0)))</f>
        <v/>
      </c>
      <c r="AA722" s="100" t="str">
        <f t="array" ref="AA722">IF(ISBLANK(G722),"",INDEX('POR Config List'!E:E,MATCH(G722,'POR Config List'!D:D,0)))</f>
        <v/>
      </c>
      <c r="AC722" s="105"/>
      <c r="AD722" s="100"/>
      <c r="AE722" s="100"/>
      <c r="AF722" s="100"/>
      <c r="AG722" s="100"/>
      <c r="AM722" s="102"/>
      <c r="AN722" s="102"/>
      <c r="AR722" s="119"/>
      <c r="AS722" s="103"/>
    </row>
    <row r="723">
      <c r="A723" s="168"/>
      <c r="B723" s="100" t="str">
        <f t="array" ref="B723">IFERROR( INDEX('POR Config List'!A:A,MATCH(G723,'POR Config List'!D:D,0)),"")</f>
        <v/>
      </c>
      <c r="C723" s="101" t="str">
        <f t="array" ref="C723">IFERROR(INDEX('label approval artwork'!E:E,MATCH(G723,'label approval artwork'!F:F,0),""),"")</f>
        <v/>
      </c>
      <c r="D723" s="102" t="str">
        <f t="shared" si="3"/>
        <v/>
      </c>
      <c r="E723" s="100" t="str">
        <f t="array" ref="E723">IF(ISBLANK(G723),"",INDEX('POR Config List'!K:K,MATCH(G723,'POR Config List'!D:D,0)))</f>
        <v/>
      </c>
      <c r="F723" s="100" t="str">
        <f t="array" ref="F723">IF(ISBLANK(G723),"",INDEX('POR Config List'!J:J,MATCH(G723,'POR Config List'!D:D,0)))</f>
        <v/>
      </c>
      <c r="G723" s="168"/>
      <c r="H723" s="104" t="str">
        <f t="array" ref="H723">IF(ISBLANK(G723),"",INDEX('MP SKUs'!G:G,MATCH(G723,'MP SKUs'!A:A,0)))</f>
        <v/>
      </c>
      <c r="I723" s="105" t="str">
        <f t="array" ref="I723">IF(ISBLANK(G723),"",INDEX('POR Config List'!O:O,MATCH(G723,'POR Config List'!D:D,0)))</f>
        <v/>
      </c>
      <c r="J723" s="104" t="str">
        <f t="array" ref="J723">IF(ISBLANK(G723),"",INDEX('POR Config List'!H:H,MATCH(G723,'POR Config List'!D:D,0)))</f>
        <v/>
      </c>
      <c r="K723" s="105" t="str">
        <f t="array" ref="K723">IF(ISBLANK(G723),"",INDEX('POR Config List'!G:G,MATCH(G723,'POR Config List'!D:D,0)))</f>
        <v/>
      </c>
      <c r="L723" s="105"/>
      <c r="M723" s="105" t="str">
        <f t="array" ref="M723">IF(ISBLANK(G723),"",INDEX('label approval artwork'!Q:Q,MATCH( G723,'label approval artwork'!F:F,0)))</f>
        <v/>
      </c>
      <c r="N723" s="169" t="str">
        <f t="shared" si="5"/>
        <v/>
      </c>
      <c r="O723" s="102" t="str">
        <f t="array" ref="O723">IF(ISBLANK(G723),"",INDEX('POR Config List'!C:C,MATCH(G723,'POR Config List'!D:D,0)))</f>
        <v/>
      </c>
      <c r="P723" s="105" t="str">
        <f t="shared" si="4"/>
        <v/>
      </c>
      <c r="Q723" s="105" t="str">
        <f t="array" ref="Q723">IF(ISBLANK(G723),"",INDEX('label approval artwork'!J:J,MATCH( G723,'label approval artwork'!F:F,0)))</f>
        <v/>
      </c>
      <c r="R723" s="105" t="str">
        <f t="array" ref="R723">IFERROR( IF(P723&lt;&gt;"EMA",INDEX('label approval artwork'!H:H,MATCH(G723,'label approval artwork'!F:F,0),"")),"")</f>
        <v/>
      </c>
      <c r="S723" s="105"/>
      <c r="T723" s="105" t="str">
        <f t="array" ref="T723">IF(ISBLANK(G723),"",INDEX('POR Config List'!I:I,MATCH(G723,'POR Config List'!D:D,0)))</f>
        <v/>
      </c>
      <c r="AA723" s="100" t="str">
        <f t="array" ref="AA723">IF(ISBLANK(G723),"",INDEX('POR Config List'!E:E,MATCH(G723,'POR Config List'!D:D,0)))</f>
        <v/>
      </c>
      <c r="AC723" s="105"/>
      <c r="AD723" s="100"/>
      <c r="AE723" s="100"/>
      <c r="AF723" s="100"/>
      <c r="AG723" s="100"/>
      <c r="AM723" s="102"/>
      <c r="AN723" s="102"/>
      <c r="AR723" s="119"/>
      <c r="AS723" s="103"/>
    </row>
    <row r="724">
      <c r="A724" s="168"/>
      <c r="B724" s="100" t="str">
        <f t="array" ref="B724">IFERROR( INDEX('POR Config List'!A:A,MATCH(G724,'POR Config List'!D:D,0)),"")</f>
        <v/>
      </c>
      <c r="C724" s="101" t="str">
        <f t="array" ref="C724">IFERROR(INDEX('label approval artwork'!E:E,MATCH(G724,'label approval artwork'!F:F,0),""),"")</f>
        <v/>
      </c>
      <c r="D724" s="102" t="str">
        <f t="shared" si="3"/>
        <v/>
      </c>
      <c r="E724" s="100" t="str">
        <f t="array" ref="E724">IF(ISBLANK(G724),"",INDEX('POR Config List'!K:K,MATCH(G724,'POR Config List'!D:D,0)))</f>
        <v/>
      </c>
      <c r="F724" s="100" t="str">
        <f t="array" ref="F724">IF(ISBLANK(G724),"",INDEX('POR Config List'!J:J,MATCH(G724,'POR Config List'!D:D,0)))</f>
        <v/>
      </c>
      <c r="G724" s="168"/>
      <c r="H724" s="104" t="str">
        <f t="array" ref="H724">IF(ISBLANK(G724),"",INDEX('MP SKUs'!G:G,MATCH(G724,'MP SKUs'!A:A,0)))</f>
        <v/>
      </c>
      <c r="I724" s="105" t="str">
        <f t="array" ref="I724">IF(ISBLANK(G724),"",INDEX('POR Config List'!O:O,MATCH(G724,'POR Config List'!D:D,0)))</f>
        <v/>
      </c>
      <c r="J724" s="104" t="str">
        <f t="array" ref="J724">IF(ISBLANK(G724),"",INDEX('POR Config List'!H:H,MATCH(G724,'POR Config List'!D:D,0)))</f>
        <v/>
      </c>
      <c r="K724" s="105" t="str">
        <f t="array" ref="K724">IF(ISBLANK(G724),"",INDEX('POR Config List'!G:G,MATCH(G724,'POR Config List'!D:D,0)))</f>
        <v/>
      </c>
      <c r="L724" s="105"/>
      <c r="M724" s="105" t="str">
        <f t="array" ref="M724">IF(ISBLANK(G724),"",INDEX('label approval artwork'!Q:Q,MATCH( G724,'label approval artwork'!F:F,0)))</f>
        <v/>
      </c>
      <c r="N724" s="169" t="str">
        <f t="shared" si="5"/>
        <v/>
      </c>
      <c r="O724" s="102" t="str">
        <f t="array" ref="O724">IF(ISBLANK(G724),"",INDEX('POR Config List'!C:C,MATCH(G724,'POR Config List'!D:D,0)))</f>
        <v/>
      </c>
      <c r="P724" s="105" t="str">
        <f t="shared" si="4"/>
        <v/>
      </c>
      <c r="Q724" s="105" t="str">
        <f t="array" ref="Q724">IF(ISBLANK(G724),"",INDEX('label approval artwork'!J:J,MATCH( G724,'label approval artwork'!F:F,0)))</f>
        <v/>
      </c>
      <c r="R724" s="105" t="str">
        <f t="array" ref="R724">IFERROR( IF(P724&lt;&gt;"EMA",INDEX('label approval artwork'!H:H,MATCH(G724,'label approval artwork'!F:F,0),"")),"")</f>
        <v/>
      </c>
      <c r="S724" s="105"/>
      <c r="T724" s="105" t="str">
        <f t="array" ref="T724">IF(ISBLANK(G724),"",INDEX('POR Config List'!I:I,MATCH(G724,'POR Config List'!D:D,0)))</f>
        <v/>
      </c>
      <c r="AA724" s="100" t="str">
        <f t="array" ref="AA724">IF(ISBLANK(G724),"",INDEX('POR Config List'!E:E,MATCH(G724,'POR Config List'!D:D,0)))</f>
        <v/>
      </c>
      <c r="AC724" s="105"/>
      <c r="AD724" s="100"/>
      <c r="AE724" s="100"/>
      <c r="AF724" s="100"/>
      <c r="AG724" s="100"/>
      <c r="AM724" s="102"/>
      <c r="AN724" s="102"/>
      <c r="AR724" s="119"/>
      <c r="AS724" s="103"/>
    </row>
    <row r="725">
      <c r="A725" s="168"/>
      <c r="B725" s="100" t="str">
        <f t="array" ref="B725">IFERROR( INDEX('POR Config List'!A:A,MATCH(G725,'POR Config List'!D:D,0)),"")</f>
        <v/>
      </c>
      <c r="C725" s="101" t="str">
        <f t="array" ref="C725">IFERROR(INDEX('label approval artwork'!E:E,MATCH(G725,'label approval artwork'!F:F,0),""),"")</f>
        <v/>
      </c>
      <c r="D725" s="102" t="str">
        <f t="shared" si="3"/>
        <v/>
      </c>
      <c r="E725" s="100" t="str">
        <f t="array" ref="E725">IF(ISBLANK(G725),"",INDEX('POR Config List'!K:K,MATCH(G725,'POR Config List'!D:D,0)))</f>
        <v/>
      </c>
      <c r="F725" s="100" t="str">
        <f t="array" ref="F725">IF(ISBLANK(G725),"",INDEX('POR Config List'!J:J,MATCH(G725,'POR Config List'!D:D,0)))</f>
        <v/>
      </c>
      <c r="G725" s="168"/>
      <c r="H725" s="104" t="str">
        <f t="array" ref="H725">IF(ISBLANK(G725),"",INDEX('MP SKUs'!G:G,MATCH(G725,'MP SKUs'!A:A,0)))</f>
        <v/>
      </c>
      <c r="I725" s="105" t="str">
        <f t="array" ref="I725">IF(ISBLANK(G725),"",INDEX('POR Config List'!O:O,MATCH(G725,'POR Config List'!D:D,0)))</f>
        <v/>
      </c>
      <c r="J725" s="104" t="str">
        <f t="array" ref="J725">IF(ISBLANK(G725),"",INDEX('POR Config List'!H:H,MATCH(G725,'POR Config List'!D:D,0)))</f>
        <v/>
      </c>
      <c r="K725" s="105" t="str">
        <f t="array" ref="K725">IF(ISBLANK(G725),"",INDEX('POR Config List'!G:G,MATCH(G725,'POR Config List'!D:D,0)))</f>
        <v/>
      </c>
      <c r="L725" s="105"/>
      <c r="M725" s="105" t="str">
        <f t="array" ref="M725">IF(ISBLANK(G725),"",INDEX('label approval artwork'!Q:Q,MATCH( G725,'label approval artwork'!F:F,0)))</f>
        <v/>
      </c>
      <c r="N725" s="169" t="str">
        <f t="shared" si="5"/>
        <v/>
      </c>
      <c r="O725" s="102" t="str">
        <f t="array" ref="O725">IF(ISBLANK(G725),"",INDEX('POR Config List'!C:C,MATCH(G725,'POR Config List'!D:D,0)))</f>
        <v/>
      </c>
      <c r="P725" s="105" t="str">
        <f t="shared" si="4"/>
        <v/>
      </c>
      <c r="Q725" s="105" t="str">
        <f t="array" ref="Q725">IF(ISBLANK(G725),"",INDEX('label approval artwork'!J:J,MATCH( G725,'label approval artwork'!F:F,0)))</f>
        <v/>
      </c>
      <c r="R725" s="105" t="str">
        <f t="array" ref="R725">IFERROR( IF(P725&lt;&gt;"EMA",INDEX('label approval artwork'!H:H,MATCH(G725,'label approval artwork'!F:F,0),"")),"")</f>
        <v/>
      </c>
      <c r="S725" s="105"/>
      <c r="T725" s="105" t="str">
        <f t="array" ref="T725">IF(ISBLANK(G725),"",INDEX('POR Config List'!I:I,MATCH(G725,'POR Config List'!D:D,0)))</f>
        <v/>
      </c>
      <c r="AA725" s="100" t="str">
        <f t="array" ref="AA725">IF(ISBLANK(G725),"",INDEX('POR Config List'!E:E,MATCH(G725,'POR Config List'!D:D,0)))</f>
        <v/>
      </c>
      <c r="AC725" s="105"/>
      <c r="AD725" s="100"/>
      <c r="AE725" s="100"/>
      <c r="AF725" s="100"/>
      <c r="AG725" s="100"/>
      <c r="AM725" s="102"/>
      <c r="AN725" s="102"/>
      <c r="AR725" s="119"/>
      <c r="AS725" s="103"/>
    </row>
    <row r="726">
      <c r="A726" s="168"/>
      <c r="B726" s="100" t="str">
        <f t="array" ref="B726">IFERROR( INDEX('POR Config List'!A:A,MATCH(G726,'POR Config List'!D:D,0)),"")</f>
        <v/>
      </c>
      <c r="C726" s="101" t="str">
        <f t="array" ref="C726">IFERROR(INDEX('label approval artwork'!E:E,MATCH(G726,'label approval artwork'!F:F,0),""),"")</f>
        <v/>
      </c>
      <c r="D726" s="102" t="str">
        <f t="shared" si="3"/>
        <v/>
      </c>
      <c r="E726" s="100" t="str">
        <f t="array" ref="E726">IF(ISBLANK(G726),"",INDEX('POR Config List'!K:K,MATCH(G726,'POR Config List'!D:D,0)))</f>
        <v/>
      </c>
      <c r="F726" s="100" t="str">
        <f t="array" ref="F726">IF(ISBLANK(G726),"",INDEX('POR Config List'!J:J,MATCH(G726,'POR Config List'!D:D,0)))</f>
        <v/>
      </c>
      <c r="G726" s="168"/>
      <c r="H726" s="104" t="str">
        <f t="array" ref="H726">IF(ISBLANK(G726),"",INDEX('MP SKUs'!G:G,MATCH(G726,'MP SKUs'!A:A,0)))</f>
        <v/>
      </c>
      <c r="I726" s="105" t="str">
        <f t="array" ref="I726">IF(ISBLANK(G726),"",INDEX('POR Config List'!O:O,MATCH(G726,'POR Config List'!D:D,0)))</f>
        <v/>
      </c>
      <c r="J726" s="104" t="str">
        <f t="array" ref="J726">IF(ISBLANK(G726),"",INDEX('POR Config List'!H:H,MATCH(G726,'POR Config List'!D:D,0)))</f>
        <v/>
      </c>
      <c r="K726" s="105" t="str">
        <f t="array" ref="K726">IF(ISBLANK(G726),"",INDEX('POR Config List'!G:G,MATCH(G726,'POR Config List'!D:D,0)))</f>
        <v/>
      </c>
      <c r="L726" s="105"/>
      <c r="M726" s="105" t="str">
        <f t="array" ref="M726">IF(ISBLANK(G726),"",INDEX('label approval artwork'!Q:Q,MATCH( G726,'label approval artwork'!F:F,0)))</f>
        <v/>
      </c>
      <c r="N726" s="169" t="str">
        <f t="shared" si="5"/>
        <v/>
      </c>
      <c r="O726" s="102" t="str">
        <f t="array" ref="O726">IF(ISBLANK(G726),"",INDEX('POR Config List'!C:C,MATCH(G726,'POR Config List'!D:D,0)))</f>
        <v/>
      </c>
      <c r="P726" s="105" t="str">
        <f t="shared" si="4"/>
        <v/>
      </c>
      <c r="Q726" s="105" t="str">
        <f t="array" ref="Q726">IF(ISBLANK(G726),"",INDEX('label approval artwork'!J:J,MATCH( G726,'label approval artwork'!F:F,0)))</f>
        <v/>
      </c>
      <c r="R726" s="105" t="str">
        <f t="array" ref="R726">IFERROR( IF(P726&lt;&gt;"EMA",INDEX('label approval artwork'!H:H,MATCH(G726,'label approval artwork'!F:F,0),"")),"")</f>
        <v/>
      </c>
      <c r="S726" s="105"/>
      <c r="T726" s="105" t="str">
        <f t="array" ref="T726">IF(ISBLANK(G726),"",INDEX('POR Config List'!I:I,MATCH(G726,'POR Config List'!D:D,0)))</f>
        <v/>
      </c>
      <c r="AA726" s="100" t="str">
        <f t="array" ref="AA726">IF(ISBLANK(G726),"",INDEX('POR Config List'!E:E,MATCH(G726,'POR Config List'!D:D,0)))</f>
        <v/>
      </c>
      <c r="AC726" s="105"/>
      <c r="AD726" s="100"/>
      <c r="AE726" s="100"/>
      <c r="AF726" s="100"/>
      <c r="AG726" s="100"/>
      <c r="AM726" s="102"/>
      <c r="AN726" s="102"/>
      <c r="AR726" s="119"/>
      <c r="AS726" s="103"/>
    </row>
    <row r="727">
      <c r="A727" s="168"/>
      <c r="B727" s="100" t="str">
        <f t="array" ref="B727">IFERROR( INDEX('POR Config List'!A:A,MATCH(G727,'POR Config List'!D:D,0)),"")</f>
        <v/>
      </c>
      <c r="C727" s="101" t="str">
        <f t="array" ref="C727">IFERROR(INDEX('label approval artwork'!E:E,MATCH(G727,'label approval artwork'!F:F,0),""),"")</f>
        <v/>
      </c>
      <c r="D727" s="102" t="str">
        <f t="shared" si="3"/>
        <v/>
      </c>
      <c r="E727" s="100" t="str">
        <f t="array" ref="E727">IF(ISBLANK(G727),"",INDEX('POR Config List'!K:K,MATCH(G727,'POR Config List'!D:D,0)))</f>
        <v/>
      </c>
      <c r="F727" s="100" t="str">
        <f t="array" ref="F727">IF(ISBLANK(G727),"",INDEX('POR Config List'!J:J,MATCH(G727,'POR Config List'!D:D,0)))</f>
        <v/>
      </c>
      <c r="G727" s="168"/>
      <c r="H727" s="104" t="str">
        <f t="array" ref="H727">IF(ISBLANK(G727),"",INDEX('MP SKUs'!G:G,MATCH(G727,'MP SKUs'!A:A,0)))</f>
        <v/>
      </c>
      <c r="I727" s="105" t="str">
        <f t="array" ref="I727">IF(ISBLANK(G727),"",INDEX('POR Config List'!O:O,MATCH(G727,'POR Config List'!D:D,0)))</f>
        <v/>
      </c>
      <c r="J727" s="104" t="str">
        <f t="array" ref="J727">IF(ISBLANK(G727),"",INDEX('POR Config List'!H:H,MATCH(G727,'POR Config List'!D:D,0)))</f>
        <v/>
      </c>
      <c r="K727" s="105" t="str">
        <f t="array" ref="K727">IF(ISBLANK(G727),"",INDEX('POR Config List'!G:G,MATCH(G727,'POR Config List'!D:D,0)))</f>
        <v/>
      </c>
      <c r="L727" s="105"/>
      <c r="M727" s="105" t="str">
        <f t="array" ref="M727">IF(ISBLANK(G727),"",INDEX('label approval artwork'!Q:Q,MATCH( G727,'label approval artwork'!F:F,0)))</f>
        <v/>
      </c>
      <c r="N727" s="169" t="str">
        <f t="shared" si="5"/>
        <v/>
      </c>
      <c r="O727" s="102" t="str">
        <f t="array" ref="O727">IF(ISBLANK(G727),"",INDEX('POR Config List'!C:C,MATCH(G727,'POR Config List'!D:D,0)))</f>
        <v/>
      </c>
      <c r="P727" s="105" t="str">
        <f t="shared" si="4"/>
        <v/>
      </c>
      <c r="Q727" s="105" t="str">
        <f t="array" ref="Q727">IF(ISBLANK(G727),"",INDEX('label approval artwork'!J:J,MATCH( G727,'label approval artwork'!F:F,0)))</f>
        <v/>
      </c>
      <c r="R727" s="105" t="str">
        <f t="array" ref="R727">IFERROR( IF(P727&lt;&gt;"EMA",INDEX('label approval artwork'!H:H,MATCH(G727,'label approval artwork'!F:F,0),"")),"")</f>
        <v/>
      </c>
      <c r="S727" s="105"/>
      <c r="T727" s="105" t="str">
        <f t="array" ref="T727">IF(ISBLANK(G727),"",INDEX('POR Config List'!I:I,MATCH(G727,'POR Config List'!D:D,0)))</f>
        <v/>
      </c>
      <c r="AA727" s="100" t="str">
        <f t="array" ref="AA727">IF(ISBLANK(G727),"",INDEX('POR Config List'!E:E,MATCH(G727,'POR Config List'!D:D,0)))</f>
        <v/>
      </c>
      <c r="AC727" s="105"/>
      <c r="AD727" s="100"/>
      <c r="AE727" s="100"/>
      <c r="AF727" s="100"/>
      <c r="AG727" s="100"/>
      <c r="AM727" s="102"/>
      <c r="AN727" s="102"/>
      <c r="AR727" s="119"/>
      <c r="AS727" s="103"/>
    </row>
    <row r="728">
      <c r="A728" s="168"/>
      <c r="B728" s="100" t="str">
        <f t="array" ref="B728">IFERROR( INDEX('POR Config List'!A:A,MATCH(G728,'POR Config List'!D:D,0)),"")</f>
        <v/>
      </c>
      <c r="C728" s="101" t="str">
        <f t="array" ref="C728">IFERROR(INDEX('label approval artwork'!E:E,MATCH(G728,'label approval artwork'!F:F,0),""),"")</f>
        <v/>
      </c>
      <c r="D728" s="102" t="str">
        <f t="shared" si="3"/>
        <v/>
      </c>
      <c r="E728" s="100" t="str">
        <f t="array" ref="E728">IF(ISBLANK(G728),"",INDEX('POR Config List'!K:K,MATCH(G728,'POR Config List'!D:D,0)))</f>
        <v/>
      </c>
      <c r="F728" s="100" t="str">
        <f t="array" ref="F728">IF(ISBLANK(G728),"",INDEX('POR Config List'!J:J,MATCH(G728,'POR Config List'!D:D,0)))</f>
        <v/>
      </c>
      <c r="G728" s="168"/>
      <c r="H728" s="104" t="str">
        <f t="array" ref="H728">IF(ISBLANK(G728),"",INDEX('MP SKUs'!G:G,MATCH(G728,'MP SKUs'!A:A,0)))</f>
        <v/>
      </c>
      <c r="I728" s="105" t="str">
        <f t="array" ref="I728">IF(ISBLANK(G728),"",INDEX('POR Config List'!O:O,MATCH(G728,'POR Config List'!D:D,0)))</f>
        <v/>
      </c>
      <c r="J728" s="104" t="str">
        <f t="array" ref="J728">IF(ISBLANK(G728),"",INDEX('POR Config List'!H:H,MATCH(G728,'POR Config List'!D:D,0)))</f>
        <v/>
      </c>
      <c r="K728" s="105" t="str">
        <f t="array" ref="K728">IF(ISBLANK(G728),"",INDEX('POR Config List'!G:G,MATCH(G728,'POR Config List'!D:D,0)))</f>
        <v/>
      </c>
      <c r="L728" s="105"/>
      <c r="M728" s="105" t="str">
        <f t="array" ref="M728">IF(ISBLANK(G728),"",INDEX('label approval artwork'!Q:Q,MATCH( G728,'label approval artwork'!F:F,0)))</f>
        <v/>
      </c>
      <c r="N728" s="169" t="str">
        <f t="shared" si="5"/>
        <v/>
      </c>
      <c r="O728" s="102" t="str">
        <f t="array" ref="O728">IF(ISBLANK(G728),"",INDEX('POR Config List'!C:C,MATCH(G728,'POR Config List'!D:D,0)))</f>
        <v/>
      </c>
      <c r="P728" s="105" t="str">
        <f t="shared" si="4"/>
        <v/>
      </c>
      <c r="Q728" s="105" t="str">
        <f t="array" ref="Q728">IF(ISBLANK(G728),"",INDEX('label approval artwork'!J:J,MATCH( G728,'label approval artwork'!F:F,0)))</f>
        <v/>
      </c>
      <c r="R728" s="105" t="str">
        <f t="array" ref="R728">IFERROR( IF(P728&lt;&gt;"EMA",INDEX('label approval artwork'!H:H,MATCH(G728,'label approval artwork'!F:F,0),"")),"")</f>
        <v/>
      </c>
      <c r="S728" s="105"/>
      <c r="T728" s="105" t="str">
        <f t="array" ref="T728">IF(ISBLANK(G728),"",INDEX('POR Config List'!I:I,MATCH(G728,'POR Config List'!D:D,0)))</f>
        <v/>
      </c>
      <c r="AA728" s="100" t="str">
        <f t="array" ref="AA728">IF(ISBLANK(G728),"",INDEX('POR Config List'!E:E,MATCH(G728,'POR Config List'!D:D,0)))</f>
        <v/>
      </c>
      <c r="AC728" s="105"/>
      <c r="AD728" s="100"/>
      <c r="AE728" s="100"/>
      <c r="AF728" s="100"/>
      <c r="AG728" s="100"/>
      <c r="AM728" s="102"/>
      <c r="AN728" s="102"/>
      <c r="AR728" s="119"/>
      <c r="AS728" s="103"/>
    </row>
    <row r="729">
      <c r="A729" s="168"/>
      <c r="B729" s="100" t="str">
        <f t="array" ref="B729">IFERROR( INDEX('POR Config List'!A:A,MATCH(G729,'POR Config List'!D:D,0)),"")</f>
        <v/>
      </c>
      <c r="C729" s="101" t="str">
        <f t="array" ref="C729">IFERROR(INDEX('label approval artwork'!E:E,MATCH(G729,'label approval artwork'!F:F,0),""),"")</f>
        <v/>
      </c>
      <c r="D729" s="102" t="str">
        <f t="shared" si="3"/>
        <v/>
      </c>
      <c r="E729" s="100" t="str">
        <f t="array" ref="E729">IF(ISBLANK(G729),"",INDEX('POR Config List'!K:K,MATCH(G729,'POR Config List'!D:D,0)))</f>
        <v/>
      </c>
      <c r="F729" s="100" t="str">
        <f t="array" ref="F729">IF(ISBLANK(G729),"",INDEX('POR Config List'!J:J,MATCH(G729,'POR Config List'!D:D,0)))</f>
        <v/>
      </c>
      <c r="G729" s="168"/>
      <c r="H729" s="104" t="str">
        <f t="array" ref="H729">IF(ISBLANK(G729),"",INDEX('MP SKUs'!G:G,MATCH(G729,'MP SKUs'!A:A,0)))</f>
        <v/>
      </c>
      <c r="I729" s="105" t="str">
        <f t="array" ref="I729">IF(ISBLANK(G729),"",INDEX('POR Config List'!O:O,MATCH(G729,'POR Config List'!D:D,0)))</f>
        <v/>
      </c>
      <c r="J729" s="104" t="str">
        <f t="array" ref="J729">IF(ISBLANK(G729),"",INDEX('POR Config List'!H:H,MATCH(G729,'POR Config List'!D:D,0)))</f>
        <v/>
      </c>
      <c r="K729" s="105" t="str">
        <f t="array" ref="K729">IF(ISBLANK(G729),"",INDEX('POR Config List'!G:G,MATCH(G729,'POR Config List'!D:D,0)))</f>
        <v/>
      </c>
      <c r="L729" s="105"/>
      <c r="M729" s="105" t="str">
        <f t="array" ref="M729">IF(ISBLANK(G729),"",INDEX('label approval artwork'!Q:Q,MATCH( G729,'label approval artwork'!F:F,0)))</f>
        <v/>
      </c>
      <c r="N729" s="169" t="str">
        <f t="shared" si="5"/>
        <v/>
      </c>
      <c r="O729" s="102" t="str">
        <f t="array" ref="O729">IF(ISBLANK(G729),"",INDEX('POR Config List'!C:C,MATCH(G729,'POR Config List'!D:D,0)))</f>
        <v/>
      </c>
      <c r="P729" s="105" t="str">
        <f t="shared" si="4"/>
        <v/>
      </c>
      <c r="Q729" s="105" t="str">
        <f t="array" ref="Q729">IF(ISBLANK(G729),"",INDEX('label approval artwork'!J:J,MATCH( G729,'label approval artwork'!F:F,0)))</f>
        <v/>
      </c>
      <c r="R729" s="105" t="str">
        <f t="array" ref="R729">IFERROR( IF(P729&lt;&gt;"EMA",INDEX('label approval artwork'!H:H,MATCH(G729,'label approval artwork'!F:F,0),"")),"")</f>
        <v/>
      </c>
      <c r="S729" s="105"/>
      <c r="T729" s="105" t="str">
        <f t="array" ref="T729">IF(ISBLANK(G729),"",INDEX('POR Config List'!I:I,MATCH(G729,'POR Config List'!D:D,0)))</f>
        <v/>
      </c>
      <c r="AA729" s="100" t="str">
        <f t="array" ref="AA729">IF(ISBLANK(G729),"",INDEX('POR Config List'!E:E,MATCH(G729,'POR Config List'!D:D,0)))</f>
        <v/>
      </c>
      <c r="AC729" s="105"/>
      <c r="AD729" s="100"/>
      <c r="AE729" s="100"/>
      <c r="AF729" s="100"/>
      <c r="AG729" s="100"/>
      <c r="AM729" s="102"/>
      <c r="AN729" s="102"/>
      <c r="AR729" s="119"/>
      <c r="AS729" s="103"/>
    </row>
    <row r="730">
      <c r="A730" s="168"/>
      <c r="B730" s="100" t="str">
        <f t="array" ref="B730">IFERROR( INDEX('POR Config List'!A:A,MATCH(G730,'POR Config List'!D:D,0)),"")</f>
        <v/>
      </c>
      <c r="C730" s="101" t="str">
        <f t="array" ref="C730">IFERROR(INDEX('label approval artwork'!E:E,MATCH(G730,'label approval artwork'!F:F,0),""),"")</f>
        <v/>
      </c>
      <c r="D730" s="102" t="str">
        <f t="shared" si="3"/>
        <v/>
      </c>
      <c r="E730" s="100" t="str">
        <f t="array" ref="E730">IF(ISBLANK(G730),"",INDEX('POR Config List'!K:K,MATCH(G730,'POR Config List'!D:D,0)))</f>
        <v/>
      </c>
      <c r="F730" s="100" t="str">
        <f t="array" ref="F730">IF(ISBLANK(G730),"",INDEX('POR Config List'!J:J,MATCH(G730,'POR Config List'!D:D,0)))</f>
        <v/>
      </c>
      <c r="G730" s="168"/>
      <c r="H730" s="104" t="str">
        <f t="array" ref="H730">IF(ISBLANK(G730),"",INDEX('MP SKUs'!G:G,MATCH(G730,'MP SKUs'!A:A,0)))</f>
        <v/>
      </c>
      <c r="I730" s="105" t="str">
        <f t="array" ref="I730">IF(ISBLANK(G730),"",INDEX('POR Config List'!O:O,MATCH(G730,'POR Config List'!D:D,0)))</f>
        <v/>
      </c>
      <c r="J730" s="104" t="str">
        <f t="array" ref="J730">IF(ISBLANK(G730),"",INDEX('POR Config List'!H:H,MATCH(G730,'POR Config List'!D:D,0)))</f>
        <v/>
      </c>
      <c r="K730" s="105" t="str">
        <f t="array" ref="K730">IF(ISBLANK(G730),"",INDEX('POR Config List'!G:G,MATCH(G730,'POR Config List'!D:D,0)))</f>
        <v/>
      </c>
      <c r="L730" s="105"/>
      <c r="M730" s="105" t="str">
        <f t="array" ref="M730">IF(ISBLANK(G730),"",INDEX('label approval artwork'!Q:Q,MATCH( G730,'label approval artwork'!F:F,0)))</f>
        <v/>
      </c>
      <c r="N730" s="169" t="str">
        <f t="shared" si="5"/>
        <v/>
      </c>
      <c r="O730" s="102" t="str">
        <f t="array" ref="O730">IF(ISBLANK(G730),"",INDEX('POR Config List'!C:C,MATCH(G730,'POR Config List'!D:D,0)))</f>
        <v/>
      </c>
      <c r="P730" s="105" t="str">
        <f t="shared" si="4"/>
        <v/>
      </c>
      <c r="Q730" s="105" t="str">
        <f t="array" ref="Q730">IF(ISBLANK(G730),"",INDEX('label approval artwork'!J:J,MATCH( G730,'label approval artwork'!F:F,0)))</f>
        <v/>
      </c>
      <c r="R730" s="105" t="str">
        <f t="array" ref="R730">IFERROR( IF(P730&lt;&gt;"EMA",INDEX('label approval artwork'!H:H,MATCH(G730,'label approval artwork'!F:F,0),"")),"")</f>
        <v/>
      </c>
      <c r="S730" s="105"/>
      <c r="T730" s="105" t="str">
        <f t="array" ref="T730">IF(ISBLANK(G730),"",INDEX('POR Config List'!I:I,MATCH(G730,'POR Config List'!D:D,0)))</f>
        <v/>
      </c>
      <c r="AA730" s="100" t="str">
        <f t="array" ref="AA730">IF(ISBLANK(G730),"",INDEX('POR Config List'!E:E,MATCH(G730,'POR Config List'!D:D,0)))</f>
        <v/>
      </c>
      <c r="AC730" s="105"/>
      <c r="AD730" s="100"/>
      <c r="AE730" s="100"/>
      <c r="AF730" s="100"/>
      <c r="AG730" s="100"/>
      <c r="AM730" s="102"/>
      <c r="AN730" s="102"/>
      <c r="AR730" s="119"/>
      <c r="AS730" s="103"/>
    </row>
    <row r="731">
      <c r="A731" s="168"/>
      <c r="B731" s="100" t="str">
        <f t="array" ref="B731">IFERROR( INDEX('POR Config List'!A:A,MATCH(G731,'POR Config List'!D:D,0)),"")</f>
        <v/>
      </c>
      <c r="C731" s="101" t="str">
        <f t="array" ref="C731">IFERROR(INDEX('label approval artwork'!E:E,MATCH(G731,'label approval artwork'!F:F,0),""),"")</f>
        <v/>
      </c>
      <c r="D731" s="102" t="str">
        <f t="shared" si="3"/>
        <v/>
      </c>
      <c r="E731" s="100" t="str">
        <f t="array" ref="E731">IF(ISBLANK(G731),"",INDEX('POR Config List'!K:K,MATCH(G731,'POR Config List'!D:D,0)))</f>
        <v/>
      </c>
      <c r="F731" s="100" t="str">
        <f t="array" ref="F731">IF(ISBLANK(G731),"",INDEX('POR Config List'!J:J,MATCH(G731,'POR Config List'!D:D,0)))</f>
        <v/>
      </c>
      <c r="G731" s="168"/>
      <c r="H731" s="104" t="str">
        <f t="array" ref="H731">IF(ISBLANK(G731),"",INDEX('MP SKUs'!G:G,MATCH(G731,'MP SKUs'!A:A,0)))</f>
        <v/>
      </c>
      <c r="I731" s="105" t="str">
        <f t="array" ref="I731">IF(ISBLANK(G731),"",INDEX('POR Config List'!O:O,MATCH(G731,'POR Config List'!D:D,0)))</f>
        <v/>
      </c>
      <c r="J731" s="104" t="str">
        <f t="array" ref="J731">IF(ISBLANK(G731),"",INDEX('POR Config List'!H:H,MATCH(G731,'POR Config List'!D:D,0)))</f>
        <v/>
      </c>
      <c r="K731" s="105" t="str">
        <f t="array" ref="K731">IF(ISBLANK(G731),"",INDEX('POR Config List'!G:G,MATCH(G731,'POR Config List'!D:D,0)))</f>
        <v/>
      </c>
      <c r="L731" s="105"/>
      <c r="M731" s="105" t="str">
        <f t="array" ref="M731">IF(ISBLANK(G731),"",INDEX('label approval artwork'!Q:Q,MATCH( G731,'label approval artwork'!F:F,0)))</f>
        <v/>
      </c>
      <c r="N731" s="169" t="str">
        <f t="shared" si="5"/>
        <v/>
      </c>
      <c r="O731" s="102" t="str">
        <f t="array" ref="O731">IF(ISBLANK(G731),"",INDEX('POR Config List'!C:C,MATCH(G731,'POR Config List'!D:D,0)))</f>
        <v/>
      </c>
      <c r="P731" s="105" t="str">
        <f t="shared" si="4"/>
        <v/>
      </c>
      <c r="Q731" s="105" t="str">
        <f t="array" ref="Q731">IF(ISBLANK(G731),"",INDEX('label approval artwork'!J:J,MATCH( G731,'label approval artwork'!F:F,0)))</f>
        <v/>
      </c>
      <c r="R731" s="105" t="str">
        <f t="array" ref="R731">IFERROR( IF(P731&lt;&gt;"EMA",INDEX('label approval artwork'!H:H,MATCH(G731,'label approval artwork'!F:F,0),"")),"")</f>
        <v/>
      </c>
      <c r="S731" s="105"/>
      <c r="T731" s="105" t="str">
        <f t="array" ref="T731">IF(ISBLANK(G731),"",INDEX('POR Config List'!I:I,MATCH(G731,'POR Config List'!D:D,0)))</f>
        <v/>
      </c>
      <c r="AA731" s="100" t="str">
        <f t="array" ref="AA731">IF(ISBLANK(G731),"",INDEX('POR Config List'!E:E,MATCH(G731,'POR Config List'!D:D,0)))</f>
        <v/>
      </c>
      <c r="AC731" s="105"/>
      <c r="AD731" s="100"/>
      <c r="AE731" s="100"/>
      <c r="AF731" s="100"/>
      <c r="AG731" s="100"/>
      <c r="AM731" s="102"/>
      <c r="AN731" s="102"/>
      <c r="AR731" s="119"/>
      <c r="AS731" s="103"/>
    </row>
    <row r="732">
      <c r="A732" s="168"/>
      <c r="B732" s="100" t="str">
        <f t="array" ref="B732">IFERROR( INDEX('POR Config List'!A:A,MATCH(G732,'POR Config List'!D:D,0)),"")</f>
        <v/>
      </c>
      <c r="C732" s="101" t="str">
        <f t="array" ref="C732">IFERROR(INDEX('label approval artwork'!E:E,MATCH(G732,'label approval artwork'!F:F,0),""),"")</f>
        <v/>
      </c>
      <c r="D732" s="102" t="str">
        <f t="shared" si="3"/>
        <v/>
      </c>
      <c r="E732" s="100" t="str">
        <f t="array" ref="E732">IF(ISBLANK(G732),"",INDEX('POR Config List'!K:K,MATCH(G732,'POR Config List'!D:D,0)))</f>
        <v/>
      </c>
      <c r="F732" s="100" t="str">
        <f t="array" ref="F732">IF(ISBLANK(G732),"",INDEX('POR Config List'!J:J,MATCH(G732,'POR Config List'!D:D,0)))</f>
        <v/>
      </c>
      <c r="G732" s="168"/>
      <c r="H732" s="104" t="str">
        <f t="array" ref="H732">IF(ISBLANK(G732),"",INDEX('MP SKUs'!G:G,MATCH(G732,'MP SKUs'!A:A,0)))</f>
        <v/>
      </c>
      <c r="I732" s="105" t="str">
        <f t="array" ref="I732">IF(ISBLANK(G732),"",INDEX('POR Config List'!O:O,MATCH(G732,'POR Config List'!D:D,0)))</f>
        <v/>
      </c>
      <c r="J732" s="104" t="str">
        <f t="array" ref="J732">IF(ISBLANK(G732),"",INDEX('POR Config List'!H:H,MATCH(G732,'POR Config List'!D:D,0)))</f>
        <v/>
      </c>
      <c r="K732" s="105" t="str">
        <f t="array" ref="K732">IF(ISBLANK(G732),"",INDEX('POR Config List'!G:G,MATCH(G732,'POR Config List'!D:D,0)))</f>
        <v/>
      </c>
      <c r="L732" s="105"/>
      <c r="M732" s="105" t="str">
        <f t="array" ref="M732">IF(ISBLANK(G732),"",INDEX('label approval artwork'!Q:Q,MATCH( G732,'label approval artwork'!F:F,0)))</f>
        <v/>
      </c>
      <c r="N732" s="169" t="str">
        <f t="shared" si="5"/>
        <v/>
      </c>
      <c r="O732" s="102" t="str">
        <f t="array" ref="O732">IF(ISBLANK(G732),"",INDEX('POR Config List'!C:C,MATCH(G732,'POR Config List'!D:D,0)))</f>
        <v/>
      </c>
      <c r="P732" s="105" t="str">
        <f t="shared" si="4"/>
        <v/>
      </c>
      <c r="Q732" s="105" t="str">
        <f t="array" ref="Q732">IF(ISBLANK(G732),"",INDEX('label approval artwork'!J:J,MATCH( G732,'label approval artwork'!F:F,0)))</f>
        <v/>
      </c>
      <c r="R732" s="105" t="str">
        <f t="array" ref="R732">IFERROR( IF(P732&lt;&gt;"EMA",INDEX('label approval artwork'!H:H,MATCH(G732,'label approval artwork'!F:F,0),"")),"")</f>
        <v/>
      </c>
      <c r="S732" s="105"/>
      <c r="T732" s="105" t="str">
        <f t="array" ref="T732">IF(ISBLANK(G732),"",INDEX('POR Config List'!I:I,MATCH(G732,'POR Config List'!D:D,0)))</f>
        <v/>
      </c>
      <c r="AA732" s="100" t="str">
        <f t="array" ref="AA732">IF(ISBLANK(G732),"",INDEX('POR Config List'!E:E,MATCH(G732,'POR Config List'!D:D,0)))</f>
        <v/>
      </c>
      <c r="AC732" s="105"/>
      <c r="AD732" s="100"/>
      <c r="AE732" s="100"/>
      <c r="AF732" s="100"/>
      <c r="AG732" s="100"/>
      <c r="AM732" s="102"/>
      <c r="AN732" s="102"/>
      <c r="AR732" s="119"/>
      <c r="AS732" s="103"/>
    </row>
    <row r="733">
      <c r="A733" s="168"/>
      <c r="B733" s="100" t="str">
        <f t="array" ref="B733">IFERROR( INDEX('POR Config List'!A:A,MATCH(G733,'POR Config List'!D:D,0)),"")</f>
        <v/>
      </c>
      <c r="C733" s="101" t="str">
        <f t="array" ref="C733">IFERROR(INDEX('label approval artwork'!E:E,MATCH(G733,'label approval artwork'!F:F,0),""),"")</f>
        <v/>
      </c>
      <c r="D733" s="102" t="str">
        <f t="shared" si="3"/>
        <v/>
      </c>
      <c r="E733" s="100" t="str">
        <f t="array" ref="E733">IF(ISBLANK(G733),"",INDEX('POR Config List'!K:K,MATCH(G733,'POR Config List'!D:D,0)))</f>
        <v/>
      </c>
      <c r="F733" s="100" t="str">
        <f t="array" ref="F733">IF(ISBLANK(G733),"",INDEX('POR Config List'!J:J,MATCH(G733,'POR Config List'!D:D,0)))</f>
        <v/>
      </c>
      <c r="G733" s="168"/>
      <c r="H733" s="104" t="str">
        <f t="array" ref="H733">IF(ISBLANK(G733),"",INDEX('MP SKUs'!G:G,MATCH(G733,'MP SKUs'!A:A,0)))</f>
        <v/>
      </c>
      <c r="I733" s="105" t="str">
        <f t="array" ref="I733">IF(ISBLANK(G733),"",INDEX('POR Config List'!O:O,MATCH(G733,'POR Config List'!D:D,0)))</f>
        <v/>
      </c>
      <c r="J733" s="104" t="str">
        <f t="array" ref="J733">IF(ISBLANK(G733),"",INDEX('POR Config List'!H:H,MATCH(G733,'POR Config List'!D:D,0)))</f>
        <v/>
      </c>
      <c r="K733" s="105" t="str">
        <f t="array" ref="K733">IF(ISBLANK(G733),"",INDEX('POR Config List'!G:G,MATCH(G733,'POR Config List'!D:D,0)))</f>
        <v/>
      </c>
      <c r="L733" s="105"/>
      <c r="M733" s="105" t="str">
        <f t="array" ref="M733">IF(ISBLANK(G733),"",INDEX('label approval artwork'!Q:Q,MATCH( G733,'label approval artwork'!F:F,0)))</f>
        <v/>
      </c>
      <c r="N733" s="169" t="str">
        <f t="shared" si="5"/>
        <v/>
      </c>
      <c r="O733" s="102" t="str">
        <f t="array" ref="O733">IF(ISBLANK(G733),"",INDEX('POR Config List'!C:C,MATCH(G733,'POR Config List'!D:D,0)))</f>
        <v/>
      </c>
      <c r="P733" s="105" t="str">
        <f t="shared" si="4"/>
        <v/>
      </c>
      <c r="Q733" s="105" t="str">
        <f t="array" ref="Q733">IF(ISBLANK(G733),"",INDEX('label approval artwork'!J:J,MATCH( G733,'label approval artwork'!F:F,0)))</f>
        <v/>
      </c>
      <c r="R733" s="105" t="str">
        <f t="array" ref="R733">IFERROR( IF(P733&lt;&gt;"EMA",INDEX('label approval artwork'!H:H,MATCH(G733,'label approval artwork'!F:F,0),"")),"")</f>
        <v/>
      </c>
      <c r="S733" s="105"/>
      <c r="T733" s="105" t="str">
        <f t="array" ref="T733">IF(ISBLANK(G733),"",INDEX('POR Config List'!I:I,MATCH(G733,'POR Config List'!D:D,0)))</f>
        <v/>
      </c>
      <c r="AA733" s="100" t="str">
        <f t="array" ref="AA733">IF(ISBLANK(G733),"",INDEX('POR Config List'!E:E,MATCH(G733,'POR Config List'!D:D,0)))</f>
        <v/>
      </c>
      <c r="AC733" s="105"/>
      <c r="AD733" s="100"/>
      <c r="AE733" s="100"/>
      <c r="AF733" s="100"/>
      <c r="AG733" s="100"/>
      <c r="AM733" s="102"/>
      <c r="AN733" s="102"/>
      <c r="AR733" s="119"/>
      <c r="AS733" s="103"/>
    </row>
    <row r="734">
      <c r="A734" s="168"/>
      <c r="B734" s="100" t="str">
        <f t="array" ref="B734">IFERROR( INDEX('POR Config List'!A:A,MATCH(G734,'POR Config List'!D:D,0)),"")</f>
        <v/>
      </c>
      <c r="C734" s="101" t="str">
        <f t="array" ref="C734">IFERROR(INDEX('label approval artwork'!E:E,MATCH(G734,'label approval artwork'!F:F,0),""),"")</f>
        <v/>
      </c>
      <c r="D734" s="102" t="str">
        <f t="shared" si="3"/>
        <v/>
      </c>
      <c r="E734" s="100" t="str">
        <f t="array" ref="E734">IF(ISBLANK(G734),"",INDEX('POR Config List'!K:K,MATCH(G734,'POR Config List'!D:D,0)))</f>
        <v/>
      </c>
      <c r="F734" s="100" t="str">
        <f t="array" ref="F734">IF(ISBLANK(G734),"",INDEX('POR Config List'!J:J,MATCH(G734,'POR Config List'!D:D,0)))</f>
        <v/>
      </c>
      <c r="G734" s="168"/>
      <c r="H734" s="104" t="str">
        <f t="array" ref="H734">IF(ISBLANK(G734),"",INDEX('MP SKUs'!G:G,MATCH(G734,'MP SKUs'!A:A,0)))</f>
        <v/>
      </c>
      <c r="I734" s="105" t="str">
        <f t="array" ref="I734">IF(ISBLANK(G734),"",INDEX('POR Config List'!O:O,MATCH(G734,'POR Config List'!D:D,0)))</f>
        <v/>
      </c>
      <c r="J734" s="104" t="str">
        <f t="array" ref="J734">IF(ISBLANK(G734),"",INDEX('POR Config List'!H:H,MATCH(G734,'POR Config List'!D:D,0)))</f>
        <v/>
      </c>
      <c r="K734" s="105" t="str">
        <f t="array" ref="K734">IF(ISBLANK(G734),"",INDEX('POR Config List'!G:G,MATCH(G734,'POR Config List'!D:D,0)))</f>
        <v/>
      </c>
      <c r="L734" s="105"/>
      <c r="M734" s="105" t="str">
        <f t="array" ref="M734">IF(ISBLANK(G734),"",INDEX('label approval artwork'!Q:Q,MATCH( G734,'label approval artwork'!F:F,0)))</f>
        <v/>
      </c>
      <c r="N734" s="169" t="str">
        <f t="shared" si="5"/>
        <v/>
      </c>
      <c r="O734" s="102" t="str">
        <f t="array" ref="O734">IF(ISBLANK(G734),"",INDEX('POR Config List'!C:C,MATCH(G734,'POR Config List'!D:D,0)))</f>
        <v/>
      </c>
      <c r="P734" s="105" t="str">
        <f t="shared" si="4"/>
        <v/>
      </c>
      <c r="Q734" s="105" t="str">
        <f t="array" ref="Q734">IF(ISBLANK(G734),"",INDEX('label approval artwork'!J:J,MATCH( G734,'label approval artwork'!F:F,0)))</f>
        <v/>
      </c>
      <c r="R734" s="105" t="str">
        <f t="array" ref="R734">IFERROR( IF(P734&lt;&gt;"EMA",INDEX('label approval artwork'!H:H,MATCH(G734,'label approval artwork'!F:F,0),"")),"")</f>
        <v/>
      </c>
      <c r="S734" s="105"/>
      <c r="T734" s="105" t="str">
        <f t="array" ref="T734">IF(ISBLANK(G734),"",INDEX('POR Config List'!I:I,MATCH(G734,'POR Config List'!D:D,0)))</f>
        <v/>
      </c>
      <c r="AA734" s="100" t="str">
        <f t="array" ref="AA734">IF(ISBLANK(G734),"",INDEX('POR Config List'!E:E,MATCH(G734,'POR Config List'!D:D,0)))</f>
        <v/>
      </c>
      <c r="AC734" s="105"/>
      <c r="AD734" s="100"/>
      <c r="AE734" s="100"/>
      <c r="AF734" s="100"/>
      <c r="AG734" s="100"/>
      <c r="AM734" s="102"/>
      <c r="AN734" s="102"/>
      <c r="AR734" s="119"/>
      <c r="AS734" s="103"/>
    </row>
    <row r="735">
      <c r="A735" s="168"/>
      <c r="B735" s="100" t="str">
        <f t="array" ref="B735">IFERROR( INDEX('POR Config List'!A:A,MATCH(G735,'POR Config List'!D:D,0)),"")</f>
        <v/>
      </c>
      <c r="C735" s="101" t="str">
        <f t="array" ref="C735">IFERROR(INDEX('label approval artwork'!E:E,MATCH(G735,'label approval artwork'!F:F,0),""),"")</f>
        <v/>
      </c>
      <c r="D735" s="102" t="str">
        <f t="shared" si="3"/>
        <v/>
      </c>
      <c r="E735" s="100" t="str">
        <f t="array" ref="E735">IF(ISBLANK(G735),"",INDEX('POR Config List'!K:K,MATCH(G735,'POR Config List'!D:D,0)))</f>
        <v/>
      </c>
      <c r="F735" s="100" t="str">
        <f t="array" ref="F735">IF(ISBLANK(G735),"",INDEX('POR Config List'!J:J,MATCH(G735,'POR Config List'!D:D,0)))</f>
        <v/>
      </c>
      <c r="G735" s="168"/>
      <c r="H735" s="104" t="str">
        <f t="array" ref="H735">IF(ISBLANK(G735),"",INDEX('MP SKUs'!G:G,MATCH(G735,'MP SKUs'!A:A,0)))</f>
        <v/>
      </c>
      <c r="I735" s="105" t="str">
        <f t="array" ref="I735">IF(ISBLANK(G735),"",INDEX('POR Config List'!O:O,MATCH(G735,'POR Config List'!D:D,0)))</f>
        <v/>
      </c>
      <c r="J735" s="104" t="str">
        <f t="array" ref="J735">IF(ISBLANK(G735),"",INDEX('POR Config List'!H:H,MATCH(G735,'POR Config List'!D:D,0)))</f>
        <v/>
      </c>
      <c r="K735" s="105" t="str">
        <f t="array" ref="K735">IF(ISBLANK(G735),"",INDEX('POR Config List'!G:G,MATCH(G735,'POR Config List'!D:D,0)))</f>
        <v/>
      </c>
      <c r="L735" s="105"/>
      <c r="M735" s="105" t="str">
        <f t="array" ref="M735">IF(ISBLANK(G735),"",INDEX('label approval artwork'!Q:Q,MATCH( G735,'label approval artwork'!F:F,0)))</f>
        <v/>
      </c>
      <c r="N735" s="169" t="str">
        <f t="shared" si="5"/>
        <v/>
      </c>
      <c r="O735" s="102" t="str">
        <f t="array" ref="O735">IF(ISBLANK(G735),"",INDEX('POR Config List'!C:C,MATCH(G735,'POR Config List'!D:D,0)))</f>
        <v/>
      </c>
      <c r="P735" s="105" t="str">
        <f t="shared" si="4"/>
        <v/>
      </c>
      <c r="Q735" s="105" t="str">
        <f t="array" ref="Q735">IF(ISBLANK(G735),"",INDEX('label approval artwork'!J:J,MATCH( G735,'label approval artwork'!F:F,0)))</f>
        <v/>
      </c>
      <c r="R735" s="105" t="str">
        <f t="array" ref="R735">IFERROR( IF(P735&lt;&gt;"EMA",INDEX('label approval artwork'!H:H,MATCH(G735,'label approval artwork'!F:F,0),"")),"")</f>
        <v/>
      </c>
      <c r="S735" s="105"/>
      <c r="T735" s="105" t="str">
        <f t="array" ref="T735">IF(ISBLANK(G735),"",INDEX('POR Config List'!I:I,MATCH(G735,'POR Config List'!D:D,0)))</f>
        <v/>
      </c>
      <c r="AA735" s="100" t="str">
        <f t="array" ref="AA735">IF(ISBLANK(G735),"",INDEX('POR Config List'!E:E,MATCH(G735,'POR Config List'!D:D,0)))</f>
        <v/>
      </c>
      <c r="AC735" s="105"/>
      <c r="AD735" s="100"/>
      <c r="AE735" s="100"/>
      <c r="AF735" s="100"/>
      <c r="AG735" s="100"/>
      <c r="AM735" s="102"/>
      <c r="AN735" s="102"/>
      <c r="AR735" s="119"/>
      <c r="AS735" s="103"/>
    </row>
    <row r="736">
      <c r="A736" s="168"/>
      <c r="B736" s="100" t="str">
        <f t="array" ref="B736">IFERROR( INDEX('POR Config List'!A:A,MATCH(G736,'POR Config List'!D:D,0)),"")</f>
        <v/>
      </c>
      <c r="C736" s="101" t="str">
        <f t="array" ref="C736">IFERROR(INDEX('label approval artwork'!E:E,MATCH(G736,'label approval artwork'!F:F,0),""),"")</f>
        <v/>
      </c>
      <c r="D736" s="102" t="str">
        <f t="shared" si="3"/>
        <v/>
      </c>
      <c r="E736" s="100" t="str">
        <f t="array" ref="E736">IF(ISBLANK(G736),"",INDEX('POR Config List'!K:K,MATCH(G736,'POR Config List'!D:D,0)))</f>
        <v/>
      </c>
      <c r="F736" s="100" t="str">
        <f t="array" ref="F736">IF(ISBLANK(G736),"",INDEX('POR Config List'!J:J,MATCH(G736,'POR Config List'!D:D,0)))</f>
        <v/>
      </c>
      <c r="G736" s="168"/>
      <c r="H736" s="104" t="str">
        <f t="array" ref="H736">IF(ISBLANK(G736),"",INDEX('MP SKUs'!G:G,MATCH(G736,'MP SKUs'!A:A,0)))</f>
        <v/>
      </c>
      <c r="I736" s="105" t="str">
        <f t="array" ref="I736">IF(ISBLANK(G736),"",INDEX('POR Config List'!O:O,MATCH(G736,'POR Config List'!D:D,0)))</f>
        <v/>
      </c>
      <c r="J736" s="104" t="str">
        <f t="array" ref="J736">IF(ISBLANK(G736),"",INDEX('POR Config List'!H:H,MATCH(G736,'POR Config List'!D:D,0)))</f>
        <v/>
      </c>
      <c r="K736" s="105" t="str">
        <f t="array" ref="K736">IF(ISBLANK(G736),"",INDEX('POR Config List'!G:G,MATCH(G736,'POR Config List'!D:D,0)))</f>
        <v/>
      </c>
      <c r="L736" s="105"/>
      <c r="M736" s="105" t="str">
        <f t="array" ref="M736">IF(ISBLANK(G736),"",INDEX('label approval artwork'!Q:Q,MATCH( G736,'label approval artwork'!F:F,0)))</f>
        <v/>
      </c>
      <c r="N736" s="169" t="str">
        <f t="shared" si="5"/>
        <v/>
      </c>
      <c r="O736" s="102" t="str">
        <f t="array" ref="O736">IF(ISBLANK(G736),"",INDEX('POR Config List'!C:C,MATCH(G736,'POR Config List'!D:D,0)))</f>
        <v/>
      </c>
      <c r="P736" s="105" t="str">
        <f t="shared" si="4"/>
        <v/>
      </c>
      <c r="Q736" s="105" t="str">
        <f t="array" ref="Q736">IF(ISBLANK(G736),"",INDEX('label approval artwork'!J:J,MATCH( G736,'label approval artwork'!F:F,0)))</f>
        <v/>
      </c>
      <c r="R736" s="105" t="str">
        <f t="array" ref="R736">IFERROR( IF(P736&lt;&gt;"EMA",INDEX('label approval artwork'!H:H,MATCH(G736,'label approval artwork'!F:F,0),"")),"")</f>
        <v/>
      </c>
      <c r="S736" s="105"/>
      <c r="T736" s="105" t="str">
        <f t="array" ref="T736">IF(ISBLANK(G736),"",INDEX('POR Config List'!I:I,MATCH(G736,'POR Config List'!D:D,0)))</f>
        <v/>
      </c>
      <c r="AA736" s="100" t="str">
        <f t="array" ref="AA736">IF(ISBLANK(G736),"",INDEX('POR Config List'!E:E,MATCH(G736,'POR Config List'!D:D,0)))</f>
        <v/>
      </c>
      <c r="AC736" s="105"/>
      <c r="AD736" s="100"/>
      <c r="AE736" s="100"/>
      <c r="AF736" s="100"/>
      <c r="AG736" s="100"/>
      <c r="AM736" s="102"/>
      <c r="AN736" s="102"/>
      <c r="AR736" s="119"/>
      <c r="AS736" s="103"/>
    </row>
    <row r="737">
      <c r="A737" s="168"/>
      <c r="B737" s="100" t="str">
        <f t="array" ref="B737">IFERROR( INDEX('POR Config List'!A:A,MATCH(G737,'POR Config List'!D:D,0)),"")</f>
        <v/>
      </c>
      <c r="C737" s="101" t="str">
        <f t="array" ref="C737">IFERROR(INDEX('label approval artwork'!E:E,MATCH(G737,'label approval artwork'!F:F,0),""),"")</f>
        <v/>
      </c>
      <c r="D737" s="102" t="str">
        <f t="shared" si="3"/>
        <v/>
      </c>
      <c r="E737" s="100" t="str">
        <f t="array" ref="E737">IF(ISBLANK(G737),"",INDEX('POR Config List'!K:K,MATCH(G737,'POR Config List'!D:D,0)))</f>
        <v/>
      </c>
      <c r="F737" s="100" t="str">
        <f t="array" ref="F737">IF(ISBLANK(G737),"",INDEX('POR Config List'!J:J,MATCH(G737,'POR Config List'!D:D,0)))</f>
        <v/>
      </c>
      <c r="G737" s="168"/>
      <c r="H737" s="104" t="str">
        <f t="array" ref="H737">IF(ISBLANK(G737),"",INDEX('MP SKUs'!G:G,MATCH(G737,'MP SKUs'!A:A,0)))</f>
        <v/>
      </c>
      <c r="I737" s="105" t="str">
        <f t="array" ref="I737">IF(ISBLANK(G737),"",INDEX('POR Config List'!O:O,MATCH(G737,'POR Config List'!D:D,0)))</f>
        <v/>
      </c>
      <c r="J737" s="104" t="str">
        <f t="array" ref="J737">IF(ISBLANK(G737),"",INDEX('POR Config List'!H:H,MATCH(G737,'POR Config List'!D:D,0)))</f>
        <v/>
      </c>
      <c r="K737" s="105" t="str">
        <f t="array" ref="K737">IF(ISBLANK(G737),"",INDEX('POR Config List'!G:G,MATCH(G737,'POR Config List'!D:D,0)))</f>
        <v/>
      </c>
      <c r="L737" s="105"/>
      <c r="M737" s="105" t="str">
        <f t="array" ref="M737">IF(ISBLANK(G737),"",INDEX('label approval artwork'!Q:Q,MATCH( G737,'label approval artwork'!F:F,0)))</f>
        <v/>
      </c>
      <c r="N737" s="169" t="str">
        <f t="shared" si="5"/>
        <v/>
      </c>
      <c r="O737" s="102" t="str">
        <f t="array" ref="O737">IF(ISBLANK(G737),"",INDEX('POR Config List'!C:C,MATCH(G737,'POR Config List'!D:D,0)))</f>
        <v/>
      </c>
      <c r="P737" s="105" t="str">
        <f t="shared" si="4"/>
        <v/>
      </c>
      <c r="Q737" s="105" t="str">
        <f t="array" ref="Q737">IF(ISBLANK(G737),"",INDEX('label approval artwork'!J:J,MATCH( G737,'label approval artwork'!F:F,0)))</f>
        <v/>
      </c>
      <c r="R737" s="105" t="str">
        <f t="array" ref="R737">IFERROR( IF(P737&lt;&gt;"EMA",INDEX('label approval artwork'!H:H,MATCH(G737,'label approval artwork'!F:F,0),"")),"")</f>
        <v/>
      </c>
      <c r="S737" s="105"/>
      <c r="T737" s="105" t="str">
        <f t="array" ref="T737">IF(ISBLANK(G737),"",INDEX('POR Config List'!I:I,MATCH(G737,'POR Config List'!D:D,0)))</f>
        <v/>
      </c>
      <c r="AA737" s="100" t="str">
        <f t="array" ref="AA737">IF(ISBLANK(G737),"",INDEX('POR Config List'!E:E,MATCH(G737,'POR Config List'!D:D,0)))</f>
        <v/>
      </c>
      <c r="AC737" s="105"/>
      <c r="AD737" s="100"/>
      <c r="AE737" s="100"/>
      <c r="AF737" s="100"/>
      <c r="AG737" s="100"/>
      <c r="AM737" s="102"/>
      <c r="AN737" s="102"/>
      <c r="AR737" s="119"/>
      <c r="AS737" s="103"/>
    </row>
    <row r="738">
      <c r="A738" s="168"/>
      <c r="B738" s="100" t="str">
        <f t="array" ref="B738">IFERROR( INDEX('POR Config List'!A:A,MATCH(G738,'POR Config List'!D:D,0)),"")</f>
        <v/>
      </c>
      <c r="C738" s="101" t="str">
        <f t="array" ref="C738">IFERROR(INDEX('label approval artwork'!E:E,MATCH(G738,'label approval artwork'!F:F,0),""),"")</f>
        <v/>
      </c>
      <c r="D738" s="102" t="str">
        <f t="shared" si="3"/>
        <v/>
      </c>
      <c r="E738" s="100" t="str">
        <f t="array" ref="E738">IF(ISBLANK(G738),"",INDEX('POR Config List'!K:K,MATCH(G738,'POR Config List'!D:D,0)))</f>
        <v/>
      </c>
      <c r="F738" s="100" t="str">
        <f t="array" ref="F738">IF(ISBLANK(G738),"",INDEX('POR Config List'!J:J,MATCH(G738,'POR Config List'!D:D,0)))</f>
        <v/>
      </c>
      <c r="G738" s="168"/>
      <c r="H738" s="104" t="str">
        <f t="array" ref="H738">IF(ISBLANK(G738),"",INDEX('MP SKUs'!G:G,MATCH(G738,'MP SKUs'!A:A,0)))</f>
        <v/>
      </c>
      <c r="I738" s="105" t="str">
        <f t="array" ref="I738">IF(ISBLANK(G738),"",INDEX('POR Config List'!O:O,MATCH(G738,'POR Config List'!D:D,0)))</f>
        <v/>
      </c>
      <c r="J738" s="104" t="str">
        <f t="array" ref="J738">IF(ISBLANK(G738),"",INDEX('POR Config List'!H:H,MATCH(G738,'POR Config List'!D:D,0)))</f>
        <v/>
      </c>
      <c r="K738" s="105" t="str">
        <f t="array" ref="K738">IF(ISBLANK(G738),"",INDEX('POR Config List'!G:G,MATCH(G738,'POR Config List'!D:D,0)))</f>
        <v/>
      </c>
      <c r="L738" s="105"/>
      <c r="M738" s="105" t="str">
        <f t="array" ref="M738">IF(ISBLANK(G738),"",INDEX('label approval artwork'!Q:Q,MATCH( G738,'label approval artwork'!F:F,0)))</f>
        <v/>
      </c>
      <c r="N738" s="169" t="str">
        <f t="shared" si="5"/>
        <v/>
      </c>
      <c r="O738" s="102" t="str">
        <f t="array" ref="O738">IF(ISBLANK(G738),"",INDEX('POR Config List'!C:C,MATCH(G738,'POR Config List'!D:D,0)))</f>
        <v/>
      </c>
      <c r="P738" s="105" t="str">
        <f t="shared" si="4"/>
        <v/>
      </c>
      <c r="Q738" s="105" t="str">
        <f t="array" ref="Q738">IF(ISBLANK(G738),"",INDEX('label approval artwork'!J:J,MATCH( G738,'label approval artwork'!F:F,0)))</f>
        <v/>
      </c>
      <c r="R738" s="105" t="str">
        <f t="array" ref="R738">IFERROR( IF(P738&lt;&gt;"EMA",INDEX('label approval artwork'!H:H,MATCH(G738,'label approval artwork'!F:F,0),"")),"")</f>
        <v/>
      </c>
      <c r="S738" s="105"/>
      <c r="T738" s="105" t="str">
        <f t="array" ref="T738">IF(ISBLANK(G738),"",INDEX('POR Config List'!I:I,MATCH(G738,'POR Config List'!D:D,0)))</f>
        <v/>
      </c>
      <c r="AA738" s="100" t="str">
        <f t="array" ref="AA738">IF(ISBLANK(G738),"",INDEX('POR Config List'!E:E,MATCH(G738,'POR Config List'!D:D,0)))</f>
        <v/>
      </c>
      <c r="AC738" s="105"/>
      <c r="AD738" s="100"/>
      <c r="AE738" s="100"/>
      <c r="AF738" s="100"/>
      <c r="AG738" s="100"/>
      <c r="AM738" s="102"/>
      <c r="AN738" s="102"/>
      <c r="AR738" s="119"/>
      <c r="AS738" s="103"/>
    </row>
    <row r="739">
      <c r="A739" s="168"/>
      <c r="B739" s="100" t="str">
        <f t="array" ref="B739">IFERROR( INDEX('POR Config List'!A:A,MATCH(G739,'POR Config List'!D:D,0)),"")</f>
        <v/>
      </c>
      <c r="C739" s="101" t="str">
        <f t="array" ref="C739">IFERROR(INDEX('label approval artwork'!E:E,MATCH(G739,'label approval artwork'!F:F,0),""),"")</f>
        <v/>
      </c>
      <c r="D739" s="102" t="str">
        <f t="shared" si="3"/>
        <v/>
      </c>
      <c r="E739" s="100" t="str">
        <f t="array" ref="E739">IF(ISBLANK(G739),"",INDEX('POR Config List'!K:K,MATCH(G739,'POR Config List'!D:D,0)))</f>
        <v/>
      </c>
      <c r="F739" s="100" t="str">
        <f t="array" ref="F739">IF(ISBLANK(G739),"",INDEX('POR Config List'!J:J,MATCH(G739,'POR Config List'!D:D,0)))</f>
        <v/>
      </c>
      <c r="G739" s="168"/>
      <c r="H739" s="104" t="str">
        <f t="array" ref="H739">IF(ISBLANK(G739),"",INDEX('MP SKUs'!G:G,MATCH(G739,'MP SKUs'!A:A,0)))</f>
        <v/>
      </c>
      <c r="I739" s="105" t="str">
        <f t="array" ref="I739">IF(ISBLANK(G739),"",INDEX('POR Config List'!O:O,MATCH(G739,'POR Config List'!D:D,0)))</f>
        <v/>
      </c>
      <c r="J739" s="104" t="str">
        <f t="array" ref="J739">IF(ISBLANK(G739),"",INDEX('POR Config List'!H:H,MATCH(G739,'POR Config List'!D:D,0)))</f>
        <v/>
      </c>
      <c r="K739" s="105" t="str">
        <f t="array" ref="K739">IF(ISBLANK(G739),"",INDEX('POR Config List'!G:G,MATCH(G739,'POR Config List'!D:D,0)))</f>
        <v/>
      </c>
      <c r="L739" s="105"/>
      <c r="M739" s="105" t="str">
        <f t="array" ref="M739">IF(ISBLANK(G739),"",INDEX('label approval artwork'!Q:Q,MATCH( G739,'label approval artwork'!F:F,0)))</f>
        <v/>
      </c>
      <c r="N739" s="169" t="str">
        <f t="shared" si="5"/>
        <v/>
      </c>
      <c r="O739" s="102" t="str">
        <f t="array" ref="O739">IF(ISBLANK(G739),"",INDEX('POR Config List'!C:C,MATCH(G739,'POR Config List'!D:D,0)))</f>
        <v/>
      </c>
      <c r="P739" s="105" t="str">
        <f t="shared" si="4"/>
        <v/>
      </c>
      <c r="Q739" s="105" t="str">
        <f t="array" ref="Q739">IF(ISBLANK(G739),"",INDEX('label approval artwork'!J:J,MATCH( G739,'label approval artwork'!F:F,0)))</f>
        <v/>
      </c>
      <c r="R739" s="105" t="str">
        <f t="array" ref="R739">IFERROR( IF(P739&lt;&gt;"EMA",INDEX('label approval artwork'!H:H,MATCH(G739,'label approval artwork'!F:F,0),"")),"")</f>
        <v/>
      </c>
      <c r="S739" s="105"/>
      <c r="T739" s="105" t="str">
        <f t="array" ref="T739">IF(ISBLANK(G739),"",INDEX('POR Config List'!I:I,MATCH(G739,'POR Config List'!D:D,0)))</f>
        <v/>
      </c>
      <c r="AA739" s="100" t="str">
        <f t="array" ref="AA739">IF(ISBLANK(G739),"",INDEX('POR Config List'!E:E,MATCH(G739,'POR Config List'!D:D,0)))</f>
        <v/>
      </c>
      <c r="AC739" s="105"/>
      <c r="AD739" s="100"/>
      <c r="AE739" s="100"/>
      <c r="AF739" s="100"/>
      <c r="AG739" s="100"/>
      <c r="AM739" s="102"/>
      <c r="AN739" s="102"/>
      <c r="AR739" s="119"/>
      <c r="AS739" s="103"/>
    </row>
    <row r="740">
      <c r="A740" s="168"/>
      <c r="B740" s="100" t="str">
        <f t="array" ref="B740">IFERROR( INDEX('POR Config List'!A:A,MATCH(G740,'POR Config List'!D:D,0)),"")</f>
        <v/>
      </c>
      <c r="C740" s="101" t="str">
        <f t="array" ref="C740">IFERROR(INDEX('label approval artwork'!E:E,MATCH(G740,'label approval artwork'!F:F,0),""),"")</f>
        <v/>
      </c>
      <c r="D740" s="102" t="str">
        <f t="shared" si="3"/>
        <v/>
      </c>
      <c r="E740" s="100" t="str">
        <f t="array" ref="E740">IF(ISBLANK(G740),"",INDEX('POR Config List'!K:K,MATCH(G740,'POR Config List'!D:D,0)))</f>
        <v/>
      </c>
      <c r="F740" s="100" t="str">
        <f t="array" ref="F740">IF(ISBLANK(G740),"",INDEX('POR Config List'!J:J,MATCH(G740,'POR Config List'!D:D,0)))</f>
        <v/>
      </c>
      <c r="G740" s="168"/>
      <c r="H740" s="104" t="str">
        <f t="array" ref="H740">IF(ISBLANK(G740),"",INDEX('MP SKUs'!G:G,MATCH(G740,'MP SKUs'!A:A,0)))</f>
        <v/>
      </c>
      <c r="I740" s="105" t="str">
        <f t="array" ref="I740">IF(ISBLANK(G740),"",INDEX('POR Config List'!O:O,MATCH(G740,'POR Config List'!D:D,0)))</f>
        <v/>
      </c>
      <c r="J740" s="104" t="str">
        <f t="array" ref="J740">IF(ISBLANK(G740),"",INDEX('POR Config List'!H:H,MATCH(G740,'POR Config List'!D:D,0)))</f>
        <v/>
      </c>
      <c r="K740" s="105" t="str">
        <f t="array" ref="K740">IF(ISBLANK(G740),"",INDEX('POR Config List'!G:G,MATCH(G740,'POR Config List'!D:D,0)))</f>
        <v/>
      </c>
      <c r="L740" s="105"/>
      <c r="M740" s="105" t="str">
        <f t="array" ref="M740">IF(ISBLANK(G740),"",INDEX('label approval artwork'!Q:Q,MATCH( G740,'label approval artwork'!F:F,0)))</f>
        <v/>
      </c>
      <c r="N740" s="169" t="str">
        <f t="shared" si="5"/>
        <v/>
      </c>
      <c r="O740" s="102" t="str">
        <f t="array" ref="O740">IF(ISBLANK(G740),"",INDEX('POR Config List'!C:C,MATCH(G740,'POR Config List'!D:D,0)))</f>
        <v/>
      </c>
      <c r="P740" s="105" t="str">
        <f t="shared" si="4"/>
        <v/>
      </c>
      <c r="Q740" s="105" t="str">
        <f t="array" ref="Q740">IF(ISBLANK(G740),"",INDEX('label approval artwork'!J:J,MATCH( G740,'label approval artwork'!F:F,0)))</f>
        <v/>
      </c>
      <c r="R740" s="105" t="str">
        <f t="array" ref="R740">IFERROR( IF(P740&lt;&gt;"EMA",INDEX('label approval artwork'!H:H,MATCH(G740,'label approval artwork'!F:F,0),"")),"")</f>
        <v/>
      </c>
      <c r="S740" s="105"/>
      <c r="T740" s="105" t="str">
        <f t="array" ref="T740">IF(ISBLANK(G740),"",INDEX('POR Config List'!I:I,MATCH(G740,'POR Config List'!D:D,0)))</f>
        <v/>
      </c>
      <c r="AA740" s="100" t="str">
        <f t="array" ref="AA740">IF(ISBLANK(G740),"",INDEX('POR Config List'!E:E,MATCH(G740,'POR Config List'!D:D,0)))</f>
        <v/>
      </c>
      <c r="AC740" s="105"/>
      <c r="AD740" s="100"/>
      <c r="AE740" s="100"/>
      <c r="AF740" s="100"/>
      <c r="AG740" s="100"/>
      <c r="AM740" s="102"/>
      <c r="AN740" s="102"/>
      <c r="AR740" s="119"/>
      <c r="AS740" s="103"/>
    </row>
    <row r="741">
      <c r="A741" s="168"/>
      <c r="B741" s="100" t="str">
        <f t="array" ref="B741">IFERROR( INDEX('POR Config List'!A:A,MATCH(G741,'POR Config List'!D:D,0)),"")</f>
        <v/>
      </c>
      <c r="C741" s="101" t="str">
        <f t="array" ref="C741">IFERROR(INDEX('label approval artwork'!E:E,MATCH(G741,'label approval artwork'!F:F,0),""),"")</f>
        <v/>
      </c>
      <c r="D741" s="102" t="str">
        <f t="shared" si="3"/>
        <v/>
      </c>
      <c r="E741" s="100" t="str">
        <f t="array" ref="E741">IF(ISBLANK(G741),"",INDEX('POR Config List'!K:K,MATCH(G741,'POR Config List'!D:D,0)))</f>
        <v/>
      </c>
      <c r="F741" s="100" t="str">
        <f t="array" ref="F741">IF(ISBLANK(G741),"",INDEX('POR Config List'!J:J,MATCH(G741,'POR Config List'!D:D,0)))</f>
        <v/>
      </c>
      <c r="G741" s="168"/>
      <c r="H741" s="104" t="str">
        <f t="array" ref="H741">IF(ISBLANK(G741),"",INDEX('MP SKUs'!G:G,MATCH(G741,'MP SKUs'!A:A,0)))</f>
        <v/>
      </c>
      <c r="I741" s="105" t="str">
        <f t="array" ref="I741">IF(ISBLANK(G741),"",INDEX('POR Config List'!O:O,MATCH(G741,'POR Config List'!D:D,0)))</f>
        <v/>
      </c>
      <c r="J741" s="104" t="str">
        <f t="array" ref="J741">IF(ISBLANK(G741),"",INDEX('POR Config List'!H:H,MATCH(G741,'POR Config List'!D:D,0)))</f>
        <v/>
      </c>
      <c r="K741" s="105" t="str">
        <f t="array" ref="K741">IF(ISBLANK(G741),"",INDEX('POR Config List'!G:G,MATCH(G741,'POR Config List'!D:D,0)))</f>
        <v/>
      </c>
      <c r="L741" s="105"/>
      <c r="M741" s="105" t="str">
        <f t="array" ref="M741">IF(ISBLANK(G741),"",INDEX('label approval artwork'!Q:Q,MATCH( G741,'label approval artwork'!F:F,0)))</f>
        <v/>
      </c>
      <c r="N741" s="169" t="str">
        <f t="shared" si="5"/>
        <v/>
      </c>
      <c r="O741" s="102" t="str">
        <f t="array" ref="O741">IF(ISBLANK(G741),"",INDEX('POR Config List'!C:C,MATCH(G741,'POR Config List'!D:D,0)))</f>
        <v/>
      </c>
      <c r="P741" s="105" t="str">
        <f t="shared" si="4"/>
        <v/>
      </c>
      <c r="Q741" s="105" t="str">
        <f t="array" ref="Q741">IF(ISBLANK(G741),"",INDEX('label approval artwork'!J:J,MATCH( G741,'label approval artwork'!F:F,0)))</f>
        <v/>
      </c>
      <c r="R741" s="105" t="str">
        <f t="array" ref="R741">IFERROR( IF(P741&lt;&gt;"EMA",INDEX('label approval artwork'!H:H,MATCH(G741,'label approval artwork'!F:F,0),"")),"")</f>
        <v/>
      </c>
      <c r="S741" s="105"/>
      <c r="T741" s="105" t="str">
        <f t="array" ref="T741">IF(ISBLANK(G741),"",INDEX('POR Config List'!I:I,MATCH(G741,'POR Config List'!D:D,0)))</f>
        <v/>
      </c>
      <c r="AA741" s="100" t="str">
        <f t="array" ref="AA741">IF(ISBLANK(G741),"",INDEX('POR Config List'!E:E,MATCH(G741,'POR Config List'!D:D,0)))</f>
        <v/>
      </c>
      <c r="AC741" s="105"/>
      <c r="AD741" s="100"/>
      <c r="AE741" s="100"/>
      <c r="AF741" s="100"/>
      <c r="AG741" s="100"/>
      <c r="AM741" s="102"/>
      <c r="AN741" s="102"/>
      <c r="AR741" s="119"/>
      <c r="AS741" s="103"/>
    </row>
    <row r="742">
      <c r="A742" s="168"/>
      <c r="B742" s="100" t="str">
        <f t="array" ref="B742">IFERROR( INDEX('POR Config List'!A:A,MATCH(G742,'POR Config List'!D:D,0)),"")</f>
        <v/>
      </c>
      <c r="C742" s="101" t="str">
        <f t="array" ref="C742">IFERROR(INDEX('label approval artwork'!E:E,MATCH(G742,'label approval artwork'!F:F,0),""),"")</f>
        <v/>
      </c>
      <c r="D742" s="102" t="str">
        <f t="shared" si="3"/>
        <v/>
      </c>
      <c r="E742" s="100" t="str">
        <f t="array" ref="E742">IF(ISBLANK(G742),"",INDEX('POR Config List'!K:K,MATCH(G742,'POR Config List'!D:D,0)))</f>
        <v/>
      </c>
      <c r="F742" s="100" t="str">
        <f t="array" ref="F742">IF(ISBLANK(G742),"",INDEX('POR Config List'!J:J,MATCH(G742,'POR Config List'!D:D,0)))</f>
        <v/>
      </c>
      <c r="G742" s="168"/>
      <c r="H742" s="104" t="str">
        <f t="array" ref="H742">IF(ISBLANK(G742),"",INDEX('MP SKUs'!G:G,MATCH(G742,'MP SKUs'!A:A,0)))</f>
        <v/>
      </c>
      <c r="I742" s="105" t="str">
        <f t="array" ref="I742">IF(ISBLANK(G742),"",INDEX('POR Config List'!O:O,MATCH(G742,'POR Config List'!D:D,0)))</f>
        <v/>
      </c>
      <c r="J742" s="104" t="str">
        <f t="array" ref="J742">IF(ISBLANK(G742),"",INDEX('POR Config List'!H:H,MATCH(G742,'POR Config List'!D:D,0)))</f>
        <v/>
      </c>
      <c r="K742" s="105" t="str">
        <f t="array" ref="K742">IF(ISBLANK(G742),"",INDEX('POR Config List'!G:G,MATCH(G742,'POR Config List'!D:D,0)))</f>
        <v/>
      </c>
      <c r="L742" s="105"/>
      <c r="M742" s="105" t="str">
        <f t="array" ref="M742">IF(ISBLANK(G742),"",INDEX('label approval artwork'!Q:Q,MATCH( G742,'label approval artwork'!F:F,0)))</f>
        <v/>
      </c>
      <c r="N742" s="169" t="str">
        <f t="shared" si="5"/>
        <v/>
      </c>
      <c r="O742" s="102" t="str">
        <f t="array" ref="O742">IF(ISBLANK(G742),"",INDEX('POR Config List'!C:C,MATCH(G742,'POR Config List'!D:D,0)))</f>
        <v/>
      </c>
      <c r="P742" s="105" t="str">
        <f t="shared" si="4"/>
        <v/>
      </c>
      <c r="Q742" s="105" t="str">
        <f t="array" ref="Q742">IF(ISBLANK(G742),"",INDEX('label approval artwork'!J:J,MATCH( G742,'label approval artwork'!F:F,0)))</f>
        <v/>
      </c>
      <c r="R742" s="105" t="str">
        <f t="array" ref="R742">IFERROR( IF(P742&lt;&gt;"EMA",INDEX('label approval artwork'!H:H,MATCH(G742,'label approval artwork'!F:F,0),"")),"")</f>
        <v/>
      </c>
      <c r="S742" s="105"/>
      <c r="T742" s="105" t="str">
        <f t="array" ref="T742">IF(ISBLANK(G742),"",INDEX('POR Config List'!I:I,MATCH(G742,'POR Config List'!D:D,0)))</f>
        <v/>
      </c>
      <c r="AA742" s="100" t="str">
        <f t="array" ref="AA742">IF(ISBLANK(G742),"",INDEX('POR Config List'!E:E,MATCH(G742,'POR Config List'!D:D,0)))</f>
        <v/>
      </c>
      <c r="AC742" s="105"/>
      <c r="AD742" s="100"/>
      <c r="AE742" s="100"/>
      <c r="AF742" s="100"/>
      <c r="AG742" s="100"/>
      <c r="AM742" s="102"/>
      <c r="AN742" s="102"/>
      <c r="AR742" s="119"/>
      <c r="AS742" s="103"/>
    </row>
    <row r="743">
      <c r="A743" s="168"/>
      <c r="B743" s="100" t="str">
        <f t="array" ref="B743">IFERROR( INDEX('POR Config List'!A:A,MATCH(G743,'POR Config List'!D:D,0)),"")</f>
        <v/>
      </c>
      <c r="C743" s="101" t="str">
        <f t="array" ref="C743">IFERROR(INDEX('label approval artwork'!E:E,MATCH(G743,'label approval artwork'!F:F,0),""),"")</f>
        <v/>
      </c>
      <c r="D743" s="102" t="str">
        <f t="shared" si="3"/>
        <v/>
      </c>
      <c r="E743" s="100" t="str">
        <f t="array" ref="E743">IF(ISBLANK(G743),"",INDEX('POR Config List'!K:K,MATCH(G743,'POR Config List'!D:D,0)))</f>
        <v/>
      </c>
      <c r="F743" s="100" t="str">
        <f t="array" ref="F743">IF(ISBLANK(G743),"",INDEX('POR Config List'!J:J,MATCH(G743,'POR Config List'!D:D,0)))</f>
        <v/>
      </c>
      <c r="G743" s="168"/>
      <c r="H743" s="104" t="str">
        <f t="array" ref="H743">IF(ISBLANK(G743),"",INDEX('MP SKUs'!G:G,MATCH(G743,'MP SKUs'!A:A,0)))</f>
        <v/>
      </c>
      <c r="I743" s="105" t="str">
        <f t="array" ref="I743">IF(ISBLANK(G743),"",INDEX('POR Config List'!O:O,MATCH(G743,'POR Config List'!D:D,0)))</f>
        <v/>
      </c>
      <c r="J743" s="104" t="str">
        <f t="array" ref="J743">IF(ISBLANK(G743),"",INDEX('POR Config List'!H:H,MATCH(G743,'POR Config List'!D:D,0)))</f>
        <v/>
      </c>
      <c r="K743" s="105" t="str">
        <f t="array" ref="K743">IF(ISBLANK(G743),"",INDEX('POR Config List'!G:G,MATCH(G743,'POR Config List'!D:D,0)))</f>
        <v/>
      </c>
      <c r="L743" s="105"/>
      <c r="M743" s="105" t="str">
        <f t="array" ref="M743">IF(ISBLANK(G743),"",INDEX('label approval artwork'!Q:Q,MATCH( G743,'label approval artwork'!F:F,0)))</f>
        <v/>
      </c>
      <c r="N743" s="169" t="str">
        <f t="shared" si="5"/>
        <v/>
      </c>
      <c r="O743" s="102" t="str">
        <f t="array" ref="O743">IF(ISBLANK(G743),"",INDEX('POR Config List'!C:C,MATCH(G743,'POR Config List'!D:D,0)))</f>
        <v/>
      </c>
      <c r="P743" s="105" t="str">
        <f t="shared" si="4"/>
        <v/>
      </c>
      <c r="Q743" s="105" t="str">
        <f t="array" ref="Q743">IF(ISBLANK(G743),"",INDEX('label approval artwork'!J:J,MATCH( G743,'label approval artwork'!F:F,0)))</f>
        <v/>
      </c>
      <c r="R743" s="105" t="str">
        <f t="array" ref="R743">IFERROR( IF(P743&lt;&gt;"EMA",INDEX('label approval artwork'!H:H,MATCH(G743,'label approval artwork'!F:F,0),"")),"")</f>
        <v/>
      </c>
      <c r="S743" s="105"/>
      <c r="T743" s="105" t="str">
        <f t="array" ref="T743">IF(ISBLANK(G743),"",INDEX('POR Config List'!I:I,MATCH(G743,'POR Config List'!D:D,0)))</f>
        <v/>
      </c>
      <c r="AA743" s="100" t="str">
        <f t="array" ref="AA743">IF(ISBLANK(G743),"",INDEX('POR Config List'!E:E,MATCH(G743,'POR Config List'!D:D,0)))</f>
        <v/>
      </c>
      <c r="AC743" s="105"/>
      <c r="AD743" s="100"/>
      <c r="AE743" s="100"/>
      <c r="AF743" s="100"/>
      <c r="AG743" s="100"/>
      <c r="AM743" s="102"/>
      <c r="AN743" s="102"/>
      <c r="AR743" s="119"/>
      <c r="AS743" s="103"/>
    </row>
    <row r="744">
      <c r="A744" s="168"/>
      <c r="B744" s="100" t="str">
        <f t="array" ref="B744">IFERROR( INDEX('POR Config List'!A:A,MATCH(G744,'POR Config List'!D:D,0)),"")</f>
        <v/>
      </c>
      <c r="C744" s="101" t="str">
        <f t="array" ref="C744">IFERROR(INDEX('label approval artwork'!E:E,MATCH(G744,'label approval artwork'!F:F,0),""),"")</f>
        <v/>
      </c>
      <c r="D744" s="102" t="str">
        <f t="shared" si="3"/>
        <v/>
      </c>
      <c r="E744" s="100" t="str">
        <f t="array" ref="E744">IF(ISBLANK(G744),"",INDEX('POR Config List'!K:K,MATCH(G744,'POR Config List'!D:D,0)))</f>
        <v/>
      </c>
      <c r="F744" s="100" t="str">
        <f t="array" ref="F744">IF(ISBLANK(G744),"",INDEX('POR Config List'!J:J,MATCH(G744,'POR Config List'!D:D,0)))</f>
        <v/>
      </c>
      <c r="G744" s="168"/>
      <c r="H744" s="104" t="str">
        <f t="array" ref="H744">IF(ISBLANK(G744),"",INDEX('MP SKUs'!G:G,MATCH(G744,'MP SKUs'!A:A,0)))</f>
        <v/>
      </c>
      <c r="I744" s="105" t="str">
        <f t="array" ref="I744">IF(ISBLANK(G744),"",INDEX('POR Config List'!O:O,MATCH(G744,'POR Config List'!D:D,0)))</f>
        <v/>
      </c>
      <c r="J744" s="104" t="str">
        <f t="array" ref="J744">IF(ISBLANK(G744),"",INDEX('POR Config List'!H:H,MATCH(G744,'POR Config List'!D:D,0)))</f>
        <v/>
      </c>
      <c r="K744" s="105" t="str">
        <f t="array" ref="K744">IF(ISBLANK(G744),"",INDEX('POR Config List'!G:G,MATCH(G744,'POR Config List'!D:D,0)))</f>
        <v/>
      </c>
      <c r="L744" s="105"/>
      <c r="M744" s="105" t="str">
        <f t="array" ref="M744">IF(ISBLANK(G744),"",INDEX('label approval artwork'!Q:Q,MATCH( G744,'label approval artwork'!F:F,0)))</f>
        <v/>
      </c>
      <c r="N744" s="169" t="str">
        <f t="shared" si="5"/>
        <v/>
      </c>
      <c r="O744" s="102" t="str">
        <f t="array" ref="O744">IF(ISBLANK(G744),"",INDEX('POR Config List'!C:C,MATCH(G744,'POR Config List'!D:D,0)))</f>
        <v/>
      </c>
      <c r="P744" s="105" t="str">
        <f t="shared" si="4"/>
        <v/>
      </c>
      <c r="Q744" s="105" t="str">
        <f t="array" ref="Q744">IF(ISBLANK(G744),"",INDEX('label approval artwork'!J:J,MATCH( G744,'label approval artwork'!F:F,0)))</f>
        <v/>
      </c>
      <c r="R744" s="105" t="str">
        <f t="array" ref="R744">IFERROR( IF(P744&lt;&gt;"EMA",INDEX('label approval artwork'!H:H,MATCH(G744,'label approval artwork'!F:F,0),"")),"")</f>
        <v/>
      </c>
      <c r="S744" s="105"/>
      <c r="T744" s="105" t="str">
        <f t="array" ref="T744">IF(ISBLANK(G744),"",INDEX('POR Config List'!I:I,MATCH(G744,'POR Config List'!D:D,0)))</f>
        <v/>
      </c>
      <c r="AA744" s="100" t="str">
        <f t="array" ref="AA744">IF(ISBLANK(G744),"",INDEX('POR Config List'!E:E,MATCH(G744,'POR Config List'!D:D,0)))</f>
        <v/>
      </c>
      <c r="AC744" s="105"/>
      <c r="AD744" s="100"/>
      <c r="AE744" s="100"/>
      <c r="AF744" s="100"/>
      <c r="AG744" s="100"/>
      <c r="AM744" s="102"/>
      <c r="AN744" s="102"/>
      <c r="AR744" s="119"/>
      <c r="AS744" s="103"/>
    </row>
    <row r="745">
      <c r="A745" s="168"/>
      <c r="B745" s="100" t="str">
        <f t="array" ref="B745">IFERROR( INDEX('POR Config List'!A:A,MATCH(G745,'POR Config List'!D:D,0)),"")</f>
        <v/>
      </c>
      <c r="C745" s="101" t="str">
        <f t="array" ref="C745">IFERROR(INDEX('label approval artwork'!E:E,MATCH(G745,'label approval artwork'!F:F,0),""),"")</f>
        <v/>
      </c>
      <c r="D745" s="102" t="str">
        <f t="shared" si="3"/>
        <v/>
      </c>
      <c r="E745" s="100" t="str">
        <f t="array" ref="E745">IF(ISBLANK(G745),"",INDEX('POR Config List'!K:K,MATCH(G745,'POR Config List'!D:D,0)))</f>
        <v/>
      </c>
      <c r="F745" s="100" t="str">
        <f t="array" ref="F745">IF(ISBLANK(G745),"",INDEX('POR Config List'!J:J,MATCH(G745,'POR Config List'!D:D,0)))</f>
        <v/>
      </c>
      <c r="G745" s="168"/>
      <c r="H745" s="104" t="str">
        <f t="array" ref="H745">IF(ISBLANK(G745),"",INDEX('MP SKUs'!G:G,MATCH(G745,'MP SKUs'!A:A,0)))</f>
        <v/>
      </c>
      <c r="I745" s="105" t="str">
        <f t="array" ref="I745">IF(ISBLANK(G745),"",INDEX('POR Config List'!O:O,MATCH(G745,'POR Config List'!D:D,0)))</f>
        <v/>
      </c>
      <c r="J745" s="104" t="str">
        <f t="array" ref="J745">IF(ISBLANK(G745),"",INDEX('POR Config List'!H:H,MATCH(G745,'POR Config List'!D:D,0)))</f>
        <v/>
      </c>
      <c r="K745" s="105" t="str">
        <f t="array" ref="K745">IF(ISBLANK(G745),"",INDEX('POR Config List'!G:G,MATCH(G745,'POR Config List'!D:D,0)))</f>
        <v/>
      </c>
      <c r="L745" s="105"/>
      <c r="M745" s="105" t="str">
        <f t="array" ref="M745">IF(ISBLANK(G745),"",INDEX('label approval artwork'!Q:Q,MATCH( G745,'label approval artwork'!F:F,0)))</f>
        <v/>
      </c>
      <c r="N745" s="169" t="str">
        <f t="shared" si="5"/>
        <v/>
      </c>
      <c r="O745" s="102" t="str">
        <f t="array" ref="O745">IF(ISBLANK(G745),"",INDEX('POR Config List'!C:C,MATCH(G745,'POR Config List'!D:D,0)))</f>
        <v/>
      </c>
      <c r="P745" s="105" t="str">
        <f t="shared" si="4"/>
        <v/>
      </c>
      <c r="Q745" s="105" t="str">
        <f t="array" ref="Q745">IF(ISBLANK(G745),"",INDEX('label approval artwork'!J:J,MATCH( G745,'label approval artwork'!F:F,0)))</f>
        <v/>
      </c>
      <c r="R745" s="105" t="str">
        <f t="array" ref="R745">IFERROR( IF(P745&lt;&gt;"EMA",INDEX('label approval artwork'!H:H,MATCH(G745,'label approval artwork'!F:F,0),"")),"")</f>
        <v/>
      </c>
      <c r="S745" s="105"/>
      <c r="T745" s="105" t="str">
        <f t="array" ref="T745">IF(ISBLANK(G745),"",INDEX('POR Config List'!I:I,MATCH(G745,'POR Config List'!D:D,0)))</f>
        <v/>
      </c>
      <c r="AA745" s="100" t="str">
        <f t="array" ref="AA745">IF(ISBLANK(G745),"",INDEX('POR Config List'!E:E,MATCH(G745,'POR Config List'!D:D,0)))</f>
        <v/>
      </c>
      <c r="AC745" s="105"/>
      <c r="AD745" s="100"/>
      <c r="AE745" s="100"/>
      <c r="AF745" s="100"/>
      <c r="AG745" s="100"/>
      <c r="AM745" s="102"/>
      <c r="AN745" s="102"/>
      <c r="AR745" s="119"/>
      <c r="AS745" s="103"/>
    </row>
    <row r="746">
      <c r="A746" s="168"/>
      <c r="B746" s="100" t="str">
        <f t="array" ref="B746">IFERROR( INDEX('POR Config List'!A:A,MATCH(G746,'POR Config List'!D:D,0)),"")</f>
        <v/>
      </c>
      <c r="C746" s="101" t="str">
        <f t="array" ref="C746">IFERROR(INDEX('label approval artwork'!E:E,MATCH(G746,'label approval artwork'!F:F,0),""),"")</f>
        <v/>
      </c>
      <c r="D746" s="102" t="str">
        <f t="shared" si="3"/>
        <v/>
      </c>
      <c r="E746" s="100" t="str">
        <f t="array" ref="E746">IF(ISBLANK(G746),"",INDEX('POR Config List'!K:K,MATCH(G746,'POR Config List'!D:D,0)))</f>
        <v/>
      </c>
      <c r="F746" s="100" t="str">
        <f t="array" ref="F746">IF(ISBLANK(G746),"",INDEX('POR Config List'!J:J,MATCH(G746,'POR Config List'!D:D,0)))</f>
        <v/>
      </c>
      <c r="G746" s="168"/>
      <c r="H746" s="104" t="str">
        <f t="array" ref="H746">IF(ISBLANK(G746),"",INDEX('MP SKUs'!G:G,MATCH(G746,'MP SKUs'!A:A,0)))</f>
        <v/>
      </c>
      <c r="I746" s="105" t="str">
        <f t="array" ref="I746">IF(ISBLANK(G746),"",INDEX('POR Config List'!O:O,MATCH(G746,'POR Config List'!D:D,0)))</f>
        <v/>
      </c>
      <c r="J746" s="104" t="str">
        <f t="array" ref="J746">IF(ISBLANK(G746),"",INDEX('POR Config List'!H:H,MATCH(G746,'POR Config List'!D:D,0)))</f>
        <v/>
      </c>
      <c r="K746" s="105" t="str">
        <f t="array" ref="K746">IF(ISBLANK(G746),"",INDEX('POR Config List'!G:G,MATCH(G746,'POR Config List'!D:D,0)))</f>
        <v/>
      </c>
      <c r="L746" s="105"/>
      <c r="M746" s="105" t="str">
        <f t="array" ref="M746">IF(ISBLANK(G746),"",INDEX('label approval artwork'!Q:Q,MATCH( G746,'label approval artwork'!F:F,0)))</f>
        <v/>
      </c>
      <c r="N746" s="169" t="str">
        <f t="shared" si="5"/>
        <v/>
      </c>
      <c r="O746" s="102" t="str">
        <f t="array" ref="O746">IF(ISBLANK(G746),"",INDEX('POR Config List'!C:C,MATCH(G746,'POR Config List'!D:D,0)))</f>
        <v/>
      </c>
      <c r="P746" s="105" t="str">
        <f t="shared" si="4"/>
        <v/>
      </c>
      <c r="Q746" s="105" t="str">
        <f t="array" ref="Q746">IF(ISBLANK(G746),"",INDEX('label approval artwork'!J:J,MATCH( G746,'label approval artwork'!F:F,0)))</f>
        <v/>
      </c>
      <c r="R746" s="105" t="str">
        <f t="array" ref="R746">IFERROR( IF(P746&lt;&gt;"EMA",INDEX('label approval artwork'!H:H,MATCH(G746,'label approval artwork'!F:F,0),"")),"")</f>
        <v/>
      </c>
      <c r="S746" s="105"/>
      <c r="T746" s="105" t="str">
        <f t="array" ref="T746">IF(ISBLANK(G746),"",INDEX('POR Config List'!I:I,MATCH(G746,'POR Config List'!D:D,0)))</f>
        <v/>
      </c>
      <c r="AA746" s="100" t="str">
        <f t="array" ref="AA746">IF(ISBLANK(G746),"",INDEX('POR Config List'!E:E,MATCH(G746,'POR Config List'!D:D,0)))</f>
        <v/>
      </c>
      <c r="AC746" s="105"/>
      <c r="AD746" s="100"/>
      <c r="AE746" s="100"/>
      <c r="AF746" s="100"/>
      <c r="AG746" s="100"/>
      <c r="AM746" s="102"/>
      <c r="AN746" s="102"/>
      <c r="AR746" s="119"/>
      <c r="AS746" s="103"/>
    </row>
    <row r="747">
      <c r="A747" s="168"/>
      <c r="B747" s="100" t="str">
        <f t="array" ref="B747">IFERROR( INDEX('POR Config List'!A:A,MATCH(G747,'POR Config List'!D:D,0)),"")</f>
        <v/>
      </c>
      <c r="C747" s="101" t="str">
        <f t="array" ref="C747">IFERROR(INDEX('label approval artwork'!E:E,MATCH(G747,'label approval artwork'!F:F,0),""),"")</f>
        <v/>
      </c>
      <c r="D747" s="102" t="str">
        <f t="shared" si="3"/>
        <v/>
      </c>
      <c r="E747" s="100" t="str">
        <f t="array" ref="E747">IF(ISBLANK(G747),"",INDEX('POR Config List'!K:K,MATCH(G747,'POR Config List'!D:D,0)))</f>
        <v/>
      </c>
      <c r="F747" s="100" t="str">
        <f t="array" ref="F747">IF(ISBLANK(G747),"",INDEX('POR Config List'!J:J,MATCH(G747,'POR Config List'!D:D,0)))</f>
        <v/>
      </c>
      <c r="G747" s="168"/>
      <c r="H747" s="104" t="str">
        <f t="array" ref="H747">IF(ISBLANK(G747),"",INDEX('MP SKUs'!G:G,MATCH(G747,'MP SKUs'!A:A,0)))</f>
        <v/>
      </c>
      <c r="I747" s="105" t="str">
        <f t="array" ref="I747">IF(ISBLANK(G747),"",INDEX('POR Config List'!O:O,MATCH(G747,'POR Config List'!D:D,0)))</f>
        <v/>
      </c>
      <c r="J747" s="104" t="str">
        <f t="array" ref="J747">IF(ISBLANK(G747),"",INDEX('POR Config List'!H:H,MATCH(G747,'POR Config List'!D:D,0)))</f>
        <v/>
      </c>
      <c r="K747" s="105" t="str">
        <f t="array" ref="K747">IF(ISBLANK(G747),"",INDEX('POR Config List'!G:G,MATCH(G747,'POR Config List'!D:D,0)))</f>
        <v/>
      </c>
      <c r="L747" s="105"/>
      <c r="M747" s="105" t="str">
        <f t="array" ref="M747">IF(ISBLANK(G747),"",INDEX('label approval artwork'!Q:Q,MATCH( G747,'label approval artwork'!F:F,0)))</f>
        <v/>
      </c>
      <c r="N747" s="169" t="str">
        <f t="shared" si="5"/>
        <v/>
      </c>
      <c r="O747" s="102" t="str">
        <f t="array" ref="O747">IF(ISBLANK(G747),"",INDEX('POR Config List'!C:C,MATCH(G747,'POR Config List'!D:D,0)))</f>
        <v/>
      </c>
      <c r="P747" s="105" t="str">
        <f t="shared" si="4"/>
        <v/>
      </c>
      <c r="Q747" s="105" t="str">
        <f t="array" ref="Q747">IF(ISBLANK(G747),"",INDEX('label approval artwork'!J:J,MATCH( G747,'label approval artwork'!F:F,0)))</f>
        <v/>
      </c>
      <c r="R747" s="105" t="str">
        <f t="array" ref="R747">IFERROR( IF(P747&lt;&gt;"EMA",INDEX('label approval artwork'!H:H,MATCH(G747,'label approval artwork'!F:F,0),"")),"")</f>
        <v/>
      </c>
      <c r="S747" s="105"/>
      <c r="T747" s="105" t="str">
        <f t="array" ref="T747">IF(ISBLANK(G747),"",INDEX('POR Config List'!I:I,MATCH(G747,'POR Config List'!D:D,0)))</f>
        <v/>
      </c>
      <c r="AA747" s="100" t="str">
        <f t="array" ref="AA747">IF(ISBLANK(G747),"",INDEX('POR Config List'!E:E,MATCH(G747,'POR Config List'!D:D,0)))</f>
        <v/>
      </c>
      <c r="AC747" s="105"/>
      <c r="AD747" s="100"/>
      <c r="AE747" s="100"/>
      <c r="AF747" s="100"/>
      <c r="AG747" s="100"/>
      <c r="AM747" s="102"/>
      <c r="AN747" s="102"/>
      <c r="AR747" s="119"/>
      <c r="AS747" s="103"/>
    </row>
    <row r="748">
      <c r="A748" s="168"/>
      <c r="B748" s="100" t="str">
        <f t="array" ref="B748">IFERROR( INDEX('POR Config List'!A:A,MATCH(G748,'POR Config List'!D:D,0)),"")</f>
        <v/>
      </c>
      <c r="C748" s="101" t="str">
        <f t="array" ref="C748">IFERROR(INDEX('label approval artwork'!E:E,MATCH(G748,'label approval artwork'!F:F,0),""),"")</f>
        <v/>
      </c>
      <c r="D748" s="102" t="str">
        <f t="shared" si="3"/>
        <v/>
      </c>
      <c r="E748" s="100" t="str">
        <f t="array" ref="E748">IF(ISBLANK(G748),"",INDEX('POR Config List'!K:K,MATCH(G748,'POR Config List'!D:D,0)))</f>
        <v/>
      </c>
      <c r="F748" s="100" t="str">
        <f t="array" ref="F748">IF(ISBLANK(G748),"",INDEX('POR Config List'!J:J,MATCH(G748,'POR Config List'!D:D,0)))</f>
        <v/>
      </c>
      <c r="G748" s="168"/>
      <c r="H748" s="104" t="str">
        <f t="array" ref="H748">IF(ISBLANK(G748),"",INDEX('MP SKUs'!G:G,MATCH(G748,'MP SKUs'!A:A,0)))</f>
        <v/>
      </c>
      <c r="I748" s="105" t="str">
        <f t="array" ref="I748">IF(ISBLANK(G748),"",INDEX('POR Config List'!O:O,MATCH(G748,'POR Config List'!D:D,0)))</f>
        <v/>
      </c>
      <c r="J748" s="104" t="str">
        <f t="array" ref="J748">IF(ISBLANK(G748),"",INDEX('POR Config List'!H:H,MATCH(G748,'POR Config List'!D:D,0)))</f>
        <v/>
      </c>
      <c r="K748" s="105" t="str">
        <f t="array" ref="K748">IF(ISBLANK(G748),"",INDEX('POR Config List'!G:G,MATCH(G748,'POR Config List'!D:D,0)))</f>
        <v/>
      </c>
      <c r="L748" s="105"/>
      <c r="M748" s="105" t="str">
        <f t="array" ref="M748">IF(ISBLANK(G748),"",INDEX('label approval artwork'!Q:Q,MATCH( G748,'label approval artwork'!F:F,0)))</f>
        <v/>
      </c>
      <c r="N748" s="169" t="str">
        <f t="shared" si="5"/>
        <v/>
      </c>
      <c r="O748" s="102" t="str">
        <f t="array" ref="O748">IF(ISBLANK(G748),"",INDEX('POR Config List'!C:C,MATCH(G748,'POR Config List'!D:D,0)))</f>
        <v/>
      </c>
      <c r="P748" s="105" t="str">
        <f t="shared" si="4"/>
        <v/>
      </c>
      <c r="Q748" s="105" t="str">
        <f t="array" ref="Q748">IF(ISBLANK(G748),"",INDEX('label approval artwork'!J:J,MATCH( G748,'label approval artwork'!F:F,0)))</f>
        <v/>
      </c>
      <c r="R748" s="105" t="str">
        <f t="array" ref="R748">IFERROR( IF(P748&lt;&gt;"EMA",INDEX('label approval artwork'!H:H,MATCH(G748,'label approval artwork'!F:F,0),"")),"")</f>
        <v/>
      </c>
      <c r="S748" s="105"/>
      <c r="T748" s="105" t="str">
        <f t="array" ref="T748">IF(ISBLANK(G748),"",INDEX('POR Config List'!I:I,MATCH(G748,'POR Config List'!D:D,0)))</f>
        <v/>
      </c>
      <c r="AA748" s="100" t="str">
        <f t="array" ref="AA748">IF(ISBLANK(G748),"",INDEX('POR Config List'!E:E,MATCH(G748,'POR Config List'!D:D,0)))</f>
        <v/>
      </c>
      <c r="AC748" s="105"/>
      <c r="AD748" s="100"/>
      <c r="AE748" s="100"/>
      <c r="AF748" s="100"/>
      <c r="AG748" s="100"/>
      <c r="AM748" s="102"/>
      <c r="AN748" s="102"/>
      <c r="AR748" s="119"/>
      <c r="AS748" s="103"/>
    </row>
    <row r="749">
      <c r="A749" s="168"/>
      <c r="B749" s="100" t="str">
        <f t="array" ref="B749">IFERROR( INDEX('POR Config List'!A:A,MATCH(G749,'POR Config List'!D:D,0)),"")</f>
        <v/>
      </c>
      <c r="C749" s="101" t="str">
        <f t="array" ref="C749">IFERROR(INDEX('label approval artwork'!E:E,MATCH(G749,'label approval artwork'!F:F,0),""),"")</f>
        <v/>
      </c>
      <c r="D749" s="102" t="str">
        <f t="shared" si="3"/>
        <v/>
      </c>
      <c r="E749" s="100" t="str">
        <f t="array" ref="E749">IF(ISBLANK(G749),"",INDEX('POR Config List'!K:K,MATCH(G749,'POR Config List'!D:D,0)))</f>
        <v/>
      </c>
      <c r="F749" s="100" t="str">
        <f t="array" ref="F749">IF(ISBLANK(G749),"",INDEX('POR Config List'!J:J,MATCH(G749,'POR Config List'!D:D,0)))</f>
        <v/>
      </c>
      <c r="G749" s="168"/>
      <c r="H749" s="104" t="str">
        <f t="array" ref="H749">IF(ISBLANK(G749),"",INDEX('MP SKUs'!G:G,MATCH(G749,'MP SKUs'!A:A,0)))</f>
        <v/>
      </c>
      <c r="I749" s="105" t="str">
        <f t="array" ref="I749">IF(ISBLANK(G749),"",INDEX('POR Config List'!O:O,MATCH(G749,'POR Config List'!D:D,0)))</f>
        <v/>
      </c>
      <c r="J749" s="104" t="str">
        <f t="array" ref="J749">IF(ISBLANK(G749),"",INDEX('POR Config List'!H:H,MATCH(G749,'POR Config List'!D:D,0)))</f>
        <v/>
      </c>
      <c r="K749" s="105" t="str">
        <f t="array" ref="K749">IF(ISBLANK(G749),"",INDEX('POR Config List'!G:G,MATCH(G749,'POR Config List'!D:D,0)))</f>
        <v/>
      </c>
      <c r="L749" s="105"/>
      <c r="M749" s="105" t="str">
        <f t="array" ref="M749">IF(ISBLANK(G749),"",INDEX('label approval artwork'!Q:Q,MATCH( G749,'label approval artwork'!F:F,0)))</f>
        <v/>
      </c>
      <c r="N749" s="169" t="str">
        <f t="shared" si="5"/>
        <v/>
      </c>
      <c r="O749" s="102" t="str">
        <f t="array" ref="O749">IF(ISBLANK(G749),"",INDEX('POR Config List'!C:C,MATCH(G749,'POR Config List'!D:D,0)))</f>
        <v/>
      </c>
      <c r="P749" s="105" t="str">
        <f t="shared" si="4"/>
        <v/>
      </c>
      <c r="Q749" s="105" t="str">
        <f t="array" ref="Q749">IF(ISBLANK(G749),"",INDEX('label approval artwork'!J:J,MATCH( G749,'label approval artwork'!F:F,0)))</f>
        <v/>
      </c>
      <c r="R749" s="105" t="str">
        <f t="array" ref="R749">IFERROR( IF(P749&lt;&gt;"EMA",INDEX('label approval artwork'!H:H,MATCH(G749,'label approval artwork'!F:F,0),"")),"")</f>
        <v/>
      </c>
      <c r="S749" s="105"/>
      <c r="T749" s="105" t="str">
        <f t="array" ref="T749">IF(ISBLANK(G749),"",INDEX('POR Config List'!I:I,MATCH(G749,'POR Config List'!D:D,0)))</f>
        <v/>
      </c>
      <c r="AA749" s="100" t="str">
        <f t="array" ref="AA749">IF(ISBLANK(G749),"",INDEX('POR Config List'!E:E,MATCH(G749,'POR Config List'!D:D,0)))</f>
        <v/>
      </c>
      <c r="AC749" s="105"/>
      <c r="AD749" s="100"/>
      <c r="AE749" s="100"/>
      <c r="AF749" s="100"/>
      <c r="AG749" s="100"/>
      <c r="AM749" s="102"/>
      <c r="AN749" s="102"/>
      <c r="AR749" s="119"/>
      <c r="AS749" s="103"/>
    </row>
    <row r="750">
      <c r="A750" s="168"/>
      <c r="B750" s="100" t="str">
        <f t="array" ref="B750">IFERROR( INDEX('POR Config List'!A:A,MATCH(G750,'POR Config List'!D:D,0)),"")</f>
        <v/>
      </c>
      <c r="C750" s="101" t="str">
        <f t="array" ref="C750">IFERROR(INDEX('label approval artwork'!E:E,MATCH(G750,'label approval artwork'!F:F,0),""),"")</f>
        <v/>
      </c>
      <c r="D750" s="102" t="str">
        <f t="shared" si="3"/>
        <v/>
      </c>
      <c r="E750" s="100" t="str">
        <f t="array" ref="E750">IF(ISBLANK(G750),"",INDEX('POR Config List'!K:K,MATCH(G750,'POR Config List'!D:D,0)))</f>
        <v/>
      </c>
      <c r="F750" s="100" t="str">
        <f t="array" ref="F750">IF(ISBLANK(G750),"",INDEX('POR Config List'!J:J,MATCH(G750,'POR Config List'!D:D,0)))</f>
        <v/>
      </c>
      <c r="G750" s="168"/>
      <c r="H750" s="104" t="str">
        <f t="array" ref="H750">IF(ISBLANK(G750),"",INDEX('MP SKUs'!G:G,MATCH(G750,'MP SKUs'!A:A,0)))</f>
        <v/>
      </c>
      <c r="I750" s="105" t="str">
        <f t="array" ref="I750">IF(ISBLANK(G750),"",INDEX('POR Config List'!O:O,MATCH(G750,'POR Config List'!D:D,0)))</f>
        <v/>
      </c>
      <c r="J750" s="104" t="str">
        <f t="array" ref="J750">IF(ISBLANK(G750),"",INDEX('POR Config List'!H:H,MATCH(G750,'POR Config List'!D:D,0)))</f>
        <v/>
      </c>
      <c r="K750" s="105" t="str">
        <f t="array" ref="K750">IF(ISBLANK(G750),"",INDEX('POR Config List'!G:G,MATCH(G750,'POR Config List'!D:D,0)))</f>
        <v/>
      </c>
      <c r="L750" s="105"/>
      <c r="M750" s="105" t="str">
        <f t="array" ref="M750">IF(ISBLANK(G750),"",INDEX('label approval artwork'!Q:Q,MATCH( G750,'label approval artwork'!F:F,0)))</f>
        <v/>
      </c>
      <c r="N750" s="169" t="str">
        <f t="shared" si="5"/>
        <v/>
      </c>
      <c r="O750" s="102" t="str">
        <f t="array" ref="O750">IF(ISBLANK(G750),"",INDEX('POR Config List'!C:C,MATCH(G750,'POR Config List'!D:D,0)))</f>
        <v/>
      </c>
      <c r="P750" s="105" t="str">
        <f t="shared" si="4"/>
        <v/>
      </c>
      <c r="Q750" s="105" t="str">
        <f t="array" ref="Q750">IF(ISBLANK(G750),"",INDEX('label approval artwork'!J:J,MATCH( G750,'label approval artwork'!F:F,0)))</f>
        <v/>
      </c>
      <c r="R750" s="105" t="str">
        <f t="array" ref="R750">IFERROR( IF(P750&lt;&gt;"EMA",INDEX('label approval artwork'!H:H,MATCH(G750,'label approval artwork'!F:F,0),"")),"")</f>
        <v/>
      </c>
      <c r="S750" s="105"/>
      <c r="T750" s="105" t="str">
        <f t="array" ref="T750">IF(ISBLANK(G750),"",INDEX('POR Config List'!I:I,MATCH(G750,'POR Config List'!D:D,0)))</f>
        <v/>
      </c>
      <c r="AA750" s="100" t="str">
        <f t="array" ref="AA750">IF(ISBLANK(G750),"",INDEX('POR Config List'!E:E,MATCH(G750,'POR Config List'!D:D,0)))</f>
        <v/>
      </c>
      <c r="AC750" s="105"/>
      <c r="AD750" s="100"/>
      <c r="AE750" s="100"/>
      <c r="AF750" s="100"/>
      <c r="AG750" s="100"/>
      <c r="AM750" s="102"/>
      <c r="AN750" s="102"/>
      <c r="AR750" s="119"/>
      <c r="AS750" s="103"/>
    </row>
    <row r="751">
      <c r="A751" s="168"/>
      <c r="B751" s="100" t="str">
        <f t="array" ref="B751">IFERROR( INDEX('POR Config List'!A:A,MATCH(G751,'POR Config List'!D:D,0)),"")</f>
        <v/>
      </c>
      <c r="C751" s="101" t="str">
        <f t="array" ref="C751">IFERROR(INDEX('label approval artwork'!E:E,MATCH(G751,'label approval artwork'!F:F,0),""),"")</f>
        <v/>
      </c>
      <c r="D751" s="102" t="str">
        <f t="shared" si="3"/>
        <v/>
      </c>
      <c r="E751" s="100" t="str">
        <f t="array" ref="E751">IF(ISBLANK(G751),"",INDEX('POR Config List'!K:K,MATCH(G751,'POR Config List'!D:D,0)))</f>
        <v/>
      </c>
      <c r="F751" s="100" t="str">
        <f t="array" ref="F751">IF(ISBLANK(G751),"",INDEX('POR Config List'!J:J,MATCH(G751,'POR Config List'!D:D,0)))</f>
        <v/>
      </c>
      <c r="G751" s="168"/>
      <c r="H751" s="104" t="str">
        <f t="array" ref="H751">IF(ISBLANK(G751),"",INDEX('MP SKUs'!G:G,MATCH(G751,'MP SKUs'!A:A,0)))</f>
        <v/>
      </c>
      <c r="I751" s="105" t="str">
        <f t="array" ref="I751">IF(ISBLANK(G751),"",INDEX('POR Config List'!O:O,MATCH(G751,'POR Config List'!D:D,0)))</f>
        <v/>
      </c>
      <c r="J751" s="104" t="str">
        <f t="array" ref="J751">IF(ISBLANK(G751),"",INDEX('POR Config List'!H:H,MATCH(G751,'POR Config List'!D:D,0)))</f>
        <v/>
      </c>
      <c r="K751" s="105" t="str">
        <f t="array" ref="K751">IF(ISBLANK(G751),"",INDEX('POR Config List'!G:G,MATCH(G751,'POR Config List'!D:D,0)))</f>
        <v/>
      </c>
      <c r="L751" s="105"/>
      <c r="M751" s="105" t="str">
        <f t="array" ref="M751">IF(ISBLANK(G751),"",INDEX('label approval artwork'!Q:Q,MATCH( G751,'label approval artwork'!F:F,0)))</f>
        <v/>
      </c>
      <c r="N751" s="169" t="str">
        <f t="shared" si="5"/>
        <v/>
      </c>
      <c r="O751" s="102" t="str">
        <f t="array" ref="O751">IF(ISBLANK(G751),"",INDEX('POR Config List'!C:C,MATCH(G751,'POR Config List'!D:D,0)))</f>
        <v/>
      </c>
      <c r="P751" s="105" t="str">
        <f t="shared" si="4"/>
        <v/>
      </c>
      <c r="Q751" s="105" t="str">
        <f t="array" ref="Q751">IF(ISBLANK(G751),"",INDEX('label approval artwork'!J:J,MATCH( G751,'label approval artwork'!F:F,0)))</f>
        <v/>
      </c>
      <c r="R751" s="105" t="str">
        <f t="array" ref="R751">IFERROR( IF(P751&lt;&gt;"EMA",INDEX('label approval artwork'!H:H,MATCH(G751,'label approval artwork'!F:F,0),"")),"")</f>
        <v/>
      </c>
      <c r="S751" s="105"/>
      <c r="T751" s="105" t="str">
        <f t="array" ref="T751">IF(ISBLANK(G751),"",INDEX('POR Config List'!I:I,MATCH(G751,'POR Config List'!D:D,0)))</f>
        <v/>
      </c>
      <c r="AA751" s="100" t="str">
        <f t="array" ref="AA751">IF(ISBLANK(G751),"",INDEX('POR Config List'!E:E,MATCH(G751,'POR Config List'!D:D,0)))</f>
        <v/>
      </c>
      <c r="AC751" s="105"/>
      <c r="AD751" s="100"/>
      <c r="AE751" s="100"/>
      <c r="AF751" s="100"/>
      <c r="AG751" s="100"/>
      <c r="AM751" s="102"/>
      <c r="AN751" s="102"/>
      <c r="AR751" s="119"/>
      <c r="AS751" s="103"/>
    </row>
    <row r="752">
      <c r="A752" s="168"/>
      <c r="B752" s="100" t="str">
        <f t="array" ref="B752">IFERROR( INDEX('POR Config List'!A:A,MATCH(G752,'POR Config List'!D:D,0)),"")</f>
        <v/>
      </c>
      <c r="C752" s="101" t="str">
        <f t="array" ref="C752">IFERROR(INDEX('label approval artwork'!E:E,MATCH(G752,'label approval artwork'!F:F,0),""),"")</f>
        <v/>
      </c>
      <c r="D752" s="102" t="str">
        <f t="shared" si="3"/>
        <v/>
      </c>
      <c r="E752" s="100" t="str">
        <f t="array" ref="E752">IF(ISBLANK(G752),"",INDEX('POR Config List'!K:K,MATCH(G752,'POR Config List'!D:D,0)))</f>
        <v/>
      </c>
      <c r="F752" s="100" t="str">
        <f t="array" ref="F752">IF(ISBLANK(G752),"",INDEX('POR Config List'!J:J,MATCH(G752,'POR Config List'!D:D,0)))</f>
        <v/>
      </c>
      <c r="G752" s="168"/>
      <c r="H752" s="104" t="str">
        <f t="array" ref="H752">IF(ISBLANK(G752),"",INDEX('MP SKUs'!G:G,MATCH(G752,'MP SKUs'!A:A,0)))</f>
        <v/>
      </c>
      <c r="I752" s="105" t="str">
        <f t="array" ref="I752">IF(ISBLANK(G752),"",INDEX('POR Config List'!O:O,MATCH(G752,'POR Config List'!D:D,0)))</f>
        <v/>
      </c>
      <c r="J752" s="104" t="str">
        <f t="array" ref="J752">IF(ISBLANK(G752),"",INDEX('POR Config List'!H:H,MATCH(G752,'POR Config List'!D:D,0)))</f>
        <v/>
      </c>
      <c r="K752" s="105" t="str">
        <f t="array" ref="K752">IF(ISBLANK(G752),"",INDEX('POR Config List'!G:G,MATCH(G752,'POR Config List'!D:D,0)))</f>
        <v/>
      </c>
      <c r="L752" s="105"/>
      <c r="M752" s="105" t="str">
        <f t="array" ref="M752">IF(ISBLANK(G752),"",INDEX('label approval artwork'!Q:Q,MATCH( G752,'label approval artwork'!F:F,0)))</f>
        <v/>
      </c>
      <c r="N752" s="169" t="str">
        <f t="shared" si="5"/>
        <v/>
      </c>
      <c r="O752" s="102" t="str">
        <f t="array" ref="O752">IF(ISBLANK(G752),"",INDEX('POR Config List'!C:C,MATCH(G752,'POR Config List'!D:D,0)))</f>
        <v/>
      </c>
      <c r="P752" s="105" t="str">
        <f t="shared" si="4"/>
        <v/>
      </c>
      <c r="Q752" s="105" t="str">
        <f t="array" ref="Q752">IF(ISBLANK(G752),"",INDEX('label approval artwork'!J:J,MATCH( G752,'label approval artwork'!F:F,0)))</f>
        <v/>
      </c>
      <c r="R752" s="105" t="str">
        <f t="array" ref="R752">IFERROR( IF(P752&lt;&gt;"EMA",INDEX('label approval artwork'!H:H,MATCH(G752,'label approval artwork'!F:F,0),"")),"")</f>
        <v/>
      </c>
      <c r="S752" s="105"/>
      <c r="T752" s="105" t="str">
        <f t="array" ref="T752">IF(ISBLANK(G752),"",INDEX('POR Config List'!I:I,MATCH(G752,'POR Config List'!D:D,0)))</f>
        <v/>
      </c>
      <c r="AA752" s="100" t="str">
        <f t="array" ref="AA752">IF(ISBLANK(G752),"",INDEX('POR Config List'!E:E,MATCH(G752,'POR Config List'!D:D,0)))</f>
        <v/>
      </c>
      <c r="AC752" s="105"/>
      <c r="AD752" s="100"/>
      <c r="AE752" s="100"/>
      <c r="AF752" s="100"/>
      <c r="AG752" s="100"/>
      <c r="AM752" s="102"/>
      <c r="AN752" s="102"/>
      <c r="AR752" s="119"/>
      <c r="AS752" s="103"/>
    </row>
    <row r="753">
      <c r="A753" s="168"/>
      <c r="B753" s="100" t="str">
        <f t="array" ref="B753">IFERROR( INDEX('POR Config List'!A:A,MATCH(G753,'POR Config List'!D:D,0)),"")</f>
        <v/>
      </c>
      <c r="C753" s="101" t="str">
        <f t="array" ref="C753">IFERROR(INDEX('label approval artwork'!E:E,MATCH(G753,'label approval artwork'!F:F,0),""),"")</f>
        <v/>
      </c>
      <c r="D753" s="102" t="str">
        <f t="shared" si="3"/>
        <v/>
      </c>
      <c r="E753" s="100" t="str">
        <f t="array" ref="E753">IF(ISBLANK(G753),"",INDEX('POR Config List'!K:K,MATCH(G753,'POR Config List'!D:D,0)))</f>
        <v/>
      </c>
      <c r="F753" s="100" t="str">
        <f t="array" ref="F753">IF(ISBLANK(G753),"",INDEX('POR Config List'!J:J,MATCH(G753,'POR Config List'!D:D,0)))</f>
        <v/>
      </c>
      <c r="G753" s="168"/>
      <c r="H753" s="104" t="str">
        <f t="array" ref="H753">IF(ISBLANK(G753),"",INDEX('MP SKUs'!G:G,MATCH(G753,'MP SKUs'!A:A,0)))</f>
        <v/>
      </c>
      <c r="I753" s="105" t="str">
        <f t="array" ref="I753">IF(ISBLANK(G753),"",INDEX('POR Config List'!O:O,MATCH(G753,'POR Config List'!D:D,0)))</f>
        <v/>
      </c>
      <c r="J753" s="104" t="str">
        <f t="array" ref="J753">IF(ISBLANK(G753),"",INDEX('POR Config List'!H:H,MATCH(G753,'POR Config List'!D:D,0)))</f>
        <v/>
      </c>
      <c r="K753" s="105" t="str">
        <f t="array" ref="K753">IF(ISBLANK(G753),"",INDEX('POR Config List'!G:G,MATCH(G753,'POR Config List'!D:D,0)))</f>
        <v/>
      </c>
      <c r="L753" s="105"/>
      <c r="M753" s="105" t="str">
        <f t="array" ref="M753">IF(ISBLANK(G753),"",INDEX('label approval artwork'!Q:Q,MATCH( G753,'label approval artwork'!F:F,0)))</f>
        <v/>
      </c>
      <c r="N753" s="169" t="str">
        <f t="shared" si="5"/>
        <v/>
      </c>
      <c r="O753" s="102" t="str">
        <f t="array" ref="O753">IF(ISBLANK(G753),"",INDEX('POR Config List'!C:C,MATCH(G753,'POR Config List'!D:D,0)))</f>
        <v/>
      </c>
      <c r="P753" s="105" t="str">
        <f t="shared" si="4"/>
        <v/>
      </c>
      <c r="Q753" s="105" t="str">
        <f t="array" ref="Q753">IF(ISBLANK(G753),"",INDEX('label approval artwork'!J:J,MATCH( G753,'label approval artwork'!F:F,0)))</f>
        <v/>
      </c>
      <c r="R753" s="105" t="str">
        <f t="array" ref="R753">IFERROR( IF(P753&lt;&gt;"EMA",INDEX('label approval artwork'!H:H,MATCH(G753,'label approval artwork'!F:F,0),"")),"")</f>
        <v/>
      </c>
      <c r="S753" s="105"/>
      <c r="T753" s="105" t="str">
        <f t="array" ref="T753">IF(ISBLANK(G753),"",INDEX('POR Config List'!I:I,MATCH(G753,'POR Config List'!D:D,0)))</f>
        <v/>
      </c>
      <c r="AA753" s="100" t="str">
        <f t="array" ref="AA753">IF(ISBLANK(G753),"",INDEX('POR Config List'!E:E,MATCH(G753,'POR Config List'!D:D,0)))</f>
        <v/>
      </c>
      <c r="AC753" s="105"/>
      <c r="AD753" s="100"/>
      <c r="AE753" s="100"/>
      <c r="AF753" s="100"/>
      <c r="AG753" s="100"/>
      <c r="AM753" s="102"/>
      <c r="AN753" s="102"/>
      <c r="AR753" s="119"/>
      <c r="AS753" s="103"/>
    </row>
    <row r="754">
      <c r="A754" s="168"/>
      <c r="B754" s="100" t="str">
        <f t="array" ref="B754">IFERROR( INDEX('POR Config List'!A:A,MATCH(G754,'POR Config List'!D:D,0)),"")</f>
        <v/>
      </c>
      <c r="C754" s="101" t="str">
        <f t="array" ref="C754">IFERROR(INDEX('label approval artwork'!E:E,MATCH(G754,'label approval artwork'!F:F,0),""),"")</f>
        <v/>
      </c>
      <c r="D754" s="102" t="str">
        <f t="shared" si="3"/>
        <v/>
      </c>
      <c r="E754" s="100" t="str">
        <f t="array" ref="E754">IF(ISBLANK(G754),"",INDEX('POR Config List'!K:K,MATCH(G754,'POR Config List'!D:D,0)))</f>
        <v/>
      </c>
      <c r="F754" s="100" t="str">
        <f t="array" ref="F754">IF(ISBLANK(G754),"",INDEX('POR Config List'!J:J,MATCH(G754,'POR Config List'!D:D,0)))</f>
        <v/>
      </c>
      <c r="G754" s="168"/>
      <c r="H754" s="104" t="str">
        <f t="array" ref="H754">IF(ISBLANK(G754),"",INDEX('MP SKUs'!G:G,MATCH(G754,'MP SKUs'!A:A,0)))</f>
        <v/>
      </c>
      <c r="I754" s="105" t="str">
        <f t="array" ref="I754">IF(ISBLANK(G754),"",INDEX('POR Config List'!O:O,MATCH(G754,'POR Config List'!D:D,0)))</f>
        <v/>
      </c>
      <c r="J754" s="104" t="str">
        <f t="array" ref="J754">IF(ISBLANK(G754),"",INDEX('POR Config List'!H:H,MATCH(G754,'POR Config List'!D:D,0)))</f>
        <v/>
      </c>
      <c r="K754" s="105" t="str">
        <f t="array" ref="K754">IF(ISBLANK(G754),"",INDEX('POR Config List'!G:G,MATCH(G754,'POR Config List'!D:D,0)))</f>
        <v/>
      </c>
      <c r="L754" s="105"/>
      <c r="M754" s="105" t="str">
        <f t="array" ref="M754">IF(ISBLANK(G754),"",INDEX('label approval artwork'!Q:Q,MATCH( G754,'label approval artwork'!F:F,0)))</f>
        <v/>
      </c>
      <c r="N754" s="169" t="str">
        <f t="shared" si="5"/>
        <v/>
      </c>
      <c r="O754" s="102" t="str">
        <f t="array" ref="O754">IF(ISBLANK(G754),"",INDEX('POR Config List'!C:C,MATCH(G754,'POR Config List'!D:D,0)))</f>
        <v/>
      </c>
      <c r="P754" s="105" t="str">
        <f t="shared" si="4"/>
        <v/>
      </c>
      <c r="Q754" s="105" t="str">
        <f t="array" ref="Q754">IF(ISBLANK(G754),"",INDEX('label approval artwork'!J:J,MATCH( G754,'label approval artwork'!F:F,0)))</f>
        <v/>
      </c>
      <c r="R754" s="105" t="str">
        <f t="array" ref="R754">IFERROR( IF(P754&lt;&gt;"EMA",INDEX('label approval artwork'!H:H,MATCH(G754,'label approval artwork'!F:F,0),"")),"")</f>
        <v/>
      </c>
      <c r="S754" s="105"/>
      <c r="T754" s="105" t="str">
        <f t="array" ref="T754">IF(ISBLANK(G754),"",INDEX('POR Config List'!I:I,MATCH(G754,'POR Config List'!D:D,0)))</f>
        <v/>
      </c>
      <c r="AA754" s="100" t="str">
        <f t="array" ref="AA754">IF(ISBLANK(G754),"",INDEX('POR Config List'!E:E,MATCH(G754,'POR Config List'!D:D,0)))</f>
        <v/>
      </c>
      <c r="AC754" s="105"/>
      <c r="AD754" s="100"/>
      <c r="AE754" s="100"/>
      <c r="AF754" s="100"/>
      <c r="AG754" s="100"/>
      <c r="AM754" s="102"/>
      <c r="AN754" s="102"/>
      <c r="AR754" s="119"/>
      <c r="AS754" s="103"/>
    </row>
    <row r="755">
      <c r="A755" s="168"/>
      <c r="B755" s="100" t="str">
        <f t="array" ref="B755">IFERROR( INDEX('POR Config List'!A:A,MATCH(G755,'POR Config List'!D:D,0)),"")</f>
        <v/>
      </c>
      <c r="C755" s="101" t="str">
        <f t="array" ref="C755">IFERROR(INDEX('label approval artwork'!E:E,MATCH(G755,'label approval artwork'!F:F,0),""),"")</f>
        <v/>
      </c>
      <c r="D755" s="102" t="str">
        <f t="shared" si="3"/>
        <v/>
      </c>
      <c r="E755" s="100" t="str">
        <f t="array" ref="E755">IF(ISBLANK(G755),"",INDEX('POR Config List'!K:K,MATCH(G755,'POR Config List'!D:D,0)))</f>
        <v/>
      </c>
      <c r="F755" s="100" t="str">
        <f t="array" ref="F755">IF(ISBLANK(G755),"",INDEX('POR Config List'!J:J,MATCH(G755,'POR Config List'!D:D,0)))</f>
        <v/>
      </c>
      <c r="G755" s="168"/>
      <c r="H755" s="104" t="str">
        <f t="array" ref="H755">IF(ISBLANK(G755),"",INDEX('MP SKUs'!G:G,MATCH(G755,'MP SKUs'!A:A,0)))</f>
        <v/>
      </c>
      <c r="I755" s="105" t="str">
        <f t="array" ref="I755">IF(ISBLANK(G755),"",INDEX('POR Config List'!O:O,MATCH(G755,'POR Config List'!D:D,0)))</f>
        <v/>
      </c>
      <c r="J755" s="104" t="str">
        <f t="array" ref="J755">IF(ISBLANK(G755),"",INDEX('POR Config List'!H:H,MATCH(G755,'POR Config List'!D:D,0)))</f>
        <v/>
      </c>
      <c r="K755" s="105" t="str">
        <f t="array" ref="K755">IF(ISBLANK(G755),"",INDEX('POR Config List'!G:G,MATCH(G755,'POR Config List'!D:D,0)))</f>
        <v/>
      </c>
      <c r="L755" s="105"/>
      <c r="M755" s="105" t="str">
        <f t="array" ref="M755">IF(ISBLANK(G755),"",INDEX('label approval artwork'!Q:Q,MATCH( G755,'label approval artwork'!F:F,0)))</f>
        <v/>
      </c>
      <c r="N755" s="169" t="str">
        <f t="shared" si="5"/>
        <v/>
      </c>
      <c r="O755" s="102" t="str">
        <f t="array" ref="O755">IF(ISBLANK(G755),"",INDEX('POR Config List'!C:C,MATCH(G755,'POR Config List'!D:D,0)))</f>
        <v/>
      </c>
      <c r="P755" s="105" t="str">
        <f t="shared" si="4"/>
        <v/>
      </c>
      <c r="Q755" s="105" t="str">
        <f t="array" ref="Q755">IF(ISBLANK(G755),"",INDEX('label approval artwork'!J:J,MATCH( G755,'label approval artwork'!F:F,0)))</f>
        <v/>
      </c>
      <c r="R755" s="105" t="str">
        <f t="array" ref="R755">IFERROR( IF(P755&lt;&gt;"EMA",INDEX('label approval artwork'!H:H,MATCH(G755,'label approval artwork'!F:F,0),"")),"")</f>
        <v/>
      </c>
      <c r="S755" s="105"/>
      <c r="T755" s="105" t="str">
        <f t="array" ref="T755">IF(ISBLANK(G755),"",INDEX('POR Config List'!I:I,MATCH(G755,'POR Config List'!D:D,0)))</f>
        <v/>
      </c>
      <c r="AA755" s="100" t="str">
        <f t="array" ref="AA755">IF(ISBLANK(G755),"",INDEX('POR Config List'!E:E,MATCH(G755,'POR Config List'!D:D,0)))</f>
        <v/>
      </c>
      <c r="AC755" s="105"/>
      <c r="AD755" s="100"/>
      <c r="AE755" s="100"/>
      <c r="AF755" s="100"/>
      <c r="AG755" s="100"/>
      <c r="AM755" s="102"/>
      <c r="AN755" s="102"/>
      <c r="AR755" s="119"/>
      <c r="AS755" s="103"/>
    </row>
    <row r="756">
      <c r="A756" s="168"/>
      <c r="B756" s="100" t="str">
        <f t="array" ref="B756">IFERROR( INDEX('POR Config List'!A:A,MATCH(G756,'POR Config List'!D:D,0)),"")</f>
        <v/>
      </c>
      <c r="C756" s="101" t="str">
        <f t="array" ref="C756">IFERROR(INDEX('label approval artwork'!E:E,MATCH(G756,'label approval artwork'!F:F,0),""),"")</f>
        <v/>
      </c>
      <c r="D756" s="102" t="str">
        <f t="shared" si="3"/>
        <v/>
      </c>
      <c r="E756" s="100" t="str">
        <f t="array" ref="E756">IF(ISBLANK(G756),"",INDEX('POR Config List'!K:K,MATCH(G756,'POR Config List'!D:D,0)))</f>
        <v/>
      </c>
      <c r="F756" s="100" t="str">
        <f t="array" ref="F756">IF(ISBLANK(G756),"",INDEX('POR Config List'!J:J,MATCH(G756,'POR Config List'!D:D,0)))</f>
        <v/>
      </c>
      <c r="G756" s="168"/>
      <c r="H756" s="104" t="str">
        <f t="array" ref="H756">IF(ISBLANK(G756),"",INDEX('MP SKUs'!G:G,MATCH(G756,'MP SKUs'!A:A,0)))</f>
        <v/>
      </c>
      <c r="I756" s="105" t="str">
        <f t="array" ref="I756">IF(ISBLANK(G756),"",INDEX('POR Config List'!O:O,MATCH(G756,'POR Config List'!D:D,0)))</f>
        <v/>
      </c>
      <c r="J756" s="104" t="str">
        <f t="array" ref="J756">IF(ISBLANK(G756),"",INDEX('POR Config List'!H:H,MATCH(G756,'POR Config List'!D:D,0)))</f>
        <v/>
      </c>
      <c r="K756" s="105" t="str">
        <f t="array" ref="K756">IF(ISBLANK(G756),"",INDEX('POR Config List'!G:G,MATCH(G756,'POR Config List'!D:D,0)))</f>
        <v/>
      </c>
      <c r="L756" s="105"/>
      <c r="M756" s="105" t="str">
        <f t="array" ref="M756">IF(ISBLANK(G756),"",INDEX('label approval artwork'!Q:Q,MATCH( G756,'label approval artwork'!F:F,0)))</f>
        <v/>
      </c>
      <c r="N756" s="169" t="str">
        <f t="shared" si="5"/>
        <v/>
      </c>
      <c r="O756" s="102" t="str">
        <f t="array" ref="O756">IF(ISBLANK(G756),"",INDEX('POR Config List'!C:C,MATCH(G756,'POR Config List'!D:D,0)))</f>
        <v/>
      </c>
      <c r="P756" s="105" t="str">
        <f t="shared" si="4"/>
        <v/>
      </c>
      <c r="Q756" s="105" t="str">
        <f t="array" ref="Q756">IF(ISBLANK(G756),"",INDEX('label approval artwork'!J:J,MATCH( G756,'label approval artwork'!F:F,0)))</f>
        <v/>
      </c>
      <c r="R756" s="105" t="str">
        <f t="array" ref="R756">IFERROR( IF(P756&lt;&gt;"EMA",INDEX('label approval artwork'!H:H,MATCH(G756,'label approval artwork'!F:F,0),"")),"")</f>
        <v/>
      </c>
      <c r="S756" s="105"/>
      <c r="T756" s="105" t="str">
        <f t="array" ref="T756">IF(ISBLANK(G756),"",INDEX('POR Config List'!I:I,MATCH(G756,'POR Config List'!D:D,0)))</f>
        <v/>
      </c>
      <c r="AA756" s="100" t="str">
        <f t="array" ref="AA756">IF(ISBLANK(G756),"",INDEX('POR Config List'!E:E,MATCH(G756,'POR Config List'!D:D,0)))</f>
        <v/>
      </c>
      <c r="AC756" s="105"/>
      <c r="AD756" s="100"/>
      <c r="AE756" s="100"/>
      <c r="AF756" s="100"/>
      <c r="AG756" s="100"/>
      <c r="AM756" s="102"/>
      <c r="AN756" s="102"/>
      <c r="AR756" s="119"/>
      <c r="AS756" s="103"/>
    </row>
    <row r="757">
      <c r="A757" s="168"/>
      <c r="B757" s="100" t="str">
        <f t="array" ref="B757">IFERROR( INDEX('POR Config List'!A:A,MATCH(G757,'POR Config List'!D:D,0)),"")</f>
        <v/>
      </c>
      <c r="C757" s="101" t="str">
        <f t="array" ref="C757">IFERROR(INDEX('label approval artwork'!E:E,MATCH(G757,'label approval artwork'!F:F,0),""),"")</f>
        <v/>
      </c>
      <c r="D757" s="102" t="str">
        <f t="shared" si="3"/>
        <v/>
      </c>
      <c r="E757" s="100" t="str">
        <f t="array" ref="E757">IF(ISBLANK(G757),"",INDEX('POR Config List'!K:K,MATCH(G757,'POR Config List'!D:D,0)))</f>
        <v/>
      </c>
      <c r="F757" s="100" t="str">
        <f t="array" ref="F757">IF(ISBLANK(G757),"",INDEX('POR Config List'!J:J,MATCH(G757,'POR Config List'!D:D,0)))</f>
        <v/>
      </c>
      <c r="G757" s="168"/>
      <c r="H757" s="104" t="str">
        <f t="array" ref="H757">IF(ISBLANK(G757),"",INDEX('MP SKUs'!G:G,MATCH(G757,'MP SKUs'!A:A,0)))</f>
        <v/>
      </c>
      <c r="I757" s="105" t="str">
        <f t="array" ref="I757">IF(ISBLANK(G757),"",INDEX('POR Config List'!O:O,MATCH(G757,'POR Config List'!D:D,0)))</f>
        <v/>
      </c>
      <c r="J757" s="104" t="str">
        <f t="array" ref="J757">IF(ISBLANK(G757),"",INDEX('POR Config List'!H:H,MATCH(G757,'POR Config List'!D:D,0)))</f>
        <v/>
      </c>
      <c r="K757" s="105" t="str">
        <f t="array" ref="K757">IF(ISBLANK(G757),"",INDEX('POR Config List'!G:G,MATCH(G757,'POR Config List'!D:D,0)))</f>
        <v/>
      </c>
      <c r="L757" s="105"/>
      <c r="M757" s="105" t="str">
        <f t="array" ref="M757">IF(ISBLANK(G757),"",INDEX('label approval artwork'!Q:Q,MATCH( G757,'label approval artwork'!F:F,0)))</f>
        <v/>
      </c>
      <c r="N757" s="169" t="str">
        <f t="shared" si="5"/>
        <v/>
      </c>
      <c r="O757" s="102" t="str">
        <f t="array" ref="O757">IF(ISBLANK(G757),"",INDEX('POR Config List'!C:C,MATCH(G757,'POR Config List'!D:D,0)))</f>
        <v/>
      </c>
      <c r="P757" s="105" t="str">
        <f t="shared" si="4"/>
        <v/>
      </c>
      <c r="Q757" s="105" t="str">
        <f t="array" ref="Q757">IF(ISBLANK(G757),"",INDEX('label approval artwork'!J:J,MATCH( G757,'label approval artwork'!F:F,0)))</f>
        <v/>
      </c>
      <c r="R757" s="105" t="str">
        <f t="array" ref="R757">IFERROR( IF(P757&lt;&gt;"EMA",INDEX('label approval artwork'!H:H,MATCH(G757,'label approval artwork'!F:F,0),"")),"")</f>
        <v/>
      </c>
      <c r="S757" s="105"/>
      <c r="T757" s="105" t="str">
        <f t="array" ref="T757">IF(ISBLANK(G757),"",INDEX('POR Config List'!I:I,MATCH(G757,'POR Config List'!D:D,0)))</f>
        <v/>
      </c>
      <c r="AA757" s="100" t="str">
        <f t="array" ref="AA757">IF(ISBLANK(G757),"",INDEX('POR Config List'!E:E,MATCH(G757,'POR Config List'!D:D,0)))</f>
        <v/>
      </c>
      <c r="AC757" s="105"/>
      <c r="AD757" s="100"/>
      <c r="AE757" s="100"/>
      <c r="AF757" s="100"/>
      <c r="AG757" s="100"/>
      <c r="AM757" s="102"/>
      <c r="AN757" s="102"/>
      <c r="AR757" s="119"/>
      <c r="AS757" s="103"/>
    </row>
    <row r="758">
      <c r="A758" s="168"/>
      <c r="B758" s="100" t="str">
        <f t="array" ref="B758">IFERROR( INDEX('POR Config List'!A:A,MATCH(G758,'POR Config List'!D:D,0)),"")</f>
        <v/>
      </c>
      <c r="C758" s="101" t="str">
        <f t="array" ref="C758">IFERROR(INDEX('label approval artwork'!E:E,MATCH(G758,'label approval artwork'!F:F,0),""),"")</f>
        <v/>
      </c>
      <c r="D758" s="102" t="str">
        <f t="shared" si="3"/>
        <v/>
      </c>
      <c r="E758" s="100" t="str">
        <f t="array" ref="E758">IF(ISBLANK(G758),"",INDEX('POR Config List'!K:K,MATCH(G758,'POR Config List'!D:D,0)))</f>
        <v/>
      </c>
      <c r="F758" s="100" t="str">
        <f t="array" ref="F758">IF(ISBLANK(G758),"",INDEX('POR Config List'!J:J,MATCH(G758,'POR Config List'!D:D,0)))</f>
        <v/>
      </c>
      <c r="G758" s="168"/>
      <c r="H758" s="104" t="str">
        <f t="array" ref="H758">IF(ISBLANK(G758),"",INDEX('MP SKUs'!G:G,MATCH(G758,'MP SKUs'!A:A,0)))</f>
        <v/>
      </c>
      <c r="I758" s="105" t="str">
        <f t="array" ref="I758">IF(ISBLANK(G758),"",INDEX('POR Config List'!O:O,MATCH(G758,'POR Config List'!D:D,0)))</f>
        <v/>
      </c>
      <c r="J758" s="104" t="str">
        <f t="array" ref="J758">IF(ISBLANK(G758),"",INDEX('POR Config List'!H:H,MATCH(G758,'POR Config List'!D:D,0)))</f>
        <v/>
      </c>
      <c r="K758" s="105" t="str">
        <f t="array" ref="K758">IF(ISBLANK(G758),"",INDEX('POR Config List'!G:G,MATCH(G758,'POR Config List'!D:D,0)))</f>
        <v/>
      </c>
      <c r="L758" s="105"/>
      <c r="M758" s="105" t="str">
        <f t="array" ref="M758">IF(ISBLANK(G758),"",INDEX('label approval artwork'!Q:Q,MATCH( G758,'label approval artwork'!F:F,0)))</f>
        <v/>
      </c>
      <c r="N758" s="169" t="str">
        <f t="shared" si="5"/>
        <v/>
      </c>
      <c r="O758" s="102" t="str">
        <f t="array" ref="O758">IF(ISBLANK(G758),"",INDEX('POR Config List'!C:C,MATCH(G758,'POR Config List'!D:D,0)))</f>
        <v/>
      </c>
      <c r="P758" s="105" t="str">
        <f t="shared" si="4"/>
        <v/>
      </c>
      <c r="Q758" s="105" t="str">
        <f t="array" ref="Q758">IF(ISBLANK(G758),"",INDEX('label approval artwork'!J:J,MATCH( G758,'label approval artwork'!F:F,0)))</f>
        <v/>
      </c>
      <c r="R758" s="105" t="str">
        <f t="array" ref="R758">IFERROR( IF(P758&lt;&gt;"EMA",INDEX('label approval artwork'!H:H,MATCH(G758,'label approval artwork'!F:F,0),"")),"")</f>
        <v/>
      </c>
      <c r="S758" s="105"/>
      <c r="T758" s="105" t="str">
        <f t="array" ref="T758">IF(ISBLANK(G758),"",INDEX('POR Config List'!I:I,MATCH(G758,'POR Config List'!D:D,0)))</f>
        <v/>
      </c>
      <c r="AA758" s="100" t="str">
        <f t="array" ref="AA758">IF(ISBLANK(G758),"",INDEX('POR Config List'!E:E,MATCH(G758,'POR Config List'!D:D,0)))</f>
        <v/>
      </c>
      <c r="AC758" s="105"/>
      <c r="AD758" s="100"/>
      <c r="AE758" s="100"/>
      <c r="AF758" s="100"/>
      <c r="AG758" s="100"/>
      <c r="AM758" s="102"/>
      <c r="AN758" s="102"/>
      <c r="AR758" s="119"/>
      <c r="AS758" s="103"/>
    </row>
    <row r="759">
      <c r="A759" s="168"/>
      <c r="B759" s="100" t="str">
        <f t="array" ref="B759">IFERROR( INDEX('POR Config List'!A:A,MATCH(G759,'POR Config List'!D:D,0)),"")</f>
        <v/>
      </c>
      <c r="C759" s="101" t="str">
        <f t="array" ref="C759">IFERROR(INDEX('label approval artwork'!E:E,MATCH(G759,'label approval artwork'!F:F,0),""),"")</f>
        <v/>
      </c>
      <c r="D759" s="102" t="str">
        <f t="shared" si="3"/>
        <v/>
      </c>
      <c r="E759" s="100" t="str">
        <f t="array" ref="E759">IF(ISBLANK(G759),"",INDEX('POR Config List'!K:K,MATCH(G759,'POR Config List'!D:D,0)))</f>
        <v/>
      </c>
      <c r="F759" s="100" t="str">
        <f t="array" ref="F759">IF(ISBLANK(G759),"",INDEX('POR Config List'!J:J,MATCH(G759,'POR Config List'!D:D,0)))</f>
        <v/>
      </c>
      <c r="G759" s="168"/>
      <c r="H759" s="104" t="str">
        <f t="array" ref="H759">IF(ISBLANK(G759),"",INDEX('MP SKUs'!G:G,MATCH(G759,'MP SKUs'!A:A,0)))</f>
        <v/>
      </c>
      <c r="I759" s="105" t="str">
        <f t="array" ref="I759">IF(ISBLANK(G759),"",INDEX('POR Config List'!O:O,MATCH(G759,'POR Config List'!D:D,0)))</f>
        <v/>
      </c>
      <c r="J759" s="104" t="str">
        <f t="array" ref="J759">IF(ISBLANK(G759),"",INDEX('POR Config List'!H:H,MATCH(G759,'POR Config List'!D:D,0)))</f>
        <v/>
      </c>
      <c r="K759" s="105" t="str">
        <f t="array" ref="K759">IF(ISBLANK(G759),"",INDEX('POR Config List'!G:G,MATCH(G759,'POR Config List'!D:D,0)))</f>
        <v/>
      </c>
      <c r="L759" s="105"/>
      <c r="M759" s="105" t="str">
        <f t="array" ref="M759">IF(ISBLANK(G759),"",INDEX('label approval artwork'!Q:Q,MATCH( G759,'label approval artwork'!F:F,0)))</f>
        <v/>
      </c>
      <c r="N759" s="169" t="str">
        <f t="shared" si="5"/>
        <v/>
      </c>
      <c r="O759" s="102" t="str">
        <f t="array" ref="O759">IF(ISBLANK(G759),"",INDEX('POR Config List'!C:C,MATCH(G759,'POR Config List'!D:D,0)))</f>
        <v/>
      </c>
      <c r="P759" s="105" t="str">
        <f t="shared" si="4"/>
        <v/>
      </c>
      <c r="Q759" s="105" t="str">
        <f t="array" ref="Q759">IF(ISBLANK(G759),"",INDEX('label approval artwork'!J:J,MATCH( G759,'label approval artwork'!F:F,0)))</f>
        <v/>
      </c>
      <c r="R759" s="105" t="str">
        <f t="array" ref="R759">IFERROR( IF(P759&lt;&gt;"EMA",INDEX('label approval artwork'!H:H,MATCH(G759,'label approval artwork'!F:F,0),"")),"")</f>
        <v/>
      </c>
      <c r="S759" s="105"/>
      <c r="T759" s="105" t="str">
        <f t="array" ref="T759">IF(ISBLANK(G759),"",INDEX('POR Config List'!I:I,MATCH(G759,'POR Config List'!D:D,0)))</f>
        <v/>
      </c>
      <c r="AA759" s="100" t="str">
        <f t="array" ref="AA759">IF(ISBLANK(G759),"",INDEX('POR Config List'!E:E,MATCH(G759,'POR Config List'!D:D,0)))</f>
        <v/>
      </c>
      <c r="AC759" s="105"/>
      <c r="AD759" s="100"/>
      <c r="AE759" s="100"/>
      <c r="AF759" s="100"/>
      <c r="AG759" s="100"/>
      <c r="AM759" s="102"/>
      <c r="AN759" s="102"/>
      <c r="AR759" s="119"/>
      <c r="AS759" s="103"/>
    </row>
    <row r="760">
      <c r="A760" s="168"/>
      <c r="B760" s="100" t="str">
        <f t="array" ref="B760">IFERROR( INDEX('POR Config List'!A:A,MATCH(G760,'POR Config List'!D:D,0)),"")</f>
        <v/>
      </c>
      <c r="C760" s="101" t="str">
        <f t="array" ref="C760">IFERROR(INDEX('label approval artwork'!E:E,MATCH(G760,'label approval artwork'!F:F,0),""),"")</f>
        <v/>
      </c>
      <c r="D760" s="102" t="str">
        <f t="shared" si="3"/>
        <v/>
      </c>
      <c r="E760" s="100" t="str">
        <f t="array" ref="E760">IF(ISBLANK(G760),"",INDEX('POR Config List'!K:K,MATCH(G760,'POR Config List'!D:D,0)))</f>
        <v/>
      </c>
      <c r="F760" s="100" t="str">
        <f t="array" ref="F760">IF(ISBLANK(G760),"",INDEX('POR Config List'!J:J,MATCH(G760,'POR Config List'!D:D,0)))</f>
        <v/>
      </c>
      <c r="G760" s="168"/>
      <c r="H760" s="104" t="str">
        <f t="array" ref="H760">IF(ISBLANK(G760),"",INDEX('MP SKUs'!G:G,MATCH(G760,'MP SKUs'!A:A,0)))</f>
        <v/>
      </c>
      <c r="I760" s="105" t="str">
        <f t="array" ref="I760">IF(ISBLANK(G760),"",INDEX('POR Config List'!O:O,MATCH(G760,'POR Config List'!D:D,0)))</f>
        <v/>
      </c>
      <c r="J760" s="104" t="str">
        <f t="array" ref="J760">IF(ISBLANK(G760),"",INDEX('POR Config List'!H:H,MATCH(G760,'POR Config List'!D:D,0)))</f>
        <v/>
      </c>
      <c r="K760" s="105" t="str">
        <f t="array" ref="K760">IF(ISBLANK(G760),"",INDEX('POR Config List'!G:G,MATCH(G760,'POR Config List'!D:D,0)))</f>
        <v/>
      </c>
      <c r="L760" s="105"/>
      <c r="M760" s="105" t="str">
        <f t="array" ref="M760">IF(ISBLANK(G760),"",INDEX('label approval artwork'!Q:Q,MATCH( G760,'label approval artwork'!F:F,0)))</f>
        <v/>
      </c>
      <c r="N760" s="169" t="str">
        <f t="shared" si="5"/>
        <v/>
      </c>
      <c r="O760" s="102" t="str">
        <f t="array" ref="O760">IF(ISBLANK(G760),"",INDEX('POR Config List'!C:C,MATCH(G760,'POR Config List'!D:D,0)))</f>
        <v/>
      </c>
      <c r="P760" s="105" t="str">
        <f t="shared" si="4"/>
        <v/>
      </c>
      <c r="Q760" s="105" t="str">
        <f t="array" ref="Q760">IF(ISBLANK(G760),"",INDEX('label approval artwork'!J:J,MATCH( G760,'label approval artwork'!F:F,0)))</f>
        <v/>
      </c>
      <c r="R760" s="105" t="str">
        <f t="array" ref="R760">IFERROR( IF(P760&lt;&gt;"EMA",INDEX('label approval artwork'!H:H,MATCH(G760,'label approval artwork'!F:F,0),"")),"")</f>
        <v/>
      </c>
      <c r="S760" s="105"/>
      <c r="T760" s="105" t="str">
        <f t="array" ref="T760">IF(ISBLANK(G760),"",INDEX('POR Config List'!I:I,MATCH(G760,'POR Config List'!D:D,0)))</f>
        <v/>
      </c>
      <c r="AA760" s="100" t="str">
        <f t="array" ref="AA760">IF(ISBLANK(G760),"",INDEX('POR Config List'!E:E,MATCH(G760,'POR Config List'!D:D,0)))</f>
        <v/>
      </c>
      <c r="AC760" s="105"/>
      <c r="AD760" s="100"/>
      <c r="AE760" s="100"/>
      <c r="AF760" s="100"/>
      <c r="AG760" s="100"/>
      <c r="AM760" s="102"/>
      <c r="AN760" s="102"/>
      <c r="AR760" s="119"/>
      <c r="AS760" s="103"/>
    </row>
    <row r="761">
      <c r="A761" s="168"/>
      <c r="B761" s="100" t="str">
        <f t="array" ref="B761">IFERROR( INDEX('POR Config List'!A:A,MATCH(G761,'POR Config List'!D:D,0)),"")</f>
        <v/>
      </c>
      <c r="C761" s="101" t="str">
        <f t="array" ref="C761">IFERROR(INDEX('label approval artwork'!E:E,MATCH(G761,'label approval artwork'!F:F,0),""),"")</f>
        <v/>
      </c>
      <c r="D761" s="102" t="str">
        <f t="shared" si="3"/>
        <v/>
      </c>
      <c r="E761" s="100" t="str">
        <f t="array" ref="E761">IF(ISBLANK(G761),"",INDEX('POR Config List'!K:K,MATCH(G761,'POR Config List'!D:D,0)))</f>
        <v/>
      </c>
      <c r="F761" s="100" t="str">
        <f t="array" ref="F761">IF(ISBLANK(G761),"",INDEX('POR Config List'!J:J,MATCH(G761,'POR Config List'!D:D,0)))</f>
        <v/>
      </c>
      <c r="G761" s="168"/>
      <c r="H761" s="104" t="str">
        <f t="array" ref="H761">IF(ISBLANK(G761),"",INDEX('MP SKUs'!G:G,MATCH(G761,'MP SKUs'!A:A,0)))</f>
        <v/>
      </c>
      <c r="I761" s="105" t="str">
        <f t="array" ref="I761">IF(ISBLANK(G761),"",INDEX('POR Config List'!O:O,MATCH(G761,'POR Config List'!D:D,0)))</f>
        <v/>
      </c>
      <c r="J761" s="104" t="str">
        <f t="array" ref="J761">IF(ISBLANK(G761),"",INDEX('POR Config List'!H:H,MATCH(G761,'POR Config List'!D:D,0)))</f>
        <v/>
      </c>
      <c r="K761" s="105" t="str">
        <f t="array" ref="K761">IF(ISBLANK(G761),"",INDEX('POR Config List'!G:G,MATCH(G761,'POR Config List'!D:D,0)))</f>
        <v/>
      </c>
      <c r="L761" s="105"/>
      <c r="M761" s="105" t="str">
        <f t="array" ref="M761">IF(ISBLANK(G761),"",INDEX('label approval artwork'!Q:Q,MATCH( G761,'label approval artwork'!F:F,0)))</f>
        <v/>
      </c>
      <c r="N761" s="169" t="str">
        <f t="shared" si="5"/>
        <v/>
      </c>
      <c r="O761" s="102" t="str">
        <f t="array" ref="O761">IF(ISBLANK(G761),"",INDEX('POR Config List'!C:C,MATCH(G761,'POR Config List'!D:D,0)))</f>
        <v/>
      </c>
      <c r="P761" s="105" t="str">
        <f t="shared" si="4"/>
        <v/>
      </c>
      <c r="Q761" s="105" t="str">
        <f t="array" ref="Q761">IF(ISBLANK(G761),"",INDEX('label approval artwork'!J:J,MATCH( G761,'label approval artwork'!F:F,0)))</f>
        <v/>
      </c>
      <c r="R761" s="105" t="str">
        <f t="array" ref="R761">IFERROR( IF(P761&lt;&gt;"EMA",INDEX('label approval artwork'!H:H,MATCH(G761,'label approval artwork'!F:F,0),"")),"")</f>
        <v/>
      </c>
      <c r="S761" s="105"/>
      <c r="T761" s="105" t="str">
        <f t="array" ref="T761">IF(ISBLANK(G761),"",INDEX('POR Config List'!I:I,MATCH(G761,'POR Config List'!D:D,0)))</f>
        <v/>
      </c>
      <c r="AA761" s="100" t="str">
        <f t="array" ref="AA761">IF(ISBLANK(G761),"",INDEX('POR Config List'!E:E,MATCH(G761,'POR Config List'!D:D,0)))</f>
        <v/>
      </c>
      <c r="AC761" s="105"/>
      <c r="AD761" s="100"/>
      <c r="AE761" s="100"/>
      <c r="AF761" s="100"/>
      <c r="AG761" s="100"/>
      <c r="AM761" s="102"/>
      <c r="AN761" s="102"/>
      <c r="AR761" s="119"/>
      <c r="AS761" s="103"/>
    </row>
    <row r="762">
      <c r="A762" s="168"/>
      <c r="B762" s="100" t="str">
        <f t="array" ref="B762">IFERROR( INDEX('POR Config List'!A:A,MATCH(G762,'POR Config List'!D:D,0)),"")</f>
        <v/>
      </c>
      <c r="C762" s="101" t="str">
        <f t="array" ref="C762">IFERROR(INDEX('label approval artwork'!E:E,MATCH(G762,'label approval artwork'!F:F,0),""),"")</f>
        <v/>
      </c>
      <c r="D762" s="102" t="str">
        <f t="shared" si="3"/>
        <v/>
      </c>
      <c r="E762" s="100" t="str">
        <f t="array" ref="E762">IF(ISBLANK(G762),"",INDEX('POR Config List'!K:K,MATCH(G762,'POR Config List'!D:D,0)))</f>
        <v/>
      </c>
      <c r="F762" s="100" t="str">
        <f t="array" ref="F762">IF(ISBLANK(G762),"",INDEX('POR Config List'!J:J,MATCH(G762,'POR Config List'!D:D,0)))</f>
        <v/>
      </c>
      <c r="G762" s="168"/>
      <c r="H762" s="104" t="str">
        <f t="array" ref="H762">IF(ISBLANK(G762),"",INDEX('MP SKUs'!G:G,MATCH(G762,'MP SKUs'!A:A,0)))</f>
        <v/>
      </c>
      <c r="I762" s="105" t="str">
        <f t="array" ref="I762">IF(ISBLANK(G762),"",INDEX('POR Config List'!O:O,MATCH(G762,'POR Config List'!D:D,0)))</f>
        <v/>
      </c>
      <c r="J762" s="104" t="str">
        <f t="array" ref="J762">IF(ISBLANK(G762),"",INDEX('POR Config List'!H:H,MATCH(G762,'POR Config List'!D:D,0)))</f>
        <v/>
      </c>
      <c r="K762" s="105" t="str">
        <f t="array" ref="K762">IF(ISBLANK(G762),"",INDEX('POR Config List'!G:G,MATCH(G762,'POR Config List'!D:D,0)))</f>
        <v/>
      </c>
      <c r="L762" s="105"/>
      <c r="M762" s="105" t="str">
        <f t="array" ref="M762">IF(ISBLANK(G762),"",INDEX('label approval artwork'!Q:Q,MATCH( G762,'label approval artwork'!F:F,0)))</f>
        <v/>
      </c>
      <c r="N762" s="169" t="str">
        <f t="shared" si="5"/>
        <v/>
      </c>
      <c r="O762" s="102" t="str">
        <f t="array" ref="O762">IF(ISBLANK(G762),"",INDEX('POR Config List'!C:C,MATCH(G762,'POR Config List'!D:D,0)))</f>
        <v/>
      </c>
      <c r="P762" s="105" t="str">
        <f t="shared" si="4"/>
        <v/>
      </c>
      <c r="Q762" s="105" t="str">
        <f t="array" ref="Q762">IF(ISBLANK(G762),"",INDEX('label approval artwork'!J:J,MATCH( G762,'label approval artwork'!F:F,0)))</f>
        <v/>
      </c>
      <c r="R762" s="105" t="str">
        <f t="array" ref="R762">IFERROR( IF(P762&lt;&gt;"EMA",INDEX('label approval artwork'!H:H,MATCH(G762,'label approval artwork'!F:F,0),"")),"")</f>
        <v/>
      </c>
      <c r="S762" s="105"/>
      <c r="T762" s="105" t="str">
        <f t="array" ref="T762">IF(ISBLANK(G762),"",INDEX('POR Config List'!I:I,MATCH(G762,'POR Config List'!D:D,0)))</f>
        <v/>
      </c>
      <c r="AA762" s="100" t="str">
        <f t="array" ref="AA762">IF(ISBLANK(G762),"",INDEX('POR Config List'!E:E,MATCH(G762,'POR Config List'!D:D,0)))</f>
        <v/>
      </c>
      <c r="AC762" s="105"/>
      <c r="AD762" s="100"/>
      <c r="AE762" s="100"/>
      <c r="AF762" s="100"/>
      <c r="AG762" s="100"/>
      <c r="AM762" s="102"/>
      <c r="AN762" s="102"/>
      <c r="AR762" s="119"/>
      <c r="AS762" s="103"/>
    </row>
    <row r="763">
      <c r="A763" s="168"/>
      <c r="B763" s="100" t="str">
        <f t="array" ref="B763">IFERROR( INDEX('POR Config List'!A:A,MATCH(G763,'POR Config List'!D:D,0)),"")</f>
        <v/>
      </c>
      <c r="C763" s="101" t="str">
        <f t="array" ref="C763">IFERROR(INDEX('label approval artwork'!E:E,MATCH(G763,'label approval artwork'!F:F,0),""),"")</f>
        <v/>
      </c>
      <c r="D763" s="102" t="str">
        <f t="shared" si="3"/>
        <v/>
      </c>
      <c r="E763" s="100" t="str">
        <f t="array" ref="E763">IF(ISBLANK(G763),"",INDEX('POR Config List'!K:K,MATCH(G763,'POR Config List'!D:D,0)))</f>
        <v/>
      </c>
      <c r="F763" s="100" t="str">
        <f t="array" ref="F763">IF(ISBLANK(G763),"",INDEX('POR Config List'!J:J,MATCH(G763,'POR Config List'!D:D,0)))</f>
        <v/>
      </c>
      <c r="G763" s="168"/>
      <c r="H763" s="104" t="str">
        <f t="array" ref="H763">IF(ISBLANK(G763),"",INDEX('MP SKUs'!G:G,MATCH(G763,'MP SKUs'!A:A,0)))</f>
        <v/>
      </c>
      <c r="I763" s="105" t="str">
        <f t="array" ref="I763">IF(ISBLANK(G763),"",INDEX('POR Config List'!O:O,MATCH(G763,'POR Config List'!D:D,0)))</f>
        <v/>
      </c>
      <c r="J763" s="104" t="str">
        <f t="array" ref="J763">IF(ISBLANK(G763),"",INDEX('POR Config List'!H:H,MATCH(G763,'POR Config List'!D:D,0)))</f>
        <v/>
      </c>
      <c r="K763" s="105" t="str">
        <f t="array" ref="K763">IF(ISBLANK(G763),"",INDEX('POR Config List'!G:G,MATCH(G763,'POR Config List'!D:D,0)))</f>
        <v/>
      </c>
      <c r="L763" s="105"/>
      <c r="M763" s="105" t="str">
        <f t="array" ref="M763">IF(ISBLANK(G763),"",INDEX('label approval artwork'!Q:Q,MATCH( G763,'label approval artwork'!F:F,0)))</f>
        <v/>
      </c>
      <c r="N763" s="169" t="str">
        <f t="shared" si="5"/>
        <v/>
      </c>
      <c r="O763" s="102" t="str">
        <f t="array" ref="O763">IF(ISBLANK(G763),"",INDEX('POR Config List'!C:C,MATCH(G763,'POR Config List'!D:D,0)))</f>
        <v/>
      </c>
      <c r="P763" s="105" t="str">
        <f t="shared" si="4"/>
        <v/>
      </c>
      <c r="Q763" s="105" t="str">
        <f t="array" ref="Q763">IF(ISBLANK(G763),"",INDEX('label approval artwork'!J:J,MATCH( G763,'label approval artwork'!F:F,0)))</f>
        <v/>
      </c>
      <c r="R763" s="105" t="str">
        <f t="array" ref="R763">IFERROR( IF(P763&lt;&gt;"EMA",INDEX('label approval artwork'!H:H,MATCH(G763,'label approval artwork'!F:F,0),"")),"")</f>
        <v/>
      </c>
      <c r="S763" s="105"/>
      <c r="T763" s="105" t="str">
        <f t="array" ref="T763">IF(ISBLANK(G763),"",INDEX('POR Config List'!I:I,MATCH(G763,'POR Config List'!D:D,0)))</f>
        <v/>
      </c>
      <c r="AA763" s="100" t="str">
        <f t="array" ref="AA763">IF(ISBLANK(G763),"",INDEX('POR Config List'!E:E,MATCH(G763,'POR Config List'!D:D,0)))</f>
        <v/>
      </c>
      <c r="AC763" s="105"/>
      <c r="AD763" s="100"/>
      <c r="AE763" s="100"/>
      <c r="AF763" s="100"/>
      <c r="AG763" s="100"/>
      <c r="AM763" s="102"/>
      <c r="AN763" s="102"/>
      <c r="AR763" s="119"/>
      <c r="AS763" s="103"/>
    </row>
    <row r="764">
      <c r="A764" s="168"/>
      <c r="B764" s="100" t="str">
        <f t="array" ref="B764">IFERROR( INDEX('POR Config List'!A:A,MATCH(G764,'POR Config List'!D:D,0)),"")</f>
        <v/>
      </c>
      <c r="C764" s="101" t="str">
        <f t="array" ref="C764">IFERROR(INDEX('label approval artwork'!E:E,MATCH(G764,'label approval artwork'!F:F,0),""),"")</f>
        <v/>
      </c>
      <c r="D764" s="102" t="str">
        <f t="shared" si="3"/>
        <v/>
      </c>
      <c r="E764" s="100" t="str">
        <f t="array" ref="E764">IF(ISBLANK(G764),"",INDEX('POR Config List'!K:K,MATCH(G764,'POR Config List'!D:D,0)))</f>
        <v/>
      </c>
      <c r="F764" s="100" t="str">
        <f t="array" ref="F764">IF(ISBLANK(G764),"",INDEX('POR Config List'!J:J,MATCH(G764,'POR Config List'!D:D,0)))</f>
        <v/>
      </c>
      <c r="G764" s="168"/>
      <c r="H764" s="104" t="str">
        <f t="array" ref="H764">IF(ISBLANK(G764),"",INDEX('MP SKUs'!G:G,MATCH(G764,'MP SKUs'!A:A,0)))</f>
        <v/>
      </c>
      <c r="I764" s="105" t="str">
        <f t="array" ref="I764">IF(ISBLANK(G764),"",INDEX('POR Config List'!O:O,MATCH(G764,'POR Config List'!D:D,0)))</f>
        <v/>
      </c>
      <c r="J764" s="104" t="str">
        <f t="array" ref="J764">IF(ISBLANK(G764),"",INDEX('POR Config List'!H:H,MATCH(G764,'POR Config List'!D:D,0)))</f>
        <v/>
      </c>
      <c r="K764" s="105" t="str">
        <f t="array" ref="K764">IF(ISBLANK(G764),"",INDEX('POR Config List'!G:G,MATCH(G764,'POR Config List'!D:D,0)))</f>
        <v/>
      </c>
      <c r="L764" s="105"/>
      <c r="M764" s="105" t="str">
        <f t="array" ref="M764">IF(ISBLANK(G764),"",INDEX('label approval artwork'!Q:Q,MATCH( G764,'label approval artwork'!F:F,0)))</f>
        <v/>
      </c>
      <c r="N764" s="169" t="str">
        <f t="shared" si="5"/>
        <v/>
      </c>
      <c r="O764" s="102" t="str">
        <f t="array" ref="O764">IF(ISBLANK(G764),"",INDEX('POR Config List'!C:C,MATCH(G764,'POR Config List'!D:D,0)))</f>
        <v/>
      </c>
      <c r="P764" s="105" t="str">
        <f t="shared" si="4"/>
        <v/>
      </c>
      <c r="Q764" s="105" t="str">
        <f t="array" ref="Q764">IF(ISBLANK(G764),"",INDEX('label approval artwork'!J:J,MATCH( G764,'label approval artwork'!F:F,0)))</f>
        <v/>
      </c>
      <c r="R764" s="105" t="str">
        <f t="array" ref="R764">IFERROR( IF(P764&lt;&gt;"EMA",INDEX('label approval artwork'!H:H,MATCH(G764,'label approval artwork'!F:F,0),"")),"")</f>
        <v/>
      </c>
      <c r="S764" s="105"/>
      <c r="T764" s="105" t="str">
        <f t="array" ref="T764">IF(ISBLANK(G764),"",INDEX('POR Config List'!I:I,MATCH(G764,'POR Config List'!D:D,0)))</f>
        <v/>
      </c>
      <c r="AA764" s="100" t="str">
        <f t="array" ref="AA764">IF(ISBLANK(G764),"",INDEX('POR Config List'!E:E,MATCH(G764,'POR Config List'!D:D,0)))</f>
        <v/>
      </c>
      <c r="AC764" s="105"/>
      <c r="AD764" s="100"/>
      <c r="AE764" s="100"/>
      <c r="AF764" s="100"/>
      <c r="AG764" s="100"/>
      <c r="AM764" s="102"/>
      <c r="AN764" s="102"/>
      <c r="AR764" s="119"/>
      <c r="AS764" s="103"/>
    </row>
    <row r="765">
      <c r="A765" s="168"/>
      <c r="B765" s="100" t="str">
        <f t="array" ref="B765">IFERROR( INDEX('POR Config List'!A:A,MATCH(G765,'POR Config List'!D:D,0)),"")</f>
        <v/>
      </c>
      <c r="C765" s="101" t="str">
        <f t="array" ref="C765">IFERROR(INDEX('label approval artwork'!E:E,MATCH(G765,'label approval artwork'!F:F,0),""),"")</f>
        <v/>
      </c>
      <c r="D765" s="102" t="str">
        <f t="shared" si="3"/>
        <v/>
      </c>
      <c r="E765" s="100" t="str">
        <f t="array" ref="E765">IF(ISBLANK(G765),"",INDEX('POR Config List'!K:K,MATCH(G765,'POR Config List'!D:D,0)))</f>
        <v/>
      </c>
      <c r="F765" s="100" t="str">
        <f t="array" ref="F765">IF(ISBLANK(G765),"",INDEX('POR Config List'!J:J,MATCH(G765,'POR Config List'!D:D,0)))</f>
        <v/>
      </c>
      <c r="G765" s="168"/>
      <c r="H765" s="104" t="str">
        <f t="array" ref="H765">IF(ISBLANK(G765),"",INDEX('MP SKUs'!G:G,MATCH(G765,'MP SKUs'!A:A,0)))</f>
        <v/>
      </c>
      <c r="I765" s="105" t="str">
        <f t="array" ref="I765">IF(ISBLANK(G765),"",INDEX('POR Config List'!O:O,MATCH(G765,'POR Config List'!D:D,0)))</f>
        <v/>
      </c>
      <c r="J765" s="104" t="str">
        <f t="array" ref="J765">IF(ISBLANK(G765),"",INDEX('POR Config List'!H:H,MATCH(G765,'POR Config List'!D:D,0)))</f>
        <v/>
      </c>
      <c r="K765" s="105" t="str">
        <f t="array" ref="K765">IF(ISBLANK(G765),"",INDEX('POR Config List'!G:G,MATCH(G765,'POR Config List'!D:D,0)))</f>
        <v/>
      </c>
      <c r="L765" s="105"/>
      <c r="M765" s="105" t="str">
        <f t="array" ref="M765">IF(ISBLANK(G765),"",INDEX('label approval artwork'!Q:Q,MATCH( G765,'label approval artwork'!F:F,0)))</f>
        <v/>
      </c>
      <c r="N765" s="169" t="str">
        <f t="shared" si="5"/>
        <v/>
      </c>
      <c r="O765" s="102" t="str">
        <f t="array" ref="O765">IF(ISBLANK(G765),"",INDEX('POR Config List'!C:C,MATCH(G765,'POR Config List'!D:D,0)))</f>
        <v/>
      </c>
      <c r="P765" s="105" t="str">
        <f t="shared" si="4"/>
        <v/>
      </c>
      <c r="Q765" s="105" t="str">
        <f t="array" ref="Q765">IF(ISBLANK(G765),"",INDEX('label approval artwork'!J:J,MATCH( G765,'label approval artwork'!F:F,0)))</f>
        <v/>
      </c>
      <c r="R765" s="105" t="str">
        <f t="array" ref="R765">IFERROR( IF(P765&lt;&gt;"EMA",INDEX('label approval artwork'!H:H,MATCH(G765,'label approval artwork'!F:F,0),"")),"")</f>
        <v/>
      </c>
      <c r="S765" s="105"/>
      <c r="T765" s="105" t="str">
        <f t="array" ref="T765">IF(ISBLANK(G765),"",INDEX('POR Config List'!I:I,MATCH(G765,'POR Config List'!D:D,0)))</f>
        <v/>
      </c>
      <c r="AA765" s="100" t="str">
        <f t="array" ref="AA765">IF(ISBLANK(G765),"",INDEX('POR Config List'!E:E,MATCH(G765,'POR Config List'!D:D,0)))</f>
        <v/>
      </c>
      <c r="AC765" s="105"/>
      <c r="AD765" s="100"/>
      <c r="AE765" s="100"/>
      <c r="AF765" s="100"/>
      <c r="AG765" s="100"/>
      <c r="AM765" s="102"/>
      <c r="AN765" s="102"/>
      <c r="AR765" s="119"/>
      <c r="AS765" s="103"/>
    </row>
    <row r="766">
      <c r="A766" s="168"/>
      <c r="B766" s="100" t="str">
        <f t="array" ref="B766">IFERROR( INDEX('POR Config List'!A:A,MATCH(G766,'POR Config List'!D:D,0)),"")</f>
        <v/>
      </c>
      <c r="C766" s="101" t="str">
        <f t="array" ref="C766">IFERROR(INDEX('label approval artwork'!E:E,MATCH(G766,'label approval artwork'!F:F,0),""),"")</f>
        <v/>
      </c>
      <c r="D766" s="102" t="str">
        <f t="shared" si="3"/>
        <v/>
      </c>
      <c r="E766" s="100" t="str">
        <f t="array" ref="E766">IF(ISBLANK(G766),"",INDEX('POR Config List'!K:K,MATCH(G766,'POR Config List'!D:D,0)))</f>
        <v/>
      </c>
      <c r="F766" s="100" t="str">
        <f t="array" ref="F766">IF(ISBLANK(G766),"",INDEX('POR Config List'!J:J,MATCH(G766,'POR Config List'!D:D,0)))</f>
        <v/>
      </c>
      <c r="G766" s="168"/>
      <c r="H766" s="104" t="str">
        <f t="array" ref="H766">IF(ISBLANK(G766),"",INDEX('MP SKUs'!G:G,MATCH(G766,'MP SKUs'!A:A,0)))</f>
        <v/>
      </c>
      <c r="I766" s="105" t="str">
        <f t="array" ref="I766">IF(ISBLANK(G766),"",INDEX('POR Config List'!O:O,MATCH(G766,'POR Config List'!D:D,0)))</f>
        <v/>
      </c>
      <c r="J766" s="104" t="str">
        <f t="array" ref="J766">IF(ISBLANK(G766),"",INDEX('POR Config List'!H:H,MATCH(G766,'POR Config List'!D:D,0)))</f>
        <v/>
      </c>
      <c r="K766" s="105" t="str">
        <f t="array" ref="K766">IF(ISBLANK(G766),"",INDEX('POR Config List'!G:G,MATCH(G766,'POR Config List'!D:D,0)))</f>
        <v/>
      </c>
      <c r="L766" s="105"/>
      <c r="M766" s="105" t="str">
        <f t="array" ref="M766">IF(ISBLANK(G766),"",INDEX('label approval artwork'!Q:Q,MATCH( G766,'label approval artwork'!F:F,0)))</f>
        <v/>
      </c>
      <c r="N766" s="169" t="str">
        <f t="shared" si="5"/>
        <v/>
      </c>
      <c r="O766" s="102" t="str">
        <f t="array" ref="O766">IF(ISBLANK(G766),"",INDEX('POR Config List'!C:C,MATCH(G766,'POR Config List'!D:D,0)))</f>
        <v/>
      </c>
      <c r="P766" s="105" t="str">
        <f t="shared" si="4"/>
        <v/>
      </c>
      <c r="Q766" s="105" t="str">
        <f t="array" ref="Q766">IF(ISBLANK(G766),"",INDEX('label approval artwork'!J:J,MATCH( G766,'label approval artwork'!F:F,0)))</f>
        <v/>
      </c>
      <c r="R766" s="105" t="str">
        <f t="array" ref="R766">IFERROR( IF(P766&lt;&gt;"EMA",INDEX('label approval artwork'!H:H,MATCH(G766,'label approval artwork'!F:F,0),"")),"")</f>
        <v/>
      </c>
      <c r="S766" s="105"/>
      <c r="T766" s="105" t="str">
        <f t="array" ref="T766">IF(ISBLANK(G766),"",INDEX('POR Config List'!I:I,MATCH(G766,'POR Config List'!D:D,0)))</f>
        <v/>
      </c>
      <c r="AA766" s="100" t="str">
        <f t="array" ref="AA766">IF(ISBLANK(G766),"",INDEX('POR Config List'!E:E,MATCH(G766,'POR Config List'!D:D,0)))</f>
        <v/>
      </c>
      <c r="AC766" s="105"/>
      <c r="AD766" s="100"/>
      <c r="AE766" s="100"/>
      <c r="AF766" s="100"/>
      <c r="AG766" s="100"/>
      <c r="AM766" s="102"/>
      <c r="AN766" s="102"/>
      <c r="AR766" s="119"/>
      <c r="AS766" s="103"/>
    </row>
    <row r="767">
      <c r="A767" s="168"/>
      <c r="B767" s="100" t="str">
        <f t="array" ref="B767">IFERROR( INDEX('POR Config List'!A:A,MATCH(G767,'POR Config List'!D:D,0)),"")</f>
        <v/>
      </c>
      <c r="C767" s="101" t="str">
        <f t="array" ref="C767">IFERROR(INDEX('label approval artwork'!E:E,MATCH(G767,'label approval artwork'!F:F,0),""),"")</f>
        <v/>
      </c>
      <c r="D767" s="102" t="str">
        <f t="shared" si="3"/>
        <v/>
      </c>
      <c r="E767" s="100" t="str">
        <f t="array" ref="E767">IF(ISBLANK(G767),"",INDEX('POR Config List'!K:K,MATCH(G767,'POR Config List'!D:D,0)))</f>
        <v/>
      </c>
      <c r="F767" s="100" t="str">
        <f t="array" ref="F767">IF(ISBLANK(G767),"",INDEX('POR Config List'!J:J,MATCH(G767,'POR Config List'!D:D,0)))</f>
        <v/>
      </c>
      <c r="G767" s="168"/>
      <c r="H767" s="104" t="str">
        <f t="array" ref="H767">IF(ISBLANK(G767),"",INDEX('MP SKUs'!G:G,MATCH(G767,'MP SKUs'!A:A,0)))</f>
        <v/>
      </c>
      <c r="I767" s="105" t="str">
        <f t="array" ref="I767">IF(ISBLANK(G767),"",INDEX('POR Config List'!O:O,MATCH(G767,'POR Config List'!D:D,0)))</f>
        <v/>
      </c>
      <c r="J767" s="104" t="str">
        <f t="array" ref="J767">IF(ISBLANK(G767),"",INDEX('POR Config List'!H:H,MATCH(G767,'POR Config List'!D:D,0)))</f>
        <v/>
      </c>
      <c r="K767" s="105" t="str">
        <f t="array" ref="K767">IF(ISBLANK(G767),"",INDEX('POR Config List'!G:G,MATCH(G767,'POR Config List'!D:D,0)))</f>
        <v/>
      </c>
      <c r="L767" s="105"/>
      <c r="M767" s="105" t="str">
        <f t="array" ref="M767">IF(ISBLANK(G767),"",INDEX('label approval artwork'!Q:Q,MATCH( G767,'label approval artwork'!F:F,0)))</f>
        <v/>
      </c>
      <c r="N767" s="169" t="str">
        <f t="shared" si="5"/>
        <v/>
      </c>
      <c r="O767" s="102" t="str">
        <f t="array" ref="O767">IF(ISBLANK(G767),"",INDEX('POR Config List'!C:C,MATCH(G767,'POR Config List'!D:D,0)))</f>
        <v/>
      </c>
      <c r="P767" s="105" t="str">
        <f t="shared" si="4"/>
        <v/>
      </c>
      <c r="Q767" s="105" t="str">
        <f t="array" ref="Q767">IF(ISBLANK(G767),"",INDEX('label approval artwork'!J:J,MATCH( G767,'label approval artwork'!F:F,0)))</f>
        <v/>
      </c>
      <c r="R767" s="105" t="str">
        <f t="array" ref="R767">IFERROR( IF(P767&lt;&gt;"EMA",INDEX('label approval artwork'!H:H,MATCH(G767,'label approval artwork'!F:F,0),"")),"")</f>
        <v/>
      </c>
      <c r="S767" s="105"/>
      <c r="T767" s="105" t="str">
        <f t="array" ref="T767">IF(ISBLANK(G767),"",INDEX('POR Config List'!I:I,MATCH(G767,'POR Config List'!D:D,0)))</f>
        <v/>
      </c>
      <c r="AA767" s="100" t="str">
        <f t="array" ref="AA767">IF(ISBLANK(G767),"",INDEX('POR Config List'!E:E,MATCH(G767,'POR Config List'!D:D,0)))</f>
        <v/>
      </c>
      <c r="AC767" s="105"/>
      <c r="AD767" s="100"/>
      <c r="AE767" s="100"/>
      <c r="AF767" s="100"/>
      <c r="AG767" s="100"/>
      <c r="AM767" s="102"/>
      <c r="AN767" s="102"/>
      <c r="AR767" s="119"/>
      <c r="AS767" s="103"/>
    </row>
    <row r="768">
      <c r="A768" s="168"/>
      <c r="B768" s="100" t="str">
        <f t="array" ref="B768">IFERROR( INDEX('POR Config List'!A:A,MATCH(G768,'POR Config List'!D:D,0)),"")</f>
        <v/>
      </c>
      <c r="C768" s="101" t="str">
        <f t="array" ref="C768">IFERROR(INDEX('label approval artwork'!E:E,MATCH(G768,'label approval artwork'!F:F,0),""),"")</f>
        <v/>
      </c>
      <c r="D768" s="102" t="str">
        <f t="shared" si="3"/>
        <v/>
      </c>
      <c r="E768" s="100" t="str">
        <f t="array" ref="E768">IF(ISBLANK(G768),"",INDEX('POR Config List'!K:K,MATCH(G768,'POR Config List'!D:D,0)))</f>
        <v/>
      </c>
      <c r="F768" s="100" t="str">
        <f t="array" ref="F768">IF(ISBLANK(G768),"",INDEX('POR Config List'!J:J,MATCH(G768,'POR Config List'!D:D,0)))</f>
        <v/>
      </c>
      <c r="G768" s="168"/>
      <c r="H768" s="104" t="str">
        <f t="array" ref="H768">IF(ISBLANK(G768),"",INDEX('MP SKUs'!G:G,MATCH(G768,'MP SKUs'!A:A,0)))</f>
        <v/>
      </c>
      <c r="I768" s="105" t="str">
        <f t="array" ref="I768">IF(ISBLANK(G768),"",INDEX('POR Config List'!O:O,MATCH(G768,'POR Config List'!D:D,0)))</f>
        <v/>
      </c>
      <c r="J768" s="104" t="str">
        <f t="array" ref="J768">IF(ISBLANK(G768),"",INDEX('POR Config List'!H:H,MATCH(G768,'POR Config List'!D:D,0)))</f>
        <v/>
      </c>
      <c r="K768" s="105" t="str">
        <f t="array" ref="K768">IF(ISBLANK(G768),"",INDEX('POR Config List'!G:G,MATCH(G768,'POR Config List'!D:D,0)))</f>
        <v/>
      </c>
      <c r="L768" s="105"/>
      <c r="M768" s="105" t="str">
        <f t="array" ref="M768">IF(ISBLANK(G768),"",INDEX('label approval artwork'!Q:Q,MATCH( G768,'label approval artwork'!F:F,0)))</f>
        <v/>
      </c>
      <c r="N768" s="169" t="str">
        <f t="shared" si="5"/>
        <v/>
      </c>
      <c r="O768" s="102" t="str">
        <f t="array" ref="O768">IF(ISBLANK(G768),"",INDEX('POR Config List'!C:C,MATCH(G768,'POR Config List'!D:D,0)))</f>
        <v/>
      </c>
      <c r="P768" s="105" t="str">
        <f t="shared" si="4"/>
        <v/>
      </c>
      <c r="Q768" s="105" t="str">
        <f t="array" ref="Q768">IF(ISBLANK(G768),"",INDEX('label approval artwork'!J:J,MATCH( G768,'label approval artwork'!F:F,0)))</f>
        <v/>
      </c>
      <c r="R768" s="105" t="str">
        <f t="array" ref="R768">IFERROR( IF(P768&lt;&gt;"EMA",INDEX('label approval artwork'!H:H,MATCH(G768,'label approval artwork'!F:F,0),"")),"")</f>
        <v/>
      </c>
      <c r="S768" s="105"/>
      <c r="T768" s="105" t="str">
        <f t="array" ref="T768">IF(ISBLANK(G768),"",INDEX('POR Config List'!I:I,MATCH(G768,'POR Config List'!D:D,0)))</f>
        <v/>
      </c>
      <c r="AA768" s="100" t="str">
        <f t="array" ref="AA768">IF(ISBLANK(G768),"",INDEX('POR Config List'!E:E,MATCH(G768,'POR Config List'!D:D,0)))</f>
        <v/>
      </c>
      <c r="AC768" s="105"/>
      <c r="AD768" s="100"/>
      <c r="AE768" s="100"/>
      <c r="AF768" s="100"/>
      <c r="AG768" s="100"/>
      <c r="AM768" s="102"/>
      <c r="AN768" s="102"/>
      <c r="AR768" s="119"/>
      <c r="AS768" s="103"/>
    </row>
    <row r="769">
      <c r="A769" s="168"/>
      <c r="B769" s="100" t="str">
        <f t="array" ref="B769">IFERROR( INDEX('POR Config List'!A:A,MATCH(G769,'POR Config List'!D:D,0)),"")</f>
        <v/>
      </c>
      <c r="C769" s="101" t="str">
        <f t="array" ref="C769">IFERROR(INDEX('label approval artwork'!E:E,MATCH(G769,'label approval artwork'!F:F,0),""),"")</f>
        <v/>
      </c>
      <c r="D769" s="102" t="str">
        <f t="shared" si="3"/>
        <v/>
      </c>
      <c r="E769" s="100" t="str">
        <f t="array" ref="E769">IF(ISBLANK(G769),"",INDEX('POR Config List'!K:K,MATCH(G769,'POR Config List'!D:D,0)))</f>
        <v/>
      </c>
      <c r="F769" s="100" t="str">
        <f t="array" ref="F769">IF(ISBLANK(G769),"",INDEX('POR Config List'!J:J,MATCH(G769,'POR Config List'!D:D,0)))</f>
        <v/>
      </c>
      <c r="G769" s="168"/>
      <c r="H769" s="104" t="str">
        <f t="array" ref="H769">IF(ISBLANK(G769),"",INDEX('MP SKUs'!G:G,MATCH(G769,'MP SKUs'!A:A,0)))</f>
        <v/>
      </c>
      <c r="I769" s="105" t="str">
        <f t="array" ref="I769">IF(ISBLANK(G769),"",INDEX('POR Config List'!O:O,MATCH(G769,'POR Config List'!D:D,0)))</f>
        <v/>
      </c>
      <c r="J769" s="104" t="str">
        <f t="array" ref="J769">IF(ISBLANK(G769),"",INDEX('POR Config List'!H:H,MATCH(G769,'POR Config List'!D:D,0)))</f>
        <v/>
      </c>
      <c r="K769" s="105" t="str">
        <f t="array" ref="K769">IF(ISBLANK(G769),"",INDEX('POR Config List'!G:G,MATCH(G769,'POR Config List'!D:D,0)))</f>
        <v/>
      </c>
      <c r="L769" s="105"/>
      <c r="M769" s="105" t="str">
        <f t="array" ref="M769">IF(ISBLANK(G769),"",INDEX('label approval artwork'!Q:Q,MATCH( G769,'label approval artwork'!F:F,0)))</f>
        <v/>
      </c>
      <c r="N769" s="169" t="str">
        <f t="shared" si="5"/>
        <v/>
      </c>
      <c r="O769" s="102" t="str">
        <f t="array" ref="O769">IF(ISBLANK(G769),"",INDEX('POR Config List'!C:C,MATCH(G769,'POR Config List'!D:D,0)))</f>
        <v/>
      </c>
      <c r="P769" s="105" t="str">
        <f t="shared" si="4"/>
        <v/>
      </c>
      <c r="Q769" s="105" t="str">
        <f t="array" ref="Q769">IF(ISBLANK(G769),"",INDEX('label approval artwork'!J:J,MATCH( G769,'label approval artwork'!F:F,0)))</f>
        <v/>
      </c>
      <c r="R769" s="105" t="str">
        <f t="array" ref="R769">IFERROR( IF(P769&lt;&gt;"EMA",INDEX('label approval artwork'!H:H,MATCH(G769,'label approval artwork'!F:F,0),"")),"")</f>
        <v/>
      </c>
      <c r="S769" s="105"/>
      <c r="T769" s="105" t="str">
        <f t="array" ref="T769">IF(ISBLANK(G769),"",INDEX('POR Config List'!I:I,MATCH(G769,'POR Config List'!D:D,0)))</f>
        <v/>
      </c>
      <c r="AA769" s="100" t="str">
        <f t="array" ref="AA769">IF(ISBLANK(G769),"",INDEX('POR Config List'!E:E,MATCH(G769,'POR Config List'!D:D,0)))</f>
        <v/>
      </c>
      <c r="AC769" s="105"/>
      <c r="AD769" s="100"/>
      <c r="AE769" s="100"/>
      <c r="AF769" s="100"/>
      <c r="AG769" s="100"/>
      <c r="AM769" s="102"/>
      <c r="AN769" s="102"/>
      <c r="AR769" s="119"/>
      <c r="AS769" s="103"/>
    </row>
    <row r="770">
      <c r="A770" s="168"/>
      <c r="B770" s="100" t="str">
        <f t="array" ref="B770">IFERROR( INDEX('POR Config List'!A:A,MATCH(G770,'POR Config List'!D:D,0)),"")</f>
        <v/>
      </c>
      <c r="C770" s="101" t="str">
        <f t="array" ref="C770">IFERROR(INDEX('label approval artwork'!E:E,MATCH(G770,'label approval artwork'!F:F,0),""),"")</f>
        <v/>
      </c>
      <c r="D770" s="102" t="str">
        <f t="shared" si="3"/>
        <v/>
      </c>
      <c r="E770" s="100" t="str">
        <f t="array" ref="E770">IF(ISBLANK(G770),"",INDEX('POR Config List'!K:K,MATCH(G770,'POR Config List'!D:D,0)))</f>
        <v/>
      </c>
      <c r="F770" s="100" t="str">
        <f t="array" ref="F770">IF(ISBLANK(G770),"",INDEX('POR Config List'!J:J,MATCH(G770,'POR Config List'!D:D,0)))</f>
        <v/>
      </c>
      <c r="G770" s="168"/>
      <c r="H770" s="104" t="str">
        <f t="array" ref="H770">IF(ISBLANK(G770),"",INDEX('MP SKUs'!G:G,MATCH(G770,'MP SKUs'!A:A,0)))</f>
        <v/>
      </c>
      <c r="I770" s="105" t="str">
        <f t="array" ref="I770">IF(ISBLANK(G770),"",INDEX('POR Config List'!O:O,MATCH(G770,'POR Config List'!D:D,0)))</f>
        <v/>
      </c>
      <c r="J770" s="104" t="str">
        <f t="array" ref="J770">IF(ISBLANK(G770),"",INDEX('POR Config List'!H:H,MATCH(G770,'POR Config List'!D:D,0)))</f>
        <v/>
      </c>
      <c r="K770" s="105" t="str">
        <f t="array" ref="K770">IF(ISBLANK(G770),"",INDEX('POR Config List'!G:G,MATCH(G770,'POR Config List'!D:D,0)))</f>
        <v/>
      </c>
      <c r="L770" s="105"/>
      <c r="M770" s="105" t="str">
        <f t="array" ref="M770">IF(ISBLANK(G770),"",INDEX('label approval artwork'!Q:Q,MATCH( G770,'label approval artwork'!F:F,0)))</f>
        <v/>
      </c>
      <c r="N770" s="169" t="str">
        <f t="shared" si="5"/>
        <v/>
      </c>
      <c r="O770" s="102" t="str">
        <f t="array" ref="O770">IF(ISBLANK(G770),"",INDEX('POR Config List'!C:C,MATCH(G770,'POR Config List'!D:D,0)))</f>
        <v/>
      </c>
      <c r="P770" s="105" t="str">
        <f t="shared" si="4"/>
        <v/>
      </c>
      <c r="Q770" s="105" t="str">
        <f t="array" ref="Q770">IF(ISBLANK(G770),"",INDEX('label approval artwork'!J:J,MATCH( G770,'label approval artwork'!F:F,0)))</f>
        <v/>
      </c>
      <c r="R770" s="105" t="str">
        <f t="array" ref="R770">IFERROR( IF(P770&lt;&gt;"EMA",INDEX('label approval artwork'!H:H,MATCH(G770,'label approval artwork'!F:F,0),"")),"")</f>
        <v/>
      </c>
      <c r="S770" s="105"/>
      <c r="T770" s="105" t="str">
        <f t="array" ref="T770">IF(ISBLANK(G770),"",INDEX('POR Config List'!I:I,MATCH(G770,'POR Config List'!D:D,0)))</f>
        <v/>
      </c>
      <c r="AA770" s="100" t="str">
        <f t="array" ref="AA770">IF(ISBLANK(G770),"",INDEX('POR Config List'!E:E,MATCH(G770,'POR Config List'!D:D,0)))</f>
        <v/>
      </c>
      <c r="AC770" s="105"/>
      <c r="AD770" s="100"/>
      <c r="AE770" s="100"/>
      <c r="AF770" s="100"/>
      <c r="AG770" s="100"/>
      <c r="AM770" s="102"/>
      <c r="AN770" s="102"/>
      <c r="AR770" s="119"/>
      <c r="AS770" s="103"/>
    </row>
    <row r="771">
      <c r="A771" s="168"/>
      <c r="B771" s="100" t="str">
        <f t="array" ref="B771">IFERROR( INDEX('POR Config List'!A:A,MATCH(G771,'POR Config List'!D:D,0)),"")</f>
        <v/>
      </c>
      <c r="C771" s="101" t="str">
        <f t="array" ref="C771">IFERROR(INDEX('label approval artwork'!E:E,MATCH(G771,'label approval artwork'!F:F,0),""),"")</f>
        <v/>
      </c>
      <c r="D771" s="102" t="str">
        <f t="shared" si="3"/>
        <v/>
      </c>
      <c r="E771" s="100" t="str">
        <f t="array" ref="E771">IF(ISBLANK(G771),"",INDEX('POR Config List'!K:K,MATCH(G771,'POR Config List'!D:D,0)))</f>
        <v/>
      </c>
      <c r="F771" s="100" t="str">
        <f t="array" ref="F771">IF(ISBLANK(G771),"",INDEX('POR Config List'!J:J,MATCH(G771,'POR Config List'!D:D,0)))</f>
        <v/>
      </c>
      <c r="G771" s="168"/>
      <c r="H771" s="104" t="str">
        <f t="array" ref="H771">IF(ISBLANK(G771),"",INDEX('MP SKUs'!G:G,MATCH(G771,'MP SKUs'!A:A,0)))</f>
        <v/>
      </c>
      <c r="I771" s="105" t="str">
        <f t="array" ref="I771">IF(ISBLANK(G771),"",INDEX('POR Config List'!O:O,MATCH(G771,'POR Config List'!D:D,0)))</f>
        <v/>
      </c>
      <c r="J771" s="104" t="str">
        <f t="array" ref="J771">IF(ISBLANK(G771),"",INDEX('POR Config List'!H:H,MATCH(G771,'POR Config List'!D:D,0)))</f>
        <v/>
      </c>
      <c r="K771" s="105" t="str">
        <f t="array" ref="K771">IF(ISBLANK(G771),"",INDEX('POR Config List'!G:G,MATCH(G771,'POR Config List'!D:D,0)))</f>
        <v/>
      </c>
      <c r="L771" s="105"/>
      <c r="M771" s="105" t="str">
        <f t="array" ref="M771">IF(ISBLANK(G771),"",INDEX('label approval artwork'!Q:Q,MATCH( G771,'label approval artwork'!F:F,0)))</f>
        <v/>
      </c>
      <c r="N771" s="169" t="str">
        <f t="shared" si="5"/>
        <v/>
      </c>
      <c r="O771" s="102" t="str">
        <f t="array" ref="O771">IF(ISBLANK(G771),"",INDEX('POR Config List'!C:C,MATCH(G771,'POR Config List'!D:D,0)))</f>
        <v/>
      </c>
      <c r="P771" s="105" t="str">
        <f t="shared" si="4"/>
        <v/>
      </c>
      <c r="Q771" s="105" t="str">
        <f t="array" ref="Q771">IF(ISBLANK(G771),"",INDEX('label approval artwork'!J:J,MATCH( G771,'label approval artwork'!F:F,0)))</f>
        <v/>
      </c>
      <c r="R771" s="105" t="str">
        <f t="array" ref="R771">IFERROR( IF(P771&lt;&gt;"EMA",INDEX('label approval artwork'!H:H,MATCH(G771,'label approval artwork'!F:F,0),"")),"")</f>
        <v/>
      </c>
      <c r="S771" s="105"/>
      <c r="T771" s="105" t="str">
        <f t="array" ref="T771">IF(ISBLANK(G771),"",INDEX('POR Config List'!I:I,MATCH(G771,'POR Config List'!D:D,0)))</f>
        <v/>
      </c>
      <c r="AA771" s="100" t="str">
        <f t="array" ref="AA771">IF(ISBLANK(G771),"",INDEX('POR Config List'!E:E,MATCH(G771,'POR Config List'!D:D,0)))</f>
        <v/>
      </c>
      <c r="AC771" s="105"/>
      <c r="AD771" s="100"/>
      <c r="AE771" s="100"/>
      <c r="AF771" s="100"/>
      <c r="AG771" s="100"/>
      <c r="AM771" s="102"/>
      <c r="AN771" s="102"/>
      <c r="AR771" s="119"/>
      <c r="AS771" s="103"/>
    </row>
    <row r="772">
      <c r="A772" s="168"/>
      <c r="B772" s="100" t="str">
        <f t="array" ref="B772">IFERROR( INDEX('POR Config List'!A:A,MATCH(G772,'POR Config List'!D:D,0)),"")</f>
        <v/>
      </c>
      <c r="C772" s="101" t="str">
        <f t="array" ref="C772">IFERROR(INDEX('label approval artwork'!E:E,MATCH(G772,'label approval artwork'!F:F,0),""),"")</f>
        <v/>
      </c>
      <c r="D772" s="102" t="str">
        <f t="shared" si="3"/>
        <v/>
      </c>
      <c r="E772" s="100" t="str">
        <f t="array" ref="E772">IF(ISBLANK(G772),"",INDEX('POR Config List'!K:K,MATCH(G772,'POR Config List'!D:D,0)))</f>
        <v/>
      </c>
      <c r="F772" s="100" t="str">
        <f t="array" ref="F772">IF(ISBLANK(G772),"",INDEX('POR Config List'!J:J,MATCH(G772,'POR Config List'!D:D,0)))</f>
        <v/>
      </c>
      <c r="G772" s="168"/>
      <c r="H772" s="104" t="str">
        <f t="array" ref="H772">IF(ISBLANK(G772),"",INDEX('MP SKUs'!G:G,MATCH(G772,'MP SKUs'!A:A,0)))</f>
        <v/>
      </c>
      <c r="I772" s="105" t="str">
        <f t="array" ref="I772">IF(ISBLANK(G772),"",INDEX('POR Config List'!O:O,MATCH(G772,'POR Config List'!D:D,0)))</f>
        <v/>
      </c>
      <c r="J772" s="104" t="str">
        <f t="array" ref="J772">IF(ISBLANK(G772),"",INDEX('POR Config List'!H:H,MATCH(G772,'POR Config List'!D:D,0)))</f>
        <v/>
      </c>
      <c r="K772" s="105" t="str">
        <f t="array" ref="K772">IF(ISBLANK(G772),"",INDEX('POR Config List'!G:G,MATCH(G772,'POR Config List'!D:D,0)))</f>
        <v/>
      </c>
      <c r="L772" s="105"/>
      <c r="M772" s="105" t="str">
        <f t="array" ref="M772">IF(ISBLANK(G772),"",INDEX('label approval artwork'!Q:Q,MATCH( G772,'label approval artwork'!F:F,0)))</f>
        <v/>
      </c>
      <c r="N772" s="169" t="str">
        <f t="shared" si="5"/>
        <v/>
      </c>
      <c r="O772" s="102" t="str">
        <f t="array" ref="O772">IF(ISBLANK(G772),"",INDEX('POR Config List'!C:C,MATCH(G772,'POR Config List'!D:D,0)))</f>
        <v/>
      </c>
      <c r="P772" s="105" t="str">
        <f t="shared" si="4"/>
        <v/>
      </c>
      <c r="Q772" s="105" t="str">
        <f t="array" ref="Q772">IF(ISBLANK(G772),"",INDEX('label approval artwork'!J:J,MATCH( G772,'label approval artwork'!F:F,0)))</f>
        <v/>
      </c>
      <c r="R772" s="105" t="str">
        <f t="array" ref="R772">IFERROR( IF(P772&lt;&gt;"EMA",INDEX('label approval artwork'!H:H,MATCH(G772,'label approval artwork'!F:F,0),"")),"")</f>
        <v/>
      </c>
      <c r="S772" s="105"/>
      <c r="T772" s="105" t="str">
        <f t="array" ref="T772">IF(ISBLANK(G772),"",INDEX('POR Config List'!I:I,MATCH(G772,'POR Config List'!D:D,0)))</f>
        <v/>
      </c>
      <c r="AA772" s="100" t="str">
        <f t="array" ref="AA772">IF(ISBLANK(G772),"",INDEX('POR Config List'!E:E,MATCH(G772,'POR Config List'!D:D,0)))</f>
        <v/>
      </c>
      <c r="AC772" s="105"/>
      <c r="AD772" s="100"/>
      <c r="AE772" s="100"/>
      <c r="AF772" s="100"/>
      <c r="AG772" s="100"/>
      <c r="AM772" s="102"/>
      <c r="AN772" s="102"/>
      <c r="AR772" s="119"/>
      <c r="AS772" s="103"/>
    </row>
    <row r="773">
      <c r="A773" s="168"/>
      <c r="B773" s="100" t="str">
        <f t="array" ref="B773">IFERROR( INDEX('POR Config List'!A:A,MATCH(G773,'POR Config List'!D:D,0)),"")</f>
        <v/>
      </c>
      <c r="C773" s="101" t="str">
        <f t="array" ref="C773">IFERROR(INDEX('label approval artwork'!E:E,MATCH(G773,'label approval artwork'!F:F,0),""),"")</f>
        <v/>
      </c>
      <c r="D773" s="102" t="str">
        <f t="shared" si="3"/>
        <v/>
      </c>
      <c r="E773" s="100" t="str">
        <f t="array" ref="E773">IF(ISBLANK(G773),"",INDEX('POR Config List'!K:K,MATCH(G773,'POR Config List'!D:D,0)))</f>
        <v/>
      </c>
      <c r="F773" s="100" t="str">
        <f t="array" ref="F773">IF(ISBLANK(G773),"",INDEX('POR Config List'!J:J,MATCH(G773,'POR Config List'!D:D,0)))</f>
        <v/>
      </c>
      <c r="G773" s="168"/>
      <c r="H773" s="104" t="str">
        <f t="array" ref="H773">IF(ISBLANK(G773),"",INDEX('MP SKUs'!G:G,MATCH(G773,'MP SKUs'!A:A,0)))</f>
        <v/>
      </c>
      <c r="I773" s="105" t="str">
        <f t="array" ref="I773">IF(ISBLANK(G773),"",INDEX('POR Config List'!O:O,MATCH(G773,'POR Config List'!D:D,0)))</f>
        <v/>
      </c>
      <c r="J773" s="104" t="str">
        <f t="array" ref="J773">IF(ISBLANK(G773),"",INDEX('POR Config List'!H:H,MATCH(G773,'POR Config List'!D:D,0)))</f>
        <v/>
      </c>
      <c r="K773" s="105" t="str">
        <f t="array" ref="K773">IF(ISBLANK(G773),"",INDEX('POR Config List'!G:G,MATCH(G773,'POR Config List'!D:D,0)))</f>
        <v/>
      </c>
      <c r="L773" s="105"/>
      <c r="M773" s="105" t="str">
        <f t="array" ref="M773">IF(ISBLANK(G773),"",INDEX('label approval artwork'!Q:Q,MATCH( G773,'label approval artwork'!F:F,0)))</f>
        <v/>
      </c>
      <c r="N773" s="169" t="str">
        <f t="shared" si="5"/>
        <v/>
      </c>
      <c r="O773" s="102" t="str">
        <f t="array" ref="O773">IF(ISBLANK(G773),"",INDEX('POR Config List'!C:C,MATCH(G773,'POR Config List'!D:D,0)))</f>
        <v/>
      </c>
      <c r="P773" s="105" t="str">
        <f t="shared" si="4"/>
        <v/>
      </c>
      <c r="Q773" s="105" t="str">
        <f t="array" ref="Q773">IF(ISBLANK(G773),"",INDEX('label approval artwork'!J:J,MATCH( G773,'label approval artwork'!F:F,0)))</f>
        <v/>
      </c>
      <c r="R773" s="105" t="str">
        <f t="array" ref="R773">IFERROR( IF(P773&lt;&gt;"EMA",INDEX('label approval artwork'!H:H,MATCH(G773,'label approval artwork'!F:F,0),"")),"")</f>
        <v/>
      </c>
      <c r="S773" s="105"/>
      <c r="T773" s="105" t="str">
        <f t="array" ref="T773">IF(ISBLANK(G773),"",INDEX('POR Config List'!I:I,MATCH(G773,'POR Config List'!D:D,0)))</f>
        <v/>
      </c>
      <c r="AA773" s="100" t="str">
        <f t="array" ref="AA773">IF(ISBLANK(G773),"",INDEX('POR Config List'!E:E,MATCH(G773,'POR Config List'!D:D,0)))</f>
        <v/>
      </c>
      <c r="AC773" s="105"/>
      <c r="AD773" s="100"/>
      <c r="AE773" s="100"/>
      <c r="AF773" s="100"/>
      <c r="AG773" s="100"/>
      <c r="AM773" s="102"/>
      <c r="AN773" s="102"/>
      <c r="AR773" s="119"/>
      <c r="AS773" s="103"/>
    </row>
    <row r="774">
      <c r="A774" s="168"/>
      <c r="B774" s="100" t="str">
        <f t="array" ref="B774">IFERROR( INDEX('POR Config List'!A:A,MATCH(G774,'POR Config List'!D:D,0)),"")</f>
        <v/>
      </c>
      <c r="C774" s="101" t="str">
        <f t="array" ref="C774">IFERROR(INDEX('label approval artwork'!E:E,MATCH(G774,'label approval artwork'!F:F,0),""),"")</f>
        <v/>
      </c>
      <c r="D774" s="102" t="str">
        <f t="shared" si="3"/>
        <v/>
      </c>
      <c r="E774" s="100" t="str">
        <f t="array" ref="E774">IF(ISBLANK(G774),"",INDEX('POR Config List'!K:K,MATCH(G774,'POR Config List'!D:D,0)))</f>
        <v/>
      </c>
      <c r="F774" s="100" t="str">
        <f t="array" ref="F774">IF(ISBLANK(G774),"",INDEX('POR Config List'!J:J,MATCH(G774,'POR Config List'!D:D,0)))</f>
        <v/>
      </c>
      <c r="G774" s="168"/>
      <c r="H774" s="104" t="str">
        <f t="array" ref="H774">IF(ISBLANK(G774),"",INDEX('MP SKUs'!G:G,MATCH(G774,'MP SKUs'!A:A,0)))</f>
        <v/>
      </c>
      <c r="I774" s="105" t="str">
        <f t="array" ref="I774">IF(ISBLANK(G774),"",INDEX('POR Config List'!O:O,MATCH(G774,'POR Config List'!D:D,0)))</f>
        <v/>
      </c>
      <c r="J774" s="104" t="str">
        <f t="array" ref="J774">IF(ISBLANK(G774),"",INDEX('POR Config List'!H:H,MATCH(G774,'POR Config List'!D:D,0)))</f>
        <v/>
      </c>
      <c r="K774" s="105" t="str">
        <f t="array" ref="K774">IF(ISBLANK(G774),"",INDEX('POR Config List'!G:G,MATCH(G774,'POR Config List'!D:D,0)))</f>
        <v/>
      </c>
      <c r="L774" s="105"/>
      <c r="M774" s="105" t="str">
        <f t="array" ref="M774">IF(ISBLANK(G774),"",INDEX('label approval artwork'!Q:Q,MATCH( G774,'label approval artwork'!F:F,0)))</f>
        <v/>
      </c>
      <c r="N774" s="169" t="str">
        <f t="shared" si="5"/>
        <v/>
      </c>
      <c r="O774" s="102" t="str">
        <f t="array" ref="O774">IF(ISBLANK(G774),"",INDEX('POR Config List'!C:C,MATCH(G774,'POR Config List'!D:D,0)))</f>
        <v/>
      </c>
      <c r="P774" s="105" t="str">
        <f t="shared" si="4"/>
        <v/>
      </c>
      <c r="Q774" s="105" t="str">
        <f t="array" ref="Q774">IF(ISBLANK(G774),"",INDEX('label approval artwork'!J:J,MATCH( G774,'label approval artwork'!F:F,0)))</f>
        <v/>
      </c>
      <c r="R774" s="105" t="str">
        <f t="array" ref="R774">IFERROR( IF(P774&lt;&gt;"EMA",INDEX('label approval artwork'!H:H,MATCH(G774,'label approval artwork'!F:F,0),"")),"")</f>
        <v/>
      </c>
      <c r="S774" s="105"/>
      <c r="T774" s="105" t="str">
        <f t="array" ref="T774">IF(ISBLANK(G774),"",INDEX('POR Config List'!I:I,MATCH(G774,'POR Config List'!D:D,0)))</f>
        <v/>
      </c>
      <c r="AA774" s="100" t="str">
        <f t="array" ref="AA774">IF(ISBLANK(G774),"",INDEX('POR Config List'!E:E,MATCH(G774,'POR Config List'!D:D,0)))</f>
        <v/>
      </c>
      <c r="AC774" s="105"/>
      <c r="AD774" s="100"/>
      <c r="AE774" s="100"/>
      <c r="AF774" s="100"/>
      <c r="AG774" s="100"/>
      <c r="AM774" s="102"/>
      <c r="AN774" s="102"/>
      <c r="AR774" s="119"/>
      <c r="AS774" s="103"/>
    </row>
    <row r="775">
      <c r="A775" s="168"/>
      <c r="B775" s="100" t="str">
        <f t="array" ref="B775">IFERROR( INDEX('POR Config List'!A:A,MATCH(G775,'POR Config List'!D:D,0)),"")</f>
        <v/>
      </c>
      <c r="C775" s="101" t="str">
        <f t="array" ref="C775">IFERROR(INDEX('label approval artwork'!E:E,MATCH(G775,'label approval artwork'!F:F,0),""),"")</f>
        <v/>
      </c>
      <c r="D775" s="102" t="str">
        <f t="shared" si="3"/>
        <v/>
      </c>
      <c r="E775" s="100" t="str">
        <f t="array" ref="E775">IF(ISBLANK(G775),"",INDEX('POR Config List'!K:K,MATCH(G775,'POR Config List'!D:D,0)))</f>
        <v/>
      </c>
      <c r="F775" s="100" t="str">
        <f t="array" ref="F775">IF(ISBLANK(G775),"",INDEX('POR Config List'!J:J,MATCH(G775,'POR Config List'!D:D,0)))</f>
        <v/>
      </c>
      <c r="G775" s="168"/>
      <c r="H775" s="104" t="str">
        <f t="array" ref="H775">IF(ISBLANK(G775),"",INDEX('MP SKUs'!G:G,MATCH(G775,'MP SKUs'!A:A,0)))</f>
        <v/>
      </c>
      <c r="I775" s="105" t="str">
        <f t="array" ref="I775">IF(ISBLANK(G775),"",INDEX('POR Config List'!O:O,MATCH(G775,'POR Config List'!D:D,0)))</f>
        <v/>
      </c>
      <c r="J775" s="104" t="str">
        <f t="array" ref="J775">IF(ISBLANK(G775),"",INDEX('POR Config List'!H:H,MATCH(G775,'POR Config List'!D:D,0)))</f>
        <v/>
      </c>
      <c r="K775" s="105" t="str">
        <f t="array" ref="K775">IF(ISBLANK(G775),"",INDEX('POR Config List'!G:G,MATCH(G775,'POR Config List'!D:D,0)))</f>
        <v/>
      </c>
      <c r="L775" s="105"/>
      <c r="M775" s="105" t="str">
        <f t="array" ref="M775">IF(ISBLANK(G775),"",INDEX('label approval artwork'!Q:Q,MATCH( G775,'label approval artwork'!F:F,0)))</f>
        <v/>
      </c>
      <c r="N775" s="169" t="str">
        <f t="shared" si="5"/>
        <v/>
      </c>
      <c r="O775" s="102" t="str">
        <f t="array" ref="O775">IF(ISBLANK(G775),"",INDEX('POR Config List'!C:C,MATCH(G775,'POR Config List'!D:D,0)))</f>
        <v/>
      </c>
      <c r="P775" s="105" t="str">
        <f t="shared" si="4"/>
        <v/>
      </c>
      <c r="Q775" s="105" t="str">
        <f t="array" ref="Q775">IF(ISBLANK(G775),"",INDEX('label approval artwork'!J:J,MATCH( G775,'label approval artwork'!F:F,0)))</f>
        <v/>
      </c>
      <c r="R775" s="105" t="str">
        <f t="array" ref="R775">IFERROR( IF(P775&lt;&gt;"EMA",INDEX('label approval artwork'!H:H,MATCH(G775,'label approval artwork'!F:F,0),"")),"")</f>
        <v/>
      </c>
      <c r="S775" s="105"/>
      <c r="T775" s="105" t="str">
        <f t="array" ref="T775">IF(ISBLANK(G775),"",INDEX('POR Config List'!I:I,MATCH(G775,'POR Config List'!D:D,0)))</f>
        <v/>
      </c>
      <c r="AA775" s="100" t="str">
        <f t="array" ref="AA775">IF(ISBLANK(G775),"",INDEX('POR Config List'!E:E,MATCH(G775,'POR Config List'!D:D,0)))</f>
        <v/>
      </c>
      <c r="AC775" s="105"/>
      <c r="AD775" s="100"/>
      <c r="AE775" s="100"/>
      <c r="AF775" s="100"/>
      <c r="AG775" s="100"/>
      <c r="AM775" s="102"/>
      <c r="AN775" s="102"/>
      <c r="AR775" s="119"/>
      <c r="AS775" s="103"/>
    </row>
    <row r="776">
      <c r="A776" s="168"/>
      <c r="B776" s="100" t="str">
        <f t="array" ref="B776">IFERROR( INDEX('POR Config List'!A:A,MATCH(G776,'POR Config List'!D:D,0)),"")</f>
        <v/>
      </c>
      <c r="C776" s="101" t="str">
        <f t="array" ref="C776">IFERROR(INDEX('label approval artwork'!E:E,MATCH(G776,'label approval artwork'!F:F,0),""),"")</f>
        <v/>
      </c>
      <c r="D776" s="102" t="str">
        <f t="shared" si="3"/>
        <v/>
      </c>
      <c r="E776" s="100" t="str">
        <f t="array" ref="E776">IF(ISBLANK(G776),"",INDEX('POR Config List'!K:K,MATCH(G776,'POR Config List'!D:D,0)))</f>
        <v/>
      </c>
      <c r="F776" s="100" t="str">
        <f t="array" ref="F776">IF(ISBLANK(G776),"",INDEX('POR Config List'!J:J,MATCH(G776,'POR Config List'!D:D,0)))</f>
        <v/>
      </c>
      <c r="G776" s="168"/>
      <c r="H776" s="104" t="str">
        <f t="array" ref="H776">IF(ISBLANK(G776),"",INDEX('MP SKUs'!G:G,MATCH(G776,'MP SKUs'!A:A,0)))</f>
        <v/>
      </c>
      <c r="I776" s="105" t="str">
        <f t="array" ref="I776">IF(ISBLANK(G776),"",INDEX('POR Config List'!O:O,MATCH(G776,'POR Config List'!D:D,0)))</f>
        <v/>
      </c>
      <c r="J776" s="104" t="str">
        <f t="array" ref="J776">IF(ISBLANK(G776),"",INDEX('POR Config List'!H:H,MATCH(G776,'POR Config List'!D:D,0)))</f>
        <v/>
      </c>
      <c r="K776" s="105" t="str">
        <f t="array" ref="K776">IF(ISBLANK(G776),"",INDEX('POR Config List'!G:G,MATCH(G776,'POR Config List'!D:D,0)))</f>
        <v/>
      </c>
      <c r="L776" s="105"/>
      <c r="M776" s="105" t="str">
        <f t="array" ref="M776">IF(ISBLANK(G776),"",INDEX('label approval artwork'!Q:Q,MATCH( G776,'label approval artwork'!F:F,0)))</f>
        <v/>
      </c>
      <c r="N776" s="169" t="str">
        <f t="shared" si="5"/>
        <v/>
      </c>
      <c r="O776" s="102" t="str">
        <f t="array" ref="O776">IF(ISBLANK(G776),"",INDEX('POR Config List'!C:C,MATCH(G776,'POR Config List'!D:D,0)))</f>
        <v/>
      </c>
      <c r="P776" s="105" t="str">
        <f t="shared" si="4"/>
        <v/>
      </c>
      <c r="Q776" s="105" t="str">
        <f t="array" ref="Q776">IF(ISBLANK(G776),"",INDEX('label approval artwork'!J:J,MATCH( G776,'label approval artwork'!F:F,0)))</f>
        <v/>
      </c>
      <c r="R776" s="105" t="str">
        <f t="array" ref="R776">IFERROR( IF(P776&lt;&gt;"EMA",INDEX('label approval artwork'!H:H,MATCH(G776,'label approval artwork'!F:F,0),"")),"")</f>
        <v/>
      </c>
      <c r="S776" s="105"/>
      <c r="T776" s="105" t="str">
        <f t="array" ref="T776">IF(ISBLANK(G776),"",INDEX('POR Config List'!I:I,MATCH(G776,'POR Config List'!D:D,0)))</f>
        <v/>
      </c>
      <c r="AA776" s="100" t="str">
        <f t="array" ref="AA776">IF(ISBLANK(G776),"",INDEX('POR Config List'!E:E,MATCH(G776,'POR Config List'!D:D,0)))</f>
        <v/>
      </c>
      <c r="AC776" s="105"/>
      <c r="AD776" s="100"/>
      <c r="AE776" s="100"/>
      <c r="AF776" s="100"/>
      <c r="AG776" s="100"/>
      <c r="AM776" s="102"/>
      <c r="AN776" s="102"/>
      <c r="AR776" s="119"/>
      <c r="AS776" s="103"/>
    </row>
    <row r="777">
      <c r="A777" s="168"/>
      <c r="B777" s="100" t="str">
        <f t="array" ref="B777">IFERROR( INDEX('POR Config List'!A:A,MATCH(G777,'POR Config List'!D:D,0)),"")</f>
        <v/>
      </c>
      <c r="C777" s="101" t="str">
        <f t="array" ref="C777">IFERROR(INDEX('label approval artwork'!E:E,MATCH(G777,'label approval artwork'!F:F,0),""),"")</f>
        <v/>
      </c>
      <c r="D777" s="102" t="str">
        <f t="shared" si="3"/>
        <v/>
      </c>
      <c r="E777" s="100" t="str">
        <f t="array" ref="E777">IF(ISBLANK(G777),"",INDEX('POR Config List'!K:K,MATCH(G777,'POR Config List'!D:D,0)))</f>
        <v/>
      </c>
      <c r="F777" s="100" t="str">
        <f t="array" ref="F777">IF(ISBLANK(G777),"",INDEX('POR Config List'!J:J,MATCH(G777,'POR Config List'!D:D,0)))</f>
        <v/>
      </c>
      <c r="G777" s="168"/>
      <c r="H777" s="104" t="str">
        <f t="array" ref="H777">IF(ISBLANK(G777),"",INDEX('MP SKUs'!G:G,MATCH(G777,'MP SKUs'!A:A,0)))</f>
        <v/>
      </c>
      <c r="I777" s="105" t="str">
        <f t="array" ref="I777">IF(ISBLANK(G777),"",INDEX('POR Config List'!O:O,MATCH(G777,'POR Config List'!D:D,0)))</f>
        <v/>
      </c>
      <c r="J777" s="104" t="str">
        <f t="array" ref="J777">IF(ISBLANK(G777),"",INDEX('POR Config List'!H:H,MATCH(G777,'POR Config List'!D:D,0)))</f>
        <v/>
      </c>
      <c r="K777" s="105" t="str">
        <f t="array" ref="K777">IF(ISBLANK(G777),"",INDEX('POR Config List'!G:G,MATCH(G777,'POR Config List'!D:D,0)))</f>
        <v/>
      </c>
      <c r="L777" s="105"/>
      <c r="M777" s="105" t="str">
        <f t="array" ref="M777">IF(ISBLANK(G777),"",INDEX('label approval artwork'!Q:Q,MATCH( G777,'label approval artwork'!F:F,0)))</f>
        <v/>
      </c>
      <c r="N777" s="169" t="str">
        <f t="shared" si="5"/>
        <v/>
      </c>
      <c r="O777" s="102" t="str">
        <f t="array" ref="O777">IF(ISBLANK(G777),"",INDEX('POR Config List'!C:C,MATCH(G777,'POR Config List'!D:D,0)))</f>
        <v/>
      </c>
      <c r="P777" s="105" t="str">
        <f t="shared" si="4"/>
        <v/>
      </c>
      <c r="Q777" s="105" t="str">
        <f t="array" ref="Q777">IF(ISBLANK(G777),"",INDEX('label approval artwork'!J:J,MATCH( G777,'label approval artwork'!F:F,0)))</f>
        <v/>
      </c>
      <c r="R777" s="105" t="str">
        <f t="array" ref="R777">IFERROR( IF(P777&lt;&gt;"EMA",INDEX('label approval artwork'!H:H,MATCH(G777,'label approval artwork'!F:F,0),"")),"")</f>
        <v/>
      </c>
      <c r="S777" s="105"/>
      <c r="T777" s="105" t="str">
        <f t="array" ref="T777">IF(ISBLANK(G777),"",INDEX('POR Config List'!I:I,MATCH(G777,'POR Config List'!D:D,0)))</f>
        <v/>
      </c>
      <c r="AA777" s="100" t="str">
        <f t="array" ref="AA777">IF(ISBLANK(G777),"",INDEX('POR Config List'!E:E,MATCH(G777,'POR Config List'!D:D,0)))</f>
        <v/>
      </c>
      <c r="AC777" s="105"/>
      <c r="AD777" s="100"/>
      <c r="AE777" s="100"/>
      <c r="AF777" s="100"/>
      <c r="AG777" s="100"/>
      <c r="AM777" s="102"/>
      <c r="AN777" s="102"/>
      <c r="AR777" s="119"/>
      <c r="AS777" s="103"/>
    </row>
    <row r="778">
      <c r="A778" s="168"/>
      <c r="B778" s="100" t="str">
        <f t="array" ref="B778">IFERROR( INDEX('POR Config List'!A:A,MATCH(G778,'POR Config List'!D:D,0)),"")</f>
        <v/>
      </c>
      <c r="C778" s="101" t="str">
        <f t="array" ref="C778">IFERROR(INDEX('label approval artwork'!E:E,MATCH(G778,'label approval artwork'!F:F,0),""),"")</f>
        <v/>
      </c>
      <c r="D778" s="102" t="str">
        <f t="shared" si="3"/>
        <v/>
      </c>
      <c r="E778" s="100" t="str">
        <f t="array" ref="E778">IF(ISBLANK(G778),"",INDEX('POR Config List'!K:K,MATCH(G778,'POR Config List'!D:D,0)))</f>
        <v/>
      </c>
      <c r="F778" s="100" t="str">
        <f t="array" ref="F778">IF(ISBLANK(G778),"",INDEX('POR Config List'!J:J,MATCH(G778,'POR Config List'!D:D,0)))</f>
        <v/>
      </c>
      <c r="G778" s="168"/>
      <c r="H778" s="104" t="str">
        <f t="array" ref="H778">IF(ISBLANK(G778),"",INDEX('MP SKUs'!G:G,MATCH(G778,'MP SKUs'!A:A,0)))</f>
        <v/>
      </c>
      <c r="I778" s="105" t="str">
        <f t="array" ref="I778">IF(ISBLANK(G778),"",INDEX('POR Config List'!O:O,MATCH(G778,'POR Config List'!D:D,0)))</f>
        <v/>
      </c>
      <c r="J778" s="104" t="str">
        <f t="array" ref="J778">IF(ISBLANK(G778),"",INDEX('POR Config List'!H:H,MATCH(G778,'POR Config List'!D:D,0)))</f>
        <v/>
      </c>
      <c r="K778" s="105" t="str">
        <f t="array" ref="K778">IF(ISBLANK(G778),"",INDEX('POR Config List'!G:G,MATCH(G778,'POR Config List'!D:D,0)))</f>
        <v/>
      </c>
      <c r="L778" s="105"/>
      <c r="M778" s="105" t="str">
        <f t="array" ref="M778">IF(ISBLANK(G778),"",INDEX('label approval artwork'!Q:Q,MATCH( G778,'label approval artwork'!F:F,0)))</f>
        <v/>
      </c>
      <c r="N778" s="169" t="str">
        <f t="shared" si="5"/>
        <v/>
      </c>
      <c r="O778" s="102" t="str">
        <f t="array" ref="O778">IF(ISBLANK(G778),"",INDEX('POR Config List'!C:C,MATCH(G778,'POR Config List'!D:D,0)))</f>
        <v/>
      </c>
      <c r="P778" s="105" t="str">
        <f t="shared" si="4"/>
        <v/>
      </c>
      <c r="Q778" s="105" t="str">
        <f t="array" ref="Q778">IF(ISBLANK(G778),"",INDEX('label approval artwork'!J:J,MATCH( G778,'label approval artwork'!F:F,0)))</f>
        <v/>
      </c>
      <c r="R778" s="105" t="str">
        <f t="array" ref="R778">IFERROR( IF(P778&lt;&gt;"EMA",INDEX('label approval artwork'!H:H,MATCH(G778,'label approval artwork'!F:F,0),"")),"")</f>
        <v/>
      </c>
      <c r="S778" s="105"/>
      <c r="T778" s="105" t="str">
        <f t="array" ref="T778">IF(ISBLANK(G778),"",INDEX('POR Config List'!I:I,MATCH(G778,'POR Config List'!D:D,0)))</f>
        <v/>
      </c>
      <c r="AA778" s="100" t="str">
        <f t="array" ref="AA778">IF(ISBLANK(G778),"",INDEX('POR Config List'!E:E,MATCH(G778,'POR Config List'!D:D,0)))</f>
        <v/>
      </c>
      <c r="AC778" s="105"/>
      <c r="AD778" s="100"/>
      <c r="AE778" s="100"/>
      <c r="AF778" s="100"/>
      <c r="AG778" s="100"/>
      <c r="AM778" s="102"/>
      <c r="AN778" s="102"/>
      <c r="AR778" s="119"/>
      <c r="AS778" s="103"/>
    </row>
    <row r="779">
      <c r="A779" s="168"/>
      <c r="B779" s="100" t="str">
        <f t="array" ref="B779">IFERROR( INDEX('POR Config List'!A:A,MATCH(G779,'POR Config List'!D:D,0)),"")</f>
        <v/>
      </c>
      <c r="C779" s="101" t="str">
        <f t="array" ref="C779">IFERROR(INDEX('label approval artwork'!E:E,MATCH(G779,'label approval artwork'!F:F,0),""),"")</f>
        <v/>
      </c>
      <c r="D779" s="102" t="str">
        <f t="shared" si="3"/>
        <v/>
      </c>
      <c r="E779" s="100" t="str">
        <f t="array" ref="E779">IF(ISBLANK(G779),"",INDEX('POR Config List'!K:K,MATCH(G779,'POR Config List'!D:D,0)))</f>
        <v/>
      </c>
      <c r="F779" s="100" t="str">
        <f t="array" ref="F779">IF(ISBLANK(G779),"",INDEX('POR Config List'!J:J,MATCH(G779,'POR Config List'!D:D,0)))</f>
        <v/>
      </c>
      <c r="G779" s="168"/>
      <c r="H779" s="104" t="str">
        <f t="array" ref="H779">IF(ISBLANK(G779),"",INDEX('MP SKUs'!G:G,MATCH(G779,'MP SKUs'!A:A,0)))</f>
        <v/>
      </c>
      <c r="I779" s="105" t="str">
        <f t="array" ref="I779">IF(ISBLANK(G779),"",INDEX('POR Config List'!O:O,MATCH(G779,'POR Config List'!D:D,0)))</f>
        <v/>
      </c>
      <c r="J779" s="104" t="str">
        <f t="array" ref="J779">IF(ISBLANK(G779),"",INDEX('POR Config List'!H:H,MATCH(G779,'POR Config List'!D:D,0)))</f>
        <v/>
      </c>
      <c r="K779" s="105" t="str">
        <f t="array" ref="K779">IF(ISBLANK(G779),"",INDEX('POR Config List'!G:G,MATCH(G779,'POR Config List'!D:D,0)))</f>
        <v/>
      </c>
      <c r="L779" s="105"/>
      <c r="M779" s="105" t="str">
        <f t="array" ref="M779">IF(ISBLANK(G779),"",INDEX('label approval artwork'!Q:Q,MATCH( G779,'label approval artwork'!F:F,0)))</f>
        <v/>
      </c>
      <c r="N779" s="169" t="str">
        <f t="shared" si="5"/>
        <v/>
      </c>
      <c r="O779" s="102" t="str">
        <f t="array" ref="O779">IF(ISBLANK(G779),"",INDEX('POR Config List'!C:C,MATCH(G779,'POR Config List'!D:D,0)))</f>
        <v/>
      </c>
      <c r="P779" s="105" t="str">
        <f t="shared" si="4"/>
        <v/>
      </c>
      <c r="Q779" s="105" t="str">
        <f t="array" ref="Q779">IF(ISBLANK(G779),"",INDEX('label approval artwork'!J:J,MATCH( G779,'label approval artwork'!F:F,0)))</f>
        <v/>
      </c>
      <c r="R779" s="105" t="str">
        <f t="array" ref="R779">IFERROR( IF(P779&lt;&gt;"EMA",INDEX('label approval artwork'!H:H,MATCH(G779,'label approval artwork'!F:F,0),"")),"")</f>
        <v/>
      </c>
      <c r="S779" s="105"/>
      <c r="T779" s="105" t="str">
        <f t="array" ref="T779">IF(ISBLANK(G779),"",INDEX('POR Config List'!I:I,MATCH(G779,'POR Config List'!D:D,0)))</f>
        <v/>
      </c>
      <c r="AA779" s="100" t="str">
        <f t="array" ref="AA779">IF(ISBLANK(G779),"",INDEX('POR Config List'!E:E,MATCH(G779,'POR Config List'!D:D,0)))</f>
        <v/>
      </c>
      <c r="AC779" s="105"/>
      <c r="AD779" s="100"/>
      <c r="AE779" s="100"/>
      <c r="AF779" s="100"/>
      <c r="AG779" s="100"/>
      <c r="AM779" s="102"/>
      <c r="AN779" s="102"/>
      <c r="AR779" s="119"/>
      <c r="AS779" s="103"/>
    </row>
    <row r="780">
      <c r="A780" s="168"/>
      <c r="B780" s="100" t="str">
        <f t="array" ref="B780">IFERROR( INDEX('POR Config List'!A:A,MATCH(G780,'POR Config List'!D:D,0)),"")</f>
        <v/>
      </c>
      <c r="C780" s="101" t="str">
        <f t="array" ref="C780">IFERROR(INDEX('label approval artwork'!E:E,MATCH(G780,'label approval artwork'!F:F,0),""),"")</f>
        <v/>
      </c>
      <c r="D780" s="102" t="str">
        <f t="shared" si="3"/>
        <v/>
      </c>
      <c r="E780" s="100" t="str">
        <f t="array" ref="E780">IF(ISBLANK(G780),"",INDEX('POR Config List'!K:K,MATCH(G780,'POR Config List'!D:D,0)))</f>
        <v/>
      </c>
      <c r="F780" s="100" t="str">
        <f t="array" ref="F780">IF(ISBLANK(G780),"",INDEX('POR Config List'!J:J,MATCH(G780,'POR Config List'!D:D,0)))</f>
        <v/>
      </c>
      <c r="G780" s="168"/>
      <c r="H780" s="104" t="str">
        <f t="array" ref="H780">IF(ISBLANK(G780),"",INDEX('MP SKUs'!G:G,MATCH(G780,'MP SKUs'!A:A,0)))</f>
        <v/>
      </c>
      <c r="I780" s="105" t="str">
        <f t="array" ref="I780">IF(ISBLANK(G780),"",INDEX('POR Config List'!O:O,MATCH(G780,'POR Config List'!D:D,0)))</f>
        <v/>
      </c>
      <c r="J780" s="104" t="str">
        <f t="array" ref="J780">IF(ISBLANK(G780),"",INDEX('POR Config List'!H:H,MATCH(G780,'POR Config List'!D:D,0)))</f>
        <v/>
      </c>
      <c r="K780" s="105" t="str">
        <f t="array" ref="K780">IF(ISBLANK(G780),"",INDEX('POR Config List'!G:G,MATCH(G780,'POR Config List'!D:D,0)))</f>
        <v/>
      </c>
      <c r="L780" s="105"/>
      <c r="M780" s="105" t="str">
        <f t="array" ref="M780">IF(ISBLANK(G780),"",INDEX('label approval artwork'!Q:Q,MATCH( G780,'label approval artwork'!F:F,0)))</f>
        <v/>
      </c>
      <c r="N780" s="169" t="str">
        <f t="shared" si="5"/>
        <v/>
      </c>
      <c r="O780" s="102" t="str">
        <f t="array" ref="O780">IF(ISBLANK(G780),"",INDEX('POR Config List'!C:C,MATCH(G780,'POR Config List'!D:D,0)))</f>
        <v/>
      </c>
      <c r="P780" s="105" t="str">
        <f t="shared" si="4"/>
        <v/>
      </c>
      <c r="Q780" s="105" t="str">
        <f t="array" ref="Q780">IF(ISBLANK(G780),"",INDEX('label approval artwork'!J:J,MATCH( G780,'label approval artwork'!F:F,0)))</f>
        <v/>
      </c>
      <c r="R780" s="105" t="str">
        <f t="array" ref="R780">IFERROR( IF(P780&lt;&gt;"EMA",INDEX('label approval artwork'!H:H,MATCH(G780,'label approval artwork'!F:F,0),"")),"")</f>
        <v/>
      </c>
      <c r="S780" s="105"/>
      <c r="T780" s="105" t="str">
        <f t="array" ref="T780">IF(ISBLANK(G780),"",INDEX('POR Config List'!I:I,MATCH(G780,'POR Config List'!D:D,0)))</f>
        <v/>
      </c>
      <c r="AA780" s="100" t="str">
        <f t="array" ref="AA780">IF(ISBLANK(G780),"",INDEX('POR Config List'!E:E,MATCH(G780,'POR Config List'!D:D,0)))</f>
        <v/>
      </c>
      <c r="AC780" s="105"/>
      <c r="AD780" s="100"/>
      <c r="AE780" s="100"/>
      <c r="AF780" s="100"/>
      <c r="AG780" s="100"/>
      <c r="AM780" s="102"/>
      <c r="AN780" s="102"/>
      <c r="AR780" s="119"/>
      <c r="AS780" s="103"/>
    </row>
    <row r="781">
      <c r="A781" s="168"/>
      <c r="B781" s="100" t="str">
        <f t="array" ref="B781">IFERROR( INDEX('POR Config List'!A:A,MATCH(G781,'POR Config List'!D:D,0)),"")</f>
        <v/>
      </c>
      <c r="C781" s="101" t="str">
        <f t="array" ref="C781">IFERROR(INDEX('label approval artwork'!E:E,MATCH(G781,'label approval artwork'!F:F,0),""),"")</f>
        <v/>
      </c>
      <c r="D781" s="102" t="str">
        <f t="shared" si="3"/>
        <v/>
      </c>
      <c r="E781" s="100" t="str">
        <f t="array" ref="E781">IF(ISBLANK(G781),"",INDEX('POR Config List'!K:K,MATCH(G781,'POR Config List'!D:D,0)))</f>
        <v/>
      </c>
      <c r="F781" s="100" t="str">
        <f t="array" ref="F781">IF(ISBLANK(G781),"",INDEX('POR Config List'!J:J,MATCH(G781,'POR Config List'!D:D,0)))</f>
        <v/>
      </c>
      <c r="G781" s="168"/>
      <c r="H781" s="104" t="str">
        <f t="array" ref="H781">IF(ISBLANK(G781),"",INDEX('MP SKUs'!G:G,MATCH(G781,'MP SKUs'!A:A,0)))</f>
        <v/>
      </c>
      <c r="I781" s="105" t="str">
        <f t="array" ref="I781">IF(ISBLANK(G781),"",INDEX('POR Config List'!O:O,MATCH(G781,'POR Config List'!D:D,0)))</f>
        <v/>
      </c>
      <c r="J781" s="104" t="str">
        <f t="array" ref="J781">IF(ISBLANK(G781),"",INDEX('POR Config List'!H:H,MATCH(G781,'POR Config List'!D:D,0)))</f>
        <v/>
      </c>
      <c r="K781" s="105" t="str">
        <f t="array" ref="K781">IF(ISBLANK(G781),"",INDEX('POR Config List'!G:G,MATCH(G781,'POR Config List'!D:D,0)))</f>
        <v/>
      </c>
      <c r="L781" s="105"/>
      <c r="M781" s="105" t="str">
        <f t="array" ref="M781">IF(ISBLANK(G781),"",INDEX('label approval artwork'!Q:Q,MATCH( G781,'label approval artwork'!F:F,0)))</f>
        <v/>
      </c>
      <c r="N781" s="169" t="str">
        <f t="shared" si="5"/>
        <v/>
      </c>
      <c r="O781" s="102" t="str">
        <f t="array" ref="O781">IF(ISBLANK(G781),"",INDEX('POR Config List'!C:C,MATCH(G781,'POR Config List'!D:D,0)))</f>
        <v/>
      </c>
      <c r="P781" s="105" t="str">
        <f t="shared" si="4"/>
        <v/>
      </c>
      <c r="Q781" s="105" t="str">
        <f t="array" ref="Q781">IF(ISBLANK(G781),"",INDEX('label approval artwork'!J:J,MATCH( G781,'label approval artwork'!F:F,0)))</f>
        <v/>
      </c>
      <c r="R781" s="105" t="str">
        <f t="array" ref="R781">IFERROR( IF(P781&lt;&gt;"EMA",INDEX('label approval artwork'!H:H,MATCH(G781,'label approval artwork'!F:F,0),"")),"")</f>
        <v/>
      </c>
      <c r="S781" s="105"/>
      <c r="T781" s="105" t="str">
        <f t="array" ref="T781">IF(ISBLANK(G781),"",INDEX('POR Config List'!I:I,MATCH(G781,'POR Config List'!D:D,0)))</f>
        <v/>
      </c>
      <c r="AA781" s="100" t="str">
        <f t="array" ref="AA781">IF(ISBLANK(G781),"",INDEX('POR Config List'!E:E,MATCH(G781,'POR Config List'!D:D,0)))</f>
        <v/>
      </c>
      <c r="AC781" s="105"/>
      <c r="AD781" s="100"/>
      <c r="AE781" s="100"/>
      <c r="AF781" s="100"/>
      <c r="AG781" s="100"/>
      <c r="AM781" s="102"/>
      <c r="AN781" s="102"/>
      <c r="AR781" s="119"/>
      <c r="AS781" s="103"/>
    </row>
    <row r="782">
      <c r="A782" s="168"/>
      <c r="B782" s="100" t="str">
        <f t="array" ref="B782">IFERROR( INDEX('POR Config List'!A:A,MATCH(G782,'POR Config List'!D:D,0)),"")</f>
        <v/>
      </c>
      <c r="C782" s="101" t="str">
        <f t="array" ref="C782">IFERROR(INDEX('label approval artwork'!E:E,MATCH(G782,'label approval artwork'!F:F,0),""),"")</f>
        <v/>
      </c>
      <c r="D782" s="102" t="str">
        <f t="shared" si="3"/>
        <v/>
      </c>
      <c r="E782" s="100" t="str">
        <f t="array" ref="E782">IF(ISBLANK(G782),"",INDEX('POR Config List'!K:K,MATCH(G782,'POR Config List'!D:D,0)))</f>
        <v/>
      </c>
      <c r="F782" s="100" t="str">
        <f t="array" ref="F782">IF(ISBLANK(G782),"",INDEX('POR Config List'!J:J,MATCH(G782,'POR Config List'!D:D,0)))</f>
        <v/>
      </c>
      <c r="G782" s="168"/>
      <c r="H782" s="104" t="str">
        <f t="array" ref="H782">IF(ISBLANK(G782),"",INDEX('MP SKUs'!G:G,MATCH(G782,'MP SKUs'!A:A,0)))</f>
        <v/>
      </c>
      <c r="I782" s="105" t="str">
        <f t="array" ref="I782">IF(ISBLANK(G782),"",INDEX('POR Config List'!O:O,MATCH(G782,'POR Config List'!D:D,0)))</f>
        <v/>
      </c>
      <c r="J782" s="104" t="str">
        <f t="array" ref="J782">IF(ISBLANK(G782),"",INDEX('POR Config List'!H:H,MATCH(G782,'POR Config List'!D:D,0)))</f>
        <v/>
      </c>
      <c r="K782" s="105" t="str">
        <f t="array" ref="K782">IF(ISBLANK(G782),"",INDEX('POR Config List'!G:G,MATCH(G782,'POR Config List'!D:D,0)))</f>
        <v/>
      </c>
      <c r="L782" s="105"/>
      <c r="M782" s="105" t="str">
        <f t="array" ref="M782">IF(ISBLANK(G782),"",INDEX('label approval artwork'!Q:Q,MATCH( G782,'label approval artwork'!F:F,0)))</f>
        <v/>
      </c>
      <c r="N782" s="169" t="str">
        <f t="shared" si="5"/>
        <v/>
      </c>
      <c r="O782" s="102" t="str">
        <f t="array" ref="O782">IF(ISBLANK(G782),"",INDEX('POR Config List'!C:C,MATCH(G782,'POR Config List'!D:D,0)))</f>
        <v/>
      </c>
      <c r="P782" s="105" t="str">
        <f t="shared" si="4"/>
        <v/>
      </c>
      <c r="Q782" s="105" t="str">
        <f t="array" ref="Q782">IF(ISBLANK(G782),"",INDEX('label approval artwork'!J:J,MATCH( G782,'label approval artwork'!F:F,0)))</f>
        <v/>
      </c>
      <c r="R782" s="105" t="str">
        <f t="array" ref="R782">IFERROR( IF(P782&lt;&gt;"EMA",INDEX('label approval artwork'!H:H,MATCH(G782,'label approval artwork'!F:F,0),"")),"")</f>
        <v/>
      </c>
      <c r="S782" s="105"/>
      <c r="T782" s="105" t="str">
        <f t="array" ref="T782">IF(ISBLANK(G782),"",INDEX('POR Config List'!I:I,MATCH(G782,'POR Config List'!D:D,0)))</f>
        <v/>
      </c>
      <c r="AA782" s="100" t="str">
        <f t="array" ref="AA782">IF(ISBLANK(G782),"",INDEX('POR Config List'!E:E,MATCH(G782,'POR Config List'!D:D,0)))</f>
        <v/>
      </c>
      <c r="AC782" s="105"/>
      <c r="AD782" s="100"/>
      <c r="AE782" s="100"/>
      <c r="AF782" s="100"/>
      <c r="AG782" s="100"/>
      <c r="AM782" s="102"/>
      <c r="AN782" s="102"/>
      <c r="AR782" s="119"/>
      <c r="AS782" s="103"/>
    </row>
    <row r="783">
      <c r="A783" s="168"/>
      <c r="B783" s="100" t="str">
        <f t="array" ref="B783">IFERROR( INDEX('POR Config List'!A:A,MATCH(G783,'POR Config List'!D:D,0)),"")</f>
        <v/>
      </c>
      <c r="C783" s="101" t="str">
        <f t="array" ref="C783">IFERROR(INDEX('label approval artwork'!E:E,MATCH(G783,'label approval artwork'!F:F,0),""),"")</f>
        <v/>
      </c>
      <c r="D783" s="102" t="str">
        <f t="shared" si="3"/>
        <v/>
      </c>
      <c r="E783" s="100" t="str">
        <f t="array" ref="E783">IF(ISBLANK(G783),"",INDEX('POR Config List'!K:K,MATCH(G783,'POR Config List'!D:D,0)))</f>
        <v/>
      </c>
      <c r="F783" s="100" t="str">
        <f t="array" ref="F783">IF(ISBLANK(G783),"",INDEX('POR Config List'!J:J,MATCH(G783,'POR Config List'!D:D,0)))</f>
        <v/>
      </c>
      <c r="G783" s="168"/>
      <c r="H783" s="104" t="str">
        <f t="array" ref="H783">IF(ISBLANK(G783),"",INDEX('MP SKUs'!G:G,MATCH(G783,'MP SKUs'!A:A,0)))</f>
        <v/>
      </c>
      <c r="I783" s="105" t="str">
        <f t="array" ref="I783">IF(ISBLANK(G783),"",INDEX('POR Config List'!O:O,MATCH(G783,'POR Config List'!D:D,0)))</f>
        <v/>
      </c>
      <c r="J783" s="104" t="str">
        <f t="array" ref="J783">IF(ISBLANK(G783),"",INDEX('POR Config List'!H:H,MATCH(G783,'POR Config List'!D:D,0)))</f>
        <v/>
      </c>
      <c r="K783" s="105" t="str">
        <f t="array" ref="K783">IF(ISBLANK(G783),"",INDEX('POR Config List'!G:G,MATCH(G783,'POR Config List'!D:D,0)))</f>
        <v/>
      </c>
      <c r="L783" s="105"/>
      <c r="M783" s="105" t="str">
        <f t="array" ref="M783">IF(ISBLANK(G783),"",INDEX('label approval artwork'!Q:Q,MATCH( G783,'label approval artwork'!F:F,0)))</f>
        <v/>
      </c>
      <c r="N783" s="169" t="str">
        <f t="shared" si="5"/>
        <v/>
      </c>
      <c r="O783" s="102" t="str">
        <f t="array" ref="O783">IF(ISBLANK(G783),"",INDEX('POR Config List'!C:C,MATCH(G783,'POR Config List'!D:D,0)))</f>
        <v/>
      </c>
      <c r="P783" s="105" t="str">
        <f t="shared" si="4"/>
        <v/>
      </c>
      <c r="Q783" s="105" t="str">
        <f t="array" ref="Q783">IF(ISBLANK(G783),"",INDEX('label approval artwork'!J:J,MATCH( G783,'label approval artwork'!F:F,0)))</f>
        <v/>
      </c>
      <c r="R783" s="105" t="str">
        <f t="array" ref="R783">IFERROR( IF(P783&lt;&gt;"EMA",INDEX('label approval artwork'!H:H,MATCH(G783,'label approval artwork'!F:F,0),"")),"")</f>
        <v/>
      </c>
      <c r="S783" s="105"/>
      <c r="T783" s="105" t="str">
        <f t="array" ref="T783">IF(ISBLANK(G783),"",INDEX('POR Config List'!I:I,MATCH(G783,'POR Config List'!D:D,0)))</f>
        <v/>
      </c>
      <c r="AA783" s="100" t="str">
        <f t="array" ref="AA783">IF(ISBLANK(G783),"",INDEX('POR Config List'!E:E,MATCH(G783,'POR Config List'!D:D,0)))</f>
        <v/>
      </c>
      <c r="AC783" s="105"/>
      <c r="AD783" s="100"/>
      <c r="AE783" s="100"/>
      <c r="AF783" s="100"/>
      <c r="AG783" s="100"/>
      <c r="AM783" s="102"/>
      <c r="AN783" s="102"/>
      <c r="AR783" s="119"/>
      <c r="AS783" s="103"/>
    </row>
    <row r="784">
      <c r="A784" s="168"/>
      <c r="B784" s="100" t="str">
        <f t="array" ref="B784">IFERROR( INDEX('POR Config List'!A:A,MATCH(G784,'POR Config List'!D:D,0)),"")</f>
        <v/>
      </c>
      <c r="C784" s="101" t="str">
        <f t="array" ref="C784">IFERROR(INDEX('label approval artwork'!E:E,MATCH(G784,'label approval artwork'!F:F,0),""),"")</f>
        <v/>
      </c>
      <c r="D784" s="102" t="str">
        <f t="shared" si="3"/>
        <v/>
      </c>
      <c r="E784" s="100" t="str">
        <f t="array" ref="E784">IF(ISBLANK(G784),"",INDEX('POR Config List'!K:K,MATCH(G784,'POR Config List'!D:D,0)))</f>
        <v/>
      </c>
      <c r="F784" s="100" t="str">
        <f t="array" ref="F784">IF(ISBLANK(G784),"",INDEX('POR Config List'!J:J,MATCH(G784,'POR Config List'!D:D,0)))</f>
        <v/>
      </c>
      <c r="G784" s="168"/>
      <c r="H784" s="104" t="str">
        <f t="array" ref="H784">IF(ISBLANK(G784),"",INDEX('MP SKUs'!G:G,MATCH(G784,'MP SKUs'!A:A,0)))</f>
        <v/>
      </c>
      <c r="I784" s="105" t="str">
        <f t="array" ref="I784">IF(ISBLANK(G784),"",INDEX('POR Config List'!O:O,MATCH(G784,'POR Config List'!D:D,0)))</f>
        <v/>
      </c>
      <c r="J784" s="104" t="str">
        <f t="array" ref="J784">IF(ISBLANK(G784),"",INDEX('POR Config List'!H:H,MATCH(G784,'POR Config List'!D:D,0)))</f>
        <v/>
      </c>
      <c r="K784" s="105" t="str">
        <f t="array" ref="K784">IF(ISBLANK(G784),"",INDEX('POR Config List'!G:G,MATCH(G784,'POR Config List'!D:D,0)))</f>
        <v/>
      </c>
      <c r="L784" s="105"/>
      <c r="M784" s="105" t="str">
        <f t="array" ref="M784">IF(ISBLANK(G784),"",INDEX('label approval artwork'!Q:Q,MATCH( G784,'label approval artwork'!F:F,0)))</f>
        <v/>
      </c>
      <c r="N784" s="169" t="str">
        <f t="shared" si="5"/>
        <v/>
      </c>
      <c r="O784" s="102" t="str">
        <f t="array" ref="O784">IF(ISBLANK(G784),"",INDEX('POR Config List'!C:C,MATCH(G784,'POR Config List'!D:D,0)))</f>
        <v/>
      </c>
      <c r="P784" s="105" t="str">
        <f t="shared" si="4"/>
        <v/>
      </c>
      <c r="Q784" s="105" t="str">
        <f t="array" ref="Q784">IF(ISBLANK(G784),"",INDEX('label approval artwork'!J:J,MATCH( G784,'label approval artwork'!F:F,0)))</f>
        <v/>
      </c>
      <c r="R784" s="105" t="str">
        <f t="array" ref="R784">IFERROR( IF(P784&lt;&gt;"EMA",INDEX('label approval artwork'!H:H,MATCH(G784,'label approval artwork'!F:F,0),"")),"")</f>
        <v/>
      </c>
      <c r="S784" s="105"/>
      <c r="T784" s="105" t="str">
        <f t="array" ref="T784">IF(ISBLANK(G784),"",INDEX('POR Config List'!I:I,MATCH(G784,'POR Config List'!D:D,0)))</f>
        <v/>
      </c>
      <c r="AA784" s="100" t="str">
        <f t="array" ref="AA784">IF(ISBLANK(G784),"",INDEX('POR Config List'!E:E,MATCH(G784,'POR Config List'!D:D,0)))</f>
        <v/>
      </c>
      <c r="AC784" s="105"/>
      <c r="AD784" s="100"/>
      <c r="AE784" s="100"/>
      <c r="AF784" s="100"/>
      <c r="AG784" s="100"/>
      <c r="AM784" s="102"/>
      <c r="AN784" s="102"/>
      <c r="AR784" s="119"/>
      <c r="AS784" s="103"/>
    </row>
    <row r="785">
      <c r="A785" s="168"/>
      <c r="B785" s="100" t="str">
        <f t="array" ref="B785">IFERROR( INDEX('POR Config List'!A:A,MATCH(G785,'POR Config List'!D:D,0)),"")</f>
        <v/>
      </c>
      <c r="C785" s="101" t="str">
        <f t="array" ref="C785">IFERROR(INDEX('label approval artwork'!E:E,MATCH(G785,'label approval artwork'!F:F,0),""),"")</f>
        <v/>
      </c>
      <c r="D785" s="102" t="str">
        <f t="shared" si="3"/>
        <v/>
      </c>
      <c r="E785" s="100" t="str">
        <f t="array" ref="E785">IF(ISBLANK(G785),"",INDEX('POR Config List'!K:K,MATCH(G785,'POR Config List'!D:D,0)))</f>
        <v/>
      </c>
      <c r="F785" s="100" t="str">
        <f t="array" ref="F785">IF(ISBLANK(G785),"",INDEX('POR Config List'!J:J,MATCH(G785,'POR Config List'!D:D,0)))</f>
        <v/>
      </c>
      <c r="G785" s="168"/>
      <c r="H785" s="104" t="str">
        <f t="array" ref="H785">IF(ISBLANK(G785),"",INDEX('MP SKUs'!G:G,MATCH(G785,'MP SKUs'!A:A,0)))</f>
        <v/>
      </c>
      <c r="I785" s="105" t="str">
        <f t="array" ref="I785">IF(ISBLANK(G785),"",INDEX('POR Config List'!O:O,MATCH(G785,'POR Config List'!D:D,0)))</f>
        <v/>
      </c>
      <c r="J785" s="104" t="str">
        <f t="array" ref="J785">IF(ISBLANK(G785),"",INDEX('POR Config List'!H:H,MATCH(G785,'POR Config List'!D:D,0)))</f>
        <v/>
      </c>
      <c r="K785" s="105" t="str">
        <f t="array" ref="K785">IF(ISBLANK(G785),"",INDEX('POR Config List'!G:G,MATCH(G785,'POR Config List'!D:D,0)))</f>
        <v/>
      </c>
      <c r="L785" s="105"/>
      <c r="M785" s="105" t="str">
        <f t="array" ref="M785">IF(ISBLANK(G785),"",INDEX('label approval artwork'!Q:Q,MATCH( G785,'label approval artwork'!F:F,0)))</f>
        <v/>
      </c>
      <c r="N785" s="169" t="str">
        <f t="shared" si="5"/>
        <v/>
      </c>
      <c r="O785" s="102" t="str">
        <f t="array" ref="O785">IF(ISBLANK(G785),"",INDEX('POR Config List'!C:C,MATCH(G785,'POR Config List'!D:D,0)))</f>
        <v/>
      </c>
      <c r="P785" s="105" t="str">
        <f t="shared" si="4"/>
        <v/>
      </c>
      <c r="Q785" s="105" t="str">
        <f t="array" ref="Q785">IF(ISBLANK(G785),"",INDEX('label approval artwork'!J:J,MATCH( G785,'label approval artwork'!F:F,0)))</f>
        <v/>
      </c>
      <c r="R785" s="105" t="str">
        <f t="array" ref="R785">IFERROR( IF(P785&lt;&gt;"EMA",INDEX('label approval artwork'!H:H,MATCH(G785,'label approval artwork'!F:F,0),"")),"")</f>
        <v/>
      </c>
      <c r="S785" s="105"/>
      <c r="T785" s="105" t="str">
        <f t="array" ref="T785">IF(ISBLANK(G785),"",INDEX('POR Config List'!I:I,MATCH(G785,'POR Config List'!D:D,0)))</f>
        <v/>
      </c>
      <c r="AA785" s="100" t="str">
        <f t="array" ref="AA785">IF(ISBLANK(G785),"",INDEX('POR Config List'!E:E,MATCH(G785,'POR Config List'!D:D,0)))</f>
        <v/>
      </c>
      <c r="AC785" s="105"/>
      <c r="AD785" s="100"/>
      <c r="AE785" s="100"/>
      <c r="AF785" s="100"/>
      <c r="AG785" s="100"/>
      <c r="AM785" s="102"/>
      <c r="AN785" s="102"/>
      <c r="AR785" s="119"/>
      <c r="AS785" s="103"/>
    </row>
    <row r="786">
      <c r="A786" s="168"/>
      <c r="B786" s="100" t="str">
        <f t="array" ref="B786">IFERROR( INDEX('POR Config List'!A:A,MATCH(G786,'POR Config List'!D:D,0)),"")</f>
        <v/>
      </c>
      <c r="C786" s="101" t="str">
        <f t="array" ref="C786">IFERROR(INDEX('label approval artwork'!E:E,MATCH(G786,'label approval artwork'!F:F,0),""),"")</f>
        <v/>
      </c>
      <c r="D786" s="102" t="str">
        <f t="shared" si="3"/>
        <v/>
      </c>
      <c r="E786" s="100" t="str">
        <f t="array" ref="E786">IF(ISBLANK(G786),"",INDEX('POR Config List'!K:K,MATCH(G786,'POR Config List'!D:D,0)))</f>
        <v/>
      </c>
      <c r="F786" s="100" t="str">
        <f t="array" ref="F786">IF(ISBLANK(G786),"",INDEX('POR Config List'!J:J,MATCH(G786,'POR Config List'!D:D,0)))</f>
        <v/>
      </c>
      <c r="G786" s="168"/>
      <c r="H786" s="104" t="str">
        <f t="array" ref="H786">IF(ISBLANK(G786),"",INDEX('MP SKUs'!G:G,MATCH(G786,'MP SKUs'!A:A,0)))</f>
        <v/>
      </c>
      <c r="I786" s="105" t="str">
        <f t="array" ref="I786">IF(ISBLANK(G786),"",INDEX('POR Config List'!O:O,MATCH(G786,'POR Config List'!D:D,0)))</f>
        <v/>
      </c>
      <c r="J786" s="104" t="str">
        <f t="array" ref="J786">IF(ISBLANK(G786),"",INDEX('POR Config List'!H:H,MATCH(G786,'POR Config List'!D:D,0)))</f>
        <v/>
      </c>
      <c r="K786" s="105" t="str">
        <f t="array" ref="K786">IF(ISBLANK(G786),"",INDEX('POR Config List'!G:G,MATCH(G786,'POR Config List'!D:D,0)))</f>
        <v/>
      </c>
      <c r="L786" s="105"/>
      <c r="M786" s="105" t="str">
        <f t="array" ref="M786">IF(ISBLANK(G786),"",INDEX('label approval artwork'!Q:Q,MATCH( G786,'label approval artwork'!F:F,0)))</f>
        <v/>
      </c>
      <c r="N786" s="169" t="str">
        <f t="shared" si="5"/>
        <v/>
      </c>
      <c r="O786" s="102" t="str">
        <f t="array" ref="O786">IF(ISBLANK(G786),"",INDEX('POR Config List'!C:C,MATCH(G786,'POR Config List'!D:D,0)))</f>
        <v/>
      </c>
      <c r="P786" s="105" t="str">
        <f t="shared" si="4"/>
        <v/>
      </c>
      <c r="Q786" s="105" t="str">
        <f t="array" ref="Q786">IF(ISBLANK(G786),"",INDEX('label approval artwork'!J:J,MATCH( G786,'label approval artwork'!F:F,0)))</f>
        <v/>
      </c>
      <c r="R786" s="105" t="str">
        <f t="array" ref="R786">IFERROR( IF(P786&lt;&gt;"EMA",INDEX('label approval artwork'!H:H,MATCH(G786,'label approval artwork'!F:F,0),"")),"")</f>
        <v/>
      </c>
      <c r="S786" s="105"/>
      <c r="T786" s="105" t="str">
        <f t="array" ref="T786">IF(ISBLANK(G786),"",INDEX('POR Config List'!I:I,MATCH(G786,'POR Config List'!D:D,0)))</f>
        <v/>
      </c>
      <c r="AA786" s="100" t="str">
        <f t="array" ref="AA786">IF(ISBLANK(G786),"",INDEX('POR Config List'!E:E,MATCH(G786,'POR Config List'!D:D,0)))</f>
        <v/>
      </c>
      <c r="AC786" s="105"/>
      <c r="AD786" s="100"/>
      <c r="AE786" s="100"/>
      <c r="AF786" s="100"/>
      <c r="AG786" s="100"/>
      <c r="AM786" s="102"/>
      <c r="AN786" s="102"/>
      <c r="AR786" s="119"/>
      <c r="AS786" s="103"/>
    </row>
    <row r="787">
      <c r="A787" s="168"/>
      <c r="B787" s="100" t="str">
        <f t="array" ref="B787">IFERROR( INDEX('POR Config List'!A:A,MATCH(G787,'POR Config List'!D:D,0)),"")</f>
        <v/>
      </c>
      <c r="C787" s="101" t="str">
        <f t="array" ref="C787">IFERROR(INDEX('label approval artwork'!E:E,MATCH(G787,'label approval artwork'!F:F,0),""),"")</f>
        <v/>
      </c>
      <c r="D787" s="102" t="str">
        <f t="shared" si="3"/>
        <v/>
      </c>
      <c r="E787" s="100" t="str">
        <f t="array" ref="E787">IF(ISBLANK(G787),"",INDEX('POR Config List'!K:K,MATCH(G787,'POR Config List'!D:D,0)))</f>
        <v/>
      </c>
      <c r="F787" s="100" t="str">
        <f t="array" ref="F787">IF(ISBLANK(G787),"",INDEX('POR Config List'!J:J,MATCH(G787,'POR Config List'!D:D,0)))</f>
        <v/>
      </c>
      <c r="G787" s="168"/>
      <c r="H787" s="104" t="str">
        <f t="array" ref="H787">IF(ISBLANK(G787),"",INDEX('MP SKUs'!G:G,MATCH(G787,'MP SKUs'!A:A,0)))</f>
        <v/>
      </c>
      <c r="I787" s="105" t="str">
        <f t="array" ref="I787">IF(ISBLANK(G787),"",INDEX('POR Config List'!O:O,MATCH(G787,'POR Config List'!D:D,0)))</f>
        <v/>
      </c>
      <c r="J787" s="104" t="str">
        <f t="array" ref="J787">IF(ISBLANK(G787),"",INDEX('POR Config List'!H:H,MATCH(G787,'POR Config List'!D:D,0)))</f>
        <v/>
      </c>
      <c r="K787" s="105" t="str">
        <f t="array" ref="K787">IF(ISBLANK(G787),"",INDEX('POR Config List'!G:G,MATCH(G787,'POR Config List'!D:D,0)))</f>
        <v/>
      </c>
      <c r="L787" s="105"/>
      <c r="M787" s="105" t="str">
        <f t="array" ref="M787">IF(ISBLANK(G787),"",INDEX('label approval artwork'!Q:Q,MATCH( G787,'label approval artwork'!F:F,0)))</f>
        <v/>
      </c>
      <c r="N787" s="169" t="str">
        <f t="shared" si="5"/>
        <v/>
      </c>
      <c r="O787" s="102" t="str">
        <f t="array" ref="O787">IF(ISBLANK(G787),"",INDEX('POR Config List'!C:C,MATCH(G787,'POR Config List'!D:D,0)))</f>
        <v/>
      </c>
      <c r="P787" s="105" t="str">
        <f t="shared" si="4"/>
        <v/>
      </c>
      <c r="Q787" s="105" t="str">
        <f t="array" ref="Q787">IF(ISBLANK(G787),"",INDEX('label approval artwork'!J:J,MATCH( G787,'label approval artwork'!F:F,0)))</f>
        <v/>
      </c>
      <c r="R787" s="105" t="str">
        <f t="array" ref="R787">IFERROR( IF(P787&lt;&gt;"EMA",INDEX('label approval artwork'!H:H,MATCH(G787,'label approval artwork'!F:F,0),"")),"")</f>
        <v/>
      </c>
      <c r="S787" s="105"/>
      <c r="T787" s="105" t="str">
        <f t="array" ref="T787">IF(ISBLANK(G787),"",INDEX('POR Config List'!I:I,MATCH(G787,'POR Config List'!D:D,0)))</f>
        <v/>
      </c>
      <c r="AA787" s="100" t="str">
        <f t="array" ref="AA787">IF(ISBLANK(G787),"",INDEX('POR Config List'!E:E,MATCH(G787,'POR Config List'!D:D,0)))</f>
        <v/>
      </c>
      <c r="AC787" s="105"/>
      <c r="AD787" s="100"/>
      <c r="AE787" s="100"/>
      <c r="AF787" s="100"/>
      <c r="AG787" s="100"/>
      <c r="AM787" s="102"/>
      <c r="AN787" s="102"/>
      <c r="AR787" s="119"/>
      <c r="AS787" s="103"/>
    </row>
    <row r="788">
      <c r="A788" s="168"/>
      <c r="B788" s="100" t="str">
        <f t="array" ref="B788">IFERROR( INDEX('POR Config List'!A:A,MATCH(G788,'POR Config List'!D:D,0)),"")</f>
        <v/>
      </c>
      <c r="C788" s="101" t="str">
        <f t="array" ref="C788">IFERROR(INDEX('label approval artwork'!E:E,MATCH(G788,'label approval artwork'!F:F,0),""),"")</f>
        <v/>
      </c>
      <c r="D788" s="102" t="str">
        <f t="shared" si="3"/>
        <v/>
      </c>
      <c r="E788" s="100" t="str">
        <f t="array" ref="E788">IF(ISBLANK(G788),"",INDEX('POR Config List'!K:K,MATCH(G788,'POR Config List'!D:D,0)))</f>
        <v/>
      </c>
      <c r="F788" s="100" t="str">
        <f t="array" ref="F788">IF(ISBLANK(G788),"",INDEX('POR Config List'!J:J,MATCH(G788,'POR Config List'!D:D,0)))</f>
        <v/>
      </c>
      <c r="G788" s="168"/>
      <c r="H788" s="104" t="str">
        <f t="array" ref="H788">IF(ISBLANK(G788),"",INDEX('MP SKUs'!G:G,MATCH(G788,'MP SKUs'!A:A,0)))</f>
        <v/>
      </c>
      <c r="I788" s="105" t="str">
        <f t="array" ref="I788">IF(ISBLANK(G788),"",INDEX('POR Config List'!O:O,MATCH(G788,'POR Config List'!D:D,0)))</f>
        <v/>
      </c>
      <c r="J788" s="104" t="str">
        <f t="array" ref="J788">IF(ISBLANK(G788),"",INDEX('POR Config List'!H:H,MATCH(G788,'POR Config List'!D:D,0)))</f>
        <v/>
      </c>
      <c r="K788" s="105" t="str">
        <f t="array" ref="K788">IF(ISBLANK(G788),"",INDEX('POR Config List'!G:G,MATCH(G788,'POR Config List'!D:D,0)))</f>
        <v/>
      </c>
      <c r="L788" s="105"/>
      <c r="M788" s="105" t="str">
        <f t="array" ref="M788">IF(ISBLANK(G788),"",INDEX('label approval artwork'!Q:Q,MATCH( G788,'label approval artwork'!F:F,0)))</f>
        <v/>
      </c>
      <c r="N788" s="169" t="str">
        <f t="shared" si="5"/>
        <v/>
      </c>
      <c r="O788" s="102" t="str">
        <f t="array" ref="O788">IF(ISBLANK(G788),"",INDEX('POR Config List'!C:C,MATCH(G788,'POR Config List'!D:D,0)))</f>
        <v/>
      </c>
      <c r="P788" s="105" t="str">
        <f t="shared" si="4"/>
        <v/>
      </c>
      <c r="Q788" s="105" t="str">
        <f t="array" ref="Q788">IF(ISBLANK(G788),"",INDEX('label approval artwork'!J:J,MATCH( G788,'label approval artwork'!F:F,0)))</f>
        <v/>
      </c>
      <c r="R788" s="105" t="str">
        <f t="array" ref="R788">IFERROR( IF(P788&lt;&gt;"EMA",INDEX('label approval artwork'!H:H,MATCH(G788,'label approval artwork'!F:F,0),"")),"")</f>
        <v/>
      </c>
      <c r="S788" s="105"/>
      <c r="T788" s="105" t="str">
        <f t="array" ref="T788">IF(ISBLANK(G788),"",INDEX('POR Config List'!I:I,MATCH(G788,'POR Config List'!D:D,0)))</f>
        <v/>
      </c>
      <c r="AA788" s="100" t="str">
        <f t="array" ref="AA788">IF(ISBLANK(G788),"",INDEX('POR Config List'!E:E,MATCH(G788,'POR Config List'!D:D,0)))</f>
        <v/>
      </c>
      <c r="AC788" s="105"/>
      <c r="AD788" s="100"/>
      <c r="AE788" s="100"/>
      <c r="AF788" s="100"/>
      <c r="AG788" s="100"/>
      <c r="AM788" s="102"/>
      <c r="AN788" s="102"/>
      <c r="AR788" s="119"/>
      <c r="AS788" s="103"/>
    </row>
    <row r="789">
      <c r="A789" s="168"/>
      <c r="B789" s="100" t="str">
        <f t="array" ref="B789">IFERROR( INDEX('POR Config List'!A:A,MATCH(G789,'POR Config List'!D:D,0)),"")</f>
        <v/>
      </c>
      <c r="C789" s="101" t="str">
        <f t="array" ref="C789">IFERROR(INDEX('label approval artwork'!E:E,MATCH(G789,'label approval artwork'!F:F,0),""),"")</f>
        <v/>
      </c>
      <c r="D789" s="102" t="str">
        <f t="shared" si="3"/>
        <v/>
      </c>
      <c r="E789" s="100" t="str">
        <f t="array" ref="E789">IF(ISBLANK(G789),"",INDEX('POR Config List'!K:K,MATCH(G789,'POR Config List'!D:D,0)))</f>
        <v/>
      </c>
      <c r="F789" s="100" t="str">
        <f t="array" ref="F789">IF(ISBLANK(G789),"",INDEX('POR Config List'!J:J,MATCH(G789,'POR Config List'!D:D,0)))</f>
        <v/>
      </c>
      <c r="G789" s="168"/>
      <c r="H789" s="104" t="str">
        <f t="array" ref="H789">IF(ISBLANK(G789),"",INDEX('MP SKUs'!G:G,MATCH(G789,'MP SKUs'!A:A,0)))</f>
        <v/>
      </c>
      <c r="I789" s="105" t="str">
        <f t="array" ref="I789">IF(ISBLANK(G789),"",INDEX('POR Config List'!O:O,MATCH(G789,'POR Config List'!D:D,0)))</f>
        <v/>
      </c>
      <c r="J789" s="104" t="str">
        <f t="array" ref="J789">IF(ISBLANK(G789),"",INDEX('POR Config List'!H:H,MATCH(G789,'POR Config List'!D:D,0)))</f>
        <v/>
      </c>
      <c r="K789" s="105" t="str">
        <f t="array" ref="K789">IF(ISBLANK(G789),"",INDEX('POR Config List'!G:G,MATCH(G789,'POR Config List'!D:D,0)))</f>
        <v/>
      </c>
      <c r="L789" s="105"/>
      <c r="M789" s="105" t="str">
        <f t="array" ref="M789">IF(ISBLANK(G789),"",INDEX('label approval artwork'!Q:Q,MATCH( G789,'label approval artwork'!F:F,0)))</f>
        <v/>
      </c>
      <c r="N789" s="169" t="str">
        <f t="shared" si="5"/>
        <v/>
      </c>
      <c r="O789" s="102" t="str">
        <f t="array" ref="O789">IF(ISBLANK(G789),"",INDEX('POR Config List'!C:C,MATCH(G789,'POR Config List'!D:D,0)))</f>
        <v/>
      </c>
      <c r="P789" s="105" t="str">
        <f t="shared" si="4"/>
        <v/>
      </c>
      <c r="Q789" s="105" t="str">
        <f t="array" ref="Q789">IF(ISBLANK(G789),"",INDEX('label approval artwork'!J:J,MATCH( G789,'label approval artwork'!F:F,0)))</f>
        <v/>
      </c>
      <c r="R789" s="105" t="str">
        <f t="array" ref="R789">IFERROR( IF(P789&lt;&gt;"EMA",INDEX('label approval artwork'!H:H,MATCH(G789,'label approval artwork'!F:F,0),"")),"")</f>
        <v/>
      </c>
      <c r="S789" s="105"/>
      <c r="T789" s="105" t="str">
        <f t="array" ref="T789">IF(ISBLANK(G789),"",INDEX('POR Config List'!I:I,MATCH(G789,'POR Config List'!D:D,0)))</f>
        <v/>
      </c>
      <c r="AA789" s="100" t="str">
        <f t="array" ref="AA789">IF(ISBLANK(G789),"",INDEX('POR Config List'!E:E,MATCH(G789,'POR Config List'!D:D,0)))</f>
        <v/>
      </c>
      <c r="AC789" s="105"/>
      <c r="AD789" s="100"/>
      <c r="AE789" s="100"/>
      <c r="AF789" s="100"/>
      <c r="AG789" s="100"/>
      <c r="AM789" s="102"/>
      <c r="AN789" s="102"/>
      <c r="AR789" s="119"/>
      <c r="AS789" s="103"/>
    </row>
    <row r="790">
      <c r="A790" s="168"/>
      <c r="B790" s="100" t="str">
        <f t="array" ref="B790">IFERROR( INDEX('POR Config List'!A:A,MATCH(G790,'POR Config List'!D:D,0)),"")</f>
        <v/>
      </c>
      <c r="C790" s="101" t="str">
        <f t="array" ref="C790">IFERROR(INDEX('label approval artwork'!E:E,MATCH(G790,'label approval artwork'!F:F,0),""),"")</f>
        <v/>
      </c>
      <c r="D790" s="102" t="str">
        <f t="shared" si="3"/>
        <v/>
      </c>
      <c r="E790" s="100" t="str">
        <f t="array" ref="E790">IF(ISBLANK(G790),"",INDEX('POR Config List'!K:K,MATCH(G790,'POR Config List'!D:D,0)))</f>
        <v/>
      </c>
      <c r="F790" s="100" t="str">
        <f t="array" ref="F790">IF(ISBLANK(G790),"",INDEX('POR Config List'!J:J,MATCH(G790,'POR Config List'!D:D,0)))</f>
        <v/>
      </c>
      <c r="G790" s="168"/>
      <c r="H790" s="104" t="str">
        <f t="array" ref="H790">IF(ISBLANK(G790),"",INDEX('MP SKUs'!G:G,MATCH(G790,'MP SKUs'!A:A,0)))</f>
        <v/>
      </c>
      <c r="I790" s="105" t="str">
        <f t="array" ref="I790">IF(ISBLANK(G790),"",INDEX('POR Config List'!O:O,MATCH(G790,'POR Config List'!D:D,0)))</f>
        <v/>
      </c>
      <c r="J790" s="104" t="str">
        <f t="array" ref="J790">IF(ISBLANK(G790),"",INDEX('POR Config List'!H:H,MATCH(G790,'POR Config List'!D:D,0)))</f>
        <v/>
      </c>
      <c r="K790" s="105" t="str">
        <f t="array" ref="K790">IF(ISBLANK(G790),"",INDEX('POR Config List'!G:G,MATCH(G790,'POR Config List'!D:D,0)))</f>
        <v/>
      </c>
      <c r="L790" s="105"/>
      <c r="M790" s="105" t="str">
        <f t="array" ref="M790">IF(ISBLANK(G790),"",INDEX('label approval artwork'!Q:Q,MATCH( G790,'label approval artwork'!F:F,0)))</f>
        <v/>
      </c>
      <c r="N790" s="169" t="str">
        <f t="shared" si="5"/>
        <v/>
      </c>
      <c r="O790" s="102" t="str">
        <f t="array" ref="O790">IF(ISBLANK(G790),"",INDEX('POR Config List'!C:C,MATCH(G790,'POR Config List'!D:D,0)))</f>
        <v/>
      </c>
      <c r="P790" s="105" t="str">
        <f t="shared" si="4"/>
        <v/>
      </c>
      <c r="Q790" s="105" t="str">
        <f t="array" ref="Q790">IF(ISBLANK(G790),"",INDEX('label approval artwork'!J:J,MATCH( G790,'label approval artwork'!F:F,0)))</f>
        <v/>
      </c>
      <c r="R790" s="105" t="str">
        <f t="array" ref="R790">IFERROR( IF(P790&lt;&gt;"EMA",INDEX('label approval artwork'!H:H,MATCH(G790,'label approval artwork'!F:F,0),"")),"")</f>
        <v/>
      </c>
      <c r="S790" s="105"/>
      <c r="T790" s="105" t="str">
        <f t="array" ref="T790">IF(ISBLANK(G790),"",INDEX('POR Config List'!I:I,MATCH(G790,'POR Config List'!D:D,0)))</f>
        <v/>
      </c>
      <c r="AA790" s="100" t="str">
        <f t="array" ref="AA790">IF(ISBLANK(G790),"",INDEX('POR Config List'!E:E,MATCH(G790,'POR Config List'!D:D,0)))</f>
        <v/>
      </c>
      <c r="AC790" s="105"/>
      <c r="AD790" s="100"/>
      <c r="AE790" s="100"/>
      <c r="AF790" s="100"/>
      <c r="AG790" s="100"/>
      <c r="AM790" s="102"/>
      <c r="AN790" s="102"/>
      <c r="AR790" s="119"/>
      <c r="AS790" s="103"/>
    </row>
    <row r="791">
      <c r="A791" s="168"/>
      <c r="B791" s="100" t="str">
        <f t="array" ref="B791">IFERROR( INDEX('POR Config List'!A:A,MATCH(G791,'POR Config List'!D:D,0)),"")</f>
        <v/>
      </c>
      <c r="C791" s="101" t="str">
        <f t="array" ref="C791">IFERROR(INDEX('label approval artwork'!E:E,MATCH(G791,'label approval artwork'!F:F,0),""),"")</f>
        <v/>
      </c>
      <c r="D791" s="102" t="str">
        <f t="shared" si="3"/>
        <v/>
      </c>
      <c r="E791" s="100" t="str">
        <f t="array" ref="E791">IF(ISBLANK(G791),"",INDEX('POR Config List'!K:K,MATCH(G791,'POR Config List'!D:D,0)))</f>
        <v/>
      </c>
      <c r="F791" s="100" t="str">
        <f t="array" ref="F791">IF(ISBLANK(G791),"",INDEX('POR Config List'!J:J,MATCH(G791,'POR Config List'!D:D,0)))</f>
        <v/>
      </c>
      <c r="G791" s="168"/>
      <c r="H791" s="104" t="str">
        <f t="array" ref="H791">IF(ISBLANK(G791),"",INDEX('MP SKUs'!G:G,MATCH(G791,'MP SKUs'!A:A,0)))</f>
        <v/>
      </c>
      <c r="I791" s="105" t="str">
        <f t="array" ref="I791">IF(ISBLANK(G791),"",INDEX('POR Config List'!O:O,MATCH(G791,'POR Config List'!D:D,0)))</f>
        <v/>
      </c>
      <c r="J791" s="104" t="str">
        <f t="array" ref="J791">IF(ISBLANK(G791),"",INDEX('POR Config List'!H:H,MATCH(G791,'POR Config List'!D:D,0)))</f>
        <v/>
      </c>
      <c r="K791" s="105" t="str">
        <f t="array" ref="K791">IF(ISBLANK(G791),"",INDEX('POR Config List'!G:G,MATCH(G791,'POR Config List'!D:D,0)))</f>
        <v/>
      </c>
      <c r="L791" s="105"/>
      <c r="M791" s="105" t="str">
        <f t="array" ref="M791">IF(ISBLANK(G791),"",INDEX('label approval artwork'!Q:Q,MATCH( G791,'label approval artwork'!F:F,0)))</f>
        <v/>
      </c>
      <c r="N791" s="169" t="str">
        <f t="shared" si="5"/>
        <v/>
      </c>
      <c r="O791" s="102" t="str">
        <f t="array" ref="O791">IF(ISBLANK(G791),"",INDEX('POR Config List'!C:C,MATCH(G791,'POR Config List'!D:D,0)))</f>
        <v/>
      </c>
      <c r="P791" s="105" t="str">
        <f t="shared" si="4"/>
        <v/>
      </c>
      <c r="Q791" s="105" t="str">
        <f t="array" ref="Q791">IF(ISBLANK(G791),"",INDEX('label approval artwork'!J:J,MATCH( G791,'label approval artwork'!F:F,0)))</f>
        <v/>
      </c>
      <c r="R791" s="105" t="str">
        <f t="array" ref="R791">IFERROR( IF(P791&lt;&gt;"EMA",INDEX('label approval artwork'!H:H,MATCH(G791,'label approval artwork'!F:F,0),"")),"")</f>
        <v/>
      </c>
      <c r="S791" s="105"/>
      <c r="T791" s="105" t="str">
        <f t="array" ref="T791">IF(ISBLANK(G791),"",INDEX('POR Config List'!I:I,MATCH(G791,'POR Config List'!D:D,0)))</f>
        <v/>
      </c>
      <c r="AA791" s="100" t="str">
        <f t="array" ref="AA791">IF(ISBLANK(G791),"",INDEX('POR Config List'!E:E,MATCH(G791,'POR Config List'!D:D,0)))</f>
        <v/>
      </c>
      <c r="AC791" s="105"/>
      <c r="AD791" s="100"/>
      <c r="AE791" s="100"/>
      <c r="AF791" s="100"/>
      <c r="AG791" s="100"/>
      <c r="AM791" s="102"/>
      <c r="AN791" s="102"/>
      <c r="AR791" s="119"/>
      <c r="AS791" s="103"/>
    </row>
    <row r="792">
      <c r="A792" s="168"/>
      <c r="B792" s="100" t="str">
        <f t="array" ref="B792">IFERROR( INDEX('POR Config List'!A:A,MATCH(G792,'POR Config List'!D:D,0)),"")</f>
        <v/>
      </c>
      <c r="C792" s="101" t="str">
        <f t="array" ref="C792">IFERROR(INDEX('label approval artwork'!E:E,MATCH(G792,'label approval artwork'!F:F,0),""),"")</f>
        <v/>
      </c>
      <c r="D792" s="102" t="str">
        <f t="shared" si="3"/>
        <v/>
      </c>
      <c r="E792" s="100" t="str">
        <f t="array" ref="E792">IF(ISBLANK(G792),"",INDEX('POR Config List'!K:K,MATCH(G792,'POR Config List'!D:D,0)))</f>
        <v/>
      </c>
      <c r="F792" s="100" t="str">
        <f t="array" ref="F792">IF(ISBLANK(G792),"",INDEX('POR Config List'!J:J,MATCH(G792,'POR Config List'!D:D,0)))</f>
        <v/>
      </c>
      <c r="G792" s="168"/>
      <c r="H792" s="104" t="str">
        <f t="array" ref="H792">IF(ISBLANK(G792),"",INDEX('MP SKUs'!G:G,MATCH(G792,'MP SKUs'!A:A,0)))</f>
        <v/>
      </c>
      <c r="I792" s="105" t="str">
        <f t="array" ref="I792">IF(ISBLANK(G792),"",INDEX('POR Config List'!O:O,MATCH(G792,'POR Config List'!D:D,0)))</f>
        <v/>
      </c>
      <c r="J792" s="104" t="str">
        <f t="array" ref="J792">IF(ISBLANK(G792),"",INDEX('POR Config List'!H:H,MATCH(G792,'POR Config List'!D:D,0)))</f>
        <v/>
      </c>
      <c r="K792" s="105" t="str">
        <f t="array" ref="K792">IF(ISBLANK(G792),"",INDEX('POR Config List'!G:G,MATCH(G792,'POR Config List'!D:D,0)))</f>
        <v/>
      </c>
      <c r="L792" s="105"/>
      <c r="M792" s="105" t="str">
        <f t="array" ref="M792">IF(ISBLANK(G792),"",INDEX('label approval artwork'!Q:Q,MATCH( G792,'label approval artwork'!F:F,0)))</f>
        <v/>
      </c>
      <c r="N792" s="169" t="str">
        <f t="shared" si="5"/>
        <v/>
      </c>
      <c r="O792" s="102" t="str">
        <f t="array" ref="O792">IF(ISBLANK(G792),"",INDEX('POR Config List'!C:C,MATCH(G792,'POR Config List'!D:D,0)))</f>
        <v/>
      </c>
      <c r="P792" s="105" t="str">
        <f t="shared" si="4"/>
        <v/>
      </c>
      <c r="Q792" s="105" t="str">
        <f t="array" ref="Q792">IF(ISBLANK(G792),"",INDEX('label approval artwork'!J:J,MATCH( G792,'label approval artwork'!F:F,0)))</f>
        <v/>
      </c>
      <c r="R792" s="105" t="str">
        <f t="array" ref="R792">IFERROR( IF(P792&lt;&gt;"EMA",INDEX('label approval artwork'!H:H,MATCH(G792,'label approval artwork'!F:F,0),"")),"")</f>
        <v/>
      </c>
      <c r="S792" s="105"/>
      <c r="T792" s="105" t="str">
        <f t="array" ref="T792">IF(ISBLANK(G792),"",INDEX('POR Config List'!I:I,MATCH(G792,'POR Config List'!D:D,0)))</f>
        <v/>
      </c>
      <c r="AA792" s="100" t="str">
        <f t="array" ref="AA792">IF(ISBLANK(G792),"",INDEX('POR Config List'!E:E,MATCH(G792,'POR Config List'!D:D,0)))</f>
        <v/>
      </c>
      <c r="AC792" s="105"/>
      <c r="AD792" s="100"/>
      <c r="AE792" s="100"/>
      <c r="AF792" s="100"/>
      <c r="AG792" s="100"/>
      <c r="AM792" s="102"/>
      <c r="AN792" s="102"/>
      <c r="AR792" s="119"/>
      <c r="AS792" s="103"/>
    </row>
    <row r="793">
      <c r="A793" s="168"/>
      <c r="B793" s="100" t="str">
        <f t="array" ref="B793">IFERROR( INDEX('POR Config List'!A:A,MATCH(G793,'POR Config List'!D:D,0)),"")</f>
        <v/>
      </c>
      <c r="C793" s="101" t="str">
        <f t="array" ref="C793">IFERROR(INDEX('label approval artwork'!E:E,MATCH(G793,'label approval artwork'!F:F,0),""),"")</f>
        <v/>
      </c>
      <c r="D793" s="102" t="str">
        <f t="shared" si="3"/>
        <v/>
      </c>
      <c r="E793" s="100" t="str">
        <f t="array" ref="E793">IF(ISBLANK(G793),"",INDEX('POR Config List'!K:K,MATCH(G793,'POR Config List'!D:D,0)))</f>
        <v/>
      </c>
      <c r="F793" s="100" t="str">
        <f t="array" ref="F793">IF(ISBLANK(G793),"",INDEX('POR Config List'!J:J,MATCH(G793,'POR Config List'!D:D,0)))</f>
        <v/>
      </c>
      <c r="G793" s="168"/>
      <c r="H793" s="104" t="str">
        <f t="array" ref="H793">IF(ISBLANK(G793),"",INDEX('MP SKUs'!G:G,MATCH(G793,'MP SKUs'!A:A,0)))</f>
        <v/>
      </c>
      <c r="I793" s="105" t="str">
        <f t="array" ref="I793">IF(ISBLANK(G793),"",INDEX('POR Config List'!O:O,MATCH(G793,'POR Config List'!D:D,0)))</f>
        <v/>
      </c>
      <c r="J793" s="104" t="str">
        <f t="array" ref="J793">IF(ISBLANK(G793),"",INDEX('POR Config List'!H:H,MATCH(G793,'POR Config List'!D:D,0)))</f>
        <v/>
      </c>
      <c r="K793" s="105" t="str">
        <f t="array" ref="K793">IF(ISBLANK(G793),"",INDEX('POR Config List'!G:G,MATCH(G793,'POR Config List'!D:D,0)))</f>
        <v/>
      </c>
      <c r="L793" s="105"/>
      <c r="M793" s="105" t="str">
        <f t="array" ref="M793">IF(ISBLANK(G793),"",INDEX('label approval artwork'!Q:Q,MATCH( G793,'label approval artwork'!F:F,0)))</f>
        <v/>
      </c>
      <c r="N793" s="169" t="str">
        <f t="shared" si="5"/>
        <v/>
      </c>
      <c r="O793" s="102" t="str">
        <f t="array" ref="O793">IF(ISBLANK(G793),"",INDEX('POR Config List'!C:C,MATCH(G793,'POR Config List'!D:D,0)))</f>
        <v/>
      </c>
      <c r="P793" s="105" t="str">
        <f t="shared" si="4"/>
        <v/>
      </c>
      <c r="Q793" s="105" t="str">
        <f t="array" ref="Q793">IF(ISBLANK(G793),"",INDEX('label approval artwork'!J:J,MATCH( G793,'label approval artwork'!F:F,0)))</f>
        <v/>
      </c>
      <c r="R793" s="105" t="str">
        <f t="array" ref="R793">IFERROR( IF(P793&lt;&gt;"EMA",INDEX('label approval artwork'!H:H,MATCH(G793,'label approval artwork'!F:F,0),"")),"")</f>
        <v/>
      </c>
      <c r="S793" s="105"/>
      <c r="T793" s="105" t="str">
        <f t="array" ref="T793">IF(ISBLANK(G793),"",INDEX('POR Config List'!I:I,MATCH(G793,'POR Config List'!D:D,0)))</f>
        <v/>
      </c>
      <c r="AA793" s="100" t="str">
        <f t="array" ref="AA793">IF(ISBLANK(G793),"",INDEX('POR Config List'!E:E,MATCH(G793,'POR Config List'!D:D,0)))</f>
        <v/>
      </c>
      <c r="AC793" s="105"/>
      <c r="AD793" s="100"/>
      <c r="AE793" s="100"/>
      <c r="AF793" s="100"/>
      <c r="AG793" s="100"/>
      <c r="AM793" s="102"/>
      <c r="AN793" s="102"/>
      <c r="AR793" s="119"/>
      <c r="AS793" s="103"/>
    </row>
    <row r="794">
      <c r="A794" s="168"/>
      <c r="B794" s="100" t="str">
        <f t="array" ref="B794">IFERROR( INDEX('POR Config List'!A:A,MATCH(G794,'POR Config List'!D:D,0)),"")</f>
        <v/>
      </c>
      <c r="C794" s="101" t="str">
        <f t="array" ref="C794">IFERROR(INDEX('label approval artwork'!E:E,MATCH(G794,'label approval artwork'!F:F,0),""),"")</f>
        <v/>
      </c>
      <c r="D794" s="102" t="str">
        <f t="shared" si="3"/>
        <v/>
      </c>
      <c r="E794" s="100" t="str">
        <f t="array" ref="E794">IF(ISBLANK(G794),"",INDEX('POR Config List'!K:K,MATCH(G794,'POR Config List'!D:D,0)))</f>
        <v/>
      </c>
      <c r="F794" s="100" t="str">
        <f t="array" ref="F794">IF(ISBLANK(G794),"",INDEX('POR Config List'!J:J,MATCH(G794,'POR Config List'!D:D,0)))</f>
        <v/>
      </c>
      <c r="G794" s="168"/>
      <c r="H794" s="104" t="str">
        <f t="array" ref="H794">IF(ISBLANK(G794),"",INDEX('MP SKUs'!G:G,MATCH(G794,'MP SKUs'!A:A,0)))</f>
        <v/>
      </c>
      <c r="I794" s="105" t="str">
        <f t="array" ref="I794">IF(ISBLANK(G794),"",INDEX('POR Config List'!O:O,MATCH(G794,'POR Config List'!D:D,0)))</f>
        <v/>
      </c>
      <c r="J794" s="104" t="str">
        <f t="array" ref="J794">IF(ISBLANK(G794),"",INDEX('POR Config List'!H:H,MATCH(G794,'POR Config List'!D:D,0)))</f>
        <v/>
      </c>
      <c r="K794" s="105" t="str">
        <f t="array" ref="K794">IF(ISBLANK(G794),"",INDEX('POR Config List'!G:G,MATCH(G794,'POR Config List'!D:D,0)))</f>
        <v/>
      </c>
      <c r="L794" s="105"/>
      <c r="M794" s="105" t="str">
        <f t="array" ref="M794">IF(ISBLANK(G794),"",INDEX('label approval artwork'!Q:Q,MATCH( G794,'label approval artwork'!F:F,0)))</f>
        <v/>
      </c>
      <c r="N794" s="169" t="str">
        <f t="shared" si="5"/>
        <v/>
      </c>
      <c r="O794" s="102" t="str">
        <f t="array" ref="O794">IF(ISBLANK(G794),"",INDEX('POR Config List'!C:C,MATCH(G794,'POR Config List'!D:D,0)))</f>
        <v/>
      </c>
      <c r="P794" s="105" t="str">
        <f t="shared" si="4"/>
        <v/>
      </c>
      <c r="Q794" s="105" t="str">
        <f t="array" ref="Q794">IF(ISBLANK(G794),"",INDEX('label approval artwork'!J:J,MATCH( G794,'label approval artwork'!F:F,0)))</f>
        <v/>
      </c>
      <c r="R794" s="105" t="str">
        <f t="array" ref="R794">IFERROR( IF(P794&lt;&gt;"EMA",INDEX('label approval artwork'!H:H,MATCH(G794,'label approval artwork'!F:F,0),"")),"")</f>
        <v/>
      </c>
      <c r="S794" s="105"/>
      <c r="T794" s="105" t="str">
        <f t="array" ref="T794">IF(ISBLANK(G794),"",INDEX('POR Config List'!I:I,MATCH(G794,'POR Config List'!D:D,0)))</f>
        <v/>
      </c>
      <c r="AA794" s="100" t="str">
        <f t="array" ref="AA794">IF(ISBLANK(G794),"",INDEX('POR Config List'!E:E,MATCH(G794,'POR Config List'!D:D,0)))</f>
        <v/>
      </c>
      <c r="AC794" s="105"/>
      <c r="AD794" s="100"/>
      <c r="AE794" s="100"/>
      <c r="AF794" s="100"/>
      <c r="AG794" s="100"/>
      <c r="AM794" s="102"/>
      <c r="AN794" s="102"/>
      <c r="AR794" s="119"/>
      <c r="AS794" s="103"/>
    </row>
    <row r="795">
      <c r="A795" s="168"/>
      <c r="B795" s="100" t="str">
        <f t="array" ref="B795">IFERROR( INDEX('POR Config List'!A:A,MATCH(G795,'POR Config List'!D:D,0)),"")</f>
        <v/>
      </c>
      <c r="C795" s="101" t="str">
        <f t="array" ref="C795">IFERROR(INDEX('label approval artwork'!E:E,MATCH(G795,'label approval artwork'!F:F,0),""),"")</f>
        <v/>
      </c>
      <c r="D795" s="102" t="str">
        <f t="shared" si="3"/>
        <v/>
      </c>
      <c r="E795" s="100" t="str">
        <f t="array" ref="E795">IF(ISBLANK(G795),"",INDEX('POR Config List'!K:K,MATCH(G795,'POR Config List'!D:D,0)))</f>
        <v/>
      </c>
      <c r="F795" s="100" t="str">
        <f t="array" ref="F795">IF(ISBLANK(G795),"",INDEX('POR Config List'!J:J,MATCH(G795,'POR Config List'!D:D,0)))</f>
        <v/>
      </c>
      <c r="G795" s="168"/>
      <c r="H795" s="104" t="str">
        <f t="array" ref="H795">IF(ISBLANK(G795),"",INDEX('MP SKUs'!G:G,MATCH(G795,'MP SKUs'!A:A,0)))</f>
        <v/>
      </c>
      <c r="I795" s="105" t="str">
        <f t="array" ref="I795">IF(ISBLANK(G795),"",INDEX('POR Config List'!O:O,MATCH(G795,'POR Config List'!D:D,0)))</f>
        <v/>
      </c>
      <c r="J795" s="104" t="str">
        <f t="array" ref="J795">IF(ISBLANK(G795),"",INDEX('POR Config List'!H:H,MATCH(G795,'POR Config List'!D:D,0)))</f>
        <v/>
      </c>
      <c r="K795" s="105" t="str">
        <f t="array" ref="K795">IF(ISBLANK(G795),"",INDEX('POR Config List'!G:G,MATCH(G795,'POR Config List'!D:D,0)))</f>
        <v/>
      </c>
      <c r="L795" s="105"/>
      <c r="M795" s="105" t="str">
        <f t="array" ref="M795">IF(ISBLANK(G795),"",INDEX('label approval artwork'!Q:Q,MATCH( G795,'label approval artwork'!F:F,0)))</f>
        <v/>
      </c>
      <c r="N795" s="169" t="str">
        <f t="shared" si="5"/>
        <v/>
      </c>
      <c r="O795" s="102" t="str">
        <f t="array" ref="O795">IF(ISBLANK(G795),"",INDEX('POR Config List'!C:C,MATCH(G795,'POR Config List'!D:D,0)))</f>
        <v/>
      </c>
      <c r="P795" s="105" t="str">
        <f t="shared" si="4"/>
        <v/>
      </c>
      <c r="Q795" s="105" t="str">
        <f t="array" ref="Q795">IF(ISBLANK(G795),"",INDEX('label approval artwork'!J:J,MATCH( G795,'label approval artwork'!F:F,0)))</f>
        <v/>
      </c>
      <c r="R795" s="105" t="str">
        <f t="array" ref="R795">IFERROR( IF(P795&lt;&gt;"EMA",INDEX('label approval artwork'!H:H,MATCH(G795,'label approval artwork'!F:F,0),"")),"")</f>
        <v/>
      </c>
      <c r="S795" s="105"/>
      <c r="T795" s="105" t="str">
        <f t="array" ref="T795">IF(ISBLANK(G795),"",INDEX('POR Config List'!I:I,MATCH(G795,'POR Config List'!D:D,0)))</f>
        <v/>
      </c>
      <c r="AA795" s="100" t="str">
        <f t="array" ref="AA795">IF(ISBLANK(G795),"",INDEX('POR Config List'!E:E,MATCH(G795,'POR Config List'!D:D,0)))</f>
        <v/>
      </c>
      <c r="AC795" s="105"/>
      <c r="AD795" s="100"/>
      <c r="AE795" s="100"/>
      <c r="AF795" s="100"/>
      <c r="AG795" s="100"/>
      <c r="AM795" s="102"/>
      <c r="AN795" s="102"/>
      <c r="AR795" s="119"/>
      <c r="AS795" s="103"/>
    </row>
    <row r="796">
      <c r="A796" s="168"/>
      <c r="B796" s="100" t="str">
        <f t="array" ref="B796">IFERROR( INDEX('POR Config List'!A:A,MATCH(G796,'POR Config List'!D:D,0)),"")</f>
        <v/>
      </c>
      <c r="C796" s="101" t="str">
        <f t="array" ref="C796">IFERROR(INDEX('label approval artwork'!E:E,MATCH(G796,'label approval artwork'!F:F,0),""),"")</f>
        <v/>
      </c>
      <c r="D796" s="102" t="str">
        <f t="shared" si="3"/>
        <v/>
      </c>
      <c r="E796" s="100" t="str">
        <f t="array" ref="E796">IF(ISBLANK(G796),"",INDEX('POR Config List'!K:K,MATCH(G796,'POR Config List'!D:D,0)))</f>
        <v/>
      </c>
      <c r="F796" s="100" t="str">
        <f t="array" ref="F796">IF(ISBLANK(G796),"",INDEX('POR Config List'!J:J,MATCH(G796,'POR Config List'!D:D,0)))</f>
        <v/>
      </c>
      <c r="G796" s="168"/>
      <c r="H796" s="104" t="str">
        <f t="array" ref="H796">IF(ISBLANK(G796),"",INDEX('MP SKUs'!G:G,MATCH(G796,'MP SKUs'!A:A,0)))</f>
        <v/>
      </c>
      <c r="I796" s="105" t="str">
        <f t="array" ref="I796">IF(ISBLANK(G796),"",INDEX('POR Config List'!O:O,MATCH(G796,'POR Config List'!D:D,0)))</f>
        <v/>
      </c>
      <c r="J796" s="104" t="str">
        <f t="array" ref="J796">IF(ISBLANK(G796),"",INDEX('POR Config List'!H:H,MATCH(G796,'POR Config List'!D:D,0)))</f>
        <v/>
      </c>
      <c r="K796" s="105" t="str">
        <f t="array" ref="K796">IF(ISBLANK(G796),"",INDEX('POR Config List'!G:G,MATCH(G796,'POR Config List'!D:D,0)))</f>
        <v/>
      </c>
      <c r="L796" s="105"/>
      <c r="M796" s="105" t="str">
        <f t="array" ref="M796">IF(ISBLANK(G796),"",INDEX('label approval artwork'!Q:Q,MATCH( G796,'label approval artwork'!F:F,0)))</f>
        <v/>
      </c>
      <c r="N796" s="169" t="str">
        <f t="shared" si="5"/>
        <v/>
      </c>
      <c r="O796" s="102" t="str">
        <f t="array" ref="O796">IF(ISBLANK(G796),"",INDEX('POR Config List'!C:C,MATCH(G796,'POR Config List'!D:D,0)))</f>
        <v/>
      </c>
      <c r="P796" s="105" t="str">
        <f t="shared" si="4"/>
        <v/>
      </c>
      <c r="Q796" s="105" t="str">
        <f t="array" ref="Q796">IF(ISBLANK(G796),"",INDEX('label approval artwork'!J:J,MATCH( G796,'label approval artwork'!F:F,0)))</f>
        <v/>
      </c>
      <c r="R796" s="105" t="str">
        <f t="array" ref="R796">IFERROR( IF(P796&lt;&gt;"EMA",INDEX('label approval artwork'!H:H,MATCH(G796,'label approval artwork'!F:F,0),"")),"")</f>
        <v/>
      </c>
      <c r="S796" s="105"/>
      <c r="T796" s="105" t="str">
        <f t="array" ref="T796">IF(ISBLANK(G796),"",INDEX('POR Config List'!I:I,MATCH(G796,'POR Config List'!D:D,0)))</f>
        <v/>
      </c>
      <c r="AA796" s="100" t="str">
        <f t="array" ref="AA796">IF(ISBLANK(G796),"",INDEX('POR Config List'!E:E,MATCH(G796,'POR Config List'!D:D,0)))</f>
        <v/>
      </c>
      <c r="AC796" s="105"/>
      <c r="AD796" s="100"/>
      <c r="AE796" s="100"/>
      <c r="AF796" s="100"/>
      <c r="AG796" s="100"/>
      <c r="AM796" s="102"/>
      <c r="AN796" s="102"/>
      <c r="AR796" s="119"/>
      <c r="AS796" s="103"/>
    </row>
    <row r="797">
      <c r="A797" s="168"/>
      <c r="B797" s="100" t="str">
        <f t="array" ref="B797">IFERROR( INDEX('POR Config List'!A:A,MATCH(G797,'POR Config List'!D:D,0)),"")</f>
        <v/>
      </c>
      <c r="C797" s="101" t="str">
        <f t="array" ref="C797">IFERROR(INDEX('label approval artwork'!E:E,MATCH(G797,'label approval artwork'!F:F,0),""),"")</f>
        <v/>
      </c>
      <c r="D797" s="102" t="str">
        <f t="shared" si="3"/>
        <v/>
      </c>
      <c r="E797" s="100" t="str">
        <f t="array" ref="E797">IF(ISBLANK(G797),"",INDEX('POR Config List'!K:K,MATCH(G797,'POR Config List'!D:D,0)))</f>
        <v/>
      </c>
      <c r="F797" s="100" t="str">
        <f t="array" ref="F797">IF(ISBLANK(G797),"",INDEX('POR Config List'!J:J,MATCH(G797,'POR Config List'!D:D,0)))</f>
        <v/>
      </c>
      <c r="G797" s="168"/>
      <c r="H797" s="104" t="str">
        <f t="array" ref="H797">IF(ISBLANK(G797),"",INDEX('MP SKUs'!G:G,MATCH(G797,'MP SKUs'!A:A,0)))</f>
        <v/>
      </c>
      <c r="I797" s="105" t="str">
        <f t="array" ref="I797">IF(ISBLANK(G797),"",INDEX('POR Config List'!O:O,MATCH(G797,'POR Config List'!D:D,0)))</f>
        <v/>
      </c>
      <c r="J797" s="104" t="str">
        <f t="array" ref="J797">IF(ISBLANK(G797),"",INDEX('POR Config List'!H:H,MATCH(G797,'POR Config List'!D:D,0)))</f>
        <v/>
      </c>
      <c r="K797" s="105" t="str">
        <f t="array" ref="K797">IF(ISBLANK(G797),"",INDEX('POR Config List'!G:G,MATCH(G797,'POR Config List'!D:D,0)))</f>
        <v/>
      </c>
      <c r="L797" s="105"/>
      <c r="M797" s="105" t="str">
        <f t="array" ref="M797">IF(ISBLANK(G797),"",INDEX('label approval artwork'!Q:Q,MATCH( G797,'label approval artwork'!F:F,0)))</f>
        <v/>
      </c>
      <c r="N797" s="169" t="str">
        <f t="shared" si="5"/>
        <v/>
      </c>
      <c r="O797" s="102" t="str">
        <f t="array" ref="O797">IF(ISBLANK(G797),"",INDEX('POR Config List'!C:C,MATCH(G797,'POR Config List'!D:D,0)))</f>
        <v/>
      </c>
      <c r="P797" s="105" t="str">
        <f t="shared" si="4"/>
        <v/>
      </c>
      <c r="Q797" s="105" t="str">
        <f t="array" ref="Q797">IF(ISBLANK(G797),"",INDEX('label approval artwork'!J:J,MATCH( G797,'label approval artwork'!F:F,0)))</f>
        <v/>
      </c>
      <c r="R797" s="105" t="str">
        <f t="array" ref="R797">IFERROR( IF(P797&lt;&gt;"EMA",INDEX('label approval artwork'!H:H,MATCH(G797,'label approval artwork'!F:F,0),"")),"")</f>
        <v/>
      </c>
      <c r="S797" s="105"/>
      <c r="T797" s="105" t="str">
        <f t="array" ref="T797">IF(ISBLANK(G797),"",INDEX('POR Config List'!I:I,MATCH(G797,'POR Config List'!D:D,0)))</f>
        <v/>
      </c>
      <c r="AA797" s="100" t="str">
        <f t="array" ref="AA797">IF(ISBLANK(G797),"",INDEX('POR Config List'!E:E,MATCH(G797,'POR Config List'!D:D,0)))</f>
        <v/>
      </c>
      <c r="AC797" s="105"/>
      <c r="AD797" s="100"/>
      <c r="AE797" s="100"/>
      <c r="AF797" s="100"/>
      <c r="AG797" s="100"/>
      <c r="AM797" s="102"/>
      <c r="AN797" s="102"/>
      <c r="AR797" s="119"/>
      <c r="AS797" s="103"/>
    </row>
    <row r="798">
      <c r="A798" s="168"/>
      <c r="B798" s="100" t="str">
        <f t="array" ref="B798">IFERROR( INDEX('POR Config List'!A:A,MATCH(G798,'POR Config List'!D:D,0)),"")</f>
        <v/>
      </c>
      <c r="C798" s="101" t="str">
        <f t="array" ref="C798">IFERROR(INDEX('label approval artwork'!E:E,MATCH(G798,'label approval artwork'!F:F,0),""),"")</f>
        <v/>
      </c>
      <c r="D798" s="102" t="str">
        <f t="shared" si="3"/>
        <v/>
      </c>
      <c r="E798" s="100" t="str">
        <f t="array" ref="E798">IF(ISBLANK(G798),"",INDEX('POR Config List'!K:K,MATCH(G798,'POR Config List'!D:D,0)))</f>
        <v/>
      </c>
      <c r="F798" s="100" t="str">
        <f t="array" ref="F798">IF(ISBLANK(G798),"",INDEX('POR Config List'!J:J,MATCH(G798,'POR Config List'!D:D,0)))</f>
        <v/>
      </c>
      <c r="G798" s="168"/>
      <c r="H798" s="104" t="str">
        <f t="array" ref="H798">IF(ISBLANK(G798),"",INDEX('MP SKUs'!G:G,MATCH(G798,'MP SKUs'!A:A,0)))</f>
        <v/>
      </c>
      <c r="I798" s="105" t="str">
        <f t="array" ref="I798">IF(ISBLANK(G798),"",INDEX('POR Config List'!O:O,MATCH(G798,'POR Config List'!D:D,0)))</f>
        <v/>
      </c>
      <c r="J798" s="104" t="str">
        <f t="array" ref="J798">IF(ISBLANK(G798),"",INDEX('POR Config List'!H:H,MATCH(G798,'POR Config List'!D:D,0)))</f>
        <v/>
      </c>
      <c r="K798" s="105" t="str">
        <f t="array" ref="K798">IF(ISBLANK(G798),"",INDEX('POR Config List'!G:G,MATCH(G798,'POR Config List'!D:D,0)))</f>
        <v/>
      </c>
      <c r="L798" s="105"/>
      <c r="M798" s="105" t="str">
        <f t="array" ref="M798">IF(ISBLANK(G798),"",INDEX('label approval artwork'!Q:Q,MATCH( G798,'label approval artwork'!F:F,0)))</f>
        <v/>
      </c>
      <c r="N798" s="169" t="str">
        <f t="shared" si="5"/>
        <v/>
      </c>
      <c r="O798" s="102" t="str">
        <f t="array" ref="O798">IF(ISBLANK(G798),"",INDEX('POR Config List'!C:C,MATCH(G798,'POR Config List'!D:D,0)))</f>
        <v/>
      </c>
      <c r="P798" s="105" t="str">
        <f t="shared" si="4"/>
        <v/>
      </c>
      <c r="Q798" s="105" t="str">
        <f t="array" ref="Q798">IF(ISBLANK(G798),"",INDEX('label approval artwork'!J:J,MATCH( G798,'label approval artwork'!F:F,0)))</f>
        <v/>
      </c>
      <c r="R798" s="105" t="str">
        <f t="array" ref="R798">IFERROR( IF(P798&lt;&gt;"EMA",INDEX('label approval artwork'!H:H,MATCH(G798,'label approval artwork'!F:F,0),"")),"")</f>
        <v/>
      </c>
      <c r="S798" s="105"/>
      <c r="T798" s="105" t="str">
        <f t="array" ref="T798">IF(ISBLANK(G798),"",INDEX('POR Config List'!I:I,MATCH(G798,'POR Config List'!D:D,0)))</f>
        <v/>
      </c>
      <c r="AA798" s="100" t="str">
        <f t="array" ref="AA798">IF(ISBLANK(G798),"",INDEX('POR Config List'!E:E,MATCH(G798,'POR Config List'!D:D,0)))</f>
        <v/>
      </c>
      <c r="AC798" s="105"/>
      <c r="AD798" s="100"/>
      <c r="AE798" s="100"/>
      <c r="AF798" s="100"/>
      <c r="AG798" s="100"/>
      <c r="AM798" s="102"/>
      <c r="AN798" s="102"/>
      <c r="AR798" s="119"/>
      <c r="AS798" s="103"/>
    </row>
    <row r="799">
      <c r="A799" s="168"/>
      <c r="B799" s="100" t="str">
        <f t="array" ref="B799">IFERROR( INDEX('POR Config List'!A:A,MATCH(G799,'POR Config List'!D:D,0)),"")</f>
        <v/>
      </c>
      <c r="C799" s="101" t="str">
        <f t="array" ref="C799">IFERROR(INDEX('label approval artwork'!E:E,MATCH(G799,'label approval artwork'!F:F,0),""),"")</f>
        <v/>
      </c>
      <c r="D799" s="102" t="str">
        <f t="shared" si="3"/>
        <v/>
      </c>
      <c r="E799" s="100" t="str">
        <f t="array" ref="E799">IF(ISBLANK(G799),"",INDEX('POR Config List'!K:K,MATCH(G799,'POR Config List'!D:D,0)))</f>
        <v/>
      </c>
      <c r="F799" s="100" t="str">
        <f t="array" ref="F799">IF(ISBLANK(G799),"",INDEX('POR Config List'!J:J,MATCH(G799,'POR Config List'!D:D,0)))</f>
        <v/>
      </c>
      <c r="G799" s="168"/>
      <c r="H799" s="104" t="str">
        <f t="array" ref="H799">IF(ISBLANK(G799),"",INDEX('MP SKUs'!G:G,MATCH(G799,'MP SKUs'!A:A,0)))</f>
        <v/>
      </c>
      <c r="I799" s="105" t="str">
        <f t="array" ref="I799">IF(ISBLANK(G799),"",INDEX('POR Config List'!O:O,MATCH(G799,'POR Config List'!D:D,0)))</f>
        <v/>
      </c>
      <c r="J799" s="104" t="str">
        <f t="array" ref="J799">IF(ISBLANK(G799),"",INDEX('POR Config List'!H:H,MATCH(G799,'POR Config List'!D:D,0)))</f>
        <v/>
      </c>
      <c r="K799" s="105" t="str">
        <f t="array" ref="K799">IF(ISBLANK(G799),"",INDEX('POR Config List'!G:G,MATCH(G799,'POR Config List'!D:D,0)))</f>
        <v/>
      </c>
      <c r="L799" s="105"/>
      <c r="M799" s="105" t="str">
        <f t="array" ref="M799">IF(ISBLANK(G799),"",INDEX('label approval artwork'!Q:Q,MATCH( G799,'label approval artwork'!F:F,0)))</f>
        <v/>
      </c>
      <c r="N799" s="169" t="str">
        <f t="shared" si="5"/>
        <v/>
      </c>
      <c r="O799" s="102" t="str">
        <f t="array" ref="O799">IF(ISBLANK(G799),"",INDEX('POR Config List'!C:C,MATCH(G799,'POR Config List'!D:D,0)))</f>
        <v/>
      </c>
      <c r="P799" s="105" t="str">
        <f t="shared" si="4"/>
        <v/>
      </c>
      <c r="Q799" s="105" t="str">
        <f t="array" ref="Q799">IF(ISBLANK(G799),"",INDEX('label approval artwork'!J:J,MATCH( G799,'label approval artwork'!F:F,0)))</f>
        <v/>
      </c>
      <c r="R799" s="105" t="str">
        <f t="array" ref="R799">IFERROR( IF(P799&lt;&gt;"EMA",INDEX('label approval artwork'!H:H,MATCH(G799,'label approval artwork'!F:F,0),"")),"")</f>
        <v/>
      </c>
      <c r="S799" s="105"/>
      <c r="T799" s="105" t="str">
        <f t="array" ref="T799">IF(ISBLANK(G799),"",INDEX('POR Config List'!I:I,MATCH(G799,'POR Config List'!D:D,0)))</f>
        <v/>
      </c>
      <c r="AA799" s="100" t="str">
        <f t="array" ref="AA799">IF(ISBLANK(G799),"",INDEX('POR Config List'!E:E,MATCH(G799,'POR Config List'!D:D,0)))</f>
        <v/>
      </c>
      <c r="AC799" s="105"/>
      <c r="AD799" s="100"/>
      <c r="AE799" s="100"/>
      <c r="AF799" s="100"/>
      <c r="AG799" s="100"/>
      <c r="AM799" s="102"/>
      <c r="AN799" s="102"/>
      <c r="AR799" s="119"/>
      <c r="AS799" s="103"/>
    </row>
    <row r="800">
      <c r="A800" s="168"/>
      <c r="B800" s="100" t="str">
        <f t="array" ref="B800">IFERROR( INDEX('POR Config List'!A:A,MATCH(G800,'POR Config List'!D:D,0)),"")</f>
        <v/>
      </c>
      <c r="C800" s="101" t="str">
        <f t="array" ref="C800">IFERROR(INDEX('label approval artwork'!E:E,MATCH(G800,'label approval artwork'!F:F,0),""),"")</f>
        <v/>
      </c>
      <c r="D800" s="102" t="str">
        <f t="shared" si="3"/>
        <v/>
      </c>
      <c r="E800" s="100" t="str">
        <f t="array" ref="E800">IF(ISBLANK(G800),"",INDEX('POR Config List'!K:K,MATCH(G800,'POR Config List'!D:D,0)))</f>
        <v/>
      </c>
      <c r="F800" s="100" t="str">
        <f t="array" ref="F800">IF(ISBLANK(G800),"",INDEX('POR Config List'!J:J,MATCH(G800,'POR Config List'!D:D,0)))</f>
        <v/>
      </c>
      <c r="G800" s="168"/>
      <c r="H800" s="104" t="str">
        <f t="array" ref="H800">IF(ISBLANK(G800),"",INDEX('MP SKUs'!G:G,MATCH(G800,'MP SKUs'!A:A,0)))</f>
        <v/>
      </c>
      <c r="I800" s="105" t="str">
        <f t="array" ref="I800">IF(ISBLANK(G800),"",INDEX('POR Config List'!O:O,MATCH(G800,'POR Config List'!D:D,0)))</f>
        <v/>
      </c>
      <c r="J800" s="104" t="str">
        <f t="array" ref="J800">IF(ISBLANK(G800),"",INDEX('POR Config List'!H:H,MATCH(G800,'POR Config List'!D:D,0)))</f>
        <v/>
      </c>
      <c r="K800" s="105" t="str">
        <f t="array" ref="K800">IF(ISBLANK(G800),"",INDEX('POR Config List'!G:G,MATCH(G800,'POR Config List'!D:D,0)))</f>
        <v/>
      </c>
      <c r="L800" s="105"/>
      <c r="M800" s="105" t="str">
        <f t="array" ref="M800">IF(ISBLANK(G800),"",INDEX('label approval artwork'!Q:Q,MATCH( G800,'label approval artwork'!F:F,0)))</f>
        <v/>
      </c>
      <c r="N800" s="169" t="str">
        <f t="shared" si="5"/>
        <v/>
      </c>
      <c r="O800" s="102" t="str">
        <f t="array" ref="O800">IF(ISBLANK(G800),"",INDEX('POR Config List'!C:C,MATCH(G800,'POR Config List'!D:D,0)))</f>
        <v/>
      </c>
      <c r="P800" s="105" t="str">
        <f t="shared" si="4"/>
        <v/>
      </c>
      <c r="Q800" s="105" t="str">
        <f t="array" ref="Q800">IF(ISBLANK(G800),"",INDEX('label approval artwork'!J:J,MATCH( G800,'label approval artwork'!F:F,0)))</f>
        <v/>
      </c>
      <c r="R800" s="105" t="str">
        <f t="array" ref="R800">IFERROR( IF(P800&lt;&gt;"EMA",INDEX('label approval artwork'!H:H,MATCH(G800,'label approval artwork'!F:F,0),"")),"")</f>
        <v/>
      </c>
      <c r="S800" s="105"/>
      <c r="T800" s="105" t="str">
        <f t="array" ref="T800">IF(ISBLANK(G800),"",INDEX('POR Config List'!I:I,MATCH(G800,'POR Config List'!D:D,0)))</f>
        <v/>
      </c>
      <c r="AA800" s="100" t="str">
        <f t="array" ref="AA800">IF(ISBLANK(G800),"",INDEX('POR Config List'!E:E,MATCH(G800,'POR Config List'!D:D,0)))</f>
        <v/>
      </c>
      <c r="AC800" s="105"/>
      <c r="AD800" s="100"/>
      <c r="AE800" s="100"/>
      <c r="AF800" s="100"/>
      <c r="AG800" s="100"/>
      <c r="AM800" s="102"/>
      <c r="AN800" s="102"/>
      <c r="AR800" s="119"/>
      <c r="AS800" s="103"/>
    </row>
    <row r="801">
      <c r="A801" s="168"/>
      <c r="B801" s="100" t="str">
        <f t="array" ref="B801">IFERROR( INDEX('POR Config List'!A:A,MATCH(G801,'POR Config List'!D:D,0)),"")</f>
        <v/>
      </c>
      <c r="C801" s="101" t="str">
        <f t="array" ref="C801">IFERROR(INDEX('label approval artwork'!E:E,MATCH(G801,'label approval artwork'!F:F,0),""),"")</f>
        <v/>
      </c>
      <c r="D801" s="102" t="str">
        <f t="shared" si="3"/>
        <v/>
      </c>
      <c r="E801" s="100" t="str">
        <f t="array" ref="E801">IF(ISBLANK(G801),"",INDEX('POR Config List'!K:K,MATCH(G801,'POR Config List'!D:D,0)))</f>
        <v/>
      </c>
      <c r="F801" s="100" t="str">
        <f t="array" ref="F801">IF(ISBLANK(G801),"",INDEX('POR Config List'!J:J,MATCH(G801,'POR Config List'!D:D,0)))</f>
        <v/>
      </c>
      <c r="G801" s="168"/>
      <c r="H801" s="104" t="str">
        <f t="array" ref="H801">IF(ISBLANK(G801),"",INDEX('MP SKUs'!G:G,MATCH(G801,'MP SKUs'!A:A,0)))</f>
        <v/>
      </c>
      <c r="I801" s="105" t="str">
        <f t="array" ref="I801">IF(ISBLANK(G801),"",INDEX('POR Config List'!O:O,MATCH(G801,'POR Config List'!D:D,0)))</f>
        <v/>
      </c>
      <c r="J801" s="104" t="str">
        <f t="array" ref="J801">IF(ISBLANK(G801),"",INDEX('POR Config List'!H:H,MATCH(G801,'POR Config List'!D:D,0)))</f>
        <v/>
      </c>
      <c r="K801" s="105" t="str">
        <f t="array" ref="K801">IF(ISBLANK(G801),"",INDEX('POR Config List'!G:G,MATCH(G801,'POR Config List'!D:D,0)))</f>
        <v/>
      </c>
      <c r="L801" s="105"/>
      <c r="M801" s="105" t="str">
        <f t="array" ref="M801">IF(ISBLANK(G801),"",INDEX('label approval artwork'!Q:Q,MATCH( G801,'label approval artwork'!F:F,0)))</f>
        <v/>
      </c>
      <c r="N801" s="169" t="str">
        <f t="shared" si="5"/>
        <v/>
      </c>
      <c r="O801" s="102" t="str">
        <f t="array" ref="O801">IF(ISBLANK(G801),"",INDEX('POR Config List'!C:C,MATCH(G801,'POR Config List'!D:D,0)))</f>
        <v/>
      </c>
      <c r="P801" s="105" t="str">
        <f t="shared" si="4"/>
        <v/>
      </c>
      <c r="Q801" s="105" t="str">
        <f t="array" ref="Q801">IF(ISBLANK(G801),"",INDEX('label approval artwork'!J:J,MATCH( G801,'label approval artwork'!F:F,0)))</f>
        <v/>
      </c>
      <c r="R801" s="105" t="str">
        <f t="array" ref="R801">IFERROR( IF(P801&lt;&gt;"EMA",INDEX('label approval artwork'!H:H,MATCH(G801,'label approval artwork'!F:F,0),"")),"")</f>
        <v/>
      </c>
      <c r="S801" s="105"/>
      <c r="T801" s="105" t="str">
        <f t="array" ref="T801">IF(ISBLANK(G801),"",INDEX('POR Config List'!I:I,MATCH(G801,'POR Config List'!D:D,0)))</f>
        <v/>
      </c>
      <c r="AA801" s="100" t="str">
        <f t="array" ref="AA801">IF(ISBLANK(G801),"",INDEX('POR Config List'!E:E,MATCH(G801,'POR Config List'!D:D,0)))</f>
        <v/>
      </c>
      <c r="AC801" s="105"/>
      <c r="AD801" s="100"/>
      <c r="AE801" s="100"/>
      <c r="AF801" s="100"/>
      <c r="AG801" s="100"/>
      <c r="AM801" s="102"/>
      <c r="AN801" s="102"/>
      <c r="AR801" s="119"/>
      <c r="AS801" s="103"/>
    </row>
    <row r="802">
      <c r="A802" s="168"/>
      <c r="B802" s="100" t="str">
        <f t="array" ref="B802">IFERROR( INDEX('POR Config List'!A:A,MATCH(G802,'POR Config List'!D:D,0)),"")</f>
        <v/>
      </c>
      <c r="C802" s="101" t="str">
        <f t="array" ref="C802">IFERROR(INDEX('label approval artwork'!E:E,MATCH(G802,'label approval artwork'!F:F,0),""),"")</f>
        <v/>
      </c>
      <c r="D802" s="102" t="str">
        <f t="shared" si="3"/>
        <v/>
      </c>
      <c r="E802" s="100" t="str">
        <f t="array" ref="E802">IF(ISBLANK(G802),"",INDEX('POR Config List'!K:K,MATCH(G802,'POR Config List'!D:D,0)))</f>
        <v/>
      </c>
      <c r="F802" s="100" t="str">
        <f t="array" ref="F802">IF(ISBLANK(G802),"",INDEX('POR Config List'!J:J,MATCH(G802,'POR Config List'!D:D,0)))</f>
        <v/>
      </c>
      <c r="G802" s="168"/>
      <c r="H802" s="104" t="str">
        <f t="array" ref="H802">IF(ISBLANK(G802),"",INDEX('MP SKUs'!G:G,MATCH(G802,'MP SKUs'!A:A,0)))</f>
        <v/>
      </c>
      <c r="I802" s="105" t="str">
        <f t="array" ref="I802">IF(ISBLANK(G802),"",INDEX('POR Config List'!O:O,MATCH(G802,'POR Config List'!D:D,0)))</f>
        <v/>
      </c>
      <c r="J802" s="104" t="str">
        <f t="array" ref="J802">IF(ISBLANK(G802),"",INDEX('POR Config List'!H:H,MATCH(G802,'POR Config List'!D:D,0)))</f>
        <v/>
      </c>
      <c r="K802" s="105" t="str">
        <f t="array" ref="K802">IF(ISBLANK(G802),"",INDEX('POR Config List'!G:G,MATCH(G802,'POR Config List'!D:D,0)))</f>
        <v/>
      </c>
      <c r="L802" s="105"/>
      <c r="M802" s="105" t="str">
        <f t="array" ref="M802">IF(ISBLANK(G802),"",INDEX('label approval artwork'!Q:Q,MATCH( G802,'label approval artwork'!F:F,0)))</f>
        <v/>
      </c>
      <c r="N802" s="169" t="str">
        <f t="shared" si="5"/>
        <v/>
      </c>
      <c r="O802" s="102" t="str">
        <f t="array" ref="O802">IF(ISBLANK(G802),"",INDEX('POR Config List'!C:C,MATCH(G802,'POR Config List'!D:D,0)))</f>
        <v/>
      </c>
      <c r="P802" s="105" t="str">
        <f t="shared" si="4"/>
        <v/>
      </c>
      <c r="Q802" s="105" t="str">
        <f t="array" ref="Q802">IF(ISBLANK(G802),"",INDEX('label approval artwork'!J:J,MATCH( G802,'label approval artwork'!F:F,0)))</f>
        <v/>
      </c>
      <c r="R802" s="105" t="str">
        <f t="array" ref="R802">IFERROR( IF(P802&lt;&gt;"EMA",INDEX('label approval artwork'!H:H,MATCH(G802,'label approval artwork'!F:F,0),"")),"")</f>
        <v/>
      </c>
      <c r="S802" s="105"/>
      <c r="T802" s="105" t="str">
        <f t="array" ref="T802">IF(ISBLANK(G802),"",INDEX('POR Config List'!I:I,MATCH(G802,'POR Config List'!D:D,0)))</f>
        <v/>
      </c>
      <c r="AA802" s="100" t="str">
        <f t="array" ref="AA802">IF(ISBLANK(G802),"",INDEX('POR Config List'!E:E,MATCH(G802,'POR Config List'!D:D,0)))</f>
        <v/>
      </c>
      <c r="AC802" s="105"/>
      <c r="AD802" s="100"/>
      <c r="AE802" s="100"/>
      <c r="AF802" s="100"/>
      <c r="AG802" s="100"/>
      <c r="AM802" s="102"/>
      <c r="AN802" s="102"/>
      <c r="AR802" s="119"/>
      <c r="AS802" s="103"/>
    </row>
    <row r="803">
      <c r="A803" s="168"/>
      <c r="B803" s="100" t="str">
        <f t="array" ref="B803">IFERROR( INDEX('POR Config List'!A:A,MATCH(G803,'POR Config List'!D:D,0)),"")</f>
        <v/>
      </c>
      <c r="C803" s="101" t="str">
        <f t="array" ref="C803">IFERROR(INDEX('label approval artwork'!E:E,MATCH(G803,'label approval artwork'!F:F,0),""),"")</f>
        <v/>
      </c>
      <c r="D803" s="102" t="str">
        <f t="shared" si="3"/>
        <v/>
      </c>
      <c r="E803" s="100" t="str">
        <f t="array" ref="E803">IF(ISBLANK(G803),"",INDEX('POR Config List'!K:K,MATCH(G803,'POR Config List'!D:D,0)))</f>
        <v/>
      </c>
      <c r="F803" s="100" t="str">
        <f t="array" ref="F803">IF(ISBLANK(G803),"",INDEX('POR Config List'!J:J,MATCH(G803,'POR Config List'!D:D,0)))</f>
        <v/>
      </c>
      <c r="G803" s="168"/>
      <c r="H803" s="104" t="str">
        <f t="array" ref="H803">IF(ISBLANK(G803),"",INDEX('MP SKUs'!G:G,MATCH(G803,'MP SKUs'!A:A,0)))</f>
        <v/>
      </c>
      <c r="I803" s="105" t="str">
        <f t="array" ref="I803">IF(ISBLANK(G803),"",INDEX('POR Config List'!O:O,MATCH(G803,'POR Config List'!D:D,0)))</f>
        <v/>
      </c>
      <c r="J803" s="104" t="str">
        <f t="array" ref="J803">IF(ISBLANK(G803),"",INDEX('POR Config List'!H:H,MATCH(G803,'POR Config List'!D:D,0)))</f>
        <v/>
      </c>
      <c r="K803" s="105" t="str">
        <f t="array" ref="K803">IF(ISBLANK(G803),"",INDEX('POR Config List'!G:G,MATCH(G803,'POR Config List'!D:D,0)))</f>
        <v/>
      </c>
      <c r="L803" s="105"/>
      <c r="M803" s="105" t="str">
        <f t="array" ref="M803">IF(ISBLANK(G803),"",INDEX('label approval artwork'!Q:Q,MATCH( G803,'label approval artwork'!F:F,0)))</f>
        <v/>
      </c>
      <c r="N803" s="169" t="str">
        <f t="shared" si="5"/>
        <v/>
      </c>
      <c r="O803" s="102" t="str">
        <f t="array" ref="O803">IF(ISBLANK(G803),"",INDEX('POR Config List'!C:C,MATCH(G803,'POR Config List'!D:D,0)))</f>
        <v/>
      </c>
      <c r="P803" s="105" t="str">
        <f t="shared" si="4"/>
        <v/>
      </c>
      <c r="Q803" s="105" t="str">
        <f t="array" ref="Q803">IF(ISBLANK(G803),"",INDEX('label approval artwork'!J:J,MATCH( G803,'label approval artwork'!F:F,0)))</f>
        <v/>
      </c>
      <c r="R803" s="105" t="str">
        <f t="array" ref="R803">IFERROR( IF(P803&lt;&gt;"EMA",INDEX('label approval artwork'!H:H,MATCH(G803,'label approval artwork'!F:F,0),"")),"")</f>
        <v/>
      </c>
      <c r="S803" s="105"/>
      <c r="T803" s="105" t="str">
        <f t="array" ref="T803">IF(ISBLANK(G803),"",INDEX('POR Config List'!I:I,MATCH(G803,'POR Config List'!D:D,0)))</f>
        <v/>
      </c>
      <c r="AA803" s="100" t="str">
        <f t="array" ref="AA803">IF(ISBLANK(G803),"",INDEX('POR Config List'!E:E,MATCH(G803,'POR Config List'!D:D,0)))</f>
        <v/>
      </c>
      <c r="AC803" s="105"/>
      <c r="AD803" s="100"/>
      <c r="AE803" s="100"/>
      <c r="AF803" s="100"/>
      <c r="AG803" s="100"/>
      <c r="AM803" s="102"/>
      <c r="AN803" s="102"/>
      <c r="AR803" s="119"/>
      <c r="AS803" s="103"/>
    </row>
    <row r="804">
      <c r="A804" s="168"/>
      <c r="B804" s="100" t="str">
        <f t="array" ref="B804">IFERROR( INDEX('POR Config List'!A:A,MATCH(G804,'POR Config List'!D:D,0)),"")</f>
        <v/>
      </c>
      <c r="C804" s="101" t="str">
        <f t="array" ref="C804">IFERROR(INDEX('label approval artwork'!E:E,MATCH(G804,'label approval artwork'!F:F,0),""),"")</f>
        <v/>
      </c>
      <c r="D804" s="102" t="str">
        <f t="shared" si="3"/>
        <v/>
      </c>
      <c r="E804" s="100" t="str">
        <f t="array" ref="E804">IF(ISBLANK(G804),"",INDEX('POR Config List'!K:K,MATCH(G804,'POR Config List'!D:D,0)))</f>
        <v/>
      </c>
      <c r="F804" s="100" t="str">
        <f t="array" ref="F804">IF(ISBLANK(G804),"",INDEX('POR Config List'!J:J,MATCH(G804,'POR Config List'!D:D,0)))</f>
        <v/>
      </c>
      <c r="G804" s="168"/>
      <c r="H804" s="104" t="str">
        <f t="array" ref="H804">IF(ISBLANK(G804),"",INDEX('MP SKUs'!G:G,MATCH(G804,'MP SKUs'!A:A,0)))</f>
        <v/>
      </c>
      <c r="I804" s="105" t="str">
        <f t="array" ref="I804">IF(ISBLANK(G804),"",INDEX('POR Config List'!O:O,MATCH(G804,'POR Config List'!D:D,0)))</f>
        <v/>
      </c>
      <c r="J804" s="104" t="str">
        <f t="array" ref="J804">IF(ISBLANK(G804),"",INDEX('POR Config List'!H:H,MATCH(G804,'POR Config List'!D:D,0)))</f>
        <v/>
      </c>
      <c r="K804" s="105" t="str">
        <f t="array" ref="K804">IF(ISBLANK(G804),"",INDEX('POR Config List'!G:G,MATCH(G804,'POR Config List'!D:D,0)))</f>
        <v/>
      </c>
      <c r="L804" s="105"/>
      <c r="M804" s="105" t="str">
        <f t="array" ref="M804">IF(ISBLANK(G804),"",INDEX('label approval artwork'!Q:Q,MATCH( G804,'label approval artwork'!F:F,0)))</f>
        <v/>
      </c>
      <c r="N804" s="169" t="str">
        <f t="shared" si="5"/>
        <v/>
      </c>
      <c r="O804" s="102" t="str">
        <f t="array" ref="O804">IF(ISBLANK(G804),"",INDEX('POR Config List'!C:C,MATCH(G804,'POR Config List'!D:D,0)))</f>
        <v/>
      </c>
      <c r="P804" s="105" t="str">
        <f t="shared" si="4"/>
        <v/>
      </c>
      <c r="Q804" s="105" t="str">
        <f t="array" ref="Q804">IF(ISBLANK(G804),"",INDEX('label approval artwork'!J:J,MATCH( G804,'label approval artwork'!F:F,0)))</f>
        <v/>
      </c>
      <c r="R804" s="105" t="str">
        <f t="array" ref="R804">IFERROR( IF(P804&lt;&gt;"EMA",INDEX('label approval artwork'!H:H,MATCH(G804,'label approval artwork'!F:F,0),"")),"")</f>
        <v/>
      </c>
      <c r="S804" s="105"/>
      <c r="T804" s="105" t="str">
        <f t="array" ref="T804">IF(ISBLANK(G804),"",INDEX('POR Config List'!I:I,MATCH(G804,'POR Config List'!D:D,0)))</f>
        <v/>
      </c>
      <c r="AA804" s="100" t="str">
        <f t="array" ref="AA804">IF(ISBLANK(G804),"",INDEX('POR Config List'!E:E,MATCH(G804,'POR Config List'!D:D,0)))</f>
        <v/>
      </c>
      <c r="AC804" s="105"/>
      <c r="AD804" s="100"/>
      <c r="AE804" s="100"/>
      <c r="AF804" s="100"/>
      <c r="AG804" s="100"/>
      <c r="AM804" s="102"/>
      <c r="AN804" s="102"/>
      <c r="AR804" s="119"/>
      <c r="AS804" s="103"/>
    </row>
    <row r="805">
      <c r="A805" s="168"/>
      <c r="B805" s="100" t="str">
        <f t="array" ref="B805">IFERROR( INDEX('POR Config List'!A:A,MATCH(G805,'POR Config List'!D:D,0)),"")</f>
        <v/>
      </c>
      <c r="C805" s="101" t="str">
        <f t="array" ref="C805">IFERROR(INDEX('label approval artwork'!E:E,MATCH(G805,'label approval artwork'!F:F,0),""),"")</f>
        <v/>
      </c>
      <c r="D805" s="102" t="str">
        <f t="shared" si="3"/>
        <v/>
      </c>
      <c r="E805" s="100" t="str">
        <f t="array" ref="E805">IF(ISBLANK(G805),"",INDEX('POR Config List'!K:K,MATCH(G805,'POR Config List'!D:D,0)))</f>
        <v/>
      </c>
      <c r="F805" s="100" t="str">
        <f t="array" ref="F805">IF(ISBLANK(G805),"",INDEX('POR Config List'!J:J,MATCH(G805,'POR Config List'!D:D,0)))</f>
        <v/>
      </c>
      <c r="G805" s="168"/>
      <c r="H805" s="104" t="str">
        <f t="array" ref="H805">IF(ISBLANK(G805),"",INDEX('MP SKUs'!G:G,MATCH(G805,'MP SKUs'!A:A,0)))</f>
        <v/>
      </c>
      <c r="I805" s="105" t="str">
        <f t="array" ref="I805">IF(ISBLANK(G805),"",INDEX('POR Config List'!O:O,MATCH(G805,'POR Config List'!D:D,0)))</f>
        <v/>
      </c>
      <c r="J805" s="104" t="str">
        <f t="array" ref="J805">IF(ISBLANK(G805),"",INDEX('POR Config List'!H:H,MATCH(G805,'POR Config List'!D:D,0)))</f>
        <v/>
      </c>
      <c r="K805" s="105" t="str">
        <f t="array" ref="K805">IF(ISBLANK(G805),"",INDEX('POR Config List'!G:G,MATCH(G805,'POR Config List'!D:D,0)))</f>
        <v/>
      </c>
      <c r="L805" s="105"/>
      <c r="M805" s="105" t="str">
        <f t="array" ref="M805">IF(ISBLANK(G805),"",INDEX('label approval artwork'!Q:Q,MATCH( G805,'label approval artwork'!F:F,0)))</f>
        <v/>
      </c>
      <c r="N805" s="169" t="str">
        <f t="shared" si="5"/>
        <v/>
      </c>
      <c r="O805" s="102" t="str">
        <f t="array" ref="O805">IF(ISBLANK(G805),"",INDEX('POR Config List'!C:C,MATCH(G805,'POR Config List'!D:D,0)))</f>
        <v/>
      </c>
      <c r="P805" s="105" t="str">
        <f t="shared" si="4"/>
        <v/>
      </c>
      <c r="Q805" s="105" t="str">
        <f t="array" ref="Q805">IF(ISBLANK(G805),"",INDEX('label approval artwork'!J:J,MATCH( G805,'label approval artwork'!F:F,0)))</f>
        <v/>
      </c>
      <c r="R805" s="105" t="str">
        <f t="array" ref="R805">IFERROR( IF(P805&lt;&gt;"EMA",INDEX('label approval artwork'!H:H,MATCH(G805,'label approval artwork'!F:F,0),"")),"")</f>
        <v/>
      </c>
      <c r="S805" s="105"/>
      <c r="T805" s="105" t="str">
        <f t="array" ref="T805">IF(ISBLANK(G805),"",INDEX('POR Config List'!I:I,MATCH(G805,'POR Config List'!D:D,0)))</f>
        <v/>
      </c>
      <c r="AA805" s="100" t="str">
        <f t="array" ref="AA805">IF(ISBLANK(G805),"",INDEX('POR Config List'!E:E,MATCH(G805,'POR Config List'!D:D,0)))</f>
        <v/>
      </c>
      <c r="AC805" s="105"/>
      <c r="AD805" s="100"/>
      <c r="AE805" s="100"/>
      <c r="AF805" s="100"/>
      <c r="AG805" s="100"/>
      <c r="AM805" s="102"/>
      <c r="AN805" s="102"/>
      <c r="AR805" s="119"/>
      <c r="AS805" s="103"/>
    </row>
    <row r="806">
      <c r="A806" s="168"/>
      <c r="B806" s="100" t="str">
        <f t="array" ref="B806">IFERROR( INDEX('POR Config List'!A:A,MATCH(G806,'POR Config List'!D:D,0)),"")</f>
        <v/>
      </c>
      <c r="C806" s="101" t="str">
        <f t="array" ref="C806">IFERROR(INDEX('label approval artwork'!E:E,MATCH(G806,'label approval artwork'!F:F,0),""),"")</f>
        <v/>
      </c>
      <c r="D806" s="102" t="str">
        <f t="shared" si="3"/>
        <v/>
      </c>
      <c r="E806" s="100" t="str">
        <f t="array" ref="E806">IF(ISBLANK(G806),"",INDEX('POR Config List'!K:K,MATCH(G806,'POR Config List'!D:D,0)))</f>
        <v/>
      </c>
      <c r="F806" s="100" t="str">
        <f t="array" ref="F806">IF(ISBLANK(G806),"",INDEX('POR Config List'!J:J,MATCH(G806,'POR Config List'!D:D,0)))</f>
        <v/>
      </c>
      <c r="G806" s="168"/>
      <c r="H806" s="104" t="str">
        <f t="array" ref="H806">IF(ISBLANK(G806),"",INDEX('MP SKUs'!G:G,MATCH(G806,'MP SKUs'!A:A,0)))</f>
        <v/>
      </c>
      <c r="I806" s="105" t="str">
        <f t="array" ref="I806">IF(ISBLANK(G806),"",INDEX('POR Config List'!O:O,MATCH(G806,'POR Config List'!D:D,0)))</f>
        <v/>
      </c>
      <c r="J806" s="104" t="str">
        <f t="array" ref="J806">IF(ISBLANK(G806),"",INDEX('POR Config List'!H:H,MATCH(G806,'POR Config List'!D:D,0)))</f>
        <v/>
      </c>
      <c r="K806" s="105" t="str">
        <f t="array" ref="K806">IF(ISBLANK(G806),"",INDEX('POR Config List'!G:G,MATCH(G806,'POR Config List'!D:D,0)))</f>
        <v/>
      </c>
      <c r="L806" s="105"/>
      <c r="M806" s="105" t="str">
        <f t="array" ref="M806">IF(ISBLANK(G806),"",INDEX('label approval artwork'!Q:Q,MATCH( G806,'label approval artwork'!F:F,0)))</f>
        <v/>
      </c>
      <c r="N806" s="169" t="str">
        <f t="shared" si="5"/>
        <v/>
      </c>
      <c r="O806" s="102" t="str">
        <f t="array" ref="O806">IF(ISBLANK(G806),"",INDEX('POR Config List'!C:C,MATCH(G806,'POR Config List'!D:D,0)))</f>
        <v/>
      </c>
      <c r="P806" s="105" t="str">
        <f t="shared" si="4"/>
        <v/>
      </c>
      <c r="Q806" s="105" t="str">
        <f t="array" ref="Q806">IF(ISBLANK(G806),"",INDEX('label approval artwork'!J:J,MATCH( G806,'label approval artwork'!F:F,0)))</f>
        <v/>
      </c>
      <c r="R806" s="105" t="str">
        <f t="array" ref="R806">IFERROR( IF(P806&lt;&gt;"EMA",INDEX('label approval artwork'!H:H,MATCH(G806,'label approval artwork'!F:F,0),"")),"")</f>
        <v/>
      </c>
      <c r="S806" s="105"/>
      <c r="T806" s="105" t="str">
        <f t="array" ref="T806">IF(ISBLANK(G806),"",INDEX('POR Config List'!I:I,MATCH(G806,'POR Config List'!D:D,0)))</f>
        <v/>
      </c>
      <c r="AA806" s="100" t="str">
        <f t="array" ref="AA806">IF(ISBLANK(G806),"",INDEX('POR Config List'!E:E,MATCH(G806,'POR Config List'!D:D,0)))</f>
        <v/>
      </c>
      <c r="AC806" s="105"/>
      <c r="AD806" s="100"/>
      <c r="AE806" s="100"/>
      <c r="AF806" s="100"/>
      <c r="AG806" s="100"/>
      <c r="AM806" s="102"/>
      <c r="AN806" s="102"/>
      <c r="AR806" s="119"/>
      <c r="AS806" s="103"/>
    </row>
    <row r="807">
      <c r="A807" s="168"/>
      <c r="B807" s="100" t="str">
        <f t="array" ref="B807">IFERROR( INDEX('POR Config List'!A:A,MATCH(G807,'POR Config List'!D:D,0)),"")</f>
        <v/>
      </c>
      <c r="C807" s="101" t="str">
        <f t="array" ref="C807">IFERROR(INDEX('label approval artwork'!E:E,MATCH(G807,'label approval artwork'!F:F,0),""),"")</f>
        <v/>
      </c>
      <c r="D807" s="102" t="str">
        <f t="shared" si="3"/>
        <v/>
      </c>
      <c r="E807" s="100" t="str">
        <f t="array" ref="E807">IF(ISBLANK(G807),"",INDEX('POR Config List'!K:K,MATCH(G807,'POR Config List'!D:D,0)))</f>
        <v/>
      </c>
      <c r="F807" s="100" t="str">
        <f t="array" ref="F807">IF(ISBLANK(G807),"",INDEX('POR Config List'!J:J,MATCH(G807,'POR Config List'!D:D,0)))</f>
        <v/>
      </c>
      <c r="G807" s="168"/>
      <c r="H807" s="104" t="str">
        <f t="array" ref="H807">IF(ISBLANK(G807),"",INDEX('MP SKUs'!G:G,MATCH(G807,'MP SKUs'!A:A,0)))</f>
        <v/>
      </c>
      <c r="I807" s="105" t="str">
        <f t="array" ref="I807">IF(ISBLANK(G807),"",INDEX('POR Config List'!O:O,MATCH(G807,'POR Config List'!D:D,0)))</f>
        <v/>
      </c>
      <c r="J807" s="104" t="str">
        <f t="array" ref="J807">IF(ISBLANK(G807),"",INDEX('POR Config List'!H:H,MATCH(G807,'POR Config List'!D:D,0)))</f>
        <v/>
      </c>
      <c r="K807" s="105" t="str">
        <f t="array" ref="K807">IF(ISBLANK(G807),"",INDEX('POR Config List'!G:G,MATCH(G807,'POR Config List'!D:D,0)))</f>
        <v/>
      </c>
      <c r="L807" s="105"/>
      <c r="M807" s="105" t="str">
        <f t="array" ref="M807">IF(ISBLANK(G807),"",INDEX('label approval artwork'!Q:Q,MATCH( G807,'label approval artwork'!F:F,0)))</f>
        <v/>
      </c>
      <c r="N807" s="169" t="str">
        <f t="shared" si="5"/>
        <v/>
      </c>
      <c r="O807" s="102" t="str">
        <f t="array" ref="O807">IF(ISBLANK(G807),"",INDEX('POR Config List'!C:C,MATCH(G807,'POR Config List'!D:D,0)))</f>
        <v/>
      </c>
      <c r="P807" s="105" t="str">
        <f t="shared" si="4"/>
        <v/>
      </c>
      <c r="Q807" s="105" t="str">
        <f t="array" ref="Q807">IF(ISBLANK(G807),"",INDEX('label approval artwork'!J:J,MATCH( G807,'label approval artwork'!F:F,0)))</f>
        <v/>
      </c>
      <c r="R807" s="105" t="str">
        <f t="array" ref="R807">IFERROR( IF(P807&lt;&gt;"EMA",INDEX('label approval artwork'!H:H,MATCH(G807,'label approval artwork'!F:F,0),"")),"")</f>
        <v/>
      </c>
      <c r="S807" s="105"/>
      <c r="T807" s="105" t="str">
        <f t="array" ref="T807">IF(ISBLANK(G807),"",INDEX('POR Config List'!I:I,MATCH(G807,'POR Config List'!D:D,0)))</f>
        <v/>
      </c>
      <c r="AA807" s="100" t="str">
        <f t="array" ref="AA807">IF(ISBLANK(G807),"",INDEX('POR Config List'!E:E,MATCH(G807,'POR Config List'!D:D,0)))</f>
        <v/>
      </c>
      <c r="AC807" s="105"/>
      <c r="AD807" s="100"/>
      <c r="AE807" s="100"/>
      <c r="AF807" s="100"/>
      <c r="AG807" s="100"/>
      <c r="AM807" s="102"/>
      <c r="AN807" s="102"/>
      <c r="AR807" s="119"/>
      <c r="AS807" s="103"/>
    </row>
    <row r="808">
      <c r="A808" s="168"/>
      <c r="B808" s="100" t="str">
        <f t="array" ref="B808">IFERROR( INDEX('POR Config List'!A:A,MATCH(G808,'POR Config List'!D:D,0)),"")</f>
        <v/>
      </c>
      <c r="C808" s="101" t="str">
        <f t="array" ref="C808">IFERROR(INDEX('label approval artwork'!E:E,MATCH(G808,'label approval artwork'!F:F,0),""),"")</f>
        <v/>
      </c>
      <c r="D808" s="102" t="str">
        <f t="shared" si="3"/>
        <v/>
      </c>
      <c r="E808" s="100" t="str">
        <f t="array" ref="E808">IF(ISBLANK(G808),"",INDEX('POR Config List'!K:K,MATCH(G808,'POR Config List'!D:D,0)))</f>
        <v/>
      </c>
      <c r="F808" s="100" t="str">
        <f t="array" ref="F808">IF(ISBLANK(G808),"",INDEX('POR Config List'!J:J,MATCH(G808,'POR Config List'!D:D,0)))</f>
        <v/>
      </c>
      <c r="G808" s="168"/>
      <c r="H808" s="104" t="str">
        <f t="array" ref="H808">IF(ISBLANK(G808),"",INDEX('MP SKUs'!G:G,MATCH(G808,'MP SKUs'!A:A,0)))</f>
        <v/>
      </c>
      <c r="I808" s="105" t="str">
        <f t="array" ref="I808">IF(ISBLANK(G808),"",INDEX('POR Config List'!O:O,MATCH(G808,'POR Config List'!D:D,0)))</f>
        <v/>
      </c>
      <c r="J808" s="104" t="str">
        <f t="array" ref="J808">IF(ISBLANK(G808),"",INDEX('POR Config List'!H:H,MATCH(G808,'POR Config List'!D:D,0)))</f>
        <v/>
      </c>
      <c r="K808" s="105" t="str">
        <f t="array" ref="K808">IF(ISBLANK(G808),"",INDEX('POR Config List'!G:G,MATCH(G808,'POR Config List'!D:D,0)))</f>
        <v/>
      </c>
      <c r="L808" s="105"/>
      <c r="M808" s="105" t="str">
        <f t="array" ref="M808">IF(ISBLANK(G808),"",INDEX('label approval artwork'!Q:Q,MATCH( G808,'label approval artwork'!F:F,0)))</f>
        <v/>
      </c>
      <c r="N808" s="169" t="str">
        <f t="shared" si="5"/>
        <v/>
      </c>
      <c r="O808" s="102" t="str">
        <f t="array" ref="O808">IF(ISBLANK(G808),"",INDEX('POR Config List'!C:C,MATCH(G808,'POR Config List'!D:D,0)))</f>
        <v/>
      </c>
      <c r="P808" s="105" t="str">
        <f t="shared" si="4"/>
        <v/>
      </c>
      <c r="Q808" s="105" t="str">
        <f t="array" ref="Q808">IF(ISBLANK(G808),"",INDEX('label approval artwork'!J:J,MATCH( G808,'label approval artwork'!F:F,0)))</f>
        <v/>
      </c>
      <c r="R808" s="105" t="str">
        <f t="array" ref="R808">IFERROR( IF(P808&lt;&gt;"EMA",INDEX('label approval artwork'!H:H,MATCH(G808,'label approval artwork'!F:F,0),"")),"")</f>
        <v/>
      </c>
      <c r="S808" s="105"/>
      <c r="T808" s="105" t="str">
        <f t="array" ref="T808">IF(ISBLANK(G808),"",INDEX('POR Config List'!I:I,MATCH(G808,'POR Config List'!D:D,0)))</f>
        <v/>
      </c>
      <c r="AA808" s="100" t="str">
        <f t="array" ref="AA808">IF(ISBLANK(G808),"",INDEX('POR Config List'!E:E,MATCH(G808,'POR Config List'!D:D,0)))</f>
        <v/>
      </c>
      <c r="AC808" s="105"/>
      <c r="AD808" s="100"/>
      <c r="AE808" s="100"/>
      <c r="AF808" s="100"/>
      <c r="AG808" s="100"/>
      <c r="AM808" s="102"/>
      <c r="AN808" s="102"/>
      <c r="AR808" s="119"/>
      <c r="AS808" s="103"/>
    </row>
    <row r="809">
      <c r="A809" s="168"/>
      <c r="B809" s="100" t="str">
        <f t="array" ref="B809">IFERROR( INDEX('POR Config List'!A:A,MATCH(G809,'POR Config List'!D:D,0)),"")</f>
        <v/>
      </c>
      <c r="C809" s="101" t="str">
        <f t="array" ref="C809">IFERROR(INDEX('label approval artwork'!E:E,MATCH(G809,'label approval artwork'!F:F,0),""),"")</f>
        <v/>
      </c>
      <c r="D809" s="102" t="str">
        <f t="shared" si="3"/>
        <v/>
      </c>
      <c r="E809" s="100" t="str">
        <f t="array" ref="E809">IF(ISBLANK(G809),"",INDEX('POR Config List'!K:K,MATCH(G809,'POR Config List'!D:D,0)))</f>
        <v/>
      </c>
      <c r="F809" s="100" t="str">
        <f t="array" ref="F809">IF(ISBLANK(G809),"",INDEX('POR Config List'!J:J,MATCH(G809,'POR Config List'!D:D,0)))</f>
        <v/>
      </c>
      <c r="G809" s="168"/>
      <c r="H809" s="104" t="str">
        <f t="array" ref="H809">IF(ISBLANK(G809),"",INDEX('MP SKUs'!G:G,MATCH(G809,'MP SKUs'!A:A,0)))</f>
        <v/>
      </c>
      <c r="I809" s="105" t="str">
        <f t="array" ref="I809">IF(ISBLANK(G809),"",INDEX('POR Config List'!O:O,MATCH(G809,'POR Config List'!D:D,0)))</f>
        <v/>
      </c>
      <c r="J809" s="104" t="str">
        <f t="array" ref="J809">IF(ISBLANK(G809),"",INDEX('POR Config List'!H:H,MATCH(G809,'POR Config List'!D:D,0)))</f>
        <v/>
      </c>
      <c r="K809" s="105" t="str">
        <f t="array" ref="K809">IF(ISBLANK(G809),"",INDEX('POR Config List'!G:G,MATCH(G809,'POR Config List'!D:D,0)))</f>
        <v/>
      </c>
      <c r="L809" s="105"/>
      <c r="M809" s="105" t="str">
        <f t="array" ref="M809">IF(ISBLANK(G809),"",INDEX('label approval artwork'!Q:Q,MATCH( G809,'label approval artwork'!F:F,0)))</f>
        <v/>
      </c>
      <c r="N809" s="169" t="str">
        <f t="shared" si="5"/>
        <v/>
      </c>
      <c r="O809" s="102" t="str">
        <f t="array" ref="O809">IF(ISBLANK(G809),"",INDEX('POR Config List'!C:C,MATCH(G809,'POR Config List'!D:D,0)))</f>
        <v/>
      </c>
      <c r="P809" s="105" t="str">
        <f t="shared" si="4"/>
        <v/>
      </c>
      <c r="Q809" s="105" t="str">
        <f t="array" ref="Q809">IF(ISBLANK(G809),"",INDEX('label approval artwork'!J:J,MATCH( G809,'label approval artwork'!F:F,0)))</f>
        <v/>
      </c>
      <c r="R809" s="105" t="str">
        <f t="array" ref="R809">IFERROR( IF(P809&lt;&gt;"EMA",INDEX('label approval artwork'!H:H,MATCH(G809,'label approval artwork'!F:F,0),"")),"")</f>
        <v/>
      </c>
      <c r="S809" s="105"/>
      <c r="T809" s="105" t="str">
        <f t="array" ref="T809">IF(ISBLANK(G809),"",INDEX('POR Config List'!I:I,MATCH(G809,'POR Config List'!D:D,0)))</f>
        <v/>
      </c>
      <c r="AA809" s="100" t="str">
        <f t="array" ref="AA809">IF(ISBLANK(G809),"",INDEX('POR Config List'!E:E,MATCH(G809,'POR Config List'!D:D,0)))</f>
        <v/>
      </c>
      <c r="AC809" s="105"/>
      <c r="AD809" s="100"/>
      <c r="AE809" s="100"/>
      <c r="AF809" s="100"/>
      <c r="AG809" s="100"/>
      <c r="AM809" s="102"/>
      <c r="AN809" s="102"/>
      <c r="AR809" s="119"/>
      <c r="AS809" s="103"/>
    </row>
    <row r="810">
      <c r="A810" s="168"/>
      <c r="B810" s="100" t="str">
        <f t="array" ref="B810">IFERROR( INDEX('POR Config List'!A:A,MATCH(G810,'POR Config List'!D:D,0)),"")</f>
        <v/>
      </c>
      <c r="C810" s="101" t="str">
        <f t="array" ref="C810">IFERROR(INDEX('label approval artwork'!E:E,MATCH(G810,'label approval artwork'!F:F,0),""),"")</f>
        <v/>
      </c>
      <c r="D810" s="102" t="str">
        <f t="shared" si="3"/>
        <v/>
      </c>
      <c r="E810" s="100" t="str">
        <f t="array" ref="E810">IF(ISBLANK(G810),"",INDEX('POR Config List'!K:K,MATCH(G810,'POR Config List'!D:D,0)))</f>
        <v/>
      </c>
      <c r="F810" s="100" t="str">
        <f t="array" ref="F810">IF(ISBLANK(G810),"",INDEX('POR Config List'!J:J,MATCH(G810,'POR Config List'!D:D,0)))</f>
        <v/>
      </c>
      <c r="G810" s="168"/>
      <c r="H810" s="104" t="str">
        <f t="array" ref="H810">IF(ISBLANK(G810),"",INDEX('MP SKUs'!G:G,MATCH(G810,'MP SKUs'!A:A,0)))</f>
        <v/>
      </c>
      <c r="I810" s="105" t="str">
        <f t="array" ref="I810">IF(ISBLANK(G810),"",INDEX('POR Config List'!O:O,MATCH(G810,'POR Config List'!D:D,0)))</f>
        <v/>
      </c>
      <c r="J810" s="104" t="str">
        <f t="array" ref="J810">IF(ISBLANK(G810),"",INDEX('POR Config List'!H:H,MATCH(G810,'POR Config List'!D:D,0)))</f>
        <v/>
      </c>
      <c r="K810" s="105" t="str">
        <f t="array" ref="K810">IF(ISBLANK(G810),"",INDEX('POR Config List'!G:G,MATCH(G810,'POR Config List'!D:D,0)))</f>
        <v/>
      </c>
      <c r="L810" s="105"/>
      <c r="M810" s="105" t="str">
        <f t="array" ref="M810">IF(ISBLANK(G810),"",INDEX('label approval artwork'!Q:Q,MATCH( G810,'label approval artwork'!F:F,0)))</f>
        <v/>
      </c>
      <c r="N810" s="169" t="str">
        <f t="shared" si="5"/>
        <v/>
      </c>
      <c r="O810" s="102" t="str">
        <f t="array" ref="O810">IF(ISBLANK(G810),"",INDEX('POR Config List'!C:C,MATCH(G810,'POR Config List'!D:D,0)))</f>
        <v/>
      </c>
      <c r="P810" s="105" t="str">
        <f t="shared" si="4"/>
        <v/>
      </c>
      <c r="Q810" s="105" t="str">
        <f t="array" ref="Q810">IF(ISBLANK(G810),"",INDEX('label approval artwork'!J:J,MATCH( G810,'label approval artwork'!F:F,0)))</f>
        <v/>
      </c>
      <c r="R810" s="105" t="str">
        <f t="array" ref="R810">IFERROR( IF(P810&lt;&gt;"EMA",INDEX('label approval artwork'!H:H,MATCH(G810,'label approval artwork'!F:F,0),"")),"")</f>
        <v/>
      </c>
      <c r="S810" s="105"/>
      <c r="T810" s="105" t="str">
        <f t="array" ref="T810">IF(ISBLANK(G810),"",INDEX('POR Config List'!I:I,MATCH(G810,'POR Config List'!D:D,0)))</f>
        <v/>
      </c>
      <c r="AA810" s="100" t="str">
        <f t="array" ref="AA810">IF(ISBLANK(G810),"",INDEX('POR Config List'!E:E,MATCH(G810,'POR Config List'!D:D,0)))</f>
        <v/>
      </c>
      <c r="AC810" s="105"/>
      <c r="AD810" s="100"/>
      <c r="AE810" s="100"/>
      <c r="AF810" s="100"/>
      <c r="AG810" s="100"/>
      <c r="AM810" s="102"/>
      <c r="AN810" s="102"/>
      <c r="AR810" s="119"/>
      <c r="AS810" s="103"/>
    </row>
    <row r="811">
      <c r="A811" s="168"/>
      <c r="B811" s="100" t="str">
        <f t="array" ref="B811">IFERROR( INDEX('POR Config List'!A:A,MATCH(G811,'POR Config List'!D:D,0)),"")</f>
        <v/>
      </c>
      <c r="C811" s="101" t="str">
        <f t="array" ref="C811">IFERROR(INDEX('label approval artwork'!E:E,MATCH(G811,'label approval artwork'!F:F,0),""),"")</f>
        <v/>
      </c>
      <c r="D811" s="102" t="str">
        <f t="shared" si="3"/>
        <v/>
      </c>
      <c r="E811" s="100" t="str">
        <f t="array" ref="E811">IF(ISBLANK(G811),"",INDEX('POR Config List'!K:K,MATCH(G811,'POR Config List'!D:D,0)))</f>
        <v/>
      </c>
      <c r="F811" s="100" t="str">
        <f t="array" ref="F811">IF(ISBLANK(G811),"",INDEX('POR Config List'!J:J,MATCH(G811,'POR Config List'!D:D,0)))</f>
        <v/>
      </c>
      <c r="G811" s="168"/>
      <c r="H811" s="104" t="str">
        <f t="array" ref="H811">IF(ISBLANK(G811),"",INDEX('MP SKUs'!G:G,MATCH(G811,'MP SKUs'!A:A,0)))</f>
        <v/>
      </c>
      <c r="I811" s="105" t="str">
        <f t="array" ref="I811">IF(ISBLANK(G811),"",INDEX('POR Config List'!O:O,MATCH(G811,'POR Config List'!D:D,0)))</f>
        <v/>
      </c>
      <c r="J811" s="104" t="str">
        <f t="array" ref="J811">IF(ISBLANK(G811),"",INDEX('POR Config List'!H:H,MATCH(G811,'POR Config List'!D:D,0)))</f>
        <v/>
      </c>
      <c r="K811" s="105" t="str">
        <f t="array" ref="K811">IF(ISBLANK(G811),"",INDEX('POR Config List'!G:G,MATCH(G811,'POR Config List'!D:D,0)))</f>
        <v/>
      </c>
      <c r="L811" s="105"/>
      <c r="M811" s="105" t="str">
        <f t="array" ref="M811">IF(ISBLANK(G811),"",INDEX('label approval artwork'!Q:Q,MATCH( G811,'label approval artwork'!F:F,0)))</f>
        <v/>
      </c>
      <c r="N811" s="169" t="str">
        <f t="shared" si="5"/>
        <v/>
      </c>
      <c r="O811" s="102" t="str">
        <f t="array" ref="O811">IF(ISBLANK(G811),"",INDEX('POR Config List'!C:C,MATCH(G811,'POR Config List'!D:D,0)))</f>
        <v/>
      </c>
      <c r="P811" s="105" t="str">
        <f t="shared" si="4"/>
        <v/>
      </c>
      <c r="Q811" s="105" t="str">
        <f t="array" ref="Q811">IF(ISBLANK(G811),"",INDEX('label approval artwork'!J:J,MATCH( G811,'label approval artwork'!F:F,0)))</f>
        <v/>
      </c>
      <c r="R811" s="105" t="str">
        <f t="array" ref="R811">IFERROR( IF(P811&lt;&gt;"EMA",INDEX('label approval artwork'!H:H,MATCH(G811,'label approval artwork'!F:F,0),"")),"")</f>
        <v/>
      </c>
      <c r="S811" s="105"/>
      <c r="T811" s="105" t="str">
        <f t="array" ref="T811">IF(ISBLANK(G811),"",INDEX('POR Config List'!I:I,MATCH(G811,'POR Config List'!D:D,0)))</f>
        <v/>
      </c>
      <c r="AA811" s="100" t="str">
        <f t="array" ref="AA811">IF(ISBLANK(G811),"",INDEX('POR Config List'!E:E,MATCH(G811,'POR Config List'!D:D,0)))</f>
        <v/>
      </c>
      <c r="AC811" s="105"/>
      <c r="AD811" s="100"/>
      <c r="AE811" s="100"/>
      <c r="AF811" s="100"/>
      <c r="AG811" s="100"/>
      <c r="AM811" s="102"/>
      <c r="AN811" s="102"/>
      <c r="AR811" s="119"/>
      <c r="AS811" s="103"/>
    </row>
    <row r="812">
      <c r="A812" s="168"/>
      <c r="B812" s="100" t="str">
        <f t="array" ref="B812">IFERROR( INDEX('POR Config List'!A:A,MATCH(G812,'POR Config List'!D:D,0)),"")</f>
        <v/>
      </c>
      <c r="C812" s="101" t="str">
        <f t="array" ref="C812">IFERROR(INDEX('label approval artwork'!E:E,MATCH(G812,'label approval artwork'!F:F,0),""),"")</f>
        <v/>
      </c>
      <c r="D812" s="102" t="str">
        <f t="shared" si="3"/>
        <v/>
      </c>
      <c r="E812" s="100" t="str">
        <f t="array" ref="E812">IF(ISBLANK(G812),"",INDEX('POR Config List'!K:K,MATCH(G812,'POR Config List'!D:D,0)))</f>
        <v/>
      </c>
      <c r="F812" s="100" t="str">
        <f t="array" ref="F812">IF(ISBLANK(G812),"",INDEX('POR Config List'!J:J,MATCH(G812,'POR Config List'!D:D,0)))</f>
        <v/>
      </c>
      <c r="G812" s="168"/>
      <c r="H812" s="104" t="str">
        <f t="array" ref="H812">IF(ISBLANK(G812),"",INDEX('MP SKUs'!G:G,MATCH(G812,'MP SKUs'!A:A,0)))</f>
        <v/>
      </c>
      <c r="I812" s="105" t="str">
        <f t="array" ref="I812">IF(ISBLANK(G812),"",INDEX('POR Config List'!O:O,MATCH(G812,'POR Config List'!D:D,0)))</f>
        <v/>
      </c>
      <c r="J812" s="104" t="str">
        <f t="array" ref="J812">IF(ISBLANK(G812),"",INDEX('POR Config List'!H:H,MATCH(G812,'POR Config List'!D:D,0)))</f>
        <v/>
      </c>
      <c r="K812" s="105" t="str">
        <f t="array" ref="K812">IF(ISBLANK(G812),"",INDEX('POR Config List'!G:G,MATCH(G812,'POR Config List'!D:D,0)))</f>
        <v/>
      </c>
      <c r="L812" s="105"/>
      <c r="M812" s="105" t="str">
        <f t="array" ref="M812">IF(ISBLANK(G812),"",INDEX('label approval artwork'!Q:Q,MATCH( G812,'label approval artwork'!F:F,0)))</f>
        <v/>
      </c>
      <c r="N812" s="169" t="str">
        <f t="shared" si="5"/>
        <v/>
      </c>
      <c r="O812" s="102" t="str">
        <f t="array" ref="O812">IF(ISBLANK(G812),"",INDEX('POR Config List'!C:C,MATCH(G812,'POR Config List'!D:D,0)))</f>
        <v/>
      </c>
      <c r="P812" s="105" t="str">
        <f t="shared" si="4"/>
        <v/>
      </c>
      <c r="Q812" s="105" t="str">
        <f t="array" ref="Q812">IF(ISBLANK(G812),"",INDEX('label approval artwork'!J:J,MATCH( G812,'label approval artwork'!F:F,0)))</f>
        <v/>
      </c>
      <c r="R812" s="105" t="str">
        <f t="array" ref="R812">IFERROR( IF(P812&lt;&gt;"EMA",INDEX('label approval artwork'!H:H,MATCH(G812,'label approval artwork'!F:F,0),"")),"")</f>
        <v/>
      </c>
      <c r="S812" s="105"/>
      <c r="T812" s="105" t="str">
        <f t="array" ref="T812">IF(ISBLANK(G812),"",INDEX('POR Config List'!I:I,MATCH(G812,'POR Config List'!D:D,0)))</f>
        <v/>
      </c>
      <c r="AA812" s="100" t="str">
        <f t="array" ref="AA812">IF(ISBLANK(G812),"",INDEX('POR Config List'!E:E,MATCH(G812,'POR Config List'!D:D,0)))</f>
        <v/>
      </c>
      <c r="AC812" s="105"/>
      <c r="AD812" s="100"/>
      <c r="AE812" s="100"/>
      <c r="AF812" s="100"/>
      <c r="AG812" s="100"/>
      <c r="AM812" s="102"/>
      <c r="AN812" s="102"/>
      <c r="AR812" s="119"/>
      <c r="AS812" s="103"/>
    </row>
    <row r="813">
      <c r="A813" s="168"/>
      <c r="B813" s="100" t="str">
        <f t="array" ref="B813">IFERROR( INDEX('POR Config List'!A:A,MATCH(G813,'POR Config List'!D:D,0)),"")</f>
        <v/>
      </c>
      <c r="C813" s="101" t="str">
        <f t="array" ref="C813">IFERROR(INDEX('label approval artwork'!E:E,MATCH(G813,'label approval artwork'!F:F,0),""),"")</f>
        <v/>
      </c>
      <c r="D813" s="102" t="str">
        <f t="shared" si="3"/>
        <v/>
      </c>
      <c r="E813" s="100" t="str">
        <f t="array" ref="E813">IF(ISBLANK(G813),"",INDEX('POR Config List'!K:K,MATCH(G813,'POR Config List'!D:D,0)))</f>
        <v/>
      </c>
      <c r="F813" s="100" t="str">
        <f t="array" ref="F813">IF(ISBLANK(G813),"",INDEX('POR Config List'!J:J,MATCH(G813,'POR Config List'!D:D,0)))</f>
        <v/>
      </c>
      <c r="G813" s="168"/>
      <c r="H813" s="104" t="str">
        <f t="array" ref="H813">IF(ISBLANK(G813),"",INDEX('MP SKUs'!G:G,MATCH(G813,'MP SKUs'!A:A,0)))</f>
        <v/>
      </c>
      <c r="I813" s="105" t="str">
        <f t="array" ref="I813">IF(ISBLANK(G813),"",INDEX('POR Config List'!O:O,MATCH(G813,'POR Config List'!D:D,0)))</f>
        <v/>
      </c>
      <c r="J813" s="104" t="str">
        <f t="array" ref="J813">IF(ISBLANK(G813),"",INDEX('POR Config List'!H:H,MATCH(G813,'POR Config List'!D:D,0)))</f>
        <v/>
      </c>
      <c r="K813" s="105" t="str">
        <f t="array" ref="K813">IF(ISBLANK(G813),"",INDEX('POR Config List'!G:G,MATCH(G813,'POR Config List'!D:D,0)))</f>
        <v/>
      </c>
      <c r="L813" s="105"/>
      <c r="M813" s="105" t="str">
        <f t="array" ref="M813">IF(ISBLANK(G813),"",INDEX('label approval artwork'!Q:Q,MATCH( G813,'label approval artwork'!F:F,0)))</f>
        <v/>
      </c>
      <c r="N813" s="169" t="str">
        <f t="shared" si="5"/>
        <v/>
      </c>
      <c r="O813" s="102" t="str">
        <f t="array" ref="O813">IF(ISBLANK(G813),"",INDEX('POR Config List'!C:C,MATCH(G813,'POR Config List'!D:D,0)))</f>
        <v/>
      </c>
      <c r="P813" s="105" t="str">
        <f t="shared" si="4"/>
        <v/>
      </c>
      <c r="Q813" s="105" t="str">
        <f t="array" ref="Q813">IF(ISBLANK(G813),"",INDEX('label approval artwork'!J:J,MATCH( G813,'label approval artwork'!F:F,0)))</f>
        <v/>
      </c>
      <c r="R813" s="105" t="str">
        <f t="array" ref="R813">IFERROR( IF(P813&lt;&gt;"EMA",INDEX('label approval artwork'!H:H,MATCH(G813,'label approval artwork'!F:F,0),"")),"")</f>
        <v/>
      </c>
      <c r="S813" s="105"/>
      <c r="T813" s="105" t="str">
        <f t="array" ref="T813">IF(ISBLANK(G813),"",INDEX('POR Config List'!I:I,MATCH(G813,'POR Config List'!D:D,0)))</f>
        <v/>
      </c>
      <c r="AA813" s="100" t="str">
        <f t="array" ref="AA813">IF(ISBLANK(G813),"",INDEX('POR Config List'!E:E,MATCH(G813,'POR Config List'!D:D,0)))</f>
        <v/>
      </c>
      <c r="AC813" s="105"/>
      <c r="AD813" s="100"/>
      <c r="AE813" s="100"/>
      <c r="AF813" s="100"/>
      <c r="AG813" s="100"/>
      <c r="AM813" s="102"/>
      <c r="AN813" s="102"/>
      <c r="AR813" s="119"/>
      <c r="AS813" s="103"/>
    </row>
    <row r="814">
      <c r="A814" s="168"/>
      <c r="B814" s="100" t="str">
        <f t="array" ref="B814">IFERROR( INDEX('POR Config List'!A:A,MATCH(G814,'POR Config List'!D:D,0)),"")</f>
        <v/>
      </c>
      <c r="C814" s="101" t="str">
        <f t="array" ref="C814">IFERROR(INDEX('label approval artwork'!E:E,MATCH(G814,'label approval artwork'!F:F,0),""),"")</f>
        <v/>
      </c>
      <c r="D814" s="102" t="str">
        <f t="shared" si="3"/>
        <v/>
      </c>
      <c r="E814" s="100" t="str">
        <f t="array" ref="E814">IF(ISBLANK(G814),"",INDEX('POR Config List'!K:K,MATCH(G814,'POR Config List'!D:D,0)))</f>
        <v/>
      </c>
      <c r="F814" s="100" t="str">
        <f t="array" ref="F814">IF(ISBLANK(G814),"",INDEX('POR Config List'!J:J,MATCH(G814,'POR Config List'!D:D,0)))</f>
        <v/>
      </c>
      <c r="G814" s="168"/>
      <c r="H814" s="104" t="str">
        <f t="array" ref="H814">IF(ISBLANK(G814),"",INDEX('MP SKUs'!G:G,MATCH(G814,'MP SKUs'!A:A,0)))</f>
        <v/>
      </c>
      <c r="I814" s="105" t="str">
        <f t="array" ref="I814">IF(ISBLANK(G814),"",INDEX('POR Config List'!O:O,MATCH(G814,'POR Config List'!D:D,0)))</f>
        <v/>
      </c>
      <c r="J814" s="104" t="str">
        <f t="array" ref="J814">IF(ISBLANK(G814),"",INDEX('POR Config List'!H:H,MATCH(G814,'POR Config List'!D:D,0)))</f>
        <v/>
      </c>
      <c r="K814" s="105" t="str">
        <f t="array" ref="K814">IF(ISBLANK(G814),"",INDEX('POR Config List'!G:G,MATCH(G814,'POR Config List'!D:D,0)))</f>
        <v/>
      </c>
      <c r="L814" s="105"/>
      <c r="M814" s="105" t="str">
        <f t="array" ref="M814">IF(ISBLANK(G814),"",INDEX('label approval artwork'!Q:Q,MATCH( G814,'label approval artwork'!F:F,0)))</f>
        <v/>
      </c>
      <c r="N814" s="169" t="str">
        <f t="shared" si="5"/>
        <v/>
      </c>
      <c r="O814" s="102" t="str">
        <f t="array" ref="O814">IF(ISBLANK(G814),"",INDEX('POR Config List'!C:C,MATCH(G814,'POR Config List'!D:D,0)))</f>
        <v/>
      </c>
      <c r="P814" s="105" t="str">
        <f t="shared" si="4"/>
        <v/>
      </c>
      <c r="Q814" s="105" t="str">
        <f t="array" ref="Q814">IF(ISBLANK(G814),"",INDEX('label approval artwork'!J:J,MATCH( G814,'label approval artwork'!F:F,0)))</f>
        <v/>
      </c>
      <c r="R814" s="105" t="str">
        <f t="array" ref="R814">IFERROR( IF(P814&lt;&gt;"EMA",INDEX('label approval artwork'!H:H,MATCH(G814,'label approval artwork'!F:F,0),"")),"")</f>
        <v/>
      </c>
      <c r="S814" s="105"/>
      <c r="T814" s="105" t="str">
        <f t="array" ref="T814">IF(ISBLANK(G814),"",INDEX('POR Config List'!I:I,MATCH(G814,'POR Config List'!D:D,0)))</f>
        <v/>
      </c>
      <c r="AA814" s="100" t="str">
        <f t="array" ref="AA814">IF(ISBLANK(G814),"",INDEX('POR Config List'!E:E,MATCH(G814,'POR Config List'!D:D,0)))</f>
        <v/>
      </c>
      <c r="AC814" s="105"/>
      <c r="AD814" s="100"/>
      <c r="AE814" s="100"/>
      <c r="AF814" s="100"/>
      <c r="AG814" s="100"/>
      <c r="AM814" s="102"/>
      <c r="AN814" s="102"/>
      <c r="AR814" s="119"/>
      <c r="AS814" s="103"/>
    </row>
    <row r="815">
      <c r="A815" s="168"/>
      <c r="B815" s="100" t="str">
        <f t="array" ref="B815">IFERROR( INDEX('POR Config List'!A:A,MATCH(G815,'POR Config List'!D:D,0)),"")</f>
        <v/>
      </c>
      <c r="C815" s="101" t="str">
        <f t="array" ref="C815">IFERROR(INDEX('label approval artwork'!E:E,MATCH(G815,'label approval artwork'!F:F,0),""),"")</f>
        <v/>
      </c>
      <c r="D815" s="102" t="str">
        <f t="shared" si="3"/>
        <v/>
      </c>
      <c r="E815" s="100" t="str">
        <f t="array" ref="E815">IF(ISBLANK(G815),"",INDEX('POR Config List'!K:K,MATCH(G815,'POR Config List'!D:D,0)))</f>
        <v/>
      </c>
      <c r="F815" s="100" t="str">
        <f t="array" ref="F815">IF(ISBLANK(G815),"",INDEX('POR Config List'!J:J,MATCH(G815,'POR Config List'!D:D,0)))</f>
        <v/>
      </c>
      <c r="G815" s="168"/>
      <c r="H815" s="104" t="str">
        <f t="array" ref="H815">IF(ISBLANK(G815),"",INDEX('MP SKUs'!G:G,MATCH(G815,'MP SKUs'!A:A,0)))</f>
        <v/>
      </c>
      <c r="I815" s="105" t="str">
        <f t="array" ref="I815">IF(ISBLANK(G815),"",INDEX('POR Config List'!O:O,MATCH(G815,'POR Config List'!D:D,0)))</f>
        <v/>
      </c>
      <c r="J815" s="104" t="str">
        <f t="array" ref="J815">IF(ISBLANK(G815),"",INDEX('POR Config List'!H:H,MATCH(G815,'POR Config List'!D:D,0)))</f>
        <v/>
      </c>
      <c r="K815" s="105" t="str">
        <f t="array" ref="K815">IF(ISBLANK(G815),"",INDEX('POR Config List'!G:G,MATCH(G815,'POR Config List'!D:D,0)))</f>
        <v/>
      </c>
      <c r="L815" s="105"/>
      <c r="M815" s="105" t="str">
        <f t="array" ref="M815">IF(ISBLANK(G815),"",INDEX('label approval artwork'!Q:Q,MATCH( G815,'label approval artwork'!F:F,0)))</f>
        <v/>
      </c>
      <c r="N815" s="169" t="str">
        <f t="shared" si="5"/>
        <v/>
      </c>
      <c r="O815" s="102" t="str">
        <f t="array" ref="O815">IF(ISBLANK(G815),"",INDEX('POR Config List'!C:C,MATCH(G815,'POR Config List'!D:D,0)))</f>
        <v/>
      </c>
      <c r="P815" s="105" t="str">
        <f t="shared" si="4"/>
        <v/>
      </c>
      <c r="Q815" s="105" t="str">
        <f t="array" ref="Q815">IF(ISBLANK(G815),"",INDEX('label approval artwork'!J:J,MATCH( G815,'label approval artwork'!F:F,0)))</f>
        <v/>
      </c>
      <c r="R815" s="105" t="str">
        <f t="array" ref="R815">IFERROR( IF(P815&lt;&gt;"EMA",INDEX('label approval artwork'!H:H,MATCH(G815,'label approval artwork'!F:F,0),"")),"")</f>
        <v/>
      </c>
      <c r="S815" s="105"/>
      <c r="T815" s="105" t="str">
        <f t="array" ref="T815">IF(ISBLANK(G815),"",INDEX('POR Config List'!I:I,MATCH(G815,'POR Config List'!D:D,0)))</f>
        <v/>
      </c>
      <c r="AA815" s="100" t="str">
        <f t="array" ref="AA815">IF(ISBLANK(G815),"",INDEX('POR Config List'!E:E,MATCH(G815,'POR Config List'!D:D,0)))</f>
        <v/>
      </c>
      <c r="AC815" s="105"/>
      <c r="AD815" s="100"/>
      <c r="AE815" s="100"/>
      <c r="AF815" s="100"/>
      <c r="AG815" s="100"/>
      <c r="AM815" s="102"/>
      <c r="AN815" s="102"/>
      <c r="AR815" s="119"/>
      <c r="AS815" s="103"/>
    </row>
    <row r="816">
      <c r="A816" s="168"/>
      <c r="B816" s="100" t="str">
        <f t="array" ref="B816">IFERROR( INDEX('POR Config List'!A:A,MATCH(G816,'POR Config List'!D:D,0)),"")</f>
        <v/>
      </c>
      <c r="C816" s="101" t="str">
        <f t="array" ref="C816">IFERROR(INDEX('label approval artwork'!E:E,MATCH(G816,'label approval artwork'!F:F,0),""),"")</f>
        <v/>
      </c>
      <c r="D816" s="102" t="str">
        <f t="shared" si="3"/>
        <v/>
      </c>
      <c r="E816" s="100" t="str">
        <f t="array" ref="E816">IF(ISBLANK(G816),"",INDEX('POR Config List'!K:K,MATCH(G816,'POR Config List'!D:D,0)))</f>
        <v/>
      </c>
      <c r="F816" s="100" t="str">
        <f t="array" ref="F816">IF(ISBLANK(G816),"",INDEX('POR Config List'!J:J,MATCH(G816,'POR Config List'!D:D,0)))</f>
        <v/>
      </c>
      <c r="G816" s="168"/>
      <c r="H816" s="104" t="str">
        <f t="array" ref="H816">IF(ISBLANK(G816),"",INDEX('MP SKUs'!G:G,MATCH(G816,'MP SKUs'!A:A,0)))</f>
        <v/>
      </c>
      <c r="I816" s="105" t="str">
        <f t="array" ref="I816">IF(ISBLANK(G816),"",INDEX('POR Config List'!O:O,MATCH(G816,'POR Config List'!D:D,0)))</f>
        <v/>
      </c>
      <c r="J816" s="104" t="str">
        <f t="array" ref="J816">IF(ISBLANK(G816),"",INDEX('POR Config List'!H:H,MATCH(G816,'POR Config List'!D:D,0)))</f>
        <v/>
      </c>
      <c r="K816" s="105" t="str">
        <f t="array" ref="K816">IF(ISBLANK(G816),"",INDEX('POR Config List'!G:G,MATCH(G816,'POR Config List'!D:D,0)))</f>
        <v/>
      </c>
      <c r="L816" s="105"/>
      <c r="M816" s="105" t="str">
        <f t="array" ref="M816">IF(ISBLANK(G816),"",INDEX('label approval artwork'!Q:Q,MATCH( G816,'label approval artwork'!F:F,0)))</f>
        <v/>
      </c>
      <c r="N816" s="169" t="str">
        <f t="shared" si="5"/>
        <v/>
      </c>
      <c r="O816" s="102" t="str">
        <f t="array" ref="O816">IF(ISBLANK(G816),"",INDEX('POR Config List'!C:C,MATCH(G816,'POR Config List'!D:D,0)))</f>
        <v/>
      </c>
      <c r="P816" s="105" t="str">
        <f t="shared" si="4"/>
        <v/>
      </c>
      <c r="Q816" s="105" t="str">
        <f t="array" ref="Q816">IF(ISBLANK(G816),"",INDEX('label approval artwork'!J:J,MATCH( G816,'label approval artwork'!F:F,0)))</f>
        <v/>
      </c>
      <c r="R816" s="105" t="str">
        <f t="array" ref="R816">IFERROR( IF(P816&lt;&gt;"EMA",INDEX('label approval artwork'!H:H,MATCH(G816,'label approval artwork'!F:F,0),"")),"")</f>
        <v/>
      </c>
      <c r="S816" s="105"/>
      <c r="T816" s="105" t="str">
        <f t="array" ref="T816">IF(ISBLANK(G816),"",INDEX('POR Config List'!I:I,MATCH(G816,'POR Config List'!D:D,0)))</f>
        <v/>
      </c>
      <c r="AA816" s="100" t="str">
        <f t="array" ref="AA816">IF(ISBLANK(G816),"",INDEX('POR Config List'!E:E,MATCH(G816,'POR Config List'!D:D,0)))</f>
        <v/>
      </c>
      <c r="AC816" s="105"/>
      <c r="AD816" s="100"/>
      <c r="AE816" s="100"/>
      <c r="AF816" s="100"/>
      <c r="AG816" s="100"/>
      <c r="AM816" s="102"/>
      <c r="AN816" s="102"/>
      <c r="AR816" s="119"/>
      <c r="AS816" s="103"/>
    </row>
    <row r="817">
      <c r="A817" s="168"/>
      <c r="B817" s="100" t="str">
        <f t="array" ref="B817">IFERROR( INDEX('POR Config List'!A:A,MATCH(G817,'POR Config List'!D:D,0)),"")</f>
        <v/>
      </c>
      <c r="C817" s="101" t="str">
        <f t="array" ref="C817">IFERROR(INDEX('label approval artwork'!E:E,MATCH(G817,'label approval artwork'!F:F,0),""),"")</f>
        <v/>
      </c>
      <c r="D817" s="102" t="str">
        <f t="shared" si="3"/>
        <v/>
      </c>
      <c r="E817" s="100" t="str">
        <f t="array" ref="E817">IF(ISBLANK(G817),"",INDEX('POR Config List'!K:K,MATCH(G817,'POR Config List'!D:D,0)))</f>
        <v/>
      </c>
      <c r="F817" s="100" t="str">
        <f t="array" ref="F817">IF(ISBLANK(G817),"",INDEX('POR Config List'!J:J,MATCH(G817,'POR Config List'!D:D,0)))</f>
        <v/>
      </c>
      <c r="G817" s="168"/>
      <c r="H817" s="104" t="str">
        <f t="array" ref="H817">IF(ISBLANK(G817),"",INDEX('MP SKUs'!G:G,MATCH(G817,'MP SKUs'!A:A,0)))</f>
        <v/>
      </c>
      <c r="I817" s="105" t="str">
        <f t="array" ref="I817">IF(ISBLANK(G817),"",INDEX('POR Config List'!O:O,MATCH(G817,'POR Config List'!D:D,0)))</f>
        <v/>
      </c>
      <c r="J817" s="104" t="str">
        <f t="array" ref="J817">IF(ISBLANK(G817),"",INDEX('POR Config List'!H:H,MATCH(G817,'POR Config List'!D:D,0)))</f>
        <v/>
      </c>
      <c r="K817" s="105" t="str">
        <f t="array" ref="K817">IF(ISBLANK(G817),"",INDEX('POR Config List'!G:G,MATCH(G817,'POR Config List'!D:D,0)))</f>
        <v/>
      </c>
      <c r="L817" s="105"/>
      <c r="M817" s="105" t="str">
        <f t="array" ref="M817">IF(ISBLANK(G817),"",INDEX('label approval artwork'!Q:Q,MATCH( G817,'label approval artwork'!F:F,0)))</f>
        <v/>
      </c>
      <c r="N817" s="169" t="str">
        <f t="shared" si="5"/>
        <v/>
      </c>
      <c r="O817" s="102" t="str">
        <f t="array" ref="O817">IF(ISBLANK(G817),"",INDEX('POR Config List'!C:C,MATCH(G817,'POR Config List'!D:D,0)))</f>
        <v/>
      </c>
      <c r="P817" s="105" t="str">
        <f t="shared" si="4"/>
        <v/>
      </c>
      <c r="Q817" s="105" t="str">
        <f t="array" ref="Q817">IF(ISBLANK(G817),"",INDEX('label approval artwork'!J:J,MATCH( G817,'label approval artwork'!F:F,0)))</f>
        <v/>
      </c>
      <c r="R817" s="105" t="str">
        <f t="array" ref="R817">IFERROR( IF(P817&lt;&gt;"EMA",INDEX('label approval artwork'!H:H,MATCH(G817,'label approval artwork'!F:F,0),"")),"")</f>
        <v/>
      </c>
      <c r="S817" s="105"/>
      <c r="T817" s="105" t="str">
        <f t="array" ref="T817">IF(ISBLANK(G817),"",INDEX('POR Config List'!I:I,MATCH(G817,'POR Config List'!D:D,0)))</f>
        <v/>
      </c>
      <c r="AA817" s="100" t="str">
        <f t="array" ref="AA817">IF(ISBLANK(G817),"",INDEX('POR Config List'!E:E,MATCH(G817,'POR Config List'!D:D,0)))</f>
        <v/>
      </c>
      <c r="AC817" s="105"/>
      <c r="AD817" s="100"/>
      <c r="AE817" s="100"/>
      <c r="AF817" s="100"/>
      <c r="AG817" s="100"/>
      <c r="AM817" s="102"/>
      <c r="AN817" s="102"/>
      <c r="AR817" s="119"/>
      <c r="AS817" s="103"/>
    </row>
    <row r="818">
      <c r="A818" s="168"/>
      <c r="B818" s="100" t="str">
        <f t="array" ref="B818">IFERROR( INDEX('POR Config List'!A:A,MATCH(G818,'POR Config List'!D:D,0)),"")</f>
        <v/>
      </c>
      <c r="C818" s="101" t="str">
        <f t="array" ref="C818">IFERROR(INDEX('label approval artwork'!E:E,MATCH(G818,'label approval artwork'!F:F,0),""),"")</f>
        <v/>
      </c>
      <c r="D818" s="102" t="str">
        <f t="shared" si="3"/>
        <v/>
      </c>
      <c r="E818" s="100" t="str">
        <f t="array" ref="E818">IF(ISBLANK(G818),"",INDEX('POR Config List'!K:K,MATCH(G818,'POR Config List'!D:D,0)))</f>
        <v/>
      </c>
      <c r="F818" s="100" t="str">
        <f t="array" ref="F818">IF(ISBLANK(G818),"",INDEX('POR Config List'!J:J,MATCH(G818,'POR Config List'!D:D,0)))</f>
        <v/>
      </c>
      <c r="G818" s="168"/>
      <c r="H818" s="104" t="str">
        <f t="array" ref="H818">IF(ISBLANK(G818),"",INDEX('MP SKUs'!G:G,MATCH(G818,'MP SKUs'!A:A,0)))</f>
        <v/>
      </c>
      <c r="I818" s="105" t="str">
        <f t="array" ref="I818">IF(ISBLANK(G818),"",INDEX('POR Config List'!O:O,MATCH(G818,'POR Config List'!D:D,0)))</f>
        <v/>
      </c>
      <c r="J818" s="104" t="str">
        <f t="array" ref="J818">IF(ISBLANK(G818),"",INDEX('POR Config List'!H:H,MATCH(G818,'POR Config List'!D:D,0)))</f>
        <v/>
      </c>
      <c r="K818" s="105" t="str">
        <f t="array" ref="K818">IF(ISBLANK(G818),"",INDEX('POR Config List'!G:G,MATCH(G818,'POR Config List'!D:D,0)))</f>
        <v/>
      </c>
      <c r="L818" s="105"/>
      <c r="M818" s="105" t="str">
        <f t="array" ref="M818">IF(ISBLANK(G818),"",INDEX('label approval artwork'!Q:Q,MATCH( G818,'label approval artwork'!F:F,0)))</f>
        <v/>
      </c>
      <c r="N818" s="169" t="str">
        <f t="shared" si="5"/>
        <v/>
      </c>
      <c r="O818" s="102" t="str">
        <f t="array" ref="O818">IF(ISBLANK(G818),"",INDEX('POR Config List'!C:C,MATCH(G818,'POR Config List'!D:D,0)))</f>
        <v/>
      </c>
      <c r="P818" s="105" t="str">
        <f t="shared" si="4"/>
        <v/>
      </c>
      <c r="Q818" s="105" t="str">
        <f t="array" ref="Q818">IF(ISBLANK(G818),"",INDEX('label approval artwork'!J:J,MATCH( G818,'label approval artwork'!F:F,0)))</f>
        <v/>
      </c>
      <c r="R818" s="105" t="str">
        <f t="array" ref="R818">IFERROR( IF(P818&lt;&gt;"EMA",INDEX('label approval artwork'!H:H,MATCH(G818,'label approval artwork'!F:F,0),"")),"")</f>
        <v/>
      </c>
      <c r="S818" s="105"/>
      <c r="T818" s="105" t="str">
        <f t="array" ref="T818">IF(ISBLANK(G818),"",INDEX('POR Config List'!I:I,MATCH(G818,'POR Config List'!D:D,0)))</f>
        <v/>
      </c>
      <c r="AA818" s="100" t="str">
        <f t="array" ref="AA818">IF(ISBLANK(G818),"",INDEX('POR Config List'!E:E,MATCH(G818,'POR Config List'!D:D,0)))</f>
        <v/>
      </c>
      <c r="AC818" s="105"/>
      <c r="AD818" s="100"/>
      <c r="AE818" s="100"/>
      <c r="AF818" s="100"/>
      <c r="AG818" s="100"/>
      <c r="AM818" s="102"/>
      <c r="AN818" s="102"/>
      <c r="AR818" s="119"/>
      <c r="AS818" s="103"/>
    </row>
    <row r="819">
      <c r="A819" s="168"/>
      <c r="B819" s="100" t="str">
        <f t="array" ref="B819">IFERROR( INDEX('POR Config List'!A:A,MATCH(G819,'POR Config List'!D:D,0)),"")</f>
        <v/>
      </c>
      <c r="C819" s="101" t="str">
        <f t="array" ref="C819">IFERROR(INDEX('label approval artwork'!E:E,MATCH(G819,'label approval artwork'!F:F,0),""),"")</f>
        <v/>
      </c>
      <c r="D819" s="102" t="str">
        <f t="shared" si="3"/>
        <v/>
      </c>
      <c r="E819" s="100" t="str">
        <f t="array" ref="E819">IF(ISBLANK(G819),"",INDEX('POR Config List'!K:K,MATCH(G819,'POR Config List'!D:D,0)))</f>
        <v/>
      </c>
      <c r="F819" s="100" t="str">
        <f t="array" ref="F819">IF(ISBLANK(G819),"",INDEX('POR Config List'!J:J,MATCH(G819,'POR Config List'!D:D,0)))</f>
        <v/>
      </c>
      <c r="G819" s="168"/>
      <c r="H819" s="104" t="str">
        <f t="array" ref="H819">IF(ISBLANK(G819),"",INDEX('MP SKUs'!G:G,MATCH(G819,'MP SKUs'!A:A,0)))</f>
        <v/>
      </c>
      <c r="I819" s="105" t="str">
        <f t="array" ref="I819">IF(ISBLANK(G819),"",INDEX('POR Config List'!O:O,MATCH(G819,'POR Config List'!D:D,0)))</f>
        <v/>
      </c>
      <c r="J819" s="104" t="str">
        <f t="array" ref="J819">IF(ISBLANK(G819),"",INDEX('POR Config List'!H:H,MATCH(G819,'POR Config List'!D:D,0)))</f>
        <v/>
      </c>
      <c r="K819" s="105" t="str">
        <f t="array" ref="K819">IF(ISBLANK(G819),"",INDEX('POR Config List'!G:G,MATCH(G819,'POR Config List'!D:D,0)))</f>
        <v/>
      </c>
      <c r="L819" s="105"/>
      <c r="M819" s="105" t="str">
        <f t="array" ref="M819">IF(ISBLANK(G819),"",INDEX('label approval artwork'!Q:Q,MATCH( G819,'label approval artwork'!F:F,0)))</f>
        <v/>
      </c>
      <c r="N819" s="169" t="str">
        <f t="shared" si="5"/>
        <v/>
      </c>
      <c r="O819" s="102" t="str">
        <f t="array" ref="O819">IF(ISBLANK(G819),"",INDEX('POR Config List'!C:C,MATCH(G819,'POR Config List'!D:D,0)))</f>
        <v/>
      </c>
      <c r="P819" s="105" t="str">
        <f t="shared" si="4"/>
        <v/>
      </c>
      <c r="Q819" s="105" t="str">
        <f t="array" ref="Q819">IF(ISBLANK(G819),"",INDEX('label approval artwork'!J:J,MATCH( G819,'label approval artwork'!F:F,0)))</f>
        <v/>
      </c>
      <c r="R819" s="105" t="str">
        <f t="array" ref="R819">IFERROR( IF(P819&lt;&gt;"EMA",INDEX('label approval artwork'!H:H,MATCH(G819,'label approval artwork'!F:F,0),"")),"")</f>
        <v/>
      </c>
      <c r="S819" s="105"/>
      <c r="T819" s="105" t="str">
        <f t="array" ref="T819">IF(ISBLANK(G819),"",INDEX('POR Config List'!I:I,MATCH(G819,'POR Config List'!D:D,0)))</f>
        <v/>
      </c>
      <c r="AA819" s="100" t="str">
        <f t="array" ref="AA819">IF(ISBLANK(G819),"",INDEX('POR Config List'!E:E,MATCH(G819,'POR Config List'!D:D,0)))</f>
        <v/>
      </c>
      <c r="AC819" s="105"/>
      <c r="AD819" s="100"/>
      <c r="AE819" s="100"/>
      <c r="AF819" s="100"/>
      <c r="AG819" s="100"/>
      <c r="AM819" s="102"/>
      <c r="AN819" s="102"/>
      <c r="AR819" s="119"/>
      <c r="AS819" s="103"/>
    </row>
    <row r="820">
      <c r="A820" s="168"/>
      <c r="B820" s="100" t="str">
        <f t="array" ref="B820">IFERROR( INDEX('POR Config List'!A:A,MATCH(G820,'POR Config List'!D:D,0)),"")</f>
        <v/>
      </c>
      <c r="C820" s="101" t="str">
        <f t="array" ref="C820">IFERROR(INDEX('label approval artwork'!E:E,MATCH(G820,'label approval artwork'!F:F,0),""),"")</f>
        <v/>
      </c>
      <c r="D820" s="102" t="str">
        <f t="shared" si="3"/>
        <v/>
      </c>
      <c r="E820" s="100" t="str">
        <f t="array" ref="E820">IF(ISBLANK(G820),"",INDEX('POR Config List'!K:K,MATCH(G820,'POR Config List'!D:D,0)))</f>
        <v/>
      </c>
      <c r="F820" s="100" t="str">
        <f t="array" ref="F820">IF(ISBLANK(G820),"",INDEX('POR Config List'!J:J,MATCH(G820,'POR Config List'!D:D,0)))</f>
        <v/>
      </c>
      <c r="G820" s="168"/>
      <c r="H820" s="104" t="str">
        <f t="array" ref="H820">IF(ISBLANK(G820),"",INDEX('MP SKUs'!G:G,MATCH(G820,'MP SKUs'!A:A,0)))</f>
        <v/>
      </c>
      <c r="I820" s="105" t="str">
        <f t="array" ref="I820">IF(ISBLANK(G820),"",INDEX('POR Config List'!O:O,MATCH(G820,'POR Config List'!D:D,0)))</f>
        <v/>
      </c>
      <c r="J820" s="104" t="str">
        <f t="array" ref="J820">IF(ISBLANK(G820),"",INDEX('POR Config List'!H:H,MATCH(G820,'POR Config List'!D:D,0)))</f>
        <v/>
      </c>
      <c r="K820" s="105" t="str">
        <f t="array" ref="K820">IF(ISBLANK(G820),"",INDEX('POR Config List'!G:G,MATCH(G820,'POR Config List'!D:D,0)))</f>
        <v/>
      </c>
      <c r="L820" s="105"/>
      <c r="M820" s="105" t="str">
        <f t="array" ref="M820">IF(ISBLANK(G820),"",INDEX('label approval artwork'!Q:Q,MATCH( G820,'label approval artwork'!F:F,0)))</f>
        <v/>
      </c>
      <c r="N820" s="169" t="str">
        <f t="shared" si="5"/>
        <v/>
      </c>
      <c r="O820" s="102" t="str">
        <f t="array" ref="O820">IF(ISBLANK(G820),"",INDEX('POR Config List'!C:C,MATCH(G820,'POR Config List'!D:D,0)))</f>
        <v/>
      </c>
      <c r="P820" s="105" t="str">
        <f t="shared" si="4"/>
        <v/>
      </c>
      <c r="Q820" s="105" t="str">
        <f t="array" ref="Q820">IF(ISBLANK(G820),"",INDEX('label approval artwork'!J:J,MATCH( G820,'label approval artwork'!F:F,0)))</f>
        <v/>
      </c>
      <c r="R820" s="105" t="str">
        <f t="array" ref="R820">IFERROR( IF(P820&lt;&gt;"EMA",INDEX('label approval artwork'!H:H,MATCH(G820,'label approval artwork'!F:F,0),"")),"")</f>
        <v/>
      </c>
      <c r="S820" s="105"/>
      <c r="T820" s="105" t="str">
        <f t="array" ref="T820">IF(ISBLANK(G820),"",INDEX('POR Config List'!I:I,MATCH(G820,'POR Config List'!D:D,0)))</f>
        <v/>
      </c>
      <c r="AA820" s="100" t="str">
        <f t="array" ref="AA820">IF(ISBLANK(G820),"",INDEX('POR Config List'!E:E,MATCH(G820,'POR Config List'!D:D,0)))</f>
        <v/>
      </c>
      <c r="AC820" s="105"/>
      <c r="AD820" s="100"/>
      <c r="AE820" s="100"/>
      <c r="AF820" s="100"/>
      <c r="AG820" s="100"/>
      <c r="AM820" s="102"/>
      <c r="AN820" s="102"/>
      <c r="AR820" s="119"/>
      <c r="AS820" s="103"/>
    </row>
    <row r="821">
      <c r="A821" s="168"/>
      <c r="B821" s="100" t="str">
        <f t="array" ref="B821">IFERROR( INDEX('POR Config List'!A:A,MATCH(G821,'POR Config List'!D:D,0)),"")</f>
        <v/>
      </c>
      <c r="C821" s="101" t="str">
        <f t="array" ref="C821">IFERROR(INDEX('label approval artwork'!E:E,MATCH(G821,'label approval artwork'!F:F,0),""),"")</f>
        <v/>
      </c>
      <c r="D821" s="102" t="str">
        <f t="shared" si="3"/>
        <v/>
      </c>
      <c r="E821" s="100" t="str">
        <f t="array" ref="E821">IF(ISBLANK(G821),"",INDEX('POR Config List'!K:K,MATCH(G821,'POR Config List'!D:D,0)))</f>
        <v/>
      </c>
      <c r="F821" s="100" t="str">
        <f t="array" ref="F821">IF(ISBLANK(G821),"",INDEX('POR Config List'!J:J,MATCH(G821,'POR Config List'!D:D,0)))</f>
        <v/>
      </c>
      <c r="G821" s="168"/>
      <c r="H821" s="104" t="str">
        <f t="array" ref="H821">IF(ISBLANK(G821),"",INDEX('MP SKUs'!G:G,MATCH(G821,'MP SKUs'!A:A,0)))</f>
        <v/>
      </c>
      <c r="I821" s="105" t="str">
        <f t="array" ref="I821">IF(ISBLANK(G821),"",INDEX('POR Config List'!O:O,MATCH(G821,'POR Config List'!D:D,0)))</f>
        <v/>
      </c>
      <c r="J821" s="104" t="str">
        <f t="array" ref="J821">IF(ISBLANK(G821),"",INDEX('POR Config List'!H:H,MATCH(G821,'POR Config List'!D:D,0)))</f>
        <v/>
      </c>
      <c r="K821" s="105" t="str">
        <f t="array" ref="K821">IF(ISBLANK(G821),"",INDEX('POR Config List'!G:G,MATCH(G821,'POR Config List'!D:D,0)))</f>
        <v/>
      </c>
      <c r="L821" s="105"/>
      <c r="M821" s="105" t="str">
        <f t="array" ref="M821">IF(ISBLANK(G821),"",INDEX('label approval artwork'!Q:Q,MATCH( G821,'label approval artwork'!F:F,0)))</f>
        <v/>
      </c>
      <c r="N821" s="169" t="str">
        <f t="shared" si="5"/>
        <v/>
      </c>
      <c r="O821" s="102" t="str">
        <f t="array" ref="O821">IF(ISBLANK(G821),"",INDEX('POR Config List'!C:C,MATCH(G821,'POR Config List'!D:D,0)))</f>
        <v/>
      </c>
      <c r="P821" s="105" t="str">
        <f t="shared" si="4"/>
        <v/>
      </c>
      <c r="Q821" s="105" t="str">
        <f t="array" ref="Q821">IF(ISBLANK(G821),"",INDEX('label approval artwork'!J:J,MATCH( G821,'label approval artwork'!F:F,0)))</f>
        <v/>
      </c>
      <c r="R821" s="105" t="str">
        <f t="array" ref="R821">IFERROR( IF(P821&lt;&gt;"EMA",INDEX('label approval artwork'!H:H,MATCH(G821,'label approval artwork'!F:F,0),"")),"")</f>
        <v/>
      </c>
      <c r="S821" s="105"/>
      <c r="T821" s="105" t="str">
        <f t="array" ref="T821">IF(ISBLANK(G821),"",INDEX('POR Config List'!I:I,MATCH(G821,'POR Config List'!D:D,0)))</f>
        <v/>
      </c>
      <c r="AA821" s="100" t="str">
        <f t="array" ref="AA821">IF(ISBLANK(G821),"",INDEX('POR Config List'!E:E,MATCH(G821,'POR Config List'!D:D,0)))</f>
        <v/>
      </c>
      <c r="AC821" s="105"/>
      <c r="AD821" s="100"/>
      <c r="AE821" s="100"/>
      <c r="AF821" s="100"/>
      <c r="AG821" s="100"/>
      <c r="AM821" s="102"/>
      <c r="AN821" s="102"/>
      <c r="AR821" s="119"/>
      <c r="AS821" s="103"/>
    </row>
    <row r="822">
      <c r="A822" s="168"/>
      <c r="B822" s="100" t="str">
        <f t="array" ref="B822">IFERROR( INDEX('POR Config List'!A:A,MATCH(G822,'POR Config List'!D:D,0)),"")</f>
        <v/>
      </c>
      <c r="C822" s="101" t="str">
        <f t="array" ref="C822">IFERROR(INDEX('label approval artwork'!E:E,MATCH(G822,'label approval artwork'!F:F,0),""),"")</f>
        <v/>
      </c>
      <c r="D822" s="102" t="str">
        <f t="shared" si="3"/>
        <v/>
      </c>
      <c r="E822" s="100" t="str">
        <f t="array" ref="E822">IF(ISBLANK(G822),"",INDEX('POR Config List'!K:K,MATCH(G822,'POR Config List'!D:D,0)))</f>
        <v/>
      </c>
      <c r="F822" s="100" t="str">
        <f t="array" ref="F822">IF(ISBLANK(G822),"",INDEX('POR Config List'!J:J,MATCH(G822,'POR Config List'!D:D,0)))</f>
        <v/>
      </c>
      <c r="G822" s="168"/>
      <c r="H822" s="104" t="str">
        <f t="array" ref="H822">IF(ISBLANK(G822),"",INDEX('MP SKUs'!G:G,MATCH(G822,'MP SKUs'!A:A,0)))</f>
        <v/>
      </c>
      <c r="I822" s="105" t="str">
        <f t="array" ref="I822">IF(ISBLANK(G822),"",INDEX('POR Config List'!O:O,MATCH(G822,'POR Config List'!D:D,0)))</f>
        <v/>
      </c>
      <c r="J822" s="104" t="str">
        <f t="array" ref="J822">IF(ISBLANK(G822),"",INDEX('POR Config List'!H:H,MATCH(G822,'POR Config List'!D:D,0)))</f>
        <v/>
      </c>
      <c r="K822" s="105" t="str">
        <f t="array" ref="K822">IF(ISBLANK(G822),"",INDEX('POR Config List'!G:G,MATCH(G822,'POR Config List'!D:D,0)))</f>
        <v/>
      </c>
      <c r="L822" s="105"/>
      <c r="M822" s="105" t="str">
        <f t="array" ref="M822">IF(ISBLANK(G822),"",INDEX('label approval artwork'!Q:Q,MATCH( G822,'label approval artwork'!F:F,0)))</f>
        <v/>
      </c>
      <c r="N822" s="169" t="str">
        <f t="shared" si="5"/>
        <v/>
      </c>
      <c r="O822" s="102" t="str">
        <f t="array" ref="O822">IF(ISBLANK(G822),"",INDEX('POR Config List'!C:C,MATCH(G822,'POR Config List'!D:D,0)))</f>
        <v/>
      </c>
      <c r="P822" s="105" t="str">
        <f t="shared" si="4"/>
        <v/>
      </c>
      <c r="Q822" s="105" t="str">
        <f t="array" ref="Q822">IF(ISBLANK(G822),"",INDEX('label approval artwork'!J:J,MATCH( G822,'label approval artwork'!F:F,0)))</f>
        <v/>
      </c>
      <c r="R822" s="105" t="str">
        <f t="array" ref="R822">IFERROR( IF(P822&lt;&gt;"EMA",INDEX('label approval artwork'!H:H,MATCH(G822,'label approval artwork'!F:F,0),"")),"")</f>
        <v/>
      </c>
      <c r="S822" s="105"/>
      <c r="T822" s="105" t="str">
        <f t="array" ref="T822">IF(ISBLANK(G822),"",INDEX('POR Config List'!I:I,MATCH(G822,'POR Config List'!D:D,0)))</f>
        <v/>
      </c>
      <c r="AA822" s="100" t="str">
        <f t="array" ref="AA822">IF(ISBLANK(G822),"",INDEX('POR Config List'!E:E,MATCH(G822,'POR Config List'!D:D,0)))</f>
        <v/>
      </c>
      <c r="AC822" s="105"/>
      <c r="AD822" s="100"/>
      <c r="AE822" s="100"/>
      <c r="AF822" s="100"/>
      <c r="AG822" s="100"/>
      <c r="AM822" s="102"/>
      <c r="AN822" s="102"/>
      <c r="AR822" s="119"/>
      <c r="AS822" s="103"/>
    </row>
    <row r="823">
      <c r="A823" s="168"/>
      <c r="B823" s="100" t="str">
        <f t="array" ref="B823">IFERROR( INDEX('POR Config List'!A:A,MATCH(G823,'POR Config List'!D:D,0)),"")</f>
        <v/>
      </c>
      <c r="C823" s="101" t="str">
        <f t="array" ref="C823">IFERROR(INDEX('label approval artwork'!E:E,MATCH(G823,'label approval artwork'!F:F,0),""),"")</f>
        <v/>
      </c>
      <c r="D823" s="102" t="str">
        <f t="shared" si="3"/>
        <v/>
      </c>
      <c r="E823" s="100" t="str">
        <f t="array" ref="E823">IF(ISBLANK(G823),"",INDEX('POR Config List'!K:K,MATCH(G823,'POR Config List'!D:D,0)))</f>
        <v/>
      </c>
      <c r="F823" s="100" t="str">
        <f t="array" ref="F823">IF(ISBLANK(G823),"",INDEX('POR Config List'!J:J,MATCH(G823,'POR Config List'!D:D,0)))</f>
        <v/>
      </c>
      <c r="G823" s="168"/>
      <c r="H823" s="104" t="str">
        <f t="array" ref="H823">IF(ISBLANK(G823),"",INDEX('MP SKUs'!G:G,MATCH(G823,'MP SKUs'!A:A,0)))</f>
        <v/>
      </c>
      <c r="I823" s="105" t="str">
        <f t="array" ref="I823">IF(ISBLANK(G823),"",INDEX('POR Config List'!O:O,MATCH(G823,'POR Config List'!D:D,0)))</f>
        <v/>
      </c>
      <c r="J823" s="104" t="str">
        <f t="array" ref="J823">IF(ISBLANK(G823),"",INDEX('POR Config List'!H:H,MATCH(G823,'POR Config List'!D:D,0)))</f>
        <v/>
      </c>
      <c r="K823" s="105" t="str">
        <f t="array" ref="K823">IF(ISBLANK(G823),"",INDEX('POR Config List'!G:G,MATCH(G823,'POR Config List'!D:D,0)))</f>
        <v/>
      </c>
      <c r="L823" s="105"/>
      <c r="M823" s="105" t="str">
        <f t="array" ref="M823">IF(ISBLANK(G823),"",INDEX('label approval artwork'!Q:Q,MATCH( G823,'label approval artwork'!F:F,0)))</f>
        <v/>
      </c>
      <c r="N823" s="169" t="str">
        <f t="shared" si="5"/>
        <v/>
      </c>
      <c r="O823" s="102" t="str">
        <f t="array" ref="O823">IF(ISBLANK(G823),"",INDEX('POR Config List'!C:C,MATCH(G823,'POR Config List'!D:D,0)))</f>
        <v/>
      </c>
      <c r="P823" s="105" t="str">
        <f t="shared" si="4"/>
        <v/>
      </c>
      <c r="Q823" s="105" t="str">
        <f t="array" ref="Q823">IF(ISBLANK(G823),"",INDEX('label approval artwork'!J:J,MATCH( G823,'label approval artwork'!F:F,0)))</f>
        <v/>
      </c>
      <c r="R823" s="105" t="str">
        <f t="array" ref="R823">IFERROR( IF(P823&lt;&gt;"EMA",INDEX('label approval artwork'!H:H,MATCH(G823,'label approval artwork'!F:F,0),"")),"")</f>
        <v/>
      </c>
      <c r="S823" s="105"/>
      <c r="T823" s="105" t="str">
        <f t="array" ref="T823">IF(ISBLANK(G823),"",INDEX('POR Config List'!I:I,MATCH(G823,'POR Config List'!D:D,0)))</f>
        <v/>
      </c>
      <c r="AA823" s="100" t="str">
        <f t="array" ref="AA823">IF(ISBLANK(G823),"",INDEX('POR Config List'!E:E,MATCH(G823,'POR Config List'!D:D,0)))</f>
        <v/>
      </c>
      <c r="AC823" s="105"/>
      <c r="AD823" s="100"/>
      <c r="AE823" s="100"/>
      <c r="AF823" s="100"/>
      <c r="AG823" s="100"/>
      <c r="AM823" s="102"/>
      <c r="AN823" s="102"/>
      <c r="AR823" s="119"/>
      <c r="AS823" s="103"/>
    </row>
    <row r="824">
      <c r="A824" s="168"/>
      <c r="B824" s="100" t="str">
        <f t="array" ref="B824">IFERROR( INDEX('POR Config List'!A:A,MATCH(G824,'POR Config List'!D:D,0)),"")</f>
        <v/>
      </c>
      <c r="C824" s="101" t="str">
        <f t="array" ref="C824">IFERROR(INDEX('label approval artwork'!E:E,MATCH(G824,'label approval artwork'!F:F,0),""),"")</f>
        <v/>
      </c>
      <c r="D824" s="102" t="str">
        <f t="shared" si="3"/>
        <v/>
      </c>
      <c r="E824" s="100" t="str">
        <f t="array" ref="E824">IF(ISBLANK(G824),"",INDEX('POR Config List'!K:K,MATCH(G824,'POR Config List'!D:D,0)))</f>
        <v/>
      </c>
      <c r="F824" s="100" t="str">
        <f t="array" ref="F824">IF(ISBLANK(G824),"",INDEX('POR Config List'!J:J,MATCH(G824,'POR Config List'!D:D,0)))</f>
        <v/>
      </c>
      <c r="G824" s="168"/>
      <c r="H824" s="104" t="str">
        <f t="array" ref="H824">IF(ISBLANK(G824),"",INDEX('MP SKUs'!G:G,MATCH(G824,'MP SKUs'!A:A,0)))</f>
        <v/>
      </c>
      <c r="I824" s="105" t="str">
        <f t="array" ref="I824">IF(ISBLANK(G824),"",INDEX('POR Config List'!O:O,MATCH(G824,'POR Config List'!D:D,0)))</f>
        <v/>
      </c>
      <c r="J824" s="104" t="str">
        <f t="array" ref="J824">IF(ISBLANK(G824),"",INDEX('POR Config List'!H:H,MATCH(G824,'POR Config List'!D:D,0)))</f>
        <v/>
      </c>
      <c r="K824" s="105" t="str">
        <f t="array" ref="K824">IF(ISBLANK(G824),"",INDEX('POR Config List'!G:G,MATCH(G824,'POR Config List'!D:D,0)))</f>
        <v/>
      </c>
      <c r="L824" s="105"/>
      <c r="M824" s="105" t="str">
        <f t="array" ref="M824">IF(ISBLANK(G824),"",INDEX('label approval artwork'!Q:Q,MATCH( G824,'label approval artwork'!F:F,0)))</f>
        <v/>
      </c>
      <c r="N824" s="169" t="str">
        <f t="shared" si="5"/>
        <v/>
      </c>
      <c r="O824" s="102" t="str">
        <f t="array" ref="O824">IF(ISBLANK(G824),"",INDEX('POR Config List'!C:C,MATCH(G824,'POR Config List'!D:D,0)))</f>
        <v/>
      </c>
      <c r="P824" s="105" t="str">
        <f t="shared" si="4"/>
        <v/>
      </c>
      <c r="Q824" s="105" t="str">
        <f t="array" ref="Q824">IF(ISBLANK(G824),"",INDEX('label approval artwork'!J:J,MATCH( G824,'label approval artwork'!F:F,0)))</f>
        <v/>
      </c>
      <c r="R824" s="105" t="str">
        <f t="array" ref="R824">IFERROR( IF(P824&lt;&gt;"EMA",INDEX('label approval artwork'!H:H,MATCH(G824,'label approval artwork'!F:F,0),"")),"")</f>
        <v/>
      </c>
      <c r="S824" s="105"/>
      <c r="T824" s="105" t="str">
        <f t="array" ref="T824">IF(ISBLANK(G824),"",INDEX('POR Config List'!I:I,MATCH(G824,'POR Config List'!D:D,0)))</f>
        <v/>
      </c>
      <c r="AA824" s="100" t="str">
        <f t="array" ref="AA824">IF(ISBLANK(G824),"",INDEX('POR Config List'!E:E,MATCH(G824,'POR Config List'!D:D,0)))</f>
        <v/>
      </c>
      <c r="AC824" s="105"/>
      <c r="AD824" s="100"/>
      <c r="AE824" s="100"/>
      <c r="AF824" s="100"/>
      <c r="AG824" s="100"/>
      <c r="AM824" s="102"/>
      <c r="AN824" s="102"/>
      <c r="AR824" s="119"/>
      <c r="AS824" s="103"/>
    </row>
    <row r="825">
      <c r="A825" s="168"/>
      <c r="B825" s="100" t="str">
        <f t="array" ref="B825">IFERROR( INDEX('POR Config List'!A:A,MATCH(G825,'POR Config List'!D:D,0)),"")</f>
        <v/>
      </c>
      <c r="C825" s="101" t="str">
        <f t="array" ref="C825">IFERROR(INDEX('label approval artwork'!E:E,MATCH(G825,'label approval artwork'!F:F,0),""),"")</f>
        <v/>
      </c>
      <c r="D825" s="102" t="str">
        <f t="shared" si="3"/>
        <v/>
      </c>
      <c r="E825" s="100" t="str">
        <f t="array" ref="E825">IF(ISBLANK(G825),"",INDEX('POR Config List'!K:K,MATCH(G825,'POR Config List'!D:D,0)))</f>
        <v/>
      </c>
      <c r="F825" s="100" t="str">
        <f t="array" ref="F825">IF(ISBLANK(G825),"",INDEX('POR Config List'!J:J,MATCH(G825,'POR Config List'!D:D,0)))</f>
        <v/>
      </c>
      <c r="G825" s="168"/>
      <c r="H825" s="104" t="str">
        <f t="array" ref="H825">IF(ISBLANK(G825),"",INDEX('MP SKUs'!G:G,MATCH(G825,'MP SKUs'!A:A,0)))</f>
        <v/>
      </c>
      <c r="I825" s="105" t="str">
        <f t="array" ref="I825">IF(ISBLANK(G825),"",INDEX('POR Config List'!O:O,MATCH(G825,'POR Config List'!D:D,0)))</f>
        <v/>
      </c>
      <c r="J825" s="104" t="str">
        <f t="array" ref="J825">IF(ISBLANK(G825),"",INDEX('POR Config List'!H:H,MATCH(G825,'POR Config List'!D:D,0)))</f>
        <v/>
      </c>
      <c r="K825" s="105" t="str">
        <f t="array" ref="K825">IF(ISBLANK(G825),"",INDEX('POR Config List'!G:G,MATCH(G825,'POR Config List'!D:D,0)))</f>
        <v/>
      </c>
      <c r="L825" s="105"/>
      <c r="M825" s="105" t="str">
        <f t="array" ref="M825">IF(ISBLANK(G825),"",INDEX('label approval artwork'!Q:Q,MATCH( G825,'label approval artwork'!F:F,0)))</f>
        <v/>
      </c>
      <c r="N825" s="169" t="str">
        <f t="shared" si="5"/>
        <v/>
      </c>
      <c r="O825" s="102" t="str">
        <f t="array" ref="O825">IF(ISBLANK(G825),"",INDEX('POR Config List'!C:C,MATCH(G825,'POR Config List'!D:D,0)))</f>
        <v/>
      </c>
      <c r="P825" s="105" t="str">
        <f t="shared" si="4"/>
        <v/>
      </c>
      <c r="Q825" s="105" t="str">
        <f t="array" ref="Q825">IF(ISBLANK(G825),"",INDEX('label approval artwork'!J:J,MATCH( G825,'label approval artwork'!F:F,0)))</f>
        <v/>
      </c>
      <c r="R825" s="105" t="str">
        <f t="array" ref="R825">IFERROR( IF(P825&lt;&gt;"EMA",INDEX('label approval artwork'!H:H,MATCH(G825,'label approval artwork'!F:F,0),"")),"")</f>
        <v/>
      </c>
      <c r="S825" s="105"/>
      <c r="T825" s="105" t="str">
        <f t="array" ref="T825">IF(ISBLANK(G825),"",INDEX('POR Config List'!I:I,MATCH(G825,'POR Config List'!D:D,0)))</f>
        <v/>
      </c>
      <c r="AA825" s="100" t="str">
        <f t="array" ref="AA825">IF(ISBLANK(G825),"",INDEX('POR Config List'!E:E,MATCH(G825,'POR Config List'!D:D,0)))</f>
        <v/>
      </c>
      <c r="AC825" s="105"/>
      <c r="AD825" s="100"/>
      <c r="AE825" s="100"/>
      <c r="AF825" s="100"/>
      <c r="AG825" s="100"/>
      <c r="AM825" s="102"/>
      <c r="AN825" s="102"/>
      <c r="AR825" s="119"/>
      <c r="AS825" s="103"/>
    </row>
    <row r="826">
      <c r="A826" s="168"/>
      <c r="B826" s="100" t="str">
        <f t="array" ref="B826">IFERROR( INDEX('POR Config List'!A:A,MATCH(G826,'POR Config List'!D:D,0)),"")</f>
        <v/>
      </c>
      <c r="C826" s="101" t="str">
        <f t="array" ref="C826">IFERROR(INDEX('label approval artwork'!E:E,MATCH(G826,'label approval artwork'!F:F,0),""),"")</f>
        <v/>
      </c>
      <c r="D826" s="102" t="str">
        <f t="shared" si="3"/>
        <v/>
      </c>
      <c r="E826" s="100" t="str">
        <f t="array" ref="E826">IF(ISBLANK(G826),"",INDEX('POR Config List'!K:K,MATCH(G826,'POR Config List'!D:D,0)))</f>
        <v/>
      </c>
      <c r="F826" s="100" t="str">
        <f t="array" ref="F826">IF(ISBLANK(G826),"",INDEX('POR Config List'!J:J,MATCH(G826,'POR Config List'!D:D,0)))</f>
        <v/>
      </c>
      <c r="G826" s="168"/>
      <c r="H826" s="104" t="str">
        <f t="array" ref="H826">IF(ISBLANK(G826),"",INDEX('MP SKUs'!G:G,MATCH(G826,'MP SKUs'!A:A,0)))</f>
        <v/>
      </c>
      <c r="I826" s="105" t="str">
        <f t="array" ref="I826">IF(ISBLANK(G826),"",INDEX('POR Config List'!O:O,MATCH(G826,'POR Config List'!D:D,0)))</f>
        <v/>
      </c>
      <c r="J826" s="104" t="str">
        <f t="array" ref="J826">IF(ISBLANK(G826),"",INDEX('POR Config List'!H:H,MATCH(G826,'POR Config List'!D:D,0)))</f>
        <v/>
      </c>
      <c r="K826" s="105" t="str">
        <f t="array" ref="K826">IF(ISBLANK(G826),"",INDEX('POR Config List'!G:G,MATCH(G826,'POR Config List'!D:D,0)))</f>
        <v/>
      </c>
      <c r="L826" s="105"/>
      <c r="M826" s="105" t="str">
        <f t="array" ref="M826">IF(ISBLANK(G826),"",INDEX('label approval artwork'!Q:Q,MATCH( G826,'label approval artwork'!F:F,0)))</f>
        <v/>
      </c>
      <c r="N826" s="169" t="str">
        <f t="shared" si="5"/>
        <v/>
      </c>
      <c r="O826" s="102" t="str">
        <f t="array" ref="O826">IF(ISBLANK(G826),"",INDEX('POR Config List'!C:C,MATCH(G826,'POR Config List'!D:D,0)))</f>
        <v/>
      </c>
      <c r="P826" s="105" t="str">
        <f t="shared" si="4"/>
        <v/>
      </c>
      <c r="Q826" s="105" t="str">
        <f t="array" ref="Q826">IF(ISBLANK(G826),"",INDEX('label approval artwork'!J:J,MATCH( G826,'label approval artwork'!F:F,0)))</f>
        <v/>
      </c>
      <c r="R826" s="105" t="str">
        <f t="array" ref="R826">IFERROR( IF(P826&lt;&gt;"EMA",INDEX('label approval artwork'!H:H,MATCH(G826,'label approval artwork'!F:F,0),"")),"")</f>
        <v/>
      </c>
      <c r="S826" s="105"/>
      <c r="T826" s="105" t="str">
        <f t="array" ref="T826">IF(ISBLANK(G826),"",INDEX('POR Config List'!I:I,MATCH(G826,'POR Config List'!D:D,0)))</f>
        <v/>
      </c>
      <c r="AA826" s="100" t="str">
        <f t="array" ref="AA826">IF(ISBLANK(G826),"",INDEX('POR Config List'!E:E,MATCH(G826,'POR Config List'!D:D,0)))</f>
        <v/>
      </c>
      <c r="AC826" s="105"/>
      <c r="AD826" s="100"/>
      <c r="AE826" s="100"/>
      <c r="AF826" s="100"/>
      <c r="AG826" s="100"/>
      <c r="AM826" s="102"/>
      <c r="AN826" s="102"/>
      <c r="AR826" s="119"/>
      <c r="AS826" s="103"/>
    </row>
    <row r="827">
      <c r="A827" s="168"/>
      <c r="B827" s="100" t="str">
        <f t="array" ref="B827">IFERROR( INDEX('POR Config List'!A:A,MATCH(G827,'POR Config List'!D:D,0)),"")</f>
        <v/>
      </c>
      <c r="C827" s="101" t="str">
        <f t="array" ref="C827">IFERROR(INDEX('label approval artwork'!E:E,MATCH(G827,'label approval artwork'!F:F,0),""),"")</f>
        <v/>
      </c>
      <c r="D827" s="102" t="str">
        <f t="shared" si="3"/>
        <v/>
      </c>
      <c r="E827" s="100" t="str">
        <f t="array" ref="E827">IF(ISBLANK(G827),"",INDEX('POR Config List'!K:K,MATCH(G827,'POR Config List'!D:D,0)))</f>
        <v/>
      </c>
      <c r="F827" s="100" t="str">
        <f t="array" ref="F827">IF(ISBLANK(G827),"",INDEX('POR Config List'!J:J,MATCH(G827,'POR Config List'!D:D,0)))</f>
        <v/>
      </c>
      <c r="G827" s="168"/>
      <c r="H827" s="104" t="str">
        <f t="array" ref="H827">IF(ISBLANK(G827),"",INDEX('MP SKUs'!G:G,MATCH(G827,'MP SKUs'!A:A,0)))</f>
        <v/>
      </c>
      <c r="I827" s="105" t="str">
        <f t="array" ref="I827">IF(ISBLANK(G827),"",INDEX('POR Config List'!O:O,MATCH(G827,'POR Config List'!D:D,0)))</f>
        <v/>
      </c>
      <c r="J827" s="104" t="str">
        <f t="array" ref="J827">IF(ISBLANK(G827),"",INDEX('POR Config List'!H:H,MATCH(G827,'POR Config List'!D:D,0)))</f>
        <v/>
      </c>
      <c r="K827" s="105" t="str">
        <f t="array" ref="K827">IF(ISBLANK(G827),"",INDEX('POR Config List'!G:G,MATCH(G827,'POR Config List'!D:D,0)))</f>
        <v/>
      </c>
      <c r="L827" s="105"/>
      <c r="M827" s="105" t="str">
        <f t="array" ref="M827">IF(ISBLANK(G827),"",INDEX('label approval artwork'!Q:Q,MATCH( G827,'label approval artwork'!F:F,0)))</f>
        <v/>
      </c>
      <c r="N827" s="169" t="str">
        <f t="shared" si="5"/>
        <v/>
      </c>
      <c r="O827" s="102" t="str">
        <f t="array" ref="O827">IF(ISBLANK(G827),"",INDEX('POR Config List'!C:C,MATCH(G827,'POR Config List'!D:D,0)))</f>
        <v/>
      </c>
      <c r="P827" s="105" t="str">
        <f t="shared" si="4"/>
        <v/>
      </c>
      <c r="Q827" s="105" t="str">
        <f t="array" ref="Q827">IF(ISBLANK(G827),"",INDEX('label approval artwork'!J:J,MATCH( G827,'label approval artwork'!F:F,0)))</f>
        <v/>
      </c>
      <c r="R827" s="105" t="str">
        <f t="array" ref="R827">IFERROR( IF(P827&lt;&gt;"EMA",INDEX('label approval artwork'!H:H,MATCH(G827,'label approval artwork'!F:F,0),"")),"")</f>
        <v/>
      </c>
      <c r="S827" s="105"/>
      <c r="T827" s="105" t="str">
        <f t="array" ref="T827">IF(ISBLANK(G827),"",INDEX('POR Config List'!I:I,MATCH(G827,'POR Config List'!D:D,0)))</f>
        <v/>
      </c>
      <c r="AA827" s="100" t="str">
        <f t="array" ref="AA827">IF(ISBLANK(G827),"",INDEX('POR Config List'!E:E,MATCH(G827,'POR Config List'!D:D,0)))</f>
        <v/>
      </c>
      <c r="AC827" s="105"/>
      <c r="AD827" s="100"/>
      <c r="AE827" s="100"/>
      <c r="AF827" s="100"/>
      <c r="AG827" s="100"/>
      <c r="AM827" s="102"/>
      <c r="AN827" s="102"/>
      <c r="AR827" s="119"/>
      <c r="AS827" s="103"/>
    </row>
    <row r="828">
      <c r="A828" s="168"/>
      <c r="B828" s="100" t="str">
        <f t="array" ref="B828">IFERROR( INDEX('POR Config List'!A:A,MATCH(G828,'POR Config List'!D:D,0)),"")</f>
        <v/>
      </c>
      <c r="C828" s="101" t="str">
        <f t="array" ref="C828">IFERROR(INDEX('label approval artwork'!E:E,MATCH(G828,'label approval artwork'!F:F,0),""),"")</f>
        <v/>
      </c>
      <c r="D828" s="102" t="str">
        <f t="shared" si="3"/>
        <v/>
      </c>
      <c r="E828" s="100" t="str">
        <f t="array" ref="E828">IF(ISBLANK(G828),"",INDEX('POR Config List'!K:K,MATCH(G828,'POR Config List'!D:D,0)))</f>
        <v/>
      </c>
      <c r="F828" s="100" t="str">
        <f t="array" ref="F828">IF(ISBLANK(G828),"",INDEX('POR Config List'!J:J,MATCH(G828,'POR Config List'!D:D,0)))</f>
        <v/>
      </c>
      <c r="G828" s="168"/>
      <c r="H828" s="104" t="str">
        <f t="array" ref="H828">IF(ISBLANK(G828),"",INDEX('MP SKUs'!G:G,MATCH(G828,'MP SKUs'!A:A,0)))</f>
        <v/>
      </c>
      <c r="I828" s="105" t="str">
        <f t="array" ref="I828">IF(ISBLANK(G828),"",INDEX('POR Config List'!O:O,MATCH(G828,'POR Config List'!D:D,0)))</f>
        <v/>
      </c>
      <c r="J828" s="104" t="str">
        <f t="array" ref="J828">IF(ISBLANK(G828),"",INDEX('POR Config List'!H:H,MATCH(G828,'POR Config List'!D:D,0)))</f>
        <v/>
      </c>
      <c r="K828" s="105" t="str">
        <f t="array" ref="K828">IF(ISBLANK(G828),"",INDEX('POR Config List'!G:G,MATCH(G828,'POR Config List'!D:D,0)))</f>
        <v/>
      </c>
      <c r="L828" s="105"/>
      <c r="M828" s="105" t="str">
        <f t="array" ref="M828">IF(ISBLANK(G828),"",INDEX('label approval artwork'!Q:Q,MATCH( G828,'label approval artwork'!F:F,0)))</f>
        <v/>
      </c>
      <c r="N828" s="169" t="str">
        <f t="shared" si="5"/>
        <v/>
      </c>
      <c r="O828" s="102" t="str">
        <f t="array" ref="O828">IF(ISBLANK(G828),"",INDEX('POR Config List'!C:C,MATCH(G828,'POR Config List'!D:D,0)))</f>
        <v/>
      </c>
      <c r="P828" s="105" t="str">
        <f t="shared" si="4"/>
        <v/>
      </c>
      <c r="Q828" s="105" t="str">
        <f t="array" ref="Q828">IF(ISBLANK(G828),"",INDEX('label approval artwork'!J:J,MATCH( G828,'label approval artwork'!F:F,0)))</f>
        <v/>
      </c>
      <c r="R828" s="105" t="str">
        <f t="array" ref="R828">IFERROR( IF(P828&lt;&gt;"EMA",INDEX('label approval artwork'!H:H,MATCH(G828,'label approval artwork'!F:F,0),"")),"")</f>
        <v/>
      </c>
      <c r="S828" s="105"/>
      <c r="T828" s="105" t="str">
        <f t="array" ref="T828">IF(ISBLANK(G828),"",INDEX('POR Config List'!I:I,MATCH(G828,'POR Config List'!D:D,0)))</f>
        <v/>
      </c>
      <c r="AA828" s="100" t="str">
        <f t="array" ref="AA828">IF(ISBLANK(G828),"",INDEX('POR Config List'!E:E,MATCH(G828,'POR Config List'!D:D,0)))</f>
        <v/>
      </c>
      <c r="AC828" s="105"/>
      <c r="AD828" s="100"/>
      <c r="AE828" s="100"/>
      <c r="AF828" s="100"/>
      <c r="AG828" s="100"/>
      <c r="AM828" s="102"/>
      <c r="AN828" s="102"/>
      <c r="AR828" s="119"/>
      <c r="AS828" s="103"/>
    </row>
    <row r="829">
      <c r="A829" s="168"/>
      <c r="B829" s="100" t="str">
        <f t="array" ref="B829">IFERROR( INDEX('POR Config List'!A:A,MATCH(G829,'POR Config List'!D:D,0)),"")</f>
        <v/>
      </c>
      <c r="C829" s="101" t="str">
        <f t="array" ref="C829">IFERROR(INDEX('label approval artwork'!E:E,MATCH(G829,'label approval artwork'!F:F,0),""),"")</f>
        <v/>
      </c>
      <c r="D829" s="102" t="str">
        <f t="shared" si="3"/>
        <v/>
      </c>
      <c r="E829" s="100" t="str">
        <f t="array" ref="E829">IF(ISBLANK(G829),"",INDEX('POR Config List'!K:K,MATCH(G829,'POR Config List'!D:D,0)))</f>
        <v/>
      </c>
      <c r="F829" s="100" t="str">
        <f t="array" ref="F829">IF(ISBLANK(G829),"",INDEX('POR Config List'!J:J,MATCH(G829,'POR Config List'!D:D,0)))</f>
        <v/>
      </c>
      <c r="G829" s="168"/>
      <c r="H829" s="104" t="str">
        <f t="array" ref="H829">IF(ISBLANK(G829),"",INDEX('MP SKUs'!G:G,MATCH(G829,'MP SKUs'!A:A,0)))</f>
        <v/>
      </c>
      <c r="I829" s="105" t="str">
        <f t="array" ref="I829">IF(ISBLANK(G829),"",INDEX('POR Config List'!O:O,MATCH(G829,'POR Config List'!D:D,0)))</f>
        <v/>
      </c>
      <c r="J829" s="104" t="str">
        <f t="array" ref="J829">IF(ISBLANK(G829),"",INDEX('POR Config List'!H:H,MATCH(G829,'POR Config List'!D:D,0)))</f>
        <v/>
      </c>
      <c r="K829" s="105" t="str">
        <f t="array" ref="K829">IF(ISBLANK(G829),"",INDEX('POR Config List'!G:G,MATCH(G829,'POR Config List'!D:D,0)))</f>
        <v/>
      </c>
      <c r="L829" s="105"/>
      <c r="M829" s="105" t="str">
        <f t="array" ref="M829">IF(ISBLANK(G829),"",INDEX('label approval artwork'!Q:Q,MATCH( G829,'label approval artwork'!F:F,0)))</f>
        <v/>
      </c>
      <c r="N829" s="169" t="str">
        <f t="shared" si="5"/>
        <v/>
      </c>
      <c r="O829" s="102" t="str">
        <f t="array" ref="O829">IF(ISBLANK(G829),"",INDEX('POR Config List'!C:C,MATCH(G829,'POR Config List'!D:D,0)))</f>
        <v/>
      </c>
      <c r="P829" s="105" t="str">
        <f t="shared" si="4"/>
        <v/>
      </c>
      <c r="Q829" s="105" t="str">
        <f t="array" ref="Q829">IF(ISBLANK(G829),"",INDEX('label approval artwork'!J:J,MATCH( G829,'label approval artwork'!F:F,0)))</f>
        <v/>
      </c>
      <c r="R829" s="105" t="str">
        <f t="array" ref="R829">IFERROR( IF(P829&lt;&gt;"EMA",INDEX('label approval artwork'!H:H,MATCH(G829,'label approval artwork'!F:F,0),"")),"")</f>
        <v/>
      </c>
      <c r="S829" s="105"/>
      <c r="T829" s="105" t="str">
        <f t="array" ref="T829">IF(ISBLANK(G829),"",INDEX('POR Config List'!I:I,MATCH(G829,'POR Config List'!D:D,0)))</f>
        <v/>
      </c>
      <c r="AA829" s="100" t="str">
        <f t="array" ref="AA829">IF(ISBLANK(G829),"",INDEX('POR Config List'!E:E,MATCH(G829,'POR Config List'!D:D,0)))</f>
        <v/>
      </c>
      <c r="AC829" s="105"/>
      <c r="AD829" s="100"/>
      <c r="AE829" s="100"/>
      <c r="AF829" s="100"/>
      <c r="AG829" s="100"/>
      <c r="AM829" s="102"/>
      <c r="AN829" s="102"/>
      <c r="AR829" s="119"/>
      <c r="AS829" s="103"/>
    </row>
    <row r="830">
      <c r="A830" s="168"/>
      <c r="B830" s="100" t="str">
        <f t="array" ref="B830">IFERROR( INDEX('POR Config List'!A:A,MATCH(G830,'POR Config List'!D:D,0)),"")</f>
        <v/>
      </c>
      <c r="C830" s="101" t="str">
        <f t="array" ref="C830">IFERROR(INDEX('label approval artwork'!E:E,MATCH(G830,'label approval artwork'!F:F,0),""),"")</f>
        <v/>
      </c>
      <c r="D830" s="102" t="str">
        <f t="shared" si="3"/>
        <v/>
      </c>
      <c r="E830" s="100" t="str">
        <f t="array" ref="E830">IF(ISBLANK(G830),"",INDEX('POR Config List'!K:K,MATCH(G830,'POR Config List'!D:D,0)))</f>
        <v/>
      </c>
      <c r="F830" s="100" t="str">
        <f t="array" ref="F830">IF(ISBLANK(G830),"",INDEX('POR Config List'!J:J,MATCH(G830,'POR Config List'!D:D,0)))</f>
        <v/>
      </c>
      <c r="G830" s="168"/>
      <c r="H830" s="104" t="str">
        <f t="array" ref="H830">IF(ISBLANK(G830),"",INDEX('MP SKUs'!G:G,MATCH(G830,'MP SKUs'!A:A,0)))</f>
        <v/>
      </c>
      <c r="I830" s="105" t="str">
        <f t="array" ref="I830">IF(ISBLANK(G830),"",INDEX('POR Config List'!O:O,MATCH(G830,'POR Config List'!D:D,0)))</f>
        <v/>
      </c>
      <c r="J830" s="104" t="str">
        <f t="array" ref="J830">IF(ISBLANK(G830),"",INDEX('POR Config List'!H:H,MATCH(G830,'POR Config List'!D:D,0)))</f>
        <v/>
      </c>
      <c r="K830" s="105" t="str">
        <f t="array" ref="K830">IF(ISBLANK(G830),"",INDEX('POR Config List'!G:G,MATCH(G830,'POR Config List'!D:D,0)))</f>
        <v/>
      </c>
      <c r="L830" s="105"/>
      <c r="M830" s="105" t="str">
        <f t="array" ref="M830">IF(ISBLANK(G830),"",INDEX('label approval artwork'!Q:Q,MATCH( G830,'label approval artwork'!F:F,0)))</f>
        <v/>
      </c>
      <c r="N830" s="169" t="str">
        <f t="shared" si="5"/>
        <v/>
      </c>
      <c r="O830" s="102" t="str">
        <f t="array" ref="O830">IF(ISBLANK(G830),"",INDEX('POR Config List'!C:C,MATCH(G830,'POR Config List'!D:D,0)))</f>
        <v/>
      </c>
      <c r="P830" s="105" t="str">
        <f t="shared" si="4"/>
        <v/>
      </c>
      <c r="Q830" s="105" t="str">
        <f t="array" ref="Q830">IF(ISBLANK(G830),"",INDEX('label approval artwork'!J:J,MATCH( G830,'label approval artwork'!F:F,0)))</f>
        <v/>
      </c>
      <c r="R830" s="105" t="str">
        <f t="array" ref="R830">IFERROR( IF(P830&lt;&gt;"EMA",INDEX('label approval artwork'!H:H,MATCH(G830,'label approval artwork'!F:F,0),"")),"")</f>
        <v/>
      </c>
      <c r="S830" s="105"/>
      <c r="T830" s="105" t="str">
        <f t="array" ref="T830">IF(ISBLANK(G830),"",INDEX('POR Config List'!I:I,MATCH(G830,'POR Config List'!D:D,0)))</f>
        <v/>
      </c>
      <c r="AA830" s="100" t="str">
        <f t="array" ref="AA830">IF(ISBLANK(G830),"",INDEX('POR Config List'!E:E,MATCH(G830,'POR Config List'!D:D,0)))</f>
        <v/>
      </c>
      <c r="AC830" s="105"/>
      <c r="AD830" s="100"/>
      <c r="AE830" s="100"/>
      <c r="AF830" s="100"/>
      <c r="AG830" s="100"/>
      <c r="AM830" s="102"/>
      <c r="AN830" s="102"/>
      <c r="AR830" s="119"/>
      <c r="AS830" s="103"/>
    </row>
    <row r="831">
      <c r="A831" s="168"/>
      <c r="B831" s="100" t="str">
        <f t="array" ref="B831">IFERROR( INDEX('POR Config List'!A:A,MATCH(G831,'POR Config List'!D:D,0)),"")</f>
        <v/>
      </c>
      <c r="C831" s="101" t="str">
        <f t="array" ref="C831">IFERROR(INDEX('label approval artwork'!E:E,MATCH(G831,'label approval artwork'!F:F,0),""),"")</f>
        <v/>
      </c>
      <c r="D831" s="102" t="str">
        <f t="shared" si="3"/>
        <v/>
      </c>
      <c r="E831" s="100" t="str">
        <f t="array" ref="E831">IF(ISBLANK(G831),"",INDEX('POR Config List'!K:K,MATCH(G831,'POR Config List'!D:D,0)))</f>
        <v/>
      </c>
      <c r="F831" s="100" t="str">
        <f t="array" ref="F831">IF(ISBLANK(G831),"",INDEX('POR Config List'!J:J,MATCH(G831,'POR Config List'!D:D,0)))</f>
        <v/>
      </c>
      <c r="G831" s="168"/>
      <c r="H831" s="104" t="str">
        <f t="array" ref="H831">IF(ISBLANK(G831),"",INDEX('MP SKUs'!G:G,MATCH(G831,'MP SKUs'!A:A,0)))</f>
        <v/>
      </c>
      <c r="I831" s="105" t="str">
        <f t="array" ref="I831">IF(ISBLANK(G831),"",INDEX('POR Config List'!O:O,MATCH(G831,'POR Config List'!D:D,0)))</f>
        <v/>
      </c>
      <c r="J831" s="104" t="str">
        <f t="array" ref="J831">IF(ISBLANK(G831),"",INDEX('POR Config List'!H:H,MATCH(G831,'POR Config List'!D:D,0)))</f>
        <v/>
      </c>
      <c r="K831" s="105" t="str">
        <f t="array" ref="K831">IF(ISBLANK(G831),"",INDEX('POR Config List'!G:G,MATCH(G831,'POR Config List'!D:D,0)))</f>
        <v/>
      </c>
      <c r="L831" s="105"/>
      <c r="M831" s="105" t="str">
        <f t="array" ref="M831">IF(ISBLANK(G831),"",INDEX('label approval artwork'!Q:Q,MATCH( G831,'label approval artwork'!F:F,0)))</f>
        <v/>
      </c>
      <c r="N831" s="169" t="str">
        <f t="shared" si="5"/>
        <v/>
      </c>
      <c r="O831" s="102" t="str">
        <f t="array" ref="O831">IF(ISBLANK(G831),"",INDEX('POR Config List'!C:C,MATCH(G831,'POR Config List'!D:D,0)))</f>
        <v/>
      </c>
      <c r="P831" s="105" t="str">
        <f t="shared" si="4"/>
        <v/>
      </c>
      <c r="Q831" s="105" t="str">
        <f t="array" ref="Q831">IF(ISBLANK(G831),"",INDEX('label approval artwork'!J:J,MATCH( G831,'label approval artwork'!F:F,0)))</f>
        <v/>
      </c>
      <c r="R831" s="105" t="str">
        <f t="array" ref="R831">IFERROR( IF(P831&lt;&gt;"EMA",INDEX('label approval artwork'!H:H,MATCH(G831,'label approval artwork'!F:F,0),"")),"")</f>
        <v/>
      </c>
      <c r="S831" s="105"/>
      <c r="T831" s="105" t="str">
        <f t="array" ref="T831">IF(ISBLANK(G831),"",INDEX('POR Config List'!I:I,MATCH(G831,'POR Config List'!D:D,0)))</f>
        <v/>
      </c>
      <c r="AA831" s="100" t="str">
        <f t="array" ref="AA831">IF(ISBLANK(G831),"",INDEX('POR Config List'!E:E,MATCH(G831,'POR Config List'!D:D,0)))</f>
        <v/>
      </c>
      <c r="AC831" s="105"/>
      <c r="AD831" s="100"/>
      <c r="AE831" s="100"/>
      <c r="AF831" s="100"/>
      <c r="AG831" s="100"/>
      <c r="AM831" s="102"/>
      <c r="AN831" s="102"/>
      <c r="AR831" s="119"/>
      <c r="AS831" s="103"/>
    </row>
    <row r="832">
      <c r="A832" s="168"/>
      <c r="B832" s="100" t="str">
        <f t="array" ref="B832">IFERROR( INDEX('POR Config List'!A:A,MATCH(G832,'POR Config List'!D:D,0)),"")</f>
        <v/>
      </c>
      <c r="C832" s="101" t="str">
        <f t="array" ref="C832">IFERROR(INDEX('label approval artwork'!E:E,MATCH(G832,'label approval artwork'!F:F,0),""),"")</f>
        <v/>
      </c>
      <c r="D832" s="102" t="str">
        <f t="shared" si="3"/>
        <v/>
      </c>
      <c r="E832" s="100" t="str">
        <f t="array" ref="E832">IF(ISBLANK(G832),"",INDEX('POR Config List'!K:K,MATCH(G832,'POR Config List'!D:D,0)))</f>
        <v/>
      </c>
      <c r="F832" s="100" t="str">
        <f t="array" ref="F832">IF(ISBLANK(G832),"",INDEX('POR Config List'!J:J,MATCH(G832,'POR Config List'!D:D,0)))</f>
        <v/>
      </c>
      <c r="G832" s="168"/>
      <c r="H832" s="104" t="str">
        <f t="array" ref="H832">IF(ISBLANK(G832),"",INDEX('MP SKUs'!G:G,MATCH(G832,'MP SKUs'!A:A,0)))</f>
        <v/>
      </c>
      <c r="I832" s="105" t="str">
        <f t="array" ref="I832">IF(ISBLANK(G832),"",INDEX('POR Config List'!O:O,MATCH(G832,'POR Config List'!D:D,0)))</f>
        <v/>
      </c>
      <c r="J832" s="104" t="str">
        <f t="array" ref="J832">IF(ISBLANK(G832),"",INDEX('POR Config List'!H:H,MATCH(G832,'POR Config List'!D:D,0)))</f>
        <v/>
      </c>
      <c r="K832" s="105" t="str">
        <f t="array" ref="K832">IF(ISBLANK(G832),"",INDEX('POR Config List'!G:G,MATCH(G832,'POR Config List'!D:D,0)))</f>
        <v/>
      </c>
      <c r="L832" s="105"/>
      <c r="M832" s="105" t="str">
        <f t="array" ref="M832">IF(ISBLANK(G832),"",INDEX('label approval artwork'!Q:Q,MATCH( G832,'label approval artwork'!F:F,0)))</f>
        <v/>
      </c>
      <c r="N832" s="169" t="str">
        <f t="shared" si="5"/>
        <v/>
      </c>
      <c r="O832" s="102" t="str">
        <f t="array" ref="O832">IF(ISBLANK(G832),"",INDEX('POR Config List'!C:C,MATCH(G832,'POR Config List'!D:D,0)))</f>
        <v/>
      </c>
      <c r="P832" s="105" t="str">
        <f t="shared" si="4"/>
        <v/>
      </c>
      <c r="Q832" s="105" t="str">
        <f t="array" ref="Q832">IF(ISBLANK(G832),"",INDEX('label approval artwork'!J:J,MATCH( G832,'label approval artwork'!F:F,0)))</f>
        <v/>
      </c>
      <c r="R832" s="105" t="str">
        <f t="array" ref="R832">IFERROR( IF(P832&lt;&gt;"EMA",INDEX('label approval artwork'!H:H,MATCH(G832,'label approval artwork'!F:F,0),"")),"")</f>
        <v/>
      </c>
      <c r="S832" s="105"/>
      <c r="T832" s="105" t="str">
        <f t="array" ref="T832">IF(ISBLANK(G832),"",INDEX('POR Config List'!I:I,MATCH(G832,'POR Config List'!D:D,0)))</f>
        <v/>
      </c>
      <c r="AA832" s="100" t="str">
        <f t="array" ref="AA832">IF(ISBLANK(G832),"",INDEX('POR Config List'!E:E,MATCH(G832,'POR Config List'!D:D,0)))</f>
        <v/>
      </c>
      <c r="AC832" s="105"/>
      <c r="AD832" s="100"/>
      <c r="AE832" s="100"/>
      <c r="AF832" s="100"/>
      <c r="AG832" s="100"/>
      <c r="AM832" s="102"/>
      <c r="AN832" s="102"/>
      <c r="AR832" s="119"/>
      <c r="AS832" s="103"/>
    </row>
    <row r="833">
      <c r="A833" s="168"/>
      <c r="B833" s="100" t="str">
        <f t="array" ref="B833">IFERROR( INDEX('POR Config List'!A:A,MATCH(G833,'POR Config List'!D:D,0)),"")</f>
        <v/>
      </c>
      <c r="C833" s="101" t="str">
        <f t="array" ref="C833">IFERROR(INDEX('label approval artwork'!E:E,MATCH(G833,'label approval artwork'!F:F,0),""),"")</f>
        <v/>
      </c>
      <c r="D833" s="102" t="str">
        <f t="shared" si="3"/>
        <v/>
      </c>
      <c r="E833" s="100" t="str">
        <f t="array" ref="E833">IF(ISBLANK(G833),"",INDEX('POR Config List'!K:K,MATCH(G833,'POR Config List'!D:D,0)))</f>
        <v/>
      </c>
      <c r="F833" s="100" t="str">
        <f t="array" ref="F833">IF(ISBLANK(G833),"",INDEX('POR Config List'!J:J,MATCH(G833,'POR Config List'!D:D,0)))</f>
        <v/>
      </c>
      <c r="G833" s="168"/>
      <c r="H833" s="104" t="str">
        <f t="array" ref="H833">IF(ISBLANK(G833),"",INDEX('MP SKUs'!G:G,MATCH(G833,'MP SKUs'!A:A,0)))</f>
        <v/>
      </c>
      <c r="I833" s="105" t="str">
        <f t="array" ref="I833">IF(ISBLANK(G833),"",INDEX('POR Config List'!O:O,MATCH(G833,'POR Config List'!D:D,0)))</f>
        <v/>
      </c>
      <c r="J833" s="104" t="str">
        <f t="array" ref="J833">IF(ISBLANK(G833),"",INDEX('POR Config List'!H:H,MATCH(G833,'POR Config List'!D:D,0)))</f>
        <v/>
      </c>
      <c r="K833" s="105" t="str">
        <f t="array" ref="K833">IF(ISBLANK(G833),"",INDEX('POR Config List'!G:G,MATCH(G833,'POR Config List'!D:D,0)))</f>
        <v/>
      </c>
      <c r="L833" s="105"/>
      <c r="M833" s="105" t="str">
        <f t="array" ref="M833">IF(ISBLANK(G833),"",INDEX('label approval artwork'!Q:Q,MATCH( G833,'label approval artwork'!F:F,0)))</f>
        <v/>
      </c>
      <c r="N833" s="169" t="str">
        <f t="shared" si="5"/>
        <v/>
      </c>
      <c r="O833" s="102" t="str">
        <f t="array" ref="O833">IF(ISBLANK(G833),"",INDEX('POR Config List'!C:C,MATCH(G833,'POR Config List'!D:D,0)))</f>
        <v/>
      </c>
      <c r="P833" s="105" t="str">
        <f t="shared" si="4"/>
        <v/>
      </c>
      <c r="Q833" s="105" t="str">
        <f t="array" ref="Q833">IF(ISBLANK(G833),"",INDEX('label approval artwork'!J:J,MATCH( G833,'label approval artwork'!F:F,0)))</f>
        <v/>
      </c>
      <c r="R833" s="105" t="str">
        <f t="array" ref="R833">IFERROR( IF(P833&lt;&gt;"EMA",INDEX('label approval artwork'!H:H,MATCH(G833,'label approval artwork'!F:F,0),"")),"")</f>
        <v/>
      </c>
      <c r="S833" s="105"/>
      <c r="T833" s="105" t="str">
        <f t="array" ref="T833">IF(ISBLANK(G833),"",INDEX('POR Config List'!I:I,MATCH(G833,'POR Config List'!D:D,0)))</f>
        <v/>
      </c>
      <c r="AA833" s="100" t="str">
        <f t="array" ref="AA833">IF(ISBLANK(G833),"",INDEX('POR Config List'!E:E,MATCH(G833,'POR Config List'!D:D,0)))</f>
        <v/>
      </c>
      <c r="AC833" s="105"/>
      <c r="AD833" s="100"/>
      <c r="AE833" s="100"/>
      <c r="AF833" s="100"/>
      <c r="AG833" s="100"/>
      <c r="AM833" s="102"/>
      <c r="AN833" s="102"/>
      <c r="AR833" s="119"/>
      <c r="AS833" s="103"/>
    </row>
    <row r="834">
      <c r="A834" s="168"/>
      <c r="B834" s="100" t="str">
        <f t="array" ref="B834">IFERROR( INDEX('POR Config List'!A:A,MATCH(G834,'POR Config List'!D:D,0)),"")</f>
        <v/>
      </c>
      <c r="C834" s="101" t="str">
        <f t="array" ref="C834">IFERROR(INDEX('label approval artwork'!E:E,MATCH(G834,'label approval artwork'!F:F,0),""),"")</f>
        <v/>
      </c>
      <c r="D834" s="102" t="str">
        <f t="shared" si="3"/>
        <v/>
      </c>
      <c r="E834" s="100" t="str">
        <f t="array" ref="E834">IF(ISBLANK(G834),"",INDEX('POR Config List'!K:K,MATCH(G834,'POR Config List'!D:D,0)))</f>
        <v/>
      </c>
      <c r="F834" s="100" t="str">
        <f t="array" ref="F834">IF(ISBLANK(G834),"",INDEX('POR Config List'!J:J,MATCH(G834,'POR Config List'!D:D,0)))</f>
        <v/>
      </c>
      <c r="G834" s="168"/>
      <c r="H834" s="104" t="str">
        <f t="array" ref="H834">IF(ISBLANK(G834),"",INDEX('MP SKUs'!G:G,MATCH(G834,'MP SKUs'!A:A,0)))</f>
        <v/>
      </c>
      <c r="I834" s="105" t="str">
        <f t="array" ref="I834">IF(ISBLANK(G834),"",INDEX('POR Config List'!O:O,MATCH(G834,'POR Config List'!D:D,0)))</f>
        <v/>
      </c>
      <c r="J834" s="104" t="str">
        <f t="array" ref="J834">IF(ISBLANK(G834),"",INDEX('POR Config List'!H:H,MATCH(G834,'POR Config List'!D:D,0)))</f>
        <v/>
      </c>
      <c r="K834" s="105" t="str">
        <f t="array" ref="K834">IF(ISBLANK(G834),"",INDEX('POR Config List'!G:G,MATCH(G834,'POR Config List'!D:D,0)))</f>
        <v/>
      </c>
      <c r="L834" s="105"/>
      <c r="M834" s="105" t="str">
        <f t="array" ref="M834">IF(ISBLANK(G834),"",INDEX('label approval artwork'!Q:Q,MATCH( G834,'label approval artwork'!F:F,0)))</f>
        <v/>
      </c>
      <c r="N834" s="169" t="str">
        <f t="shared" si="5"/>
        <v/>
      </c>
      <c r="O834" s="102" t="str">
        <f t="array" ref="O834">IF(ISBLANK(G834),"",INDEX('POR Config List'!C:C,MATCH(G834,'POR Config List'!D:D,0)))</f>
        <v/>
      </c>
      <c r="P834" s="105" t="str">
        <f t="shared" si="4"/>
        <v/>
      </c>
      <c r="Q834" s="105" t="str">
        <f t="array" ref="Q834">IF(ISBLANK(G834),"",INDEX('label approval artwork'!J:J,MATCH( G834,'label approval artwork'!F:F,0)))</f>
        <v/>
      </c>
      <c r="R834" s="105" t="str">
        <f t="array" ref="R834">IFERROR( IF(P834&lt;&gt;"EMA",INDEX('label approval artwork'!H:H,MATCH(G834,'label approval artwork'!F:F,0),"")),"")</f>
        <v/>
      </c>
      <c r="S834" s="105"/>
      <c r="T834" s="105" t="str">
        <f t="array" ref="T834">IF(ISBLANK(G834),"",INDEX('POR Config List'!I:I,MATCH(G834,'POR Config List'!D:D,0)))</f>
        <v/>
      </c>
      <c r="AA834" s="100" t="str">
        <f t="array" ref="AA834">IF(ISBLANK(G834),"",INDEX('POR Config List'!E:E,MATCH(G834,'POR Config List'!D:D,0)))</f>
        <v/>
      </c>
      <c r="AC834" s="105"/>
      <c r="AD834" s="100"/>
      <c r="AE834" s="100"/>
      <c r="AF834" s="100"/>
      <c r="AG834" s="100"/>
      <c r="AM834" s="102"/>
      <c r="AN834" s="102"/>
      <c r="AR834" s="119"/>
      <c r="AS834" s="103"/>
    </row>
    <row r="835">
      <c r="A835" s="168"/>
      <c r="B835" s="100" t="str">
        <f t="array" ref="B835">IFERROR( INDEX('POR Config List'!A:A,MATCH(G835,'POR Config List'!D:D,0)),"")</f>
        <v/>
      </c>
      <c r="C835" s="101" t="str">
        <f t="array" ref="C835">IFERROR(INDEX('label approval artwork'!E:E,MATCH(G835,'label approval artwork'!F:F,0),""),"")</f>
        <v/>
      </c>
      <c r="D835" s="102" t="str">
        <f t="shared" si="3"/>
        <v/>
      </c>
      <c r="E835" s="100" t="str">
        <f t="array" ref="E835">IF(ISBLANK(G835),"",INDEX('POR Config List'!K:K,MATCH(G835,'POR Config List'!D:D,0)))</f>
        <v/>
      </c>
      <c r="F835" s="100" t="str">
        <f t="array" ref="F835">IF(ISBLANK(G835),"",INDEX('POR Config List'!J:J,MATCH(G835,'POR Config List'!D:D,0)))</f>
        <v/>
      </c>
      <c r="G835" s="168"/>
      <c r="H835" s="104" t="str">
        <f t="array" ref="H835">IF(ISBLANK(G835),"",INDEX('MP SKUs'!G:G,MATCH(G835,'MP SKUs'!A:A,0)))</f>
        <v/>
      </c>
      <c r="I835" s="105" t="str">
        <f t="array" ref="I835">IF(ISBLANK(G835),"",INDEX('POR Config List'!O:O,MATCH(G835,'POR Config List'!D:D,0)))</f>
        <v/>
      </c>
      <c r="J835" s="104" t="str">
        <f t="array" ref="J835">IF(ISBLANK(G835),"",INDEX('POR Config List'!H:H,MATCH(G835,'POR Config List'!D:D,0)))</f>
        <v/>
      </c>
      <c r="K835" s="105" t="str">
        <f t="array" ref="K835">IF(ISBLANK(G835),"",INDEX('POR Config List'!G:G,MATCH(G835,'POR Config List'!D:D,0)))</f>
        <v/>
      </c>
      <c r="L835" s="105"/>
      <c r="M835" s="105" t="str">
        <f t="array" ref="M835">IF(ISBLANK(G835),"",INDEX('label approval artwork'!Q:Q,MATCH( G835,'label approval artwork'!F:F,0)))</f>
        <v/>
      </c>
      <c r="N835" s="169" t="str">
        <f t="shared" si="5"/>
        <v/>
      </c>
      <c r="O835" s="102" t="str">
        <f t="array" ref="O835">IF(ISBLANK(G835),"",INDEX('POR Config List'!C:C,MATCH(G835,'POR Config List'!D:D,0)))</f>
        <v/>
      </c>
      <c r="P835" s="105" t="str">
        <f t="shared" si="4"/>
        <v/>
      </c>
      <c r="Q835" s="105" t="str">
        <f t="array" ref="Q835">IF(ISBLANK(G835),"",INDEX('label approval artwork'!J:J,MATCH( G835,'label approval artwork'!F:F,0)))</f>
        <v/>
      </c>
      <c r="R835" s="105" t="str">
        <f t="array" ref="R835">IFERROR( IF(P835&lt;&gt;"EMA",INDEX('label approval artwork'!H:H,MATCH(G835,'label approval artwork'!F:F,0),"")),"")</f>
        <v/>
      </c>
      <c r="S835" s="105"/>
      <c r="T835" s="105" t="str">
        <f t="array" ref="T835">IF(ISBLANK(G835),"",INDEX('POR Config List'!I:I,MATCH(G835,'POR Config List'!D:D,0)))</f>
        <v/>
      </c>
      <c r="AA835" s="100" t="str">
        <f t="array" ref="AA835">IF(ISBLANK(G835),"",INDEX('POR Config List'!E:E,MATCH(G835,'POR Config List'!D:D,0)))</f>
        <v/>
      </c>
      <c r="AC835" s="105"/>
      <c r="AD835" s="100"/>
      <c r="AE835" s="100"/>
      <c r="AF835" s="100"/>
      <c r="AG835" s="100"/>
      <c r="AM835" s="102"/>
      <c r="AN835" s="102"/>
      <c r="AR835" s="119"/>
      <c r="AS835" s="103"/>
    </row>
    <row r="836">
      <c r="A836" s="168"/>
      <c r="B836" s="100" t="str">
        <f t="array" ref="B836">IFERROR( INDEX('POR Config List'!A:A,MATCH(G836,'POR Config List'!D:D,0)),"")</f>
        <v/>
      </c>
      <c r="C836" s="101" t="str">
        <f t="array" ref="C836">IFERROR(INDEX('label approval artwork'!E:E,MATCH(G836,'label approval artwork'!F:F,0),""),"")</f>
        <v/>
      </c>
      <c r="D836" s="102" t="str">
        <f t="shared" si="3"/>
        <v/>
      </c>
      <c r="E836" s="100" t="str">
        <f t="array" ref="E836">IF(ISBLANK(G836),"",INDEX('POR Config List'!K:K,MATCH(G836,'POR Config List'!D:D,0)))</f>
        <v/>
      </c>
      <c r="F836" s="100" t="str">
        <f t="array" ref="F836">IF(ISBLANK(G836),"",INDEX('POR Config List'!J:J,MATCH(G836,'POR Config List'!D:D,0)))</f>
        <v/>
      </c>
      <c r="G836" s="168"/>
      <c r="H836" s="104" t="str">
        <f t="array" ref="H836">IF(ISBLANK(G836),"",INDEX('MP SKUs'!G:G,MATCH(G836,'MP SKUs'!A:A,0)))</f>
        <v/>
      </c>
      <c r="I836" s="105" t="str">
        <f t="array" ref="I836">IF(ISBLANK(G836),"",INDEX('POR Config List'!O:O,MATCH(G836,'POR Config List'!D:D,0)))</f>
        <v/>
      </c>
      <c r="J836" s="104" t="str">
        <f t="array" ref="J836">IF(ISBLANK(G836),"",INDEX('POR Config List'!H:H,MATCH(G836,'POR Config List'!D:D,0)))</f>
        <v/>
      </c>
      <c r="K836" s="105" t="str">
        <f t="array" ref="K836">IF(ISBLANK(G836),"",INDEX('POR Config List'!G:G,MATCH(G836,'POR Config List'!D:D,0)))</f>
        <v/>
      </c>
      <c r="L836" s="105"/>
      <c r="M836" s="105" t="str">
        <f t="array" ref="M836">IF(ISBLANK(G836),"",INDEX('label approval artwork'!Q:Q,MATCH( G836,'label approval artwork'!F:F,0)))</f>
        <v/>
      </c>
      <c r="N836" s="169" t="str">
        <f t="shared" si="5"/>
        <v/>
      </c>
      <c r="O836" s="102" t="str">
        <f t="array" ref="O836">IF(ISBLANK(G836),"",INDEX('POR Config List'!C:C,MATCH(G836,'POR Config List'!D:D,0)))</f>
        <v/>
      </c>
      <c r="P836" s="105" t="str">
        <f t="shared" si="4"/>
        <v/>
      </c>
      <c r="Q836" s="105" t="str">
        <f t="array" ref="Q836">IF(ISBLANK(G836),"",INDEX('label approval artwork'!J:J,MATCH( G836,'label approval artwork'!F:F,0)))</f>
        <v/>
      </c>
      <c r="R836" s="105" t="str">
        <f t="array" ref="R836">IFERROR( IF(P836&lt;&gt;"EMA",INDEX('label approval artwork'!H:H,MATCH(G836,'label approval artwork'!F:F,0),"")),"")</f>
        <v/>
      </c>
      <c r="S836" s="105"/>
      <c r="T836" s="105" t="str">
        <f t="array" ref="T836">IF(ISBLANK(G836),"",INDEX('POR Config List'!I:I,MATCH(G836,'POR Config List'!D:D,0)))</f>
        <v/>
      </c>
      <c r="AA836" s="100" t="str">
        <f t="array" ref="AA836">IF(ISBLANK(G836),"",INDEX('POR Config List'!E:E,MATCH(G836,'POR Config List'!D:D,0)))</f>
        <v/>
      </c>
      <c r="AC836" s="105"/>
      <c r="AD836" s="100"/>
      <c r="AE836" s="100"/>
      <c r="AF836" s="100"/>
      <c r="AG836" s="100"/>
      <c r="AM836" s="102"/>
      <c r="AN836" s="102"/>
      <c r="AR836" s="119"/>
      <c r="AS836" s="103"/>
    </row>
    <row r="837">
      <c r="A837" s="168"/>
      <c r="B837" s="100" t="str">
        <f t="array" ref="B837">IFERROR( INDEX('POR Config List'!A:A,MATCH(G837,'POR Config List'!D:D,0)),"")</f>
        <v/>
      </c>
      <c r="C837" s="101" t="str">
        <f t="array" ref="C837">IFERROR(INDEX('label approval artwork'!E:E,MATCH(G837,'label approval artwork'!F:F,0),""),"")</f>
        <v/>
      </c>
      <c r="D837" s="102" t="str">
        <f t="shared" si="3"/>
        <v/>
      </c>
      <c r="E837" s="100" t="str">
        <f t="array" ref="E837">IF(ISBLANK(G837),"",INDEX('POR Config List'!K:K,MATCH(G837,'POR Config List'!D:D,0)))</f>
        <v/>
      </c>
      <c r="F837" s="100" t="str">
        <f t="array" ref="F837">IF(ISBLANK(G837),"",INDEX('POR Config List'!J:J,MATCH(G837,'POR Config List'!D:D,0)))</f>
        <v/>
      </c>
      <c r="G837" s="168"/>
      <c r="H837" s="104" t="str">
        <f t="array" ref="H837">IF(ISBLANK(G837),"",INDEX('MP SKUs'!G:G,MATCH(G837,'MP SKUs'!A:A,0)))</f>
        <v/>
      </c>
      <c r="I837" s="105" t="str">
        <f t="array" ref="I837">IF(ISBLANK(G837),"",INDEX('POR Config List'!O:O,MATCH(G837,'POR Config List'!D:D,0)))</f>
        <v/>
      </c>
      <c r="J837" s="104" t="str">
        <f t="array" ref="J837">IF(ISBLANK(G837),"",INDEX('POR Config List'!H:H,MATCH(G837,'POR Config List'!D:D,0)))</f>
        <v/>
      </c>
      <c r="K837" s="105" t="str">
        <f t="array" ref="K837">IF(ISBLANK(G837),"",INDEX('POR Config List'!G:G,MATCH(G837,'POR Config List'!D:D,0)))</f>
        <v/>
      </c>
      <c r="L837" s="105"/>
      <c r="M837" s="105" t="str">
        <f t="array" ref="M837">IF(ISBLANK(G837),"",INDEX('label approval artwork'!Q:Q,MATCH( G837,'label approval artwork'!F:F,0)))</f>
        <v/>
      </c>
      <c r="N837" s="169" t="str">
        <f t="shared" si="5"/>
        <v/>
      </c>
      <c r="O837" s="102" t="str">
        <f t="array" ref="O837">IF(ISBLANK(G837),"",INDEX('POR Config List'!C:C,MATCH(G837,'POR Config List'!D:D,0)))</f>
        <v/>
      </c>
      <c r="P837" s="105" t="str">
        <f t="shared" si="4"/>
        <v/>
      </c>
      <c r="Q837" s="105" t="str">
        <f t="array" ref="Q837">IF(ISBLANK(G837),"",INDEX('label approval artwork'!J:J,MATCH( G837,'label approval artwork'!F:F,0)))</f>
        <v/>
      </c>
      <c r="R837" s="105" t="str">
        <f t="array" ref="R837">IFERROR( IF(P837&lt;&gt;"EMA",INDEX('label approval artwork'!H:H,MATCH(G837,'label approval artwork'!F:F,0),"")),"")</f>
        <v/>
      </c>
      <c r="S837" s="105"/>
      <c r="T837" s="105" t="str">
        <f t="array" ref="T837">IF(ISBLANK(G837),"",INDEX('POR Config List'!I:I,MATCH(G837,'POR Config List'!D:D,0)))</f>
        <v/>
      </c>
      <c r="AA837" s="100" t="str">
        <f t="array" ref="AA837">IF(ISBLANK(G837),"",INDEX('POR Config List'!E:E,MATCH(G837,'POR Config List'!D:D,0)))</f>
        <v/>
      </c>
      <c r="AC837" s="105"/>
      <c r="AD837" s="100"/>
      <c r="AE837" s="100"/>
      <c r="AF837" s="100"/>
      <c r="AG837" s="100"/>
      <c r="AM837" s="102"/>
      <c r="AN837" s="102"/>
      <c r="AR837" s="119"/>
      <c r="AS837" s="103"/>
    </row>
    <row r="838">
      <c r="A838" s="168"/>
      <c r="B838" s="100" t="str">
        <f t="array" ref="B838">IFERROR( INDEX('POR Config List'!A:A,MATCH(G838,'POR Config List'!D:D,0)),"")</f>
        <v/>
      </c>
      <c r="C838" s="101" t="str">
        <f t="array" ref="C838">IFERROR(INDEX('label approval artwork'!E:E,MATCH(G838,'label approval artwork'!F:F,0),""),"")</f>
        <v/>
      </c>
      <c r="D838" s="102" t="str">
        <f t="shared" si="3"/>
        <v/>
      </c>
      <c r="E838" s="100" t="str">
        <f t="array" ref="E838">IF(ISBLANK(G838),"",INDEX('POR Config List'!K:K,MATCH(G838,'POR Config List'!D:D,0)))</f>
        <v/>
      </c>
      <c r="F838" s="100" t="str">
        <f t="array" ref="F838">IF(ISBLANK(G838),"",INDEX('POR Config List'!J:J,MATCH(G838,'POR Config List'!D:D,0)))</f>
        <v/>
      </c>
      <c r="G838" s="168"/>
      <c r="H838" s="104" t="str">
        <f t="array" ref="H838">IF(ISBLANK(G838),"",INDEX('MP SKUs'!G:G,MATCH(G838,'MP SKUs'!A:A,0)))</f>
        <v/>
      </c>
      <c r="I838" s="105" t="str">
        <f t="array" ref="I838">IF(ISBLANK(G838),"",INDEX('POR Config List'!O:O,MATCH(G838,'POR Config List'!D:D,0)))</f>
        <v/>
      </c>
      <c r="J838" s="104" t="str">
        <f t="array" ref="J838">IF(ISBLANK(G838),"",INDEX('POR Config List'!H:H,MATCH(G838,'POR Config List'!D:D,0)))</f>
        <v/>
      </c>
      <c r="K838" s="105" t="str">
        <f t="array" ref="K838">IF(ISBLANK(G838),"",INDEX('POR Config List'!G:G,MATCH(G838,'POR Config List'!D:D,0)))</f>
        <v/>
      </c>
      <c r="L838" s="105"/>
      <c r="M838" s="105" t="str">
        <f t="array" ref="M838">IF(ISBLANK(G838),"",INDEX('label approval artwork'!Q:Q,MATCH( G838,'label approval artwork'!F:F,0)))</f>
        <v/>
      </c>
      <c r="N838" s="169" t="str">
        <f t="shared" si="5"/>
        <v/>
      </c>
      <c r="O838" s="102" t="str">
        <f t="array" ref="O838">IF(ISBLANK(G838),"",INDEX('POR Config List'!C:C,MATCH(G838,'POR Config List'!D:D,0)))</f>
        <v/>
      </c>
      <c r="P838" s="105" t="str">
        <f t="shared" si="4"/>
        <v/>
      </c>
      <c r="Q838" s="105" t="str">
        <f t="array" ref="Q838">IF(ISBLANK(G838),"",INDEX('label approval artwork'!J:J,MATCH( G838,'label approval artwork'!F:F,0)))</f>
        <v/>
      </c>
      <c r="R838" s="105" t="str">
        <f t="array" ref="R838">IFERROR( IF(P838&lt;&gt;"EMA",INDEX('label approval artwork'!H:H,MATCH(G838,'label approval artwork'!F:F,0),"")),"")</f>
        <v/>
      </c>
      <c r="S838" s="105"/>
      <c r="T838" s="105" t="str">
        <f t="array" ref="T838">IF(ISBLANK(G838),"",INDEX('POR Config List'!I:I,MATCH(G838,'POR Config List'!D:D,0)))</f>
        <v/>
      </c>
      <c r="AA838" s="100" t="str">
        <f t="array" ref="AA838">IF(ISBLANK(G838),"",INDEX('POR Config List'!E:E,MATCH(G838,'POR Config List'!D:D,0)))</f>
        <v/>
      </c>
      <c r="AC838" s="105"/>
      <c r="AD838" s="100"/>
      <c r="AE838" s="100"/>
      <c r="AF838" s="100"/>
      <c r="AG838" s="100"/>
      <c r="AM838" s="102"/>
      <c r="AN838" s="102"/>
      <c r="AR838" s="119"/>
      <c r="AS838" s="103"/>
    </row>
    <row r="839">
      <c r="A839" s="168"/>
      <c r="B839" s="100" t="str">
        <f t="array" ref="B839">IFERROR( INDEX('POR Config List'!A:A,MATCH(G839,'POR Config List'!D:D,0)),"")</f>
        <v/>
      </c>
      <c r="C839" s="101" t="str">
        <f t="array" ref="C839">IFERROR(INDEX('label approval artwork'!E:E,MATCH(G839,'label approval artwork'!F:F,0),""),"")</f>
        <v/>
      </c>
      <c r="D839" s="102" t="str">
        <f t="shared" si="3"/>
        <v/>
      </c>
      <c r="E839" s="100" t="str">
        <f t="array" ref="E839">IF(ISBLANK(G839),"",INDEX('POR Config List'!K:K,MATCH(G839,'POR Config List'!D:D,0)))</f>
        <v/>
      </c>
      <c r="F839" s="100" t="str">
        <f t="array" ref="F839">IF(ISBLANK(G839),"",INDEX('POR Config List'!J:J,MATCH(G839,'POR Config List'!D:D,0)))</f>
        <v/>
      </c>
      <c r="G839" s="168"/>
      <c r="H839" s="104" t="str">
        <f t="array" ref="H839">IF(ISBLANK(G839),"",INDEX('MP SKUs'!G:G,MATCH(G839,'MP SKUs'!A:A,0)))</f>
        <v/>
      </c>
      <c r="I839" s="105" t="str">
        <f t="array" ref="I839">IF(ISBLANK(G839),"",INDEX('POR Config List'!O:O,MATCH(G839,'POR Config List'!D:D,0)))</f>
        <v/>
      </c>
      <c r="J839" s="104" t="str">
        <f t="array" ref="J839">IF(ISBLANK(G839),"",INDEX('POR Config List'!H:H,MATCH(G839,'POR Config List'!D:D,0)))</f>
        <v/>
      </c>
      <c r="K839" s="105" t="str">
        <f t="array" ref="K839">IF(ISBLANK(G839),"",INDEX('POR Config List'!G:G,MATCH(G839,'POR Config List'!D:D,0)))</f>
        <v/>
      </c>
      <c r="L839" s="105"/>
      <c r="M839" s="105" t="str">
        <f t="array" ref="M839">IF(ISBLANK(G839),"",INDEX('label approval artwork'!Q:Q,MATCH( G839,'label approval artwork'!F:F,0)))</f>
        <v/>
      </c>
      <c r="N839" s="169" t="str">
        <f t="shared" si="5"/>
        <v/>
      </c>
      <c r="O839" s="102" t="str">
        <f t="array" ref="O839">IF(ISBLANK(G839),"",INDEX('POR Config List'!C:C,MATCH(G839,'POR Config List'!D:D,0)))</f>
        <v/>
      </c>
      <c r="P839" s="105" t="str">
        <f t="shared" si="4"/>
        <v/>
      </c>
      <c r="Q839" s="105" t="str">
        <f t="array" ref="Q839">IF(ISBLANK(G839),"",INDEX('label approval artwork'!J:J,MATCH( G839,'label approval artwork'!F:F,0)))</f>
        <v/>
      </c>
      <c r="R839" s="105" t="str">
        <f t="array" ref="R839">IFERROR( IF(P839&lt;&gt;"EMA",INDEX('label approval artwork'!H:H,MATCH(G839,'label approval artwork'!F:F,0),"")),"")</f>
        <v/>
      </c>
      <c r="S839" s="105"/>
      <c r="T839" s="105" t="str">
        <f t="array" ref="T839">IF(ISBLANK(G839),"",INDEX('POR Config List'!I:I,MATCH(G839,'POR Config List'!D:D,0)))</f>
        <v/>
      </c>
      <c r="AA839" s="100" t="str">
        <f t="array" ref="AA839">IF(ISBLANK(G839),"",INDEX('POR Config List'!E:E,MATCH(G839,'POR Config List'!D:D,0)))</f>
        <v/>
      </c>
      <c r="AC839" s="105"/>
      <c r="AD839" s="100"/>
      <c r="AE839" s="100"/>
      <c r="AF839" s="100"/>
      <c r="AG839" s="100"/>
      <c r="AM839" s="102"/>
      <c r="AN839" s="102"/>
      <c r="AR839" s="119"/>
      <c r="AS839" s="103"/>
    </row>
    <row r="840">
      <c r="A840" s="168"/>
      <c r="B840" s="100" t="str">
        <f t="array" ref="B840">IFERROR( INDEX('POR Config List'!A:A,MATCH(G840,'POR Config List'!D:D,0)),"")</f>
        <v/>
      </c>
      <c r="C840" s="101" t="str">
        <f t="array" ref="C840">IFERROR(INDEX('label approval artwork'!E:E,MATCH(G840,'label approval artwork'!F:F,0),""),"")</f>
        <v/>
      </c>
      <c r="D840" s="102" t="str">
        <f t="shared" si="3"/>
        <v/>
      </c>
      <c r="E840" s="100" t="str">
        <f t="array" ref="E840">IF(ISBLANK(G840),"",INDEX('POR Config List'!K:K,MATCH(G840,'POR Config List'!D:D,0)))</f>
        <v/>
      </c>
      <c r="F840" s="100" t="str">
        <f t="array" ref="F840">IF(ISBLANK(G840),"",INDEX('POR Config List'!J:J,MATCH(G840,'POR Config List'!D:D,0)))</f>
        <v/>
      </c>
      <c r="G840" s="168"/>
      <c r="H840" s="104" t="str">
        <f t="array" ref="H840">IF(ISBLANK(G840),"",INDEX('MP SKUs'!G:G,MATCH(G840,'MP SKUs'!A:A,0)))</f>
        <v/>
      </c>
      <c r="I840" s="105" t="str">
        <f t="array" ref="I840">IF(ISBLANK(G840),"",INDEX('POR Config List'!O:O,MATCH(G840,'POR Config List'!D:D,0)))</f>
        <v/>
      </c>
      <c r="J840" s="104" t="str">
        <f t="array" ref="J840">IF(ISBLANK(G840),"",INDEX('POR Config List'!H:H,MATCH(G840,'POR Config List'!D:D,0)))</f>
        <v/>
      </c>
      <c r="K840" s="105" t="str">
        <f t="array" ref="K840">IF(ISBLANK(G840),"",INDEX('POR Config List'!G:G,MATCH(G840,'POR Config List'!D:D,0)))</f>
        <v/>
      </c>
      <c r="L840" s="105"/>
      <c r="M840" s="105" t="str">
        <f t="array" ref="M840">IF(ISBLANK(G840),"",INDEX('label approval artwork'!Q:Q,MATCH( G840,'label approval artwork'!F:F,0)))</f>
        <v/>
      </c>
      <c r="N840" s="169" t="str">
        <f t="shared" si="5"/>
        <v/>
      </c>
      <c r="O840" s="102" t="str">
        <f t="array" ref="O840">IF(ISBLANK(G840),"",INDEX('POR Config List'!C:C,MATCH(G840,'POR Config List'!D:D,0)))</f>
        <v/>
      </c>
      <c r="P840" s="105" t="str">
        <f t="shared" si="4"/>
        <v/>
      </c>
      <c r="Q840" s="105" t="str">
        <f t="array" ref="Q840">IF(ISBLANK(G840),"",INDEX('label approval artwork'!J:J,MATCH( G840,'label approval artwork'!F:F,0)))</f>
        <v/>
      </c>
      <c r="R840" s="105" t="str">
        <f t="array" ref="R840">IFERROR( IF(P840&lt;&gt;"EMA",INDEX('label approval artwork'!H:H,MATCH(G840,'label approval artwork'!F:F,0),"")),"")</f>
        <v/>
      </c>
      <c r="S840" s="105"/>
      <c r="T840" s="105" t="str">
        <f t="array" ref="T840">IF(ISBLANK(G840),"",INDEX('POR Config List'!I:I,MATCH(G840,'POR Config List'!D:D,0)))</f>
        <v/>
      </c>
      <c r="AA840" s="100" t="str">
        <f t="array" ref="AA840">IF(ISBLANK(G840),"",INDEX('POR Config List'!E:E,MATCH(G840,'POR Config List'!D:D,0)))</f>
        <v/>
      </c>
      <c r="AC840" s="105"/>
      <c r="AD840" s="100"/>
      <c r="AE840" s="100"/>
      <c r="AF840" s="100"/>
      <c r="AG840" s="100"/>
      <c r="AM840" s="102"/>
      <c r="AN840" s="102"/>
      <c r="AR840" s="119"/>
      <c r="AS840" s="103"/>
    </row>
    <row r="841">
      <c r="A841" s="168"/>
      <c r="B841" s="100" t="str">
        <f t="array" ref="B841">IFERROR( INDEX('POR Config List'!A:A,MATCH(G841,'POR Config List'!D:D,0)),"")</f>
        <v/>
      </c>
      <c r="C841" s="101" t="str">
        <f t="array" ref="C841">IFERROR(INDEX('label approval artwork'!E:E,MATCH(G841,'label approval artwork'!F:F,0),""),"")</f>
        <v/>
      </c>
      <c r="D841" s="102" t="str">
        <f t="shared" si="3"/>
        <v/>
      </c>
      <c r="E841" s="100" t="str">
        <f t="array" ref="E841">IF(ISBLANK(G841),"",INDEX('POR Config List'!K:K,MATCH(G841,'POR Config List'!D:D,0)))</f>
        <v/>
      </c>
      <c r="F841" s="100" t="str">
        <f t="array" ref="F841">IF(ISBLANK(G841),"",INDEX('POR Config List'!J:J,MATCH(G841,'POR Config List'!D:D,0)))</f>
        <v/>
      </c>
      <c r="G841" s="168"/>
      <c r="H841" s="104" t="str">
        <f t="array" ref="H841">IF(ISBLANK(G841),"",INDEX('MP SKUs'!G:G,MATCH(G841,'MP SKUs'!A:A,0)))</f>
        <v/>
      </c>
      <c r="I841" s="105" t="str">
        <f t="array" ref="I841">IF(ISBLANK(G841),"",INDEX('POR Config List'!O:O,MATCH(G841,'POR Config List'!D:D,0)))</f>
        <v/>
      </c>
      <c r="J841" s="104" t="str">
        <f t="array" ref="J841">IF(ISBLANK(G841),"",INDEX('POR Config List'!H:H,MATCH(G841,'POR Config List'!D:D,0)))</f>
        <v/>
      </c>
      <c r="K841" s="105" t="str">
        <f t="array" ref="K841">IF(ISBLANK(G841),"",INDEX('POR Config List'!G:G,MATCH(G841,'POR Config List'!D:D,0)))</f>
        <v/>
      </c>
      <c r="L841" s="105"/>
      <c r="M841" s="105" t="str">
        <f t="array" ref="M841">IF(ISBLANK(G841),"",INDEX('label approval artwork'!Q:Q,MATCH( G841,'label approval artwork'!F:F,0)))</f>
        <v/>
      </c>
      <c r="N841" s="169" t="str">
        <f t="shared" si="5"/>
        <v/>
      </c>
      <c r="O841" s="102" t="str">
        <f t="array" ref="O841">IF(ISBLANK(G841),"",INDEX('POR Config List'!C:C,MATCH(G841,'POR Config List'!D:D,0)))</f>
        <v/>
      </c>
      <c r="P841" s="105" t="str">
        <f t="shared" si="4"/>
        <v/>
      </c>
      <c r="Q841" s="105" t="str">
        <f t="array" ref="Q841">IF(ISBLANK(G841),"",INDEX('label approval artwork'!J:J,MATCH( G841,'label approval artwork'!F:F,0)))</f>
        <v/>
      </c>
      <c r="R841" s="105" t="str">
        <f t="array" ref="R841">IFERROR( IF(P841&lt;&gt;"EMA",INDEX('label approval artwork'!H:H,MATCH(G841,'label approval artwork'!F:F,0),"")),"")</f>
        <v/>
      </c>
      <c r="S841" s="105"/>
      <c r="T841" s="105" t="str">
        <f t="array" ref="T841">IF(ISBLANK(G841),"",INDEX('POR Config List'!I:I,MATCH(G841,'POR Config List'!D:D,0)))</f>
        <v/>
      </c>
      <c r="AA841" s="100" t="str">
        <f t="array" ref="AA841">IF(ISBLANK(G841),"",INDEX('POR Config List'!E:E,MATCH(G841,'POR Config List'!D:D,0)))</f>
        <v/>
      </c>
      <c r="AC841" s="105"/>
      <c r="AD841" s="100"/>
      <c r="AE841" s="100"/>
      <c r="AF841" s="100"/>
      <c r="AG841" s="100"/>
      <c r="AM841" s="102"/>
      <c r="AN841" s="102"/>
      <c r="AR841" s="119"/>
      <c r="AS841" s="103"/>
    </row>
    <row r="842">
      <c r="A842" s="168"/>
      <c r="B842" s="100" t="str">
        <f t="array" ref="B842">IFERROR( INDEX('POR Config List'!A:A,MATCH(G842,'POR Config List'!D:D,0)),"")</f>
        <v/>
      </c>
      <c r="C842" s="101" t="str">
        <f t="array" ref="C842">IFERROR(INDEX('label approval artwork'!E:E,MATCH(G842,'label approval artwork'!F:F,0),""),"")</f>
        <v/>
      </c>
      <c r="D842" s="102" t="str">
        <f t="shared" si="3"/>
        <v/>
      </c>
      <c r="E842" s="100" t="str">
        <f t="array" ref="E842">IF(ISBLANK(G842),"",INDEX('POR Config List'!K:K,MATCH(G842,'POR Config List'!D:D,0)))</f>
        <v/>
      </c>
      <c r="F842" s="100" t="str">
        <f t="array" ref="F842">IF(ISBLANK(G842),"",INDEX('POR Config List'!J:J,MATCH(G842,'POR Config List'!D:D,0)))</f>
        <v/>
      </c>
      <c r="G842" s="168"/>
      <c r="H842" s="104" t="str">
        <f t="array" ref="H842">IF(ISBLANK(G842),"",INDEX('MP SKUs'!G:G,MATCH(G842,'MP SKUs'!A:A,0)))</f>
        <v/>
      </c>
      <c r="I842" s="105" t="str">
        <f t="array" ref="I842">IF(ISBLANK(G842),"",INDEX('POR Config List'!O:O,MATCH(G842,'POR Config List'!D:D,0)))</f>
        <v/>
      </c>
      <c r="J842" s="104" t="str">
        <f t="array" ref="J842">IF(ISBLANK(G842),"",INDEX('POR Config List'!H:H,MATCH(G842,'POR Config List'!D:D,0)))</f>
        <v/>
      </c>
      <c r="K842" s="105" t="str">
        <f t="array" ref="K842">IF(ISBLANK(G842),"",INDEX('POR Config List'!G:G,MATCH(G842,'POR Config List'!D:D,0)))</f>
        <v/>
      </c>
      <c r="L842" s="105"/>
      <c r="M842" s="105" t="str">
        <f t="array" ref="M842">IF(ISBLANK(G842),"",INDEX('label approval artwork'!Q:Q,MATCH( G842,'label approval artwork'!F:F,0)))</f>
        <v/>
      </c>
      <c r="N842" s="169" t="str">
        <f t="shared" si="5"/>
        <v/>
      </c>
      <c r="O842" s="102" t="str">
        <f t="array" ref="O842">IF(ISBLANK(G842),"",INDEX('POR Config List'!C:C,MATCH(G842,'POR Config List'!D:D,0)))</f>
        <v/>
      </c>
      <c r="P842" s="105" t="str">
        <f t="shared" si="4"/>
        <v/>
      </c>
      <c r="Q842" s="105" t="str">
        <f t="array" ref="Q842">IF(ISBLANK(G842),"",INDEX('label approval artwork'!J:J,MATCH( G842,'label approval artwork'!F:F,0)))</f>
        <v/>
      </c>
      <c r="R842" s="105" t="str">
        <f t="array" ref="R842">IFERROR( IF(P842&lt;&gt;"EMA",INDEX('label approval artwork'!H:H,MATCH(G842,'label approval artwork'!F:F,0),"")),"")</f>
        <v/>
      </c>
      <c r="S842" s="105"/>
      <c r="T842" s="105" t="str">
        <f t="array" ref="T842">IF(ISBLANK(G842),"",INDEX('POR Config List'!I:I,MATCH(G842,'POR Config List'!D:D,0)))</f>
        <v/>
      </c>
      <c r="AA842" s="100" t="str">
        <f t="array" ref="AA842">IF(ISBLANK(G842),"",INDEX('POR Config List'!E:E,MATCH(G842,'POR Config List'!D:D,0)))</f>
        <v/>
      </c>
      <c r="AC842" s="105"/>
      <c r="AD842" s="100"/>
      <c r="AE842" s="100"/>
      <c r="AF842" s="100"/>
      <c r="AG842" s="100"/>
      <c r="AM842" s="102"/>
      <c r="AN842" s="102"/>
      <c r="AR842" s="119"/>
      <c r="AS842" s="103"/>
    </row>
    <row r="843">
      <c r="A843" s="168"/>
      <c r="B843" s="100" t="str">
        <f t="array" ref="B843">IFERROR( INDEX('POR Config List'!A:A,MATCH(G843,'POR Config List'!D:D,0)),"")</f>
        <v/>
      </c>
      <c r="C843" s="101" t="str">
        <f t="array" ref="C843">IFERROR(INDEX('label approval artwork'!E:E,MATCH(G843,'label approval artwork'!F:F,0),""),"")</f>
        <v/>
      </c>
      <c r="D843" s="102" t="str">
        <f t="shared" si="3"/>
        <v/>
      </c>
      <c r="E843" s="100" t="str">
        <f t="array" ref="E843">IF(ISBLANK(G843),"",INDEX('POR Config List'!K:K,MATCH(G843,'POR Config List'!D:D,0)))</f>
        <v/>
      </c>
      <c r="F843" s="100" t="str">
        <f t="array" ref="F843">IF(ISBLANK(G843),"",INDEX('POR Config List'!J:J,MATCH(G843,'POR Config List'!D:D,0)))</f>
        <v/>
      </c>
      <c r="G843" s="168"/>
      <c r="H843" s="104" t="str">
        <f t="array" ref="H843">IF(ISBLANK(G843),"",INDEX('MP SKUs'!G:G,MATCH(G843,'MP SKUs'!A:A,0)))</f>
        <v/>
      </c>
      <c r="I843" s="105" t="str">
        <f t="array" ref="I843">IF(ISBLANK(G843),"",INDEX('POR Config List'!O:O,MATCH(G843,'POR Config List'!D:D,0)))</f>
        <v/>
      </c>
      <c r="J843" s="104" t="str">
        <f t="array" ref="J843">IF(ISBLANK(G843),"",INDEX('POR Config List'!H:H,MATCH(G843,'POR Config List'!D:D,0)))</f>
        <v/>
      </c>
      <c r="K843" s="105" t="str">
        <f t="array" ref="K843">IF(ISBLANK(G843),"",INDEX('POR Config List'!G:G,MATCH(G843,'POR Config List'!D:D,0)))</f>
        <v/>
      </c>
      <c r="L843" s="105"/>
      <c r="M843" s="105" t="str">
        <f t="array" ref="M843">IF(ISBLANK(G843),"",INDEX('label approval artwork'!Q:Q,MATCH( G843,'label approval artwork'!F:F,0)))</f>
        <v/>
      </c>
      <c r="N843" s="169" t="str">
        <f t="shared" si="5"/>
        <v/>
      </c>
      <c r="O843" s="102" t="str">
        <f t="array" ref="O843">IF(ISBLANK(G843),"",INDEX('POR Config List'!C:C,MATCH(G843,'POR Config List'!D:D,0)))</f>
        <v/>
      </c>
      <c r="P843" s="105" t="str">
        <f t="shared" si="4"/>
        <v/>
      </c>
      <c r="Q843" s="105" t="str">
        <f t="array" ref="Q843">IF(ISBLANK(G843),"",INDEX('label approval artwork'!J:J,MATCH( G843,'label approval artwork'!F:F,0)))</f>
        <v/>
      </c>
      <c r="R843" s="105" t="str">
        <f t="array" ref="R843">IFERROR( IF(P843&lt;&gt;"EMA",INDEX('label approval artwork'!H:H,MATCH(G843,'label approval artwork'!F:F,0),"")),"")</f>
        <v/>
      </c>
      <c r="S843" s="105"/>
      <c r="T843" s="105" t="str">
        <f t="array" ref="T843">IF(ISBLANK(G843),"",INDEX('POR Config List'!I:I,MATCH(G843,'POR Config List'!D:D,0)))</f>
        <v/>
      </c>
      <c r="AA843" s="100" t="str">
        <f t="array" ref="AA843">IF(ISBLANK(G843),"",INDEX('POR Config List'!E:E,MATCH(G843,'POR Config List'!D:D,0)))</f>
        <v/>
      </c>
      <c r="AC843" s="105"/>
      <c r="AD843" s="100"/>
      <c r="AE843" s="100"/>
      <c r="AF843" s="100"/>
      <c r="AG843" s="100"/>
      <c r="AM843" s="102"/>
      <c r="AN843" s="102"/>
      <c r="AR843" s="119"/>
      <c r="AS843" s="103"/>
    </row>
    <row r="844">
      <c r="A844" s="168"/>
      <c r="B844" s="100" t="str">
        <f t="array" ref="B844">IFERROR( INDEX('POR Config List'!A:A,MATCH(G844,'POR Config List'!D:D,0)),"")</f>
        <v/>
      </c>
      <c r="C844" s="101" t="str">
        <f t="array" ref="C844">IFERROR(INDEX('label approval artwork'!E:E,MATCH(G844,'label approval artwork'!F:F,0),""),"")</f>
        <v/>
      </c>
      <c r="D844" s="102" t="str">
        <f t="shared" si="3"/>
        <v/>
      </c>
      <c r="E844" s="100" t="str">
        <f t="array" ref="E844">IF(ISBLANK(G844),"",INDEX('POR Config List'!K:K,MATCH(G844,'POR Config List'!D:D,0)))</f>
        <v/>
      </c>
      <c r="F844" s="100" t="str">
        <f t="array" ref="F844">IF(ISBLANK(G844),"",INDEX('POR Config List'!J:J,MATCH(G844,'POR Config List'!D:D,0)))</f>
        <v/>
      </c>
      <c r="G844" s="168"/>
      <c r="H844" s="104" t="str">
        <f t="array" ref="H844">IF(ISBLANK(G844),"",INDEX('MP SKUs'!G:G,MATCH(G844,'MP SKUs'!A:A,0)))</f>
        <v/>
      </c>
      <c r="I844" s="105" t="str">
        <f t="array" ref="I844">IF(ISBLANK(G844),"",INDEX('POR Config List'!O:O,MATCH(G844,'POR Config List'!D:D,0)))</f>
        <v/>
      </c>
      <c r="J844" s="104" t="str">
        <f t="array" ref="J844">IF(ISBLANK(G844),"",INDEX('POR Config List'!H:H,MATCH(G844,'POR Config List'!D:D,0)))</f>
        <v/>
      </c>
      <c r="K844" s="105" t="str">
        <f t="array" ref="K844">IF(ISBLANK(G844),"",INDEX('POR Config List'!G:G,MATCH(G844,'POR Config List'!D:D,0)))</f>
        <v/>
      </c>
      <c r="L844" s="105"/>
      <c r="M844" s="105" t="str">
        <f t="array" ref="M844">IF(ISBLANK(G844),"",INDEX('label approval artwork'!Q:Q,MATCH( G844,'label approval artwork'!F:F,0)))</f>
        <v/>
      </c>
      <c r="N844" s="169" t="str">
        <f t="shared" si="5"/>
        <v/>
      </c>
      <c r="O844" s="102" t="str">
        <f t="array" ref="O844">IF(ISBLANK(G844),"",INDEX('POR Config List'!C:C,MATCH(G844,'POR Config List'!D:D,0)))</f>
        <v/>
      </c>
      <c r="P844" s="105" t="str">
        <f t="shared" si="4"/>
        <v/>
      </c>
      <c r="Q844" s="105" t="str">
        <f t="array" ref="Q844">IF(ISBLANK(G844),"",INDEX('label approval artwork'!J:J,MATCH( G844,'label approval artwork'!F:F,0)))</f>
        <v/>
      </c>
      <c r="R844" s="105" t="str">
        <f t="array" ref="R844">IFERROR( IF(P844&lt;&gt;"EMA",INDEX('label approval artwork'!H:H,MATCH(G844,'label approval artwork'!F:F,0),"")),"")</f>
        <v/>
      </c>
      <c r="S844" s="105"/>
      <c r="T844" s="105" t="str">
        <f t="array" ref="T844">IF(ISBLANK(G844),"",INDEX('POR Config List'!I:I,MATCH(G844,'POR Config List'!D:D,0)))</f>
        <v/>
      </c>
      <c r="AA844" s="100" t="str">
        <f t="array" ref="AA844">IF(ISBLANK(G844),"",INDEX('POR Config List'!E:E,MATCH(G844,'POR Config List'!D:D,0)))</f>
        <v/>
      </c>
      <c r="AC844" s="105"/>
      <c r="AD844" s="100"/>
      <c r="AE844" s="100"/>
      <c r="AF844" s="100"/>
      <c r="AG844" s="100"/>
      <c r="AM844" s="102"/>
      <c r="AN844" s="102"/>
      <c r="AR844" s="119"/>
      <c r="AS844" s="103"/>
    </row>
    <row r="845">
      <c r="A845" s="168"/>
      <c r="B845" s="100" t="str">
        <f t="array" ref="B845">IFERROR( INDEX('POR Config List'!A:A,MATCH(G845,'POR Config List'!D:D,0)),"")</f>
        <v/>
      </c>
      <c r="C845" s="101" t="str">
        <f t="array" ref="C845">IFERROR(INDEX('label approval artwork'!E:E,MATCH(G845,'label approval artwork'!F:F,0),""),"")</f>
        <v/>
      </c>
      <c r="D845" s="102" t="str">
        <f t="shared" si="3"/>
        <v/>
      </c>
      <c r="E845" s="100" t="str">
        <f t="array" ref="E845">IF(ISBLANK(G845),"",INDEX('POR Config List'!K:K,MATCH(G845,'POR Config List'!D:D,0)))</f>
        <v/>
      </c>
      <c r="F845" s="100" t="str">
        <f t="array" ref="F845">IF(ISBLANK(G845),"",INDEX('POR Config List'!J:J,MATCH(G845,'POR Config List'!D:D,0)))</f>
        <v/>
      </c>
      <c r="G845" s="168"/>
      <c r="H845" s="104" t="str">
        <f t="array" ref="H845">IF(ISBLANK(G845),"",INDEX('MP SKUs'!G:G,MATCH(G845,'MP SKUs'!A:A,0)))</f>
        <v/>
      </c>
      <c r="I845" s="105" t="str">
        <f t="array" ref="I845">IF(ISBLANK(G845),"",INDEX('POR Config List'!O:O,MATCH(G845,'POR Config List'!D:D,0)))</f>
        <v/>
      </c>
      <c r="J845" s="104" t="str">
        <f t="array" ref="J845">IF(ISBLANK(G845),"",INDEX('POR Config List'!H:H,MATCH(G845,'POR Config List'!D:D,0)))</f>
        <v/>
      </c>
      <c r="K845" s="105" t="str">
        <f t="array" ref="K845">IF(ISBLANK(G845),"",INDEX('POR Config List'!G:G,MATCH(G845,'POR Config List'!D:D,0)))</f>
        <v/>
      </c>
      <c r="L845" s="105"/>
      <c r="M845" s="105" t="str">
        <f t="array" ref="M845">IF(ISBLANK(G845),"",INDEX('label approval artwork'!Q:Q,MATCH( G845,'label approval artwork'!F:F,0)))</f>
        <v/>
      </c>
      <c r="N845" s="169" t="str">
        <f t="shared" si="5"/>
        <v/>
      </c>
      <c r="O845" s="102" t="str">
        <f t="array" ref="O845">IF(ISBLANK(G845),"",INDEX('POR Config List'!C:C,MATCH(G845,'POR Config List'!D:D,0)))</f>
        <v/>
      </c>
      <c r="P845" s="105" t="str">
        <f t="shared" si="4"/>
        <v/>
      </c>
      <c r="Q845" s="105" t="str">
        <f t="array" ref="Q845">IF(ISBLANK(G845),"",INDEX('label approval artwork'!J:J,MATCH( G845,'label approval artwork'!F:F,0)))</f>
        <v/>
      </c>
      <c r="R845" s="105" t="str">
        <f t="array" ref="R845">IFERROR( IF(P845&lt;&gt;"EMA",INDEX('label approval artwork'!H:H,MATCH(G845,'label approval artwork'!F:F,0),"")),"")</f>
        <v/>
      </c>
      <c r="S845" s="105"/>
      <c r="T845" s="105" t="str">
        <f t="array" ref="T845">IF(ISBLANK(G845),"",INDEX('POR Config List'!I:I,MATCH(G845,'POR Config List'!D:D,0)))</f>
        <v/>
      </c>
      <c r="AA845" s="100" t="str">
        <f t="array" ref="AA845">IF(ISBLANK(G845),"",INDEX('POR Config List'!E:E,MATCH(G845,'POR Config List'!D:D,0)))</f>
        <v/>
      </c>
      <c r="AC845" s="105"/>
      <c r="AD845" s="100"/>
      <c r="AE845" s="100"/>
      <c r="AF845" s="100"/>
      <c r="AG845" s="100"/>
      <c r="AM845" s="102"/>
      <c r="AN845" s="102"/>
      <c r="AR845" s="119"/>
      <c r="AS845" s="103"/>
    </row>
    <row r="846">
      <c r="A846" s="168"/>
      <c r="B846" s="100" t="str">
        <f t="array" ref="B846">IFERROR( INDEX('POR Config List'!A:A,MATCH(G846,'POR Config List'!D:D,0)),"")</f>
        <v/>
      </c>
      <c r="C846" s="101" t="str">
        <f t="array" ref="C846">IFERROR(INDEX('label approval artwork'!E:E,MATCH(G846,'label approval artwork'!F:F,0),""),"")</f>
        <v/>
      </c>
      <c r="D846" s="102" t="str">
        <f t="shared" si="3"/>
        <v/>
      </c>
      <c r="E846" s="100" t="str">
        <f t="array" ref="E846">IF(ISBLANK(G846),"",INDEX('POR Config List'!K:K,MATCH(G846,'POR Config List'!D:D,0)))</f>
        <v/>
      </c>
      <c r="F846" s="100" t="str">
        <f t="array" ref="F846">IF(ISBLANK(G846),"",INDEX('POR Config List'!J:J,MATCH(G846,'POR Config List'!D:D,0)))</f>
        <v/>
      </c>
      <c r="G846" s="168"/>
      <c r="H846" s="104" t="str">
        <f t="array" ref="H846">IF(ISBLANK(G846),"",INDEX('MP SKUs'!G:G,MATCH(G846,'MP SKUs'!A:A,0)))</f>
        <v/>
      </c>
      <c r="I846" s="105" t="str">
        <f t="array" ref="I846">IF(ISBLANK(G846),"",INDEX('POR Config List'!O:O,MATCH(G846,'POR Config List'!D:D,0)))</f>
        <v/>
      </c>
      <c r="J846" s="104" t="str">
        <f t="array" ref="J846">IF(ISBLANK(G846),"",INDEX('POR Config List'!H:H,MATCH(G846,'POR Config List'!D:D,0)))</f>
        <v/>
      </c>
      <c r="K846" s="105" t="str">
        <f t="array" ref="K846">IF(ISBLANK(G846),"",INDEX('POR Config List'!G:G,MATCH(G846,'POR Config List'!D:D,0)))</f>
        <v/>
      </c>
      <c r="L846" s="105"/>
      <c r="M846" s="105" t="str">
        <f t="array" ref="M846">IF(ISBLANK(G846),"",INDEX('label approval artwork'!Q:Q,MATCH( G846,'label approval artwork'!F:F,0)))</f>
        <v/>
      </c>
      <c r="N846" s="169" t="str">
        <f t="shared" si="5"/>
        <v/>
      </c>
      <c r="O846" s="102" t="str">
        <f t="array" ref="O846">IF(ISBLANK(G846),"",INDEX('POR Config List'!C:C,MATCH(G846,'POR Config List'!D:D,0)))</f>
        <v/>
      </c>
      <c r="P846" s="105" t="str">
        <f t="shared" si="4"/>
        <v/>
      </c>
      <c r="Q846" s="105" t="str">
        <f t="array" ref="Q846">IF(ISBLANK(G846),"",INDEX('label approval artwork'!J:J,MATCH( G846,'label approval artwork'!F:F,0)))</f>
        <v/>
      </c>
      <c r="R846" s="105" t="str">
        <f t="array" ref="R846">IFERROR( IF(P846&lt;&gt;"EMA",INDEX('label approval artwork'!H:H,MATCH(G846,'label approval artwork'!F:F,0),"")),"")</f>
        <v/>
      </c>
      <c r="S846" s="105"/>
      <c r="T846" s="105" t="str">
        <f t="array" ref="T846">IF(ISBLANK(G846),"",INDEX('POR Config List'!I:I,MATCH(G846,'POR Config List'!D:D,0)))</f>
        <v/>
      </c>
      <c r="AA846" s="100" t="str">
        <f t="array" ref="AA846">IF(ISBLANK(G846),"",INDEX('POR Config List'!E:E,MATCH(G846,'POR Config List'!D:D,0)))</f>
        <v/>
      </c>
      <c r="AC846" s="105"/>
      <c r="AD846" s="100"/>
      <c r="AE846" s="100"/>
      <c r="AF846" s="100"/>
      <c r="AG846" s="100"/>
      <c r="AM846" s="102"/>
      <c r="AN846" s="102"/>
      <c r="AR846" s="119"/>
      <c r="AS846" s="103"/>
    </row>
    <row r="847">
      <c r="A847" s="168"/>
      <c r="B847" s="100" t="str">
        <f t="array" ref="B847">IFERROR( INDEX('POR Config List'!A:A,MATCH(G847,'POR Config List'!D:D,0)),"")</f>
        <v/>
      </c>
      <c r="C847" s="101" t="str">
        <f t="array" ref="C847">IFERROR(INDEX('label approval artwork'!E:E,MATCH(G847,'label approval artwork'!F:F,0),""),"")</f>
        <v/>
      </c>
      <c r="D847" s="102" t="str">
        <f t="shared" si="3"/>
        <v/>
      </c>
      <c r="E847" s="100" t="str">
        <f t="array" ref="E847">IF(ISBLANK(G847),"",INDEX('POR Config List'!K:K,MATCH(G847,'POR Config List'!D:D,0)))</f>
        <v/>
      </c>
      <c r="F847" s="100" t="str">
        <f t="array" ref="F847">IF(ISBLANK(G847),"",INDEX('POR Config List'!J:J,MATCH(G847,'POR Config List'!D:D,0)))</f>
        <v/>
      </c>
      <c r="G847" s="168"/>
      <c r="H847" s="104" t="str">
        <f t="array" ref="H847">IF(ISBLANK(G847),"",INDEX('MP SKUs'!G:G,MATCH(G847,'MP SKUs'!A:A,0)))</f>
        <v/>
      </c>
      <c r="I847" s="105" t="str">
        <f t="array" ref="I847">IF(ISBLANK(G847),"",INDEX('POR Config List'!O:O,MATCH(G847,'POR Config List'!D:D,0)))</f>
        <v/>
      </c>
      <c r="J847" s="104" t="str">
        <f t="array" ref="J847">IF(ISBLANK(G847),"",INDEX('POR Config List'!H:H,MATCH(G847,'POR Config List'!D:D,0)))</f>
        <v/>
      </c>
      <c r="K847" s="105" t="str">
        <f t="array" ref="K847">IF(ISBLANK(G847),"",INDEX('POR Config List'!G:G,MATCH(G847,'POR Config List'!D:D,0)))</f>
        <v/>
      </c>
      <c r="L847" s="105"/>
      <c r="M847" s="105" t="str">
        <f t="array" ref="M847">IF(ISBLANK(G847),"",INDEX('label approval artwork'!Q:Q,MATCH( G847,'label approval artwork'!F:F,0)))</f>
        <v/>
      </c>
      <c r="N847" s="169" t="str">
        <f t="shared" si="5"/>
        <v/>
      </c>
      <c r="O847" s="102" t="str">
        <f t="array" ref="O847">IF(ISBLANK(G847),"",INDEX('POR Config List'!C:C,MATCH(G847,'POR Config List'!D:D,0)))</f>
        <v/>
      </c>
      <c r="P847" s="105" t="str">
        <f t="shared" si="4"/>
        <v/>
      </c>
      <c r="Q847" s="105" t="str">
        <f t="array" ref="Q847">IF(ISBLANK(G847),"",INDEX('label approval artwork'!J:J,MATCH( G847,'label approval artwork'!F:F,0)))</f>
        <v/>
      </c>
      <c r="R847" s="105" t="str">
        <f t="array" ref="R847">IFERROR( IF(P847&lt;&gt;"EMA",INDEX('label approval artwork'!H:H,MATCH(G847,'label approval artwork'!F:F,0),"")),"")</f>
        <v/>
      </c>
      <c r="S847" s="105"/>
      <c r="T847" s="105" t="str">
        <f t="array" ref="T847">IF(ISBLANK(G847),"",INDEX('POR Config List'!I:I,MATCH(G847,'POR Config List'!D:D,0)))</f>
        <v/>
      </c>
      <c r="AA847" s="100" t="str">
        <f t="array" ref="AA847">IF(ISBLANK(G847),"",INDEX('POR Config List'!E:E,MATCH(G847,'POR Config List'!D:D,0)))</f>
        <v/>
      </c>
      <c r="AC847" s="105"/>
      <c r="AD847" s="100"/>
      <c r="AE847" s="100"/>
      <c r="AF847" s="100"/>
      <c r="AG847" s="100"/>
      <c r="AM847" s="102"/>
      <c r="AN847" s="102"/>
      <c r="AR847" s="119"/>
      <c r="AS847" s="103"/>
    </row>
    <row r="848">
      <c r="A848" s="168"/>
      <c r="B848" s="100" t="str">
        <f t="array" ref="B848">IFERROR( INDEX('POR Config List'!A:A,MATCH(G848,'POR Config List'!D:D,0)),"")</f>
        <v/>
      </c>
      <c r="C848" s="101" t="str">
        <f t="array" ref="C848">IFERROR(INDEX('label approval artwork'!E:E,MATCH(G848,'label approval artwork'!F:F,0),""),"")</f>
        <v/>
      </c>
      <c r="D848" s="102" t="str">
        <f t="shared" si="3"/>
        <v/>
      </c>
      <c r="E848" s="100" t="str">
        <f t="array" ref="E848">IF(ISBLANK(G848),"",INDEX('POR Config List'!K:K,MATCH(G848,'POR Config List'!D:D,0)))</f>
        <v/>
      </c>
      <c r="F848" s="100" t="str">
        <f t="array" ref="F848">IF(ISBLANK(G848),"",INDEX('POR Config List'!J:J,MATCH(G848,'POR Config List'!D:D,0)))</f>
        <v/>
      </c>
      <c r="G848" s="168"/>
      <c r="H848" s="104" t="str">
        <f t="array" ref="H848">IF(ISBLANK(G848),"",INDEX('MP SKUs'!G:G,MATCH(G848,'MP SKUs'!A:A,0)))</f>
        <v/>
      </c>
      <c r="I848" s="105" t="str">
        <f t="array" ref="I848">IF(ISBLANK(G848),"",INDEX('POR Config List'!O:O,MATCH(G848,'POR Config List'!D:D,0)))</f>
        <v/>
      </c>
      <c r="J848" s="104" t="str">
        <f t="array" ref="J848">IF(ISBLANK(G848),"",INDEX('POR Config List'!H:H,MATCH(G848,'POR Config List'!D:D,0)))</f>
        <v/>
      </c>
      <c r="K848" s="105" t="str">
        <f t="array" ref="K848">IF(ISBLANK(G848),"",INDEX('POR Config List'!G:G,MATCH(G848,'POR Config List'!D:D,0)))</f>
        <v/>
      </c>
      <c r="L848" s="105"/>
      <c r="M848" s="105" t="str">
        <f t="array" ref="M848">IF(ISBLANK(G848),"",INDEX('label approval artwork'!Q:Q,MATCH( G848,'label approval artwork'!F:F,0)))</f>
        <v/>
      </c>
      <c r="N848" s="169" t="str">
        <f t="shared" si="5"/>
        <v/>
      </c>
      <c r="O848" s="102" t="str">
        <f t="array" ref="O848">IF(ISBLANK(G848),"",INDEX('POR Config List'!C:C,MATCH(G848,'POR Config List'!D:D,0)))</f>
        <v/>
      </c>
      <c r="P848" s="105" t="str">
        <f t="shared" si="4"/>
        <v/>
      </c>
      <c r="Q848" s="105" t="str">
        <f t="array" ref="Q848">IF(ISBLANK(G848),"",INDEX('label approval artwork'!J:J,MATCH( G848,'label approval artwork'!F:F,0)))</f>
        <v/>
      </c>
      <c r="R848" s="105" t="str">
        <f t="array" ref="R848">IFERROR( IF(P848&lt;&gt;"EMA",INDEX('label approval artwork'!H:H,MATCH(G848,'label approval artwork'!F:F,0),"")),"")</f>
        <v/>
      </c>
      <c r="S848" s="105"/>
      <c r="T848" s="105" t="str">
        <f t="array" ref="T848">IF(ISBLANK(G848),"",INDEX('POR Config List'!I:I,MATCH(G848,'POR Config List'!D:D,0)))</f>
        <v/>
      </c>
      <c r="AA848" s="100" t="str">
        <f t="array" ref="AA848">IF(ISBLANK(G848),"",INDEX('POR Config List'!E:E,MATCH(G848,'POR Config List'!D:D,0)))</f>
        <v/>
      </c>
      <c r="AC848" s="105"/>
      <c r="AD848" s="100"/>
      <c r="AE848" s="100"/>
      <c r="AF848" s="100"/>
      <c r="AG848" s="100"/>
      <c r="AM848" s="102"/>
      <c r="AN848" s="102"/>
      <c r="AR848" s="119"/>
      <c r="AS848" s="103"/>
    </row>
    <row r="849">
      <c r="A849" s="168"/>
      <c r="B849" s="100" t="str">
        <f t="array" ref="B849">IFERROR( INDEX('POR Config List'!A:A,MATCH(G849,'POR Config List'!D:D,0)),"")</f>
        <v/>
      </c>
      <c r="C849" s="101" t="str">
        <f t="array" ref="C849">IFERROR(INDEX('label approval artwork'!E:E,MATCH(G849,'label approval artwork'!F:F,0),""),"")</f>
        <v/>
      </c>
      <c r="D849" s="102" t="str">
        <f t="shared" si="3"/>
        <v/>
      </c>
      <c r="E849" s="100" t="str">
        <f t="array" ref="E849">IF(ISBLANK(G849),"",INDEX('POR Config List'!K:K,MATCH(G849,'POR Config List'!D:D,0)))</f>
        <v/>
      </c>
      <c r="F849" s="100" t="str">
        <f t="array" ref="F849">IF(ISBLANK(G849),"",INDEX('POR Config List'!J:J,MATCH(G849,'POR Config List'!D:D,0)))</f>
        <v/>
      </c>
      <c r="G849" s="168"/>
      <c r="H849" s="104" t="str">
        <f t="array" ref="H849">IF(ISBLANK(G849),"",INDEX('MP SKUs'!G:G,MATCH(G849,'MP SKUs'!A:A,0)))</f>
        <v/>
      </c>
      <c r="I849" s="105" t="str">
        <f t="array" ref="I849">IF(ISBLANK(G849),"",INDEX('POR Config List'!O:O,MATCH(G849,'POR Config List'!D:D,0)))</f>
        <v/>
      </c>
      <c r="J849" s="104" t="str">
        <f t="array" ref="J849">IF(ISBLANK(G849),"",INDEX('POR Config List'!H:H,MATCH(G849,'POR Config List'!D:D,0)))</f>
        <v/>
      </c>
      <c r="K849" s="105" t="str">
        <f t="array" ref="K849">IF(ISBLANK(G849),"",INDEX('POR Config List'!G:G,MATCH(G849,'POR Config List'!D:D,0)))</f>
        <v/>
      </c>
      <c r="L849" s="105"/>
      <c r="M849" s="105" t="str">
        <f t="array" ref="M849">IF(ISBLANK(G849),"",INDEX('label approval artwork'!Q:Q,MATCH( G849,'label approval artwork'!F:F,0)))</f>
        <v/>
      </c>
      <c r="N849" s="169" t="str">
        <f t="shared" si="5"/>
        <v/>
      </c>
      <c r="O849" s="102" t="str">
        <f t="array" ref="O849">IF(ISBLANK(G849),"",INDEX('POR Config List'!C:C,MATCH(G849,'POR Config List'!D:D,0)))</f>
        <v/>
      </c>
      <c r="P849" s="105" t="str">
        <f t="shared" si="4"/>
        <v/>
      </c>
      <c r="Q849" s="105" t="str">
        <f t="array" ref="Q849">IF(ISBLANK(G849),"",INDEX('label approval artwork'!J:J,MATCH( G849,'label approval artwork'!F:F,0)))</f>
        <v/>
      </c>
      <c r="R849" s="105" t="str">
        <f t="array" ref="R849">IFERROR( IF(P849&lt;&gt;"EMA",INDEX('label approval artwork'!H:H,MATCH(G849,'label approval artwork'!F:F,0),"")),"")</f>
        <v/>
      </c>
      <c r="S849" s="105"/>
      <c r="T849" s="105" t="str">
        <f t="array" ref="T849">IF(ISBLANK(G849),"",INDEX('POR Config List'!I:I,MATCH(G849,'POR Config List'!D:D,0)))</f>
        <v/>
      </c>
      <c r="AA849" s="100" t="str">
        <f t="array" ref="AA849">IF(ISBLANK(G849),"",INDEX('POR Config List'!E:E,MATCH(G849,'POR Config List'!D:D,0)))</f>
        <v/>
      </c>
      <c r="AC849" s="105"/>
      <c r="AD849" s="100"/>
      <c r="AE849" s="100"/>
      <c r="AF849" s="100"/>
      <c r="AG849" s="100"/>
      <c r="AM849" s="102"/>
      <c r="AN849" s="102"/>
      <c r="AR849" s="119"/>
      <c r="AS849" s="103"/>
    </row>
    <row r="850">
      <c r="A850" s="168"/>
      <c r="B850" s="100" t="str">
        <f t="array" ref="B850">IFERROR( INDEX('POR Config List'!A:A,MATCH(G850,'POR Config List'!D:D,0)),"")</f>
        <v/>
      </c>
      <c r="C850" s="101" t="str">
        <f t="array" ref="C850">IFERROR(INDEX('label approval artwork'!E:E,MATCH(G850,'label approval artwork'!F:F,0),""),"")</f>
        <v/>
      </c>
      <c r="D850" s="102" t="str">
        <f t="shared" si="3"/>
        <v/>
      </c>
      <c r="E850" s="100" t="str">
        <f t="array" ref="E850">IF(ISBLANK(G850),"",INDEX('POR Config List'!K:K,MATCH(G850,'POR Config List'!D:D,0)))</f>
        <v/>
      </c>
      <c r="F850" s="100" t="str">
        <f t="array" ref="F850">IF(ISBLANK(G850),"",INDEX('POR Config List'!J:J,MATCH(G850,'POR Config List'!D:D,0)))</f>
        <v/>
      </c>
      <c r="G850" s="168"/>
      <c r="H850" s="104" t="str">
        <f t="array" ref="H850">IF(ISBLANK(G850),"",INDEX('MP SKUs'!G:G,MATCH(G850,'MP SKUs'!A:A,0)))</f>
        <v/>
      </c>
      <c r="I850" s="105" t="str">
        <f t="array" ref="I850">IF(ISBLANK(G850),"",INDEX('POR Config List'!O:O,MATCH(G850,'POR Config List'!D:D,0)))</f>
        <v/>
      </c>
      <c r="J850" s="104" t="str">
        <f t="array" ref="J850">IF(ISBLANK(G850),"",INDEX('POR Config List'!H:H,MATCH(G850,'POR Config List'!D:D,0)))</f>
        <v/>
      </c>
      <c r="K850" s="105" t="str">
        <f t="array" ref="K850">IF(ISBLANK(G850),"",INDEX('POR Config List'!G:G,MATCH(G850,'POR Config List'!D:D,0)))</f>
        <v/>
      </c>
      <c r="L850" s="105"/>
      <c r="M850" s="105" t="str">
        <f t="array" ref="M850">IF(ISBLANK(G850),"",INDEX('label approval artwork'!Q:Q,MATCH( G850,'label approval artwork'!F:F,0)))</f>
        <v/>
      </c>
      <c r="N850" s="169" t="str">
        <f t="shared" si="5"/>
        <v/>
      </c>
      <c r="O850" s="102" t="str">
        <f t="array" ref="O850">IF(ISBLANK(G850),"",INDEX('POR Config List'!C:C,MATCH(G850,'POR Config List'!D:D,0)))</f>
        <v/>
      </c>
      <c r="P850" s="105" t="str">
        <f t="shared" si="4"/>
        <v/>
      </c>
      <c r="Q850" s="105" t="str">
        <f t="array" ref="Q850">IF(ISBLANK(G850),"",INDEX('label approval artwork'!J:J,MATCH( G850,'label approval artwork'!F:F,0)))</f>
        <v/>
      </c>
      <c r="R850" s="105" t="str">
        <f t="array" ref="R850">IFERROR( IF(P850&lt;&gt;"EMA",INDEX('label approval artwork'!H:H,MATCH(G850,'label approval artwork'!F:F,0),"")),"")</f>
        <v/>
      </c>
      <c r="S850" s="105"/>
      <c r="T850" s="105" t="str">
        <f t="array" ref="T850">IF(ISBLANK(G850),"",INDEX('POR Config List'!I:I,MATCH(G850,'POR Config List'!D:D,0)))</f>
        <v/>
      </c>
      <c r="AA850" s="100" t="str">
        <f t="array" ref="AA850">IF(ISBLANK(G850),"",INDEX('POR Config List'!E:E,MATCH(G850,'POR Config List'!D:D,0)))</f>
        <v/>
      </c>
      <c r="AC850" s="105"/>
      <c r="AD850" s="100"/>
      <c r="AE850" s="100"/>
      <c r="AF850" s="100"/>
      <c r="AG850" s="100"/>
      <c r="AM850" s="102"/>
      <c r="AN850" s="102"/>
      <c r="AR850" s="119"/>
      <c r="AS850" s="103"/>
    </row>
    <row r="851">
      <c r="A851" s="168"/>
      <c r="B851" s="100" t="str">
        <f t="array" ref="B851">IFERROR( INDEX('POR Config List'!A:A,MATCH(G851,'POR Config List'!D:D,0)),"")</f>
        <v/>
      </c>
      <c r="C851" s="101" t="str">
        <f t="array" ref="C851">IFERROR(INDEX('label approval artwork'!E:E,MATCH(G851,'label approval artwork'!F:F,0),""),"")</f>
        <v/>
      </c>
      <c r="D851" s="102" t="str">
        <f t="shared" si="3"/>
        <v/>
      </c>
      <c r="E851" s="100" t="str">
        <f t="array" ref="E851">IF(ISBLANK(G851),"",INDEX('POR Config List'!K:K,MATCH(G851,'POR Config List'!D:D,0)))</f>
        <v/>
      </c>
      <c r="F851" s="100" t="str">
        <f t="array" ref="F851">IF(ISBLANK(G851),"",INDEX('POR Config List'!J:J,MATCH(G851,'POR Config List'!D:D,0)))</f>
        <v/>
      </c>
      <c r="G851" s="168"/>
      <c r="H851" s="104" t="str">
        <f t="array" ref="H851">IF(ISBLANK(G851),"",INDEX('MP SKUs'!G:G,MATCH(G851,'MP SKUs'!A:A,0)))</f>
        <v/>
      </c>
      <c r="I851" s="105" t="str">
        <f t="array" ref="I851">IF(ISBLANK(G851),"",INDEX('POR Config List'!O:O,MATCH(G851,'POR Config List'!D:D,0)))</f>
        <v/>
      </c>
      <c r="J851" s="104" t="str">
        <f t="array" ref="J851">IF(ISBLANK(G851),"",INDEX('POR Config List'!H:H,MATCH(G851,'POR Config List'!D:D,0)))</f>
        <v/>
      </c>
      <c r="K851" s="105" t="str">
        <f t="array" ref="K851">IF(ISBLANK(G851),"",INDEX('POR Config List'!G:G,MATCH(G851,'POR Config List'!D:D,0)))</f>
        <v/>
      </c>
      <c r="L851" s="105"/>
      <c r="M851" s="105" t="str">
        <f t="array" ref="M851">IF(ISBLANK(G851),"",INDEX('label approval artwork'!Q:Q,MATCH( G851,'label approval artwork'!F:F,0)))</f>
        <v/>
      </c>
      <c r="N851" s="169" t="str">
        <f t="shared" si="5"/>
        <v/>
      </c>
      <c r="O851" s="102" t="str">
        <f t="array" ref="O851">IF(ISBLANK(G851),"",INDEX('POR Config List'!C:C,MATCH(G851,'POR Config List'!D:D,0)))</f>
        <v/>
      </c>
      <c r="P851" s="105" t="str">
        <f t="shared" si="4"/>
        <v/>
      </c>
      <c r="Q851" s="105" t="str">
        <f t="array" ref="Q851">IF(ISBLANK(G851),"",INDEX('label approval artwork'!J:J,MATCH( G851,'label approval artwork'!F:F,0)))</f>
        <v/>
      </c>
      <c r="R851" s="105" t="str">
        <f t="array" ref="R851">IFERROR( IF(P851&lt;&gt;"EMA",INDEX('label approval artwork'!H:H,MATCH(G851,'label approval artwork'!F:F,0),"")),"")</f>
        <v/>
      </c>
      <c r="S851" s="105"/>
      <c r="T851" s="105" t="str">
        <f t="array" ref="T851">IF(ISBLANK(G851),"",INDEX('POR Config List'!I:I,MATCH(G851,'POR Config List'!D:D,0)))</f>
        <v/>
      </c>
      <c r="AA851" s="100" t="str">
        <f t="array" ref="AA851">IF(ISBLANK(G851),"",INDEX('POR Config List'!E:E,MATCH(G851,'POR Config List'!D:D,0)))</f>
        <v/>
      </c>
      <c r="AC851" s="105"/>
      <c r="AD851" s="100"/>
      <c r="AE851" s="100"/>
      <c r="AF851" s="100"/>
      <c r="AG851" s="100"/>
      <c r="AM851" s="102"/>
      <c r="AN851" s="102"/>
      <c r="AR851" s="119"/>
      <c r="AS851" s="103"/>
    </row>
    <row r="852">
      <c r="A852" s="168"/>
      <c r="B852" s="100" t="str">
        <f t="array" ref="B852">IFERROR( INDEX('POR Config List'!A:A,MATCH(G852,'POR Config List'!D:D,0)),"")</f>
        <v/>
      </c>
      <c r="C852" s="101" t="str">
        <f t="array" ref="C852">IFERROR(INDEX('label approval artwork'!E:E,MATCH(G852,'label approval artwork'!F:F,0),""),"")</f>
        <v/>
      </c>
      <c r="D852" s="102" t="str">
        <f t="shared" si="3"/>
        <v/>
      </c>
      <c r="E852" s="100" t="str">
        <f t="array" ref="E852">IF(ISBLANK(G852),"",INDEX('POR Config List'!K:K,MATCH(G852,'POR Config List'!D:D,0)))</f>
        <v/>
      </c>
      <c r="F852" s="100" t="str">
        <f t="array" ref="F852">IF(ISBLANK(G852),"",INDEX('POR Config List'!J:J,MATCH(G852,'POR Config List'!D:D,0)))</f>
        <v/>
      </c>
      <c r="G852" s="168"/>
      <c r="H852" s="104" t="str">
        <f t="array" ref="H852">IF(ISBLANK(G852),"",INDEX('MP SKUs'!G:G,MATCH(G852,'MP SKUs'!A:A,0)))</f>
        <v/>
      </c>
      <c r="I852" s="105" t="str">
        <f t="array" ref="I852">IF(ISBLANK(G852),"",INDEX('POR Config List'!O:O,MATCH(G852,'POR Config List'!D:D,0)))</f>
        <v/>
      </c>
      <c r="J852" s="104" t="str">
        <f t="array" ref="J852">IF(ISBLANK(G852),"",INDEX('POR Config List'!H:H,MATCH(G852,'POR Config List'!D:D,0)))</f>
        <v/>
      </c>
      <c r="K852" s="105" t="str">
        <f t="array" ref="K852">IF(ISBLANK(G852),"",INDEX('POR Config List'!G:G,MATCH(G852,'POR Config List'!D:D,0)))</f>
        <v/>
      </c>
      <c r="L852" s="105"/>
      <c r="M852" s="105" t="str">
        <f t="array" ref="M852">IF(ISBLANK(G852),"",INDEX('label approval artwork'!Q:Q,MATCH( G852,'label approval artwork'!F:F,0)))</f>
        <v/>
      </c>
      <c r="N852" s="169" t="str">
        <f t="shared" si="5"/>
        <v/>
      </c>
      <c r="O852" s="102" t="str">
        <f t="array" ref="O852">IF(ISBLANK(G852),"",INDEX('POR Config List'!C:C,MATCH(G852,'POR Config List'!D:D,0)))</f>
        <v/>
      </c>
      <c r="P852" s="105" t="str">
        <f t="shared" si="4"/>
        <v/>
      </c>
      <c r="Q852" s="105" t="str">
        <f t="array" ref="Q852">IF(ISBLANK(G852),"",INDEX('label approval artwork'!J:J,MATCH( G852,'label approval artwork'!F:F,0)))</f>
        <v/>
      </c>
      <c r="R852" s="105" t="str">
        <f t="array" ref="R852">IFERROR( IF(P852&lt;&gt;"EMA",INDEX('label approval artwork'!H:H,MATCH(G852,'label approval artwork'!F:F,0),"")),"")</f>
        <v/>
      </c>
      <c r="S852" s="105"/>
      <c r="T852" s="105" t="str">
        <f t="array" ref="T852">IF(ISBLANK(G852),"",INDEX('POR Config List'!I:I,MATCH(G852,'POR Config List'!D:D,0)))</f>
        <v/>
      </c>
      <c r="AA852" s="100" t="str">
        <f t="array" ref="AA852">IF(ISBLANK(G852),"",INDEX('POR Config List'!E:E,MATCH(G852,'POR Config List'!D:D,0)))</f>
        <v/>
      </c>
      <c r="AC852" s="105"/>
      <c r="AD852" s="100"/>
      <c r="AE852" s="100"/>
      <c r="AF852" s="100"/>
      <c r="AG852" s="100"/>
      <c r="AM852" s="102"/>
      <c r="AN852" s="102"/>
      <c r="AR852" s="119"/>
      <c r="AS852" s="103"/>
    </row>
    <row r="853">
      <c r="A853" s="168"/>
      <c r="B853" s="100" t="str">
        <f t="array" ref="B853">IFERROR( INDEX('POR Config List'!A:A,MATCH(G853,'POR Config List'!D:D,0)),"")</f>
        <v/>
      </c>
      <c r="C853" s="101" t="str">
        <f t="array" ref="C853">IFERROR(INDEX('label approval artwork'!E:E,MATCH(G853,'label approval artwork'!F:F,0),""),"")</f>
        <v/>
      </c>
      <c r="D853" s="102" t="str">
        <f t="shared" si="3"/>
        <v/>
      </c>
      <c r="E853" s="100" t="str">
        <f t="array" ref="E853">IF(ISBLANK(G853),"",INDEX('POR Config List'!K:K,MATCH(G853,'POR Config List'!D:D,0)))</f>
        <v/>
      </c>
      <c r="F853" s="100" t="str">
        <f t="array" ref="F853">IF(ISBLANK(G853),"",INDEX('POR Config List'!J:J,MATCH(G853,'POR Config List'!D:D,0)))</f>
        <v/>
      </c>
      <c r="G853" s="168"/>
      <c r="H853" s="104" t="str">
        <f t="array" ref="H853">IF(ISBLANK(G853),"",INDEX('MP SKUs'!G:G,MATCH(G853,'MP SKUs'!A:A,0)))</f>
        <v/>
      </c>
      <c r="I853" s="105" t="str">
        <f t="array" ref="I853">IF(ISBLANK(G853),"",INDEX('POR Config List'!O:O,MATCH(G853,'POR Config List'!D:D,0)))</f>
        <v/>
      </c>
      <c r="J853" s="104" t="str">
        <f t="array" ref="J853">IF(ISBLANK(G853),"",INDEX('POR Config List'!H:H,MATCH(G853,'POR Config List'!D:D,0)))</f>
        <v/>
      </c>
      <c r="K853" s="105" t="str">
        <f t="array" ref="K853">IF(ISBLANK(G853),"",INDEX('POR Config List'!G:G,MATCH(G853,'POR Config List'!D:D,0)))</f>
        <v/>
      </c>
      <c r="L853" s="105"/>
      <c r="M853" s="105" t="str">
        <f t="array" ref="M853">IF(ISBLANK(G853),"",INDEX('label approval artwork'!Q:Q,MATCH( G853,'label approval artwork'!F:F,0)))</f>
        <v/>
      </c>
      <c r="N853" s="169" t="str">
        <f t="shared" si="5"/>
        <v/>
      </c>
      <c r="O853" s="102" t="str">
        <f t="array" ref="O853">IF(ISBLANK(G853),"",INDEX('POR Config List'!C:C,MATCH(G853,'POR Config List'!D:D,0)))</f>
        <v/>
      </c>
      <c r="P853" s="105" t="str">
        <f t="shared" si="4"/>
        <v/>
      </c>
      <c r="Q853" s="105" t="str">
        <f t="array" ref="Q853">IF(ISBLANK(G853),"",INDEX('label approval artwork'!J:J,MATCH( G853,'label approval artwork'!F:F,0)))</f>
        <v/>
      </c>
      <c r="R853" s="105" t="str">
        <f t="array" ref="R853">IFERROR( IF(P853&lt;&gt;"EMA",INDEX('label approval artwork'!H:H,MATCH(G853,'label approval artwork'!F:F,0),"")),"")</f>
        <v/>
      </c>
      <c r="S853" s="105"/>
      <c r="T853" s="105" t="str">
        <f t="array" ref="T853">IF(ISBLANK(G853),"",INDEX('POR Config List'!I:I,MATCH(G853,'POR Config List'!D:D,0)))</f>
        <v/>
      </c>
      <c r="AA853" s="100" t="str">
        <f t="array" ref="AA853">IF(ISBLANK(G853),"",INDEX('POR Config List'!E:E,MATCH(G853,'POR Config List'!D:D,0)))</f>
        <v/>
      </c>
      <c r="AC853" s="105"/>
      <c r="AD853" s="100"/>
      <c r="AE853" s="100"/>
      <c r="AF853" s="100"/>
      <c r="AG853" s="100"/>
      <c r="AM853" s="102"/>
      <c r="AN853" s="102"/>
      <c r="AR853" s="119"/>
      <c r="AS853" s="103"/>
    </row>
    <row r="854">
      <c r="A854" s="168"/>
      <c r="B854" s="100" t="str">
        <f t="array" ref="B854">IFERROR( INDEX('POR Config List'!A:A,MATCH(G854,'POR Config List'!D:D,0)),"")</f>
        <v/>
      </c>
      <c r="C854" s="101" t="str">
        <f t="array" ref="C854">IFERROR(INDEX('label approval artwork'!E:E,MATCH(G854,'label approval artwork'!F:F,0),""),"")</f>
        <v/>
      </c>
      <c r="D854" s="102" t="str">
        <f t="shared" si="3"/>
        <v/>
      </c>
      <c r="E854" s="100" t="str">
        <f t="array" ref="E854">IF(ISBLANK(G854),"",INDEX('POR Config List'!K:K,MATCH(G854,'POR Config List'!D:D,0)))</f>
        <v/>
      </c>
      <c r="F854" s="100" t="str">
        <f t="array" ref="F854">IF(ISBLANK(G854),"",INDEX('POR Config List'!J:J,MATCH(G854,'POR Config List'!D:D,0)))</f>
        <v/>
      </c>
      <c r="G854" s="168"/>
      <c r="H854" s="104" t="str">
        <f t="array" ref="H854">IF(ISBLANK(G854),"",INDEX('MP SKUs'!G:G,MATCH(G854,'MP SKUs'!A:A,0)))</f>
        <v/>
      </c>
      <c r="I854" s="105" t="str">
        <f t="array" ref="I854">IF(ISBLANK(G854),"",INDEX('POR Config List'!O:O,MATCH(G854,'POR Config List'!D:D,0)))</f>
        <v/>
      </c>
      <c r="J854" s="104" t="str">
        <f t="array" ref="J854">IF(ISBLANK(G854),"",INDEX('POR Config List'!H:H,MATCH(G854,'POR Config List'!D:D,0)))</f>
        <v/>
      </c>
      <c r="K854" s="105" t="str">
        <f t="array" ref="K854">IF(ISBLANK(G854),"",INDEX('POR Config List'!G:G,MATCH(G854,'POR Config List'!D:D,0)))</f>
        <v/>
      </c>
      <c r="L854" s="105"/>
      <c r="M854" s="105" t="str">
        <f t="array" ref="M854">IF(ISBLANK(G854),"",INDEX('label approval artwork'!Q:Q,MATCH( G854,'label approval artwork'!F:F,0)))</f>
        <v/>
      </c>
      <c r="N854" s="169" t="str">
        <f t="shared" si="5"/>
        <v/>
      </c>
      <c r="O854" s="102" t="str">
        <f t="array" ref="O854">IF(ISBLANK(G854),"",INDEX('POR Config List'!C:C,MATCH(G854,'POR Config List'!D:D,0)))</f>
        <v/>
      </c>
      <c r="P854" s="105" t="str">
        <f t="shared" si="4"/>
        <v/>
      </c>
      <c r="Q854" s="105" t="str">
        <f t="array" ref="Q854">IF(ISBLANK(G854),"",INDEX('label approval artwork'!J:J,MATCH( G854,'label approval artwork'!F:F,0)))</f>
        <v/>
      </c>
      <c r="R854" s="105" t="str">
        <f t="array" ref="R854">IFERROR( IF(P854&lt;&gt;"EMA",INDEX('label approval artwork'!H:H,MATCH(G854,'label approval artwork'!F:F,0),"")),"")</f>
        <v/>
      </c>
      <c r="S854" s="105"/>
      <c r="T854" s="105" t="str">
        <f t="array" ref="T854">IF(ISBLANK(G854),"",INDEX('POR Config List'!I:I,MATCH(G854,'POR Config List'!D:D,0)))</f>
        <v/>
      </c>
      <c r="AA854" s="100" t="str">
        <f t="array" ref="AA854">IF(ISBLANK(G854),"",INDEX('POR Config List'!E:E,MATCH(G854,'POR Config List'!D:D,0)))</f>
        <v/>
      </c>
      <c r="AC854" s="105"/>
      <c r="AD854" s="100"/>
      <c r="AE854" s="100"/>
      <c r="AF854" s="100"/>
      <c r="AG854" s="100"/>
      <c r="AM854" s="102"/>
      <c r="AN854" s="102"/>
      <c r="AR854" s="119"/>
      <c r="AS854" s="103"/>
    </row>
    <row r="855">
      <c r="A855" s="168"/>
      <c r="B855" s="100" t="str">
        <f t="array" ref="B855">IFERROR( INDEX('POR Config List'!A:A,MATCH(G855,'POR Config List'!D:D,0)),"")</f>
        <v/>
      </c>
      <c r="C855" s="101" t="str">
        <f t="array" ref="C855">IFERROR(INDEX('label approval artwork'!E:E,MATCH(G855,'label approval artwork'!F:F,0),""),"")</f>
        <v/>
      </c>
      <c r="D855" s="102" t="str">
        <f t="shared" si="3"/>
        <v/>
      </c>
      <c r="E855" s="100" t="str">
        <f t="array" ref="E855">IF(ISBLANK(G855),"",INDEX('POR Config List'!K:K,MATCH(G855,'POR Config List'!D:D,0)))</f>
        <v/>
      </c>
      <c r="F855" s="100" t="str">
        <f t="array" ref="F855">IF(ISBLANK(G855),"",INDEX('POR Config List'!J:J,MATCH(G855,'POR Config List'!D:D,0)))</f>
        <v/>
      </c>
      <c r="G855" s="168"/>
      <c r="H855" s="104" t="str">
        <f t="array" ref="H855">IF(ISBLANK(G855),"",INDEX('MP SKUs'!G:G,MATCH(G855,'MP SKUs'!A:A,0)))</f>
        <v/>
      </c>
      <c r="I855" s="105" t="str">
        <f t="array" ref="I855">IF(ISBLANK(G855),"",INDEX('POR Config List'!O:O,MATCH(G855,'POR Config List'!D:D,0)))</f>
        <v/>
      </c>
      <c r="J855" s="104" t="str">
        <f t="array" ref="J855">IF(ISBLANK(G855),"",INDEX('POR Config List'!H:H,MATCH(G855,'POR Config List'!D:D,0)))</f>
        <v/>
      </c>
      <c r="K855" s="105" t="str">
        <f t="array" ref="K855">IF(ISBLANK(G855),"",INDEX('POR Config List'!G:G,MATCH(G855,'POR Config List'!D:D,0)))</f>
        <v/>
      </c>
      <c r="L855" s="105"/>
      <c r="M855" s="105" t="str">
        <f t="array" ref="M855">IF(ISBLANK(G855),"",INDEX('label approval artwork'!Q:Q,MATCH( G855,'label approval artwork'!F:F,0)))</f>
        <v/>
      </c>
      <c r="N855" s="169" t="str">
        <f t="shared" si="5"/>
        <v/>
      </c>
      <c r="O855" s="102" t="str">
        <f t="array" ref="O855">IF(ISBLANK(G855),"",INDEX('POR Config List'!C:C,MATCH(G855,'POR Config List'!D:D,0)))</f>
        <v/>
      </c>
      <c r="P855" s="105" t="str">
        <f t="shared" si="4"/>
        <v/>
      </c>
      <c r="Q855" s="105" t="str">
        <f t="array" ref="Q855">IF(ISBLANK(G855),"",INDEX('label approval artwork'!J:J,MATCH( G855,'label approval artwork'!F:F,0)))</f>
        <v/>
      </c>
      <c r="R855" s="105" t="str">
        <f t="array" ref="R855">IFERROR( IF(P855&lt;&gt;"EMA",INDEX('label approval artwork'!H:H,MATCH(G855,'label approval artwork'!F:F,0),"")),"")</f>
        <v/>
      </c>
      <c r="S855" s="105"/>
      <c r="T855" s="105" t="str">
        <f t="array" ref="T855">IF(ISBLANK(G855),"",INDEX('POR Config List'!I:I,MATCH(G855,'POR Config List'!D:D,0)))</f>
        <v/>
      </c>
      <c r="AA855" s="100" t="str">
        <f t="array" ref="AA855">IF(ISBLANK(G855),"",INDEX('POR Config List'!E:E,MATCH(G855,'POR Config List'!D:D,0)))</f>
        <v/>
      </c>
      <c r="AC855" s="105"/>
      <c r="AD855" s="100"/>
      <c r="AE855" s="100"/>
      <c r="AF855" s="100"/>
      <c r="AG855" s="100"/>
      <c r="AM855" s="102"/>
      <c r="AN855" s="102"/>
      <c r="AR855" s="119"/>
      <c r="AS855" s="103"/>
    </row>
    <row r="856">
      <c r="A856" s="168"/>
      <c r="B856" s="100" t="str">
        <f t="array" ref="B856">IFERROR( INDEX('POR Config List'!A:A,MATCH(G856,'POR Config List'!D:D,0)),"")</f>
        <v/>
      </c>
      <c r="C856" s="101" t="str">
        <f t="array" ref="C856">IFERROR(INDEX('label approval artwork'!E:E,MATCH(G856,'label approval artwork'!F:F,0),""),"")</f>
        <v/>
      </c>
      <c r="D856" s="102" t="str">
        <f t="shared" si="3"/>
        <v/>
      </c>
      <c r="E856" s="100" t="str">
        <f t="array" ref="E856">IF(ISBLANK(G856),"",INDEX('POR Config List'!K:K,MATCH(G856,'POR Config List'!D:D,0)))</f>
        <v/>
      </c>
      <c r="F856" s="100" t="str">
        <f t="array" ref="F856">IF(ISBLANK(G856),"",INDEX('POR Config List'!J:J,MATCH(G856,'POR Config List'!D:D,0)))</f>
        <v/>
      </c>
      <c r="G856" s="168"/>
      <c r="H856" s="104" t="str">
        <f t="array" ref="H856">IF(ISBLANK(G856),"",INDEX('MP SKUs'!G:G,MATCH(G856,'MP SKUs'!A:A,0)))</f>
        <v/>
      </c>
      <c r="I856" s="105" t="str">
        <f t="array" ref="I856">IF(ISBLANK(G856),"",INDEX('POR Config List'!O:O,MATCH(G856,'POR Config List'!D:D,0)))</f>
        <v/>
      </c>
      <c r="J856" s="104" t="str">
        <f t="array" ref="J856">IF(ISBLANK(G856),"",INDEX('POR Config List'!H:H,MATCH(G856,'POR Config List'!D:D,0)))</f>
        <v/>
      </c>
      <c r="K856" s="105" t="str">
        <f t="array" ref="K856">IF(ISBLANK(G856),"",INDEX('POR Config List'!G:G,MATCH(G856,'POR Config List'!D:D,0)))</f>
        <v/>
      </c>
      <c r="L856" s="105"/>
      <c r="M856" s="105" t="str">
        <f t="array" ref="M856">IF(ISBLANK(G856),"",INDEX('label approval artwork'!Q:Q,MATCH( G856,'label approval artwork'!F:F,0)))</f>
        <v/>
      </c>
      <c r="N856" s="169" t="str">
        <f t="shared" si="5"/>
        <v/>
      </c>
      <c r="O856" s="102" t="str">
        <f t="array" ref="O856">IF(ISBLANK(G856),"",INDEX('POR Config List'!C:C,MATCH(G856,'POR Config List'!D:D,0)))</f>
        <v/>
      </c>
      <c r="P856" s="105" t="str">
        <f t="shared" si="4"/>
        <v/>
      </c>
      <c r="Q856" s="105" t="str">
        <f t="array" ref="Q856">IF(ISBLANK(G856),"",INDEX('label approval artwork'!J:J,MATCH( G856,'label approval artwork'!F:F,0)))</f>
        <v/>
      </c>
      <c r="R856" s="105" t="str">
        <f t="array" ref="R856">IFERROR( IF(P856&lt;&gt;"EMA",INDEX('label approval artwork'!H:H,MATCH(G856,'label approval artwork'!F:F,0),"")),"")</f>
        <v/>
      </c>
      <c r="S856" s="105"/>
      <c r="T856" s="105" t="str">
        <f t="array" ref="T856">IF(ISBLANK(G856),"",INDEX('POR Config List'!I:I,MATCH(G856,'POR Config List'!D:D,0)))</f>
        <v/>
      </c>
      <c r="AA856" s="100" t="str">
        <f t="array" ref="AA856">IF(ISBLANK(G856),"",INDEX('POR Config List'!E:E,MATCH(G856,'POR Config List'!D:D,0)))</f>
        <v/>
      </c>
      <c r="AC856" s="105"/>
      <c r="AD856" s="100"/>
      <c r="AE856" s="100"/>
      <c r="AF856" s="100"/>
      <c r="AG856" s="100"/>
      <c r="AM856" s="102"/>
      <c r="AN856" s="102"/>
      <c r="AR856" s="119"/>
      <c r="AS856" s="103"/>
    </row>
    <row r="857">
      <c r="A857" s="168"/>
      <c r="B857" s="100" t="str">
        <f t="array" ref="B857">IFERROR( INDEX('POR Config List'!A:A,MATCH(G857,'POR Config List'!D:D,0)),"")</f>
        <v/>
      </c>
      <c r="C857" s="101" t="str">
        <f t="array" ref="C857">IFERROR(INDEX('label approval artwork'!E:E,MATCH(G857,'label approval artwork'!F:F,0),""),"")</f>
        <v/>
      </c>
      <c r="D857" s="102" t="str">
        <f t="shared" si="3"/>
        <v/>
      </c>
      <c r="E857" s="100" t="str">
        <f t="array" ref="E857">IF(ISBLANK(G857),"",INDEX('POR Config List'!K:K,MATCH(G857,'POR Config List'!D:D,0)))</f>
        <v/>
      </c>
      <c r="F857" s="100" t="str">
        <f t="array" ref="F857">IF(ISBLANK(G857),"",INDEX('POR Config List'!J:J,MATCH(G857,'POR Config List'!D:D,0)))</f>
        <v/>
      </c>
      <c r="G857" s="168"/>
      <c r="H857" s="104" t="str">
        <f t="array" ref="H857">IF(ISBLANK(G857),"",INDEX('MP SKUs'!G:G,MATCH(G857,'MP SKUs'!A:A,0)))</f>
        <v/>
      </c>
      <c r="I857" s="105" t="str">
        <f t="array" ref="I857">IF(ISBLANK(G857),"",INDEX('POR Config List'!O:O,MATCH(G857,'POR Config List'!D:D,0)))</f>
        <v/>
      </c>
      <c r="J857" s="104" t="str">
        <f t="array" ref="J857">IF(ISBLANK(G857),"",INDEX('POR Config List'!H:H,MATCH(G857,'POR Config List'!D:D,0)))</f>
        <v/>
      </c>
      <c r="K857" s="105" t="str">
        <f t="array" ref="K857">IF(ISBLANK(G857),"",INDEX('POR Config List'!G:G,MATCH(G857,'POR Config List'!D:D,0)))</f>
        <v/>
      </c>
      <c r="L857" s="105"/>
      <c r="M857" s="105" t="str">
        <f t="array" ref="M857">IF(ISBLANK(G857),"",INDEX('label approval artwork'!Q:Q,MATCH( G857,'label approval artwork'!F:F,0)))</f>
        <v/>
      </c>
      <c r="N857" s="169" t="str">
        <f t="shared" si="5"/>
        <v/>
      </c>
      <c r="O857" s="102" t="str">
        <f t="array" ref="O857">IF(ISBLANK(G857),"",INDEX('POR Config List'!C:C,MATCH(G857,'POR Config List'!D:D,0)))</f>
        <v/>
      </c>
      <c r="P857" s="105" t="str">
        <f t="shared" si="4"/>
        <v/>
      </c>
      <c r="Q857" s="105" t="str">
        <f t="array" ref="Q857">IF(ISBLANK(G857),"",INDEX('label approval artwork'!J:J,MATCH( G857,'label approval artwork'!F:F,0)))</f>
        <v/>
      </c>
      <c r="R857" s="105" t="str">
        <f t="array" ref="R857">IFERROR( IF(P857&lt;&gt;"EMA",INDEX('label approval artwork'!H:H,MATCH(G857,'label approval artwork'!F:F,0),"")),"")</f>
        <v/>
      </c>
      <c r="S857" s="105"/>
      <c r="T857" s="105" t="str">
        <f t="array" ref="T857">IF(ISBLANK(G857),"",INDEX('POR Config List'!I:I,MATCH(G857,'POR Config List'!D:D,0)))</f>
        <v/>
      </c>
      <c r="AA857" s="100" t="str">
        <f t="array" ref="AA857">IF(ISBLANK(G857),"",INDEX('POR Config List'!E:E,MATCH(G857,'POR Config List'!D:D,0)))</f>
        <v/>
      </c>
      <c r="AC857" s="105"/>
      <c r="AD857" s="100"/>
      <c r="AE857" s="100"/>
      <c r="AF857" s="100"/>
      <c r="AG857" s="100"/>
      <c r="AM857" s="102"/>
      <c r="AN857" s="102"/>
      <c r="AR857" s="119"/>
      <c r="AS857" s="103"/>
    </row>
    <row r="858">
      <c r="A858" s="168"/>
      <c r="B858" s="100" t="str">
        <f t="array" ref="B858">IFERROR( INDEX('POR Config List'!A:A,MATCH(G858,'POR Config List'!D:D,0)),"")</f>
        <v/>
      </c>
      <c r="C858" s="101" t="str">
        <f t="array" ref="C858">IFERROR(INDEX('label approval artwork'!E:E,MATCH(G858,'label approval artwork'!F:F,0),""),"")</f>
        <v/>
      </c>
      <c r="D858" s="102" t="str">
        <f t="shared" si="3"/>
        <v/>
      </c>
      <c r="E858" s="100" t="str">
        <f t="array" ref="E858">IF(ISBLANK(G858),"",INDEX('POR Config List'!K:K,MATCH(G858,'POR Config List'!D:D,0)))</f>
        <v/>
      </c>
      <c r="F858" s="100" t="str">
        <f t="array" ref="F858">IF(ISBLANK(G858),"",INDEX('POR Config List'!J:J,MATCH(G858,'POR Config List'!D:D,0)))</f>
        <v/>
      </c>
      <c r="G858" s="168"/>
      <c r="H858" s="104" t="str">
        <f t="array" ref="H858">IF(ISBLANK(G858),"",INDEX('MP SKUs'!G:G,MATCH(G858,'MP SKUs'!A:A,0)))</f>
        <v/>
      </c>
      <c r="I858" s="105" t="str">
        <f t="array" ref="I858">IF(ISBLANK(G858),"",INDEX('POR Config List'!O:O,MATCH(G858,'POR Config List'!D:D,0)))</f>
        <v/>
      </c>
      <c r="J858" s="104" t="str">
        <f t="array" ref="J858">IF(ISBLANK(G858),"",INDEX('POR Config List'!H:H,MATCH(G858,'POR Config List'!D:D,0)))</f>
        <v/>
      </c>
      <c r="K858" s="105" t="str">
        <f t="array" ref="K858">IF(ISBLANK(G858),"",INDEX('POR Config List'!G:G,MATCH(G858,'POR Config List'!D:D,0)))</f>
        <v/>
      </c>
      <c r="L858" s="105"/>
      <c r="M858" s="105" t="str">
        <f t="array" ref="M858">IF(ISBLANK(G858),"",INDEX('label approval artwork'!Q:Q,MATCH( G858,'label approval artwork'!F:F,0)))</f>
        <v/>
      </c>
      <c r="N858" s="169" t="str">
        <f t="shared" si="5"/>
        <v/>
      </c>
      <c r="O858" s="102" t="str">
        <f t="array" ref="O858">IF(ISBLANK(G858),"",INDEX('POR Config List'!C:C,MATCH(G858,'POR Config List'!D:D,0)))</f>
        <v/>
      </c>
      <c r="P858" s="105" t="str">
        <f t="shared" si="4"/>
        <v/>
      </c>
      <c r="Q858" s="105" t="str">
        <f t="array" ref="Q858">IF(ISBLANK(G858),"",INDEX('label approval artwork'!J:J,MATCH( G858,'label approval artwork'!F:F,0)))</f>
        <v/>
      </c>
      <c r="R858" s="105" t="str">
        <f t="array" ref="R858">IFERROR( IF(P858&lt;&gt;"EMA",INDEX('label approval artwork'!H:H,MATCH(G858,'label approval artwork'!F:F,0),"")),"")</f>
        <v/>
      </c>
      <c r="S858" s="105"/>
      <c r="T858" s="105" t="str">
        <f t="array" ref="T858">IF(ISBLANK(G858),"",INDEX('POR Config List'!I:I,MATCH(G858,'POR Config List'!D:D,0)))</f>
        <v/>
      </c>
      <c r="AA858" s="100" t="str">
        <f t="array" ref="AA858">IF(ISBLANK(G858),"",INDEX('POR Config List'!E:E,MATCH(G858,'POR Config List'!D:D,0)))</f>
        <v/>
      </c>
      <c r="AC858" s="105"/>
      <c r="AD858" s="100"/>
      <c r="AE858" s="100"/>
      <c r="AF858" s="100"/>
      <c r="AG858" s="100"/>
      <c r="AM858" s="102"/>
      <c r="AN858" s="102"/>
      <c r="AR858" s="119"/>
      <c r="AS858" s="103"/>
    </row>
    <row r="859">
      <c r="A859" s="168"/>
      <c r="B859" s="100" t="str">
        <f t="array" ref="B859">IFERROR( INDEX('POR Config List'!A:A,MATCH(G859,'POR Config List'!D:D,0)),"")</f>
        <v/>
      </c>
      <c r="C859" s="101" t="str">
        <f t="array" ref="C859">IFERROR(INDEX('label approval artwork'!E:E,MATCH(G859,'label approval artwork'!F:F,0),""),"")</f>
        <v/>
      </c>
      <c r="D859" s="102" t="str">
        <f t="shared" si="3"/>
        <v/>
      </c>
      <c r="E859" s="100" t="str">
        <f t="array" ref="E859">IF(ISBLANK(G859),"",INDEX('POR Config List'!K:K,MATCH(G859,'POR Config List'!D:D,0)))</f>
        <v/>
      </c>
      <c r="F859" s="100" t="str">
        <f t="array" ref="F859">IF(ISBLANK(G859),"",INDEX('POR Config List'!J:J,MATCH(G859,'POR Config List'!D:D,0)))</f>
        <v/>
      </c>
      <c r="G859" s="168"/>
      <c r="H859" s="104" t="str">
        <f t="array" ref="H859">IF(ISBLANK(G859),"",INDEX('MP SKUs'!G:G,MATCH(G859,'MP SKUs'!A:A,0)))</f>
        <v/>
      </c>
      <c r="I859" s="105" t="str">
        <f t="array" ref="I859">IF(ISBLANK(G859),"",INDEX('POR Config List'!O:O,MATCH(G859,'POR Config List'!D:D,0)))</f>
        <v/>
      </c>
      <c r="J859" s="104" t="str">
        <f t="array" ref="J859">IF(ISBLANK(G859),"",INDEX('POR Config List'!H:H,MATCH(G859,'POR Config List'!D:D,0)))</f>
        <v/>
      </c>
      <c r="K859" s="105" t="str">
        <f t="array" ref="K859">IF(ISBLANK(G859),"",INDEX('POR Config List'!G:G,MATCH(G859,'POR Config List'!D:D,0)))</f>
        <v/>
      </c>
      <c r="L859" s="105"/>
      <c r="M859" s="105" t="str">
        <f t="array" ref="M859">IF(ISBLANK(G859),"",INDEX('label approval artwork'!Q:Q,MATCH( G859,'label approval artwork'!F:F,0)))</f>
        <v/>
      </c>
      <c r="N859" s="169" t="str">
        <f t="shared" si="5"/>
        <v/>
      </c>
      <c r="O859" s="102" t="str">
        <f t="array" ref="O859">IF(ISBLANK(G859),"",INDEX('POR Config List'!C:C,MATCH(G859,'POR Config List'!D:D,0)))</f>
        <v/>
      </c>
      <c r="P859" s="105" t="str">
        <f t="shared" si="4"/>
        <v/>
      </c>
      <c r="Q859" s="105" t="str">
        <f t="array" ref="Q859">IF(ISBLANK(G859),"",INDEX('label approval artwork'!J:J,MATCH( G859,'label approval artwork'!F:F,0)))</f>
        <v/>
      </c>
      <c r="R859" s="105" t="str">
        <f t="array" ref="R859">IFERROR( IF(P859&lt;&gt;"EMA",INDEX('label approval artwork'!H:H,MATCH(G859,'label approval artwork'!F:F,0),"")),"")</f>
        <v/>
      </c>
      <c r="S859" s="105"/>
      <c r="T859" s="105" t="str">
        <f t="array" ref="T859">IF(ISBLANK(G859),"",INDEX('POR Config List'!I:I,MATCH(G859,'POR Config List'!D:D,0)))</f>
        <v/>
      </c>
      <c r="AA859" s="100" t="str">
        <f t="array" ref="AA859">IF(ISBLANK(G859),"",INDEX('POR Config List'!E:E,MATCH(G859,'POR Config List'!D:D,0)))</f>
        <v/>
      </c>
      <c r="AC859" s="105"/>
      <c r="AD859" s="100"/>
      <c r="AE859" s="100"/>
      <c r="AF859" s="100"/>
      <c r="AG859" s="100"/>
      <c r="AM859" s="102"/>
      <c r="AN859" s="102"/>
      <c r="AR859" s="119"/>
      <c r="AS859" s="103"/>
    </row>
    <row r="860">
      <c r="A860" s="168"/>
      <c r="B860" s="100" t="str">
        <f t="array" ref="B860">IFERROR( INDEX('POR Config List'!A:A,MATCH(G860,'POR Config List'!D:D,0)),"")</f>
        <v/>
      </c>
      <c r="C860" s="101" t="str">
        <f t="array" ref="C860">IFERROR(INDEX('label approval artwork'!E:E,MATCH(G860,'label approval artwork'!F:F,0),""),"")</f>
        <v/>
      </c>
      <c r="D860" s="102" t="str">
        <f t="shared" si="3"/>
        <v/>
      </c>
      <c r="E860" s="100" t="str">
        <f t="array" ref="E860">IF(ISBLANK(G860),"",INDEX('POR Config List'!K:K,MATCH(G860,'POR Config List'!D:D,0)))</f>
        <v/>
      </c>
      <c r="F860" s="100" t="str">
        <f t="array" ref="F860">IF(ISBLANK(G860),"",INDEX('POR Config List'!J:J,MATCH(G860,'POR Config List'!D:D,0)))</f>
        <v/>
      </c>
      <c r="G860" s="168"/>
      <c r="H860" s="104" t="str">
        <f t="array" ref="H860">IF(ISBLANK(G860),"",INDEX('MP SKUs'!G:G,MATCH(G860,'MP SKUs'!A:A,0)))</f>
        <v/>
      </c>
      <c r="I860" s="105" t="str">
        <f t="array" ref="I860">IF(ISBLANK(G860),"",INDEX('POR Config List'!O:O,MATCH(G860,'POR Config List'!D:D,0)))</f>
        <v/>
      </c>
      <c r="J860" s="104" t="str">
        <f t="array" ref="J860">IF(ISBLANK(G860),"",INDEX('POR Config List'!H:H,MATCH(G860,'POR Config List'!D:D,0)))</f>
        <v/>
      </c>
      <c r="K860" s="105" t="str">
        <f t="array" ref="K860">IF(ISBLANK(G860),"",INDEX('POR Config List'!G:G,MATCH(G860,'POR Config List'!D:D,0)))</f>
        <v/>
      </c>
      <c r="L860" s="105"/>
      <c r="M860" s="105" t="str">
        <f t="array" ref="M860">IF(ISBLANK(G860),"",INDEX('label approval artwork'!Q:Q,MATCH( G860,'label approval artwork'!F:F,0)))</f>
        <v/>
      </c>
      <c r="N860" s="169" t="str">
        <f t="shared" si="5"/>
        <v/>
      </c>
      <c r="O860" s="102" t="str">
        <f t="array" ref="O860">IF(ISBLANK(G860),"",INDEX('POR Config List'!C:C,MATCH(G860,'POR Config List'!D:D,0)))</f>
        <v/>
      </c>
      <c r="P860" s="105" t="str">
        <f t="shared" si="4"/>
        <v/>
      </c>
      <c r="Q860" s="105" t="str">
        <f t="array" ref="Q860">IF(ISBLANK(G860),"",INDEX('label approval artwork'!J:J,MATCH( G860,'label approval artwork'!F:F,0)))</f>
        <v/>
      </c>
      <c r="R860" s="105" t="str">
        <f t="array" ref="R860">IFERROR( IF(P860&lt;&gt;"EMA",INDEX('label approval artwork'!H:H,MATCH(G860,'label approval artwork'!F:F,0),"")),"")</f>
        <v/>
      </c>
      <c r="S860" s="105"/>
      <c r="T860" s="105" t="str">
        <f t="array" ref="T860">IF(ISBLANK(G860),"",INDEX('POR Config List'!I:I,MATCH(G860,'POR Config List'!D:D,0)))</f>
        <v/>
      </c>
      <c r="AA860" s="100" t="str">
        <f t="array" ref="AA860">IF(ISBLANK(G860),"",INDEX('POR Config List'!E:E,MATCH(G860,'POR Config List'!D:D,0)))</f>
        <v/>
      </c>
      <c r="AC860" s="105"/>
      <c r="AD860" s="100"/>
      <c r="AE860" s="100"/>
      <c r="AF860" s="100"/>
      <c r="AG860" s="100"/>
      <c r="AM860" s="102"/>
      <c r="AN860" s="102"/>
      <c r="AR860" s="119"/>
      <c r="AS860" s="103"/>
    </row>
    <row r="861">
      <c r="A861" s="168"/>
      <c r="B861" s="100" t="str">
        <f t="array" ref="B861">IFERROR( INDEX('POR Config List'!A:A,MATCH(G861,'POR Config List'!D:D,0)),"")</f>
        <v/>
      </c>
      <c r="C861" s="101" t="str">
        <f t="array" ref="C861">IFERROR(INDEX('label approval artwork'!E:E,MATCH(G861,'label approval artwork'!F:F,0),""),"")</f>
        <v/>
      </c>
      <c r="D861" s="102" t="str">
        <f t="shared" si="3"/>
        <v/>
      </c>
      <c r="E861" s="100" t="str">
        <f t="array" ref="E861">IF(ISBLANK(G861),"",INDEX('POR Config List'!K:K,MATCH(G861,'POR Config List'!D:D,0)))</f>
        <v/>
      </c>
      <c r="F861" s="100" t="str">
        <f t="array" ref="F861">IF(ISBLANK(G861),"",INDEX('POR Config List'!J:J,MATCH(G861,'POR Config List'!D:D,0)))</f>
        <v/>
      </c>
      <c r="G861" s="168"/>
      <c r="H861" s="104" t="str">
        <f t="array" ref="H861">IF(ISBLANK(G861),"",INDEX('MP SKUs'!G:G,MATCH(G861,'MP SKUs'!A:A,0)))</f>
        <v/>
      </c>
      <c r="I861" s="105" t="str">
        <f t="array" ref="I861">IF(ISBLANK(G861),"",INDEX('POR Config List'!O:O,MATCH(G861,'POR Config List'!D:D,0)))</f>
        <v/>
      </c>
      <c r="J861" s="104" t="str">
        <f t="array" ref="J861">IF(ISBLANK(G861),"",INDEX('POR Config List'!H:H,MATCH(G861,'POR Config List'!D:D,0)))</f>
        <v/>
      </c>
      <c r="K861" s="105" t="str">
        <f t="array" ref="K861">IF(ISBLANK(G861),"",INDEX('POR Config List'!G:G,MATCH(G861,'POR Config List'!D:D,0)))</f>
        <v/>
      </c>
      <c r="L861" s="105"/>
      <c r="M861" s="105" t="str">
        <f t="array" ref="M861">IF(ISBLANK(G861),"",INDEX('label approval artwork'!Q:Q,MATCH( G861,'label approval artwork'!F:F,0)))</f>
        <v/>
      </c>
      <c r="N861" s="169" t="str">
        <f t="shared" si="5"/>
        <v/>
      </c>
      <c r="O861" s="102" t="str">
        <f t="array" ref="O861">IF(ISBLANK(G861),"",INDEX('POR Config List'!C:C,MATCH(G861,'POR Config List'!D:D,0)))</f>
        <v/>
      </c>
      <c r="P861" s="105" t="str">
        <f t="shared" si="4"/>
        <v/>
      </c>
      <c r="Q861" s="105" t="str">
        <f t="array" ref="Q861">IF(ISBLANK(G861),"",INDEX('label approval artwork'!J:J,MATCH( G861,'label approval artwork'!F:F,0)))</f>
        <v/>
      </c>
      <c r="R861" s="105" t="str">
        <f t="array" ref="R861">IFERROR( IF(P861&lt;&gt;"EMA",INDEX('label approval artwork'!H:H,MATCH(G861,'label approval artwork'!F:F,0),"")),"")</f>
        <v/>
      </c>
      <c r="S861" s="105"/>
      <c r="T861" s="105" t="str">
        <f t="array" ref="T861">IF(ISBLANK(G861),"",INDEX('POR Config List'!I:I,MATCH(G861,'POR Config List'!D:D,0)))</f>
        <v/>
      </c>
      <c r="AA861" s="100" t="str">
        <f t="array" ref="AA861">IF(ISBLANK(G861),"",INDEX('POR Config List'!E:E,MATCH(G861,'POR Config List'!D:D,0)))</f>
        <v/>
      </c>
      <c r="AC861" s="105"/>
      <c r="AD861" s="100"/>
      <c r="AE861" s="100"/>
      <c r="AF861" s="100"/>
      <c r="AG861" s="100"/>
      <c r="AM861" s="102"/>
      <c r="AN861" s="102"/>
    </row>
    <row r="862">
      <c r="A862" s="168"/>
      <c r="B862" s="100" t="str">
        <f t="array" ref="B862">IFERROR( INDEX('POR Config List'!A:A,MATCH(G862,'POR Config List'!D:D,0)),"")</f>
        <v/>
      </c>
      <c r="C862" s="101" t="str">
        <f t="array" ref="C862">IFERROR(INDEX('label approval artwork'!E:E,MATCH(G862,'label approval artwork'!F:F,0),""),"")</f>
        <v/>
      </c>
      <c r="D862" s="102" t="str">
        <f t="shared" si="3"/>
        <v/>
      </c>
      <c r="E862" s="100" t="str">
        <f t="array" ref="E862">IF(ISBLANK(G862),"",INDEX('POR Config List'!K:K,MATCH(G862,'POR Config List'!D:D,0)))</f>
        <v/>
      </c>
      <c r="F862" s="100" t="str">
        <f t="array" ref="F862">IF(ISBLANK(G862),"",INDEX('POR Config List'!J:J,MATCH(G862,'POR Config List'!D:D,0)))</f>
        <v/>
      </c>
      <c r="G862" s="168"/>
      <c r="H862" s="104" t="str">
        <f t="array" ref="H862">IF(ISBLANK(G862),"",INDEX('MP SKUs'!G:G,MATCH(G862,'MP SKUs'!A:A,0)))</f>
        <v/>
      </c>
      <c r="I862" s="105" t="str">
        <f t="array" ref="I862">IF(ISBLANK(G862),"",INDEX('POR Config List'!O:O,MATCH(G862,'POR Config List'!D:D,0)))</f>
        <v/>
      </c>
      <c r="J862" s="104" t="str">
        <f t="array" ref="J862">IF(ISBLANK(G862),"",INDEX('POR Config List'!H:H,MATCH(G862,'POR Config List'!D:D,0)))</f>
        <v/>
      </c>
      <c r="K862" s="105" t="str">
        <f t="array" ref="K862">IF(ISBLANK(G862),"",INDEX('POR Config List'!G:G,MATCH(G862,'POR Config List'!D:D,0)))</f>
        <v/>
      </c>
      <c r="L862" s="105"/>
      <c r="M862" s="105" t="str">
        <f t="array" ref="M862">IF(ISBLANK(G862),"",INDEX('label approval artwork'!Q:Q,MATCH( G862,'label approval artwork'!F:F,0)))</f>
        <v/>
      </c>
      <c r="N862" s="169" t="str">
        <f t="shared" si="5"/>
        <v/>
      </c>
      <c r="O862" s="102" t="str">
        <f t="array" ref="O862">IF(ISBLANK(G862),"",INDEX('POR Config List'!C:C,MATCH(G862,'POR Config List'!D:D,0)))</f>
        <v/>
      </c>
      <c r="P862" s="105" t="str">
        <f t="shared" si="4"/>
        <v/>
      </c>
      <c r="Q862" s="105" t="str">
        <f t="array" ref="Q862">IF(ISBLANK(G862),"",INDEX('label approval artwork'!J:J,MATCH( G862,'label approval artwork'!F:F,0)))</f>
        <v/>
      </c>
      <c r="R862" s="105" t="str">
        <f t="array" ref="R862">IFERROR( IF(P862&lt;&gt;"EMA",INDEX('label approval artwork'!H:H,MATCH(G862,'label approval artwork'!F:F,0),"")),"")</f>
        <v/>
      </c>
      <c r="S862" s="105"/>
      <c r="T862" s="105" t="str">
        <f t="array" ref="T862">IF(ISBLANK(G862),"",INDEX('POR Config List'!I:I,MATCH(G862,'POR Config List'!D:D,0)))</f>
        <v/>
      </c>
      <c r="AA862" s="100" t="str">
        <f t="array" ref="AA862">IF(ISBLANK(G862),"",INDEX('POR Config List'!E:E,MATCH(G862,'POR Config List'!D:D,0)))</f>
        <v/>
      </c>
      <c r="AC862" s="105"/>
      <c r="AD862" s="100"/>
      <c r="AE862" s="100"/>
      <c r="AF862" s="100"/>
      <c r="AG862" s="100"/>
      <c r="AM862" s="102"/>
      <c r="AN862" s="102"/>
    </row>
    <row r="863">
      <c r="A863" s="168"/>
      <c r="B863" s="100" t="str">
        <f t="array" ref="B863">IFERROR( INDEX('POR Config List'!A:A,MATCH(G863,'POR Config List'!D:D,0)),"")</f>
        <v/>
      </c>
      <c r="C863" s="101" t="str">
        <f t="array" ref="C863">IFERROR(INDEX('label approval artwork'!E:E,MATCH(G863,'label approval artwork'!F:F,0),""),"")</f>
        <v/>
      </c>
      <c r="D863" s="102" t="str">
        <f t="shared" si="3"/>
        <v/>
      </c>
      <c r="E863" s="100" t="str">
        <f t="array" ref="E863">IF(ISBLANK(G863),"",INDEX('POR Config List'!K:K,MATCH(G863,'POR Config List'!D:D,0)))</f>
        <v/>
      </c>
      <c r="F863" s="100" t="str">
        <f t="array" ref="F863">IF(ISBLANK(G863),"",INDEX('POR Config List'!J:J,MATCH(G863,'POR Config List'!D:D,0)))</f>
        <v/>
      </c>
      <c r="G863" s="168"/>
      <c r="H863" s="104" t="str">
        <f t="array" ref="H863">IF(ISBLANK(G863),"",INDEX('MP SKUs'!G:G,MATCH(G863,'MP SKUs'!A:A,0)))</f>
        <v/>
      </c>
      <c r="I863" s="105" t="str">
        <f t="array" ref="I863">IF(ISBLANK(G863),"",INDEX('POR Config List'!O:O,MATCH(G863,'POR Config List'!D:D,0)))</f>
        <v/>
      </c>
      <c r="J863" s="104" t="str">
        <f t="array" ref="J863">IF(ISBLANK(G863),"",INDEX('POR Config List'!H:H,MATCH(G863,'POR Config List'!D:D,0)))</f>
        <v/>
      </c>
      <c r="K863" s="105" t="str">
        <f t="array" ref="K863">IF(ISBLANK(G863),"",INDEX('POR Config List'!G:G,MATCH(G863,'POR Config List'!D:D,0)))</f>
        <v/>
      </c>
      <c r="L863" s="105"/>
      <c r="M863" s="105" t="str">
        <f t="array" ref="M863">IF(ISBLANK(G863),"",INDEX('label approval artwork'!Q:Q,MATCH( G863,'label approval artwork'!F:F,0)))</f>
        <v/>
      </c>
      <c r="N863" s="169" t="str">
        <f t="shared" si="5"/>
        <v/>
      </c>
      <c r="O863" s="102" t="str">
        <f t="array" ref="O863">IF(ISBLANK(G863),"",INDEX('POR Config List'!C:C,MATCH(G863,'POR Config List'!D:D,0)))</f>
        <v/>
      </c>
      <c r="P863" s="105" t="str">
        <f t="shared" si="4"/>
        <v/>
      </c>
      <c r="Q863" s="105" t="str">
        <f t="array" ref="Q863">IF(ISBLANK(G863),"",INDEX('label approval artwork'!J:J,MATCH( G863,'label approval artwork'!F:F,0)))</f>
        <v/>
      </c>
      <c r="R863" s="105" t="str">
        <f t="array" ref="R863">IFERROR( IF(P863&lt;&gt;"EMA",INDEX('label approval artwork'!H:H,MATCH(G863,'label approval artwork'!F:F,0),"")),"")</f>
        <v/>
      </c>
      <c r="S863" s="105"/>
      <c r="T863" s="105" t="str">
        <f t="array" ref="T863">IF(ISBLANK(G863),"",INDEX('POR Config List'!I:I,MATCH(G863,'POR Config List'!D:D,0)))</f>
        <v/>
      </c>
      <c r="AA863" s="100" t="str">
        <f t="array" ref="AA863">IF(ISBLANK(G863),"",INDEX('POR Config List'!E:E,MATCH(G863,'POR Config List'!D:D,0)))</f>
        <v/>
      </c>
      <c r="AC863" s="105"/>
      <c r="AD863" s="100"/>
      <c r="AE863" s="100"/>
      <c r="AF863" s="100"/>
      <c r="AG863" s="100"/>
      <c r="AM863" s="102"/>
      <c r="AN863" s="102"/>
    </row>
    <row r="864">
      <c r="A864" s="168"/>
      <c r="B864" s="100" t="str">
        <f t="array" ref="B864">IFERROR( INDEX('POR Config List'!A:A,MATCH(G864,'POR Config List'!D:D,0)),"")</f>
        <v/>
      </c>
      <c r="C864" s="101" t="str">
        <f t="array" ref="C864">IFERROR(INDEX('label approval artwork'!E:E,MATCH(G864,'label approval artwork'!F:F,0),""),"")</f>
        <v/>
      </c>
      <c r="D864" s="102" t="str">
        <f t="shared" si="3"/>
        <v/>
      </c>
      <c r="E864" s="100" t="str">
        <f t="array" ref="E864">IF(ISBLANK(G864),"",INDEX('POR Config List'!K:K,MATCH(G864,'POR Config List'!D:D,0)))</f>
        <v/>
      </c>
      <c r="F864" s="100" t="str">
        <f t="array" ref="F864">IF(ISBLANK(G864),"",INDEX('POR Config List'!J:J,MATCH(G864,'POR Config List'!D:D,0)))</f>
        <v/>
      </c>
      <c r="G864" s="168"/>
      <c r="H864" s="104" t="str">
        <f t="array" ref="H864">IF(ISBLANK(G864),"",INDEX('MP SKUs'!G:G,MATCH(G864,'MP SKUs'!A:A,0)))</f>
        <v/>
      </c>
      <c r="I864" s="105" t="str">
        <f t="array" ref="I864">IF(ISBLANK(G864),"",INDEX('POR Config List'!O:O,MATCH(G864,'POR Config List'!D:D,0)))</f>
        <v/>
      </c>
      <c r="J864" s="104" t="str">
        <f t="array" ref="J864">IF(ISBLANK(G864),"",INDEX('POR Config List'!H:H,MATCH(G864,'POR Config List'!D:D,0)))</f>
        <v/>
      </c>
      <c r="K864" s="105" t="str">
        <f t="array" ref="K864">IF(ISBLANK(G864),"",INDEX('POR Config List'!G:G,MATCH(G864,'POR Config List'!D:D,0)))</f>
        <v/>
      </c>
      <c r="L864" s="105"/>
      <c r="M864" s="105" t="str">
        <f t="array" ref="M864">IF(ISBLANK(G864),"",INDEX('label approval artwork'!Q:Q,MATCH( G864,'label approval artwork'!F:F,0)))</f>
        <v/>
      </c>
      <c r="N864" s="169" t="str">
        <f t="shared" si="5"/>
        <v/>
      </c>
      <c r="O864" s="102" t="str">
        <f t="array" ref="O864">IF(ISBLANK(G864),"",INDEX('POR Config List'!C:C,MATCH(G864,'POR Config List'!D:D,0)))</f>
        <v/>
      </c>
      <c r="P864" s="105" t="str">
        <f t="shared" si="4"/>
        <v/>
      </c>
      <c r="Q864" s="105" t="str">
        <f t="array" ref="Q864">IF(ISBLANK(G864),"",INDEX('label approval artwork'!J:J,MATCH( G864,'label approval artwork'!F:F,0)))</f>
        <v/>
      </c>
      <c r="R864" s="105" t="str">
        <f t="array" ref="R864">IFERROR( IF(P864&lt;&gt;"EMA",INDEX('label approval artwork'!H:H,MATCH(G864,'label approval artwork'!F:F,0),"")),"")</f>
        <v/>
      </c>
      <c r="S864" s="105"/>
      <c r="T864" s="105" t="str">
        <f t="array" ref="T864">IF(ISBLANK(G864),"",INDEX('POR Config List'!I:I,MATCH(G864,'POR Config List'!D:D,0)))</f>
        <v/>
      </c>
      <c r="AA864" s="100" t="str">
        <f t="array" ref="AA864">IF(ISBLANK(G864),"",INDEX('POR Config List'!E:E,MATCH(G864,'POR Config List'!D:D,0)))</f>
        <v/>
      </c>
      <c r="AC864" s="105"/>
      <c r="AD864" s="100"/>
      <c r="AE864" s="100"/>
      <c r="AF864" s="100"/>
      <c r="AG864" s="100"/>
      <c r="AM864" s="102"/>
      <c r="AN864" s="102"/>
    </row>
    <row r="865">
      <c r="A865" s="168"/>
      <c r="B865" s="100" t="str">
        <f t="array" ref="B865">IFERROR( INDEX('POR Config List'!A:A,MATCH(G865,'POR Config List'!D:D,0)),"")</f>
        <v/>
      </c>
      <c r="C865" s="101" t="str">
        <f t="array" ref="C865">IFERROR(INDEX('label approval artwork'!E:E,MATCH(G865,'label approval artwork'!F:F,0),""),"")</f>
        <v/>
      </c>
      <c r="D865" s="102" t="str">
        <f t="shared" si="3"/>
        <v/>
      </c>
      <c r="E865" s="100" t="str">
        <f t="array" ref="E865">IF(ISBLANK(G865),"",INDEX('POR Config List'!K:K,MATCH(G865,'POR Config List'!D:D,0)))</f>
        <v/>
      </c>
      <c r="F865" s="100" t="str">
        <f t="array" ref="F865">IF(ISBLANK(G865),"",INDEX('POR Config List'!J:J,MATCH(G865,'POR Config List'!D:D,0)))</f>
        <v/>
      </c>
      <c r="G865" s="168"/>
      <c r="H865" s="104" t="str">
        <f t="array" ref="H865">IF(ISBLANK(G865),"",INDEX('MP SKUs'!G:G,MATCH(G865,'MP SKUs'!A:A,0)))</f>
        <v/>
      </c>
      <c r="I865" s="105" t="str">
        <f t="array" ref="I865">IF(ISBLANK(G865),"",INDEX('POR Config List'!O:O,MATCH(G865,'POR Config List'!D:D,0)))</f>
        <v/>
      </c>
      <c r="J865" s="104" t="str">
        <f t="array" ref="J865">IF(ISBLANK(G865),"",INDEX('POR Config List'!H:H,MATCH(G865,'POR Config List'!D:D,0)))</f>
        <v/>
      </c>
      <c r="K865" s="105" t="str">
        <f t="array" ref="K865">IF(ISBLANK(G865),"",INDEX('POR Config List'!G:G,MATCH(G865,'POR Config List'!D:D,0)))</f>
        <v/>
      </c>
      <c r="L865" s="105"/>
      <c r="M865" s="105" t="str">
        <f t="array" ref="M865">IF(ISBLANK(G865),"",INDEX('label approval artwork'!Q:Q,MATCH( G865,'label approval artwork'!F:F,0)))</f>
        <v/>
      </c>
      <c r="N865" s="169" t="str">
        <f t="shared" si="5"/>
        <v/>
      </c>
      <c r="O865" s="102" t="str">
        <f t="array" ref="O865">IF(ISBLANK(G865),"",INDEX('POR Config List'!C:C,MATCH(G865,'POR Config List'!D:D,0)))</f>
        <v/>
      </c>
      <c r="P865" s="105" t="str">
        <f t="shared" si="4"/>
        <v/>
      </c>
      <c r="Q865" s="105" t="str">
        <f t="array" ref="Q865">IF(ISBLANK(G865),"",INDEX('label approval artwork'!J:J,MATCH( G865,'label approval artwork'!F:F,0)))</f>
        <v/>
      </c>
      <c r="R865" s="105" t="str">
        <f t="array" ref="R865">IFERROR( IF(P865&lt;&gt;"EMA",INDEX('label approval artwork'!H:H,MATCH(G865,'label approval artwork'!F:F,0),"")),"")</f>
        <v/>
      </c>
      <c r="S865" s="105"/>
      <c r="T865" s="105" t="str">
        <f t="array" ref="T865">IF(ISBLANK(G865),"",INDEX('POR Config List'!I:I,MATCH(G865,'POR Config List'!D:D,0)))</f>
        <v/>
      </c>
      <c r="AA865" s="100" t="str">
        <f t="array" ref="AA865">IF(ISBLANK(G865),"",INDEX('POR Config List'!E:E,MATCH(G865,'POR Config List'!D:D,0)))</f>
        <v/>
      </c>
      <c r="AC865" s="105"/>
      <c r="AD865" s="100"/>
      <c r="AE865" s="100"/>
      <c r="AF865" s="100"/>
      <c r="AG865" s="100"/>
      <c r="AM865" s="102"/>
      <c r="AN865" s="102"/>
    </row>
    <row r="866">
      <c r="A866" s="168"/>
      <c r="B866" s="100" t="str">
        <f t="array" ref="B866">IFERROR( INDEX('POR Config List'!A:A,MATCH(G866,'POR Config List'!D:D,0)),"")</f>
        <v/>
      </c>
      <c r="C866" s="101" t="str">
        <f t="array" ref="C866">IFERROR(INDEX('label approval artwork'!E:E,MATCH(G866,'label approval artwork'!F:F,0),""),"")</f>
        <v/>
      </c>
      <c r="D866" s="102" t="str">
        <f t="shared" si="3"/>
        <v/>
      </c>
      <c r="E866" s="100" t="str">
        <f t="array" ref="E866">IF(ISBLANK(G866),"",INDEX('POR Config List'!K:K,MATCH(G866,'POR Config List'!D:D,0)))</f>
        <v/>
      </c>
      <c r="F866" s="100" t="str">
        <f t="array" ref="F866">IF(ISBLANK(G866),"",INDEX('POR Config List'!J:J,MATCH(G866,'POR Config List'!D:D,0)))</f>
        <v/>
      </c>
      <c r="G866" s="168"/>
      <c r="H866" s="104" t="str">
        <f t="array" ref="H866">IF(ISBLANK(G866),"",INDEX('MP SKUs'!G:G,MATCH(G866,'MP SKUs'!A:A,0)))</f>
        <v/>
      </c>
      <c r="I866" s="105" t="str">
        <f t="array" ref="I866">IF(ISBLANK(G866),"",INDEX('POR Config List'!O:O,MATCH(G866,'POR Config List'!D:D,0)))</f>
        <v/>
      </c>
      <c r="J866" s="104" t="str">
        <f t="array" ref="J866">IF(ISBLANK(G866),"",INDEX('POR Config List'!H:H,MATCH(G866,'POR Config List'!D:D,0)))</f>
        <v/>
      </c>
      <c r="K866" s="105" t="str">
        <f t="array" ref="K866">IF(ISBLANK(G866),"",INDEX('POR Config List'!G:G,MATCH(G866,'POR Config List'!D:D,0)))</f>
        <v/>
      </c>
      <c r="L866" s="105"/>
      <c r="M866" s="105" t="str">
        <f t="array" ref="M866">IF(ISBLANK(G866),"",INDEX('label approval artwork'!Q:Q,MATCH( G866,'label approval artwork'!F:F,0)))</f>
        <v/>
      </c>
      <c r="N866" s="169" t="str">
        <f t="shared" si="5"/>
        <v/>
      </c>
      <c r="O866" s="102" t="str">
        <f t="array" ref="O866">IF(ISBLANK(G866),"",INDEX('POR Config List'!C:C,MATCH(G866,'POR Config List'!D:D,0)))</f>
        <v/>
      </c>
      <c r="P866" s="105" t="str">
        <f t="shared" si="4"/>
        <v/>
      </c>
      <c r="Q866" s="105" t="str">
        <f t="array" ref="Q866">IF(ISBLANK(G866),"",INDEX('label approval artwork'!J:J,MATCH( G866,'label approval artwork'!F:F,0)))</f>
        <v/>
      </c>
      <c r="R866" s="105" t="str">
        <f t="array" ref="R866">IFERROR( IF(P866&lt;&gt;"EMA",INDEX('label approval artwork'!H:H,MATCH(G866,'label approval artwork'!F:F,0),"")),"")</f>
        <v/>
      </c>
      <c r="S866" s="105"/>
      <c r="T866" s="105" t="str">
        <f t="array" ref="T866">IF(ISBLANK(G866),"",INDEX('POR Config List'!I:I,MATCH(G866,'POR Config List'!D:D,0)))</f>
        <v/>
      </c>
      <c r="AA866" s="100" t="str">
        <f t="array" ref="AA866">IF(ISBLANK(G866),"",INDEX('POR Config List'!E:E,MATCH(G866,'POR Config List'!D:D,0)))</f>
        <v/>
      </c>
      <c r="AC866" s="105"/>
      <c r="AD866" s="100"/>
      <c r="AE866" s="100"/>
      <c r="AF866" s="100"/>
      <c r="AG866" s="100"/>
      <c r="AM866" s="102"/>
      <c r="AN866" s="102"/>
    </row>
    <row r="867">
      <c r="A867" s="168"/>
      <c r="B867" s="100" t="str">
        <f t="array" ref="B867">IFERROR( INDEX('POR Config List'!A:A,MATCH(G867,'POR Config List'!D:D,0)),"")</f>
        <v/>
      </c>
      <c r="C867" s="101" t="str">
        <f t="array" ref="C867">IFERROR(INDEX('label approval artwork'!E:E,MATCH(G867,'label approval artwork'!F:F,0),""),"")</f>
        <v/>
      </c>
      <c r="D867" s="102" t="str">
        <f t="shared" si="3"/>
        <v/>
      </c>
      <c r="E867" s="100" t="str">
        <f t="array" ref="E867">IF(ISBLANK(G867),"",INDEX('POR Config List'!K:K,MATCH(G867,'POR Config List'!D:D,0)))</f>
        <v/>
      </c>
      <c r="F867" s="100" t="str">
        <f t="array" ref="F867">IF(ISBLANK(G867),"",INDEX('POR Config List'!J:J,MATCH(G867,'POR Config List'!D:D,0)))</f>
        <v/>
      </c>
      <c r="G867" s="168"/>
      <c r="H867" s="104" t="str">
        <f t="array" ref="H867">IF(ISBLANK(G867),"",INDEX('MP SKUs'!G:G,MATCH(G867,'MP SKUs'!A:A,0)))</f>
        <v/>
      </c>
      <c r="I867" s="105" t="str">
        <f t="array" ref="I867">IF(ISBLANK(G867),"",INDEX('POR Config List'!O:O,MATCH(G867,'POR Config List'!D:D,0)))</f>
        <v/>
      </c>
      <c r="J867" s="104" t="str">
        <f t="array" ref="J867">IF(ISBLANK(G867),"",INDEX('POR Config List'!H:H,MATCH(G867,'POR Config List'!D:D,0)))</f>
        <v/>
      </c>
      <c r="K867" s="105" t="str">
        <f t="array" ref="K867">IF(ISBLANK(G867),"",INDEX('POR Config List'!G:G,MATCH(G867,'POR Config List'!D:D,0)))</f>
        <v/>
      </c>
      <c r="L867" s="105"/>
      <c r="M867" s="105" t="str">
        <f t="array" ref="M867">IF(ISBLANK(G867),"",INDEX('label approval artwork'!Q:Q,MATCH( G867,'label approval artwork'!F:F,0)))</f>
        <v/>
      </c>
      <c r="N867" s="169" t="str">
        <f t="shared" si="5"/>
        <v/>
      </c>
      <c r="O867" s="102" t="str">
        <f t="array" ref="O867">IF(ISBLANK(G867),"",INDEX('POR Config List'!C:C,MATCH(G867,'POR Config List'!D:D,0)))</f>
        <v/>
      </c>
      <c r="P867" s="105" t="str">
        <f t="shared" si="4"/>
        <v/>
      </c>
      <c r="Q867" s="105" t="str">
        <f t="array" ref="Q867">IF(ISBLANK(G867),"",INDEX('label approval artwork'!J:J,MATCH( G867,'label approval artwork'!F:F,0)))</f>
        <v/>
      </c>
      <c r="R867" s="105" t="str">
        <f t="array" ref="R867">IFERROR( IF(P867&lt;&gt;"EMA",INDEX('label approval artwork'!H:H,MATCH(G867,'label approval artwork'!F:F,0),"")),"")</f>
        <v/>
      </c>
      <c r="S867" s="105"/>
      <c r="T867" s="105" t="str">
        <f t="array" ref="T867">IF(ISBLANK(G867),"",INDEX('POR Config List'!I:I,MATCH(G867,'POR Config List'!D:D,0)))</f>
        <v/>
      </c>
      <c r="AA867" s="100" t="str">
        <f t="array" ref="AA867">IF(ISBLANK(G867),"",INDEX('POR Config List'!E:E,MATCH(G867,'POR Config List'!D:D,0)))</f>
        <v/>
      </c>
      <c r="AC867" s="105"/>
      <c r="AD867" s="100"/>
      <c r="AE867" s="100"/>
      <c r="AF867" s="100"/>
      <c r="AG867" s="100"/>
      <c r="AM867" s="102"/>
      <c r="AN867" s="102"/>
    </row>
    <row r="868">
      <c r="A868" s="168"/>
      <c r="B868" s="100" t="str">
        <f t="array" ref="B868">IFERROR( INDEX('POR Config List'!A:A,MATCH(G868,'POR Config List'!D:D,0)),"")</f>
        <v/>
      </c>
      <c r="C868" s="101" t="str">
        <f t="array" ref="C868">IFERROR(INDEX('label approval artwork'!E:E,MATCH(G868,'label approval artwork'!F:F,0),""),"")</f>
        <v/>
      </c>
      <c r="D868" s="102" t="str">
        <f t="shared" si="3"/>
        <v/>
      </c>
      <c r="E868" s="100" t="str">
        <f t="array" ref="E868">IF(ISBLANK(G868),"",INDEX('POR Config List'!K:K,MATCH(G868,'POR Config List'!D:D,0)))</f>
        <v/>
      </c>
      <c r="F868" s="100" t="str">
        <f t="array" ref="F868">IF(ISBLANK(G868),"",INDEX('POR Config List'!J:J,MATCH(G868,'POR Config List'!D:D,0)))</f>
        <v/>
      </c>
      <c r="G868" s="168"/>
      <c r="H868" s="104" t="str">
        <f t="array" ref="H868">IF(ISBLANK(G868),"",INDEX('MP SKUs'!G:G,MATCH(G868,'MP SKUs'!A:A,0)))</f>
        <v/>
      </c>
      <c r="I868" s="105" t="str">
        <f t="array" ref="I868">IF(ISBLANK(G868),"",INDEX('POR Config List'!O:O,MATCH(G868,'POR Config List'!D:D,0)))</f>
        <v/>
      </c>
      <c r="J868" s="104" t="str">
        <f t="array" ref="J868">IF(ISBLANK(G868),"",INDEX('POR Config List'!H:H,MATCH(G868,'POR Config List'!D:D,0)))</f>
        <v/>
      </c>
      <c r="K868" s="105" t="str">
        <f t="array" ref="K868">IF(ISBLANK(G868),"",INDEX('POR Config List'!G:G,MATCH(G868,'POR Config List'!D:D,0)))</f>
        <v/>
      </c>
      <c r="L868" s="105"/>
      <c r="M868" s="105" t="str">
        <f t="array" ref="M868">IF(ISBLANK(G868),"",INDEX('label approval artwork'!Q:Q,MATCH( G868,'label approval artwork'!F:F,0)))</f>
        <v/>
      </c>
      <c r="N868" s="169" t="str">
        <f t="shared" si="5"/>
        <v/>
      </c>
      <c r="O868" s="102" t="str">
        <f t="array" ref="O868">IF(ISBLANK(G868),"",INDEX('POR Config List'!C:C,MATCH(G868,'POR Config List'!D:D,0)))</f>
        <v/>
      </c>
      <c r="P868" s="105" t="str">
        <f t="shared" si="4"/>
        <v/>
      </c>
      <c r="Q868" s="105" t="str">
        <f t="array" ref="Q868">IF(ISBLANK(G868),"",INDEX('label approval artwork'!J:J,MATCH( G868,'label approval artwork'!F:F,0)))</f>
        <v/>
      </c>
      <c r="R868" s="105" t="str">
        <f t="array" ref="R868">IFERROR( IF(P868&lt;&gt;"EMA",INDEX('label approval artwork'!H:H,MATCH(G868,'label approval artwork'!F:F,0),"")),"")</f>
        <v/>
      </c>
      <c r="S868" s="105"/>
      <c r="T868" s="105" t="str">
        <f t="array" ref="T868">IF(ISBLANK(G868),"",INDEX('POR Config List'!I:I,MATCH(G868,'POR Config List'!D:D,0)))</f>
        <v/>
      </c>
      <c r="AA868" s="100" t="str">
        <f t="array" ref="AA868">IF(ISBLANK(G868),"",INDEX('POR Config List'!E:E,MATCH(G868,'POR Config List'!D:D,0)))</f>
        <v/>
      </c>
      <c r="AC868" s="105"/>
      <c r="AD868" s="100"/>
      <c r="AE868" s="100"/>
      <c r="AF868" s="100"/>
      <c r="AG868" s="100"/>
      <c r="AM868" s="102"/>
      <c r="AN868" s="102"/>
    </row>
    <row r="869">
      <c r="A869" s="168"/>
      <c r="B869" s="100" t="str">
        <f t="array" ref="B869">IFERROR( INDEX('POR Config List'!A:A,MATCH(G869,'POR Config List'!D:D,0)),"")</f>
        <v/>
      </c>
      <c r="C869" s="101" t="str">
        <f t="array" ref="C869">IFERROR(INDEX('label approval artwork'!E:E,MATCH(G869,'label approval artwork'!F:F,0),""),"")</f>
        <v/>
      </c>
      <c r="D869" s="102" t="str">
        <f t="shared" si="3"/>
        <v/>
      </c>
      <c r="E869" s="100" t="str">
        <f t="array" ref="E869">IF(ISBLANK(G869),"",INDEX('POR Config List'!K:K,MATCH(G869,'POR Config List'!D:D,0)))</f>
        <v/>
      </c>
      <c r="F869" s="100" t="str">
        <f t="array" ref="F869">IF(ISBLANK(G869),"",INDEX('POR Config List'!J:J,MATCH(G869,'POR Config List'!D:D,0)))</f>
        <v/>
      </c>
      <c r="G869" s="168"/>
      <c r="H869" s="104" t="str">
        <f t="array" ref="H869">IF(ISBLANK(G869),"",INDEX('MP SKUs'!G:G,MATCH(G869,'MP SKUs'!A:A,0)))</f>
        <v/>
      </c>
      <c r="I869" s="105" t="str">
        <f t="array" ref="I869">IF(ISBLANK(G869),"",INDEX('POR Config List'!O:O,MATCH(G869,'POR Config List'!D:D,0)))</f>
        <v/>
      </c>
      <c r="J869" s="104" t="str">
        <f t="array" ref="J869">IF(ISBLANK(G869),"",INDEX('POR Config List'!H:H,MATCH(G869,'POR Config List'!D:D,0)))</f>
        <v/>
      </c>
      <c r="K869" s="105" t="str">
        <f t="array" ref="K869">IF(ISBLANK(G869),"",INDEX('POR Config List'!G:G,MATCH(G869,'POR Config List'!D:D,0)))</f>
        <v/>
      </c>
      <c r="L869" s="105"/>
      <c r="M869" s="105" t="str">
        <f t="array" ref="M869">IF(ISBLANK(G869),"",INDEX('label approval artwork'!Q:Q,MATCH( G869,'label approval artwork'!F:F,0)))</f>
        <v/>
      </c>
      <c r="N869" s="169" t="str">
        <f t="shared" si="5"/>
        <v/>
      </c>
      <c r="O869" s="102" t="str">
        <f t="array" ref="O869">IF(ISBLANK(G869),"",INDEX('POR Config List'!C:C,MATCH(G869,'POR Config List'!D:D,0)))</f>
        <v/>
      </c>
      <c r="P869" s="105" t="str">
        <f t="shared" si="4"/>
        <v/>
      </c>
      <c r="Q869" s="105" t="str">
        <f t="array" ref="Q869">IF(ISBLANK(G869),"",INDEX('label approval artwork'!J:J,MATCH( G869,'label approval artwork'!F:F,0)))</f>
        <v/>
      </c>
      <c r="R869" s="105" t="str">
        <f t="array" ref="R869">IFERROR( IF(P869&lt;&gt;"EMA",INDEX('label approval artwork'!H:H,MATCH(G869,'label approval artwork'!F:F,0),"")),"")</f>
        <v/>
      </c>
      <c r="S869" s="105"/>
      <c r="T869" s="105" t="str">
        <f t="array" ref="T869">IF(ISBLANK(G869),"",INDEX('POR Config List'!I:I,MATCH(G869,'POR Config List'!D:D,0)))</f>
        <v/>
      </c>
      <c r="AA869" s="100" t="str">
        <f t="array" ref="AA869">IF(ISBLANK(G869),"",INDEX('POR Config List'!E:E,MATCH(G869,'POR Config List'!D:D,0)))</f>
        <v/>
      </c>
      <c r="AC869" s="105"/>
      <c r="AD869" s="100"/>
      <c r="AE869" s="100"/>
      <c r="AF869" s="100"/>
      <c r="AG869" s="100"/>
      <c r="AM869" s="102"/>
      <c r="AN869" s="102"/>
    </row>
    <row r="870">
      <c r="A870" s="168"/>
      <c r="B870" s="100" t="str">
        <f t="array" ref="B870">IFERROR( INDEX('POR Config List'!A:A,MATCH(G870,'POR Config List'!D:D,0)),"")</f>
        <v/>
      </c>
      <c r="C870" s="101" t="str">
        <f t="array" ref="C870">IFERROR(INDEX('label approval artwork'!E:E,MATCH(G870,'label approval artwork'!F:F,0),""),"")</f>
        <v/>
      </c>
      <c r="D870" s="102" t="str">
        <f t="shared" si="3"/>
        <v/>
      </c>
      <c r="E870" s="100" t="str">
        <f t="array" ref="E870">IF(ISBLANK(G870),"",INDEX('POR Config List'!K:K,MATCH(G870,'POR Config List'!D:D,0)))</f>
        <v/>
      </c>
      <c r="F870" s="100" t="str">
        <f t="array" ref="F870">IF(ISBLANK(G870),"",INDEX('POR Config List'!J:J,MATCH(G870,'POR Config List'!D:D,0)))</f>
        <v/>
      </c>
      <c r="G870" s="168"/>
      <c r="H870" s="104" t="str">
        <f t="array" ref="H870">IF(ISBLANK(G870),"",INDEX('MP SKUs'!G:G,MATCH(G870,'MP SKUs'!A:A,0)))</f>
        <v/>
      </c>
      <c r="I870" s="105" t="str">
        <f t="array" ref="I870">IF(ISBLANK(G870),"",INDEX('POR Config List'!O:O,MATCH(G870,'POR Config List'!D:D,0)))</f>
        <v/>
      </c>
      <c r="J870" s="104" t="str">
        <f t="array" ref="J870">IF(ISBLANK(G870),"",INDEX('POR Config List'!H:H,MATCH(G870,'POR Config List'!D:D,0)))</f>
        <v/>
      </c>
      <c r="K870" s="105" t="str">
        <f t="array" ref="K870">IF(ISBLANK(G870),"",INDEX('POR Config List'!G:G,MATCH(G870,'POR Config List'!D:D,0)))</f>
        <v/>
      </c>
      <c r="L870" s="105"/>
      <c r="M870" s="105" t="str">
        <f t="array" ref="M870">IF(ISBLANK(G870),"",INDEX('label approval artwork'!Q:Q,MATCH( G870,'label approval artwork'!F:F,0)))</f>
        <v/>
      </c>
      <c r="N870" s="169" t="str">
        <f t="shared" si="5"/>
        <v/>
      </c>
      <c r="O870" s="102" t="str">
        <f t="array" ref="O870">IF(ISBLANK(G870),"",INDEX('POR Config List'!C:C,MATCH(G870,'POR Config List'!D:D,0)))</f>
        <v/>
      </c>
      <c r="P870" s="105" t="str">
        <f t="shared" si="4"/>
        <v/>
      </c>
      <c r="Q870" s="105" t="str">
        <f t="array" ref="Q870">IF(ISBLANK(G870),"",INDEX('label approval artwork'!J:J,MATCH( G870,'label approval artwork'!F:F,0)))</f>
        <v/>
      </c>
      <c r="R870" s="105" t="str">
        <f t="array" ref="R870">IFERROR( IF(P870&lt;&gt;"EMA",INDEX('label approval artwork'!H:H,MATCH(G870,'label approval artwork'!F:F,0),"")),"")</f>
        <v/>
      </c>
      <c r="S870" s="105"/>
      <c r="T870" s="105" t="str">
        <f t="array" ref="T870">IF(ISBLANK(G870),"",INDEX('POR Config List'!I:I,MATCH(G870,'POR Config List'!D:D,0)))</f>
        <v/>
      </c>
      <c r="AA870" s="100" t="str">
        <f t="array" ref="AA870">IF(ISBLANK(G870),"",INDEX('POR Config List'!E:E,MATCH(G870,'POR Config List'!D:D,0)))</f>
        <v/>
      </c>
      <c r="AC870" s="105"/>
      <c r="AD870" s="100"/>
      <c r="AE870" s="100"/>
      <c r="AF870" s="100"/>
      <c r="AG870" s="100"/>
      <c r="AM870" s="102"/>
      <c r="AN870" s="102"/>
    </row>
    <row r="871">
      <c r="A871" s="168"/>
      <c r="B871" s="100" t="str">
        <f t="array" ref="B871">IFERROR( INDEX('POR Config List'!A:A,MATCH(G871,'POR Config List'!D:D,0)),"")</f>
        <v/>
      </c>
      <c r="C871" s="101" t="str">
        <f t="array" ref="C871">IFERROR(INDEX('label approval artwork'!E:E,MATCH(G871,'label approval artwork'!F:F,0),""),"")</f>
        <v/>
      </c>
      <c r="D871" s="102" t="str">
        <f t="shared" si="3"/>
        <v/>
      </c>
      <c r="E871" s="100" t="str">
        <f t="array" ref="E871">IF(ISBLANK(G871),"",INDEX('POR Config List'!K:K,MATCH(G871,'POR Config List'!D:D,0)))</f>
        <v/>
      </c>
      <c r="F871" s="100" t="str">
        <f t="array" ref="F871">IF(ISBLANK(G871),"",INDEX('POR Config List'!J:J,MATCH(G871,'POR Config List'!D:D,0)))</f>
        <v/>
      </c>
      <c r="G871" s="168"/>
      <c r="H871" s="104" t="str">
        <f t="array" ref="H871">IF(ISBLANK(G871),"",INDEX('MP SKUs'!G:G,MATCH(G871,'MP SKUs'!A:A,0)))</f>
        <v/>
      </c>
      <c r="I871" s="105" t="str">
        <f t="array" ref="I871">IF(ISBLANK(G871),"",INDEX('POR Config List'!O:O,MATCH(G871,'POR Config List'!D:D,0)))</f>
        <v/>
      </c>
      <c r="J871" s="104" t="str">
        <f t="array" ref="J871">IF(ISBLANK(G871),"",INDEX('POR Config List'!H:H,MATCH(G871,'POR Config List'!D:D,0)))</f>
        <v/>
      </c>
      <c r="K871" s="105" t="str">
        <f t="array" ref="K871">IF(ISBLANK(G871),"",INDEX('POR Config List'!G:G,MATCH(G871,'POR Config List'!D:D,0)))</f>
        <v/>
      </c>
      <c r="L871" s="105"/>
      <c r="M871" s="105" t="str">
        <f t="array" ref="M871">IF(ISBLANK(G871),"",INDEX('label approval artwork'!Q:Q,MATCH( G871,'label approval artwork'!F:F,0)))</f>
        <v/>
      </c>
      <c r="N871" s="169" t="str">
        <f t="shared" si="5"/>
        <v/>
      </c>
      <c r="O871" s="102" t="str">
        <f t="array" ref="O871">IF(ISBLANK(G871),"",INDEX('POR Config List'!C:C,MATCH(G871,'POR Config List'!D:D,0)))</f>
        <v/>
      </c>
      <c r="P871" s="105" t="str">
        <f t="shared" si="4"/>
        <v/>
      </c>
      <c r="Q871" s="105" t="str">
        <f t="array" ref="Q871">IF(ISBLANK(G871),"",INDEX('label approval artwork'!J:J,MATCH( G871,'label approval artwork'!F:F,0)))</f>
        <v/>
      </c>
      <c r="R871" s="105" t="str">
        <f t="array" ref="R871">IFERROR( IF(P871&lt;&gt;"EMA",INDEX('label approval artwork'!H:H,MATCH(G871,'label approval artwork'!F:F,0),"")),"")</f>
        <v/>
      </c>
      <c r="S871" s="105"/>
      <c r="T871" s="105" t="str">
        <f t="array" ref="T871">IF(ISBLANK(G871),"",INDEX('POR Config List'!I:I,MATCH(G871,'POR Config List'!D:D,0)))</f>
        <v/>
      </c>
      <c r="AA871" s="100" t="str">
        <f t="array" ref="AA871">IF(ISBLANK(G871),"",INDEX('POR Config List'!E:E,MATCH(G871,'POR Config List'!D:D,0)))</f>
        <v/>
      </c>
      <c r="AC871" s="105"/>
      <c r="AD871" s="100"/>
      <c r="AE871" s="100"/>
      <c r="AF871" s="100"/>
      <c r="AG871" s="100"/>
      <c r="AM871" s="102"/>
      <c r="AN871" s="102"/>
    </row>
    <row r="872">
      <c r="A872" s="168"/>
      <c r="B872" s="100" t="str">
        <f t="array" ref="B872">IFERROR( INDEX('POR Config List'!A:A,MATCH(G872,'POR Config List'!D:D,0)),"")</f>
        <v/>
      </c>
      <c r="C872" s="101" t="str">
        <f t="array" ref="C872">IFERROR(INDEX('label approval artwork'!E:E,MATCH(G872,'label approval artwork'!F:F,0),""),"")</f>
        <v/>
      </c>
      <c r="D872" s="102" t="str">
        <f t="shared" si="3"/>
        <v/>
      </c>
      <c r="E872" s="100" t="str">
        <f t="array" ref="E872">IF(ISBLANK(G872),"",INDEX('POR Config List'!K:K,MATCH(G872,'POR Config List'!D:D,0)))</f>
        <v/>
      </c>
      <c r="F872" s="100" t="str">
        <f t="array" ref="F872">IF(ISBLANK(G872),"",INDEX('POR Config List'!J:J,MATCH(G872,'POR Config List'!D:D,0)))</f>
        <v/>
      </c>
      <c r="G872" s="168"/>
      <c r="H872" s="104" t="str">
        <f t="array" ref="H872">IF(ISBLANK(G872),"",INDEX('MP SKUs'!G:G,MATCH(G872,'MP SKUs'!A:A,0)))</f>
        <v/>
      </c>
      <c r="I872" s="105" t="str">
        <f t="array" ref="I872">IF(ISBLANK(G872),"",INDEX('POR Config List'!O:O,MATCH(G872,'POR Config List'!D:D,0)))</f>
        <v/>
      </c>
      <c r="J872" s="104" t="str">
        <f t="array" ref="J872">IF(ISBLANK(G872),"",INDEX('POR Config List'!H:H,MATCH(G872,'POR Config List'!D:D,0)))</f>
        <v/>
      </c>
      <c r="K872" s="105" t="str">
        <f t="array" ref="K872">IF(ISBLANK(G872),"",INDEX('POR Config List'!G:G,MATCH(G872,'POR Config List'!D:D,0)))</f>
        <v/>
      </c>
      <c r="L872" s="105"/>
      <c r="M872" s="105" t="str">
        <f t="array" ref="M872">IF(ISBLANK(G872),"",INDEX('label approval artwork'!Q:Q,MATCH( G872,'label approval artwork'!F:F,0)))</f>
        <v/>
      </c>
      <c r="N872" s="169" t="str">
        <f t="shared" si="5"/>
        <v/>
      </c>
      <c r="O872" s="102" t="str">
        <f t="array" ref="O872">IF(ISBLANK(G872),"",INDEX('POR Config List'!C:C,MATCH(G872,'POR Config List'!D:D,0)))</f>
        <v/>
      </c>
      <c r="P872" s="105" t="str">
        <f t="shared" si="4"/>
        <v/>
      </c>
      <c r="Q872" s="105" t="str">
        <f t="array" ref="Q872">IF(ISBLANK(G872),"",INDEX('label approval artwork'!J:J,MATCH( G872,'label approval artwork'!F:F,0)))</f>
        <v/>
      </c>
      <c r="R872" s="105" t="str">
        <f t="array" ref="R872">IFERROR( IF(P872&lt;&gt;"EMA",INDEX('label approval artwork'!H:H,MATCH(G872,'label approval artwork'!F:F,0),"")),"")</f>
        <v/>
      </c>
      <c r="S872" s="105"/>
      <c r="T872" s="105" t="str">
        <f t="array" ref="T872">IF(ISBLANK(G872),"",INDEX('POR Config List'!I:I,MATCH(G872,'POR Config List'!D:D,0)))</f>
        <v/>
      </c>
      <c r="AA872" s="100" t="str">
        <f t="array" ref="AA872">IF(ISBLANK(G872),"",INDEX('POR Config List'!E:E,MATCH(G872,'POR Config List'!D:D,0)))</f>
        <v/>
      </c>
      <c r="AC872" s="105"/>
      <c r="AD872" s="100"/>
      <c r="AE872" s="100"/>
      <c r="AF872" s="100"/>
      <c r="AG872" s="100"/>
      <c r="AM872" s="102"/>
      <c r="AN872" s="102"/>
    </row>
    <row r="873">
      <c r="A873" s="168"/>
      <c r="B873" s="100" t="str">
        <f t="array" ref="B873">IFERROR( INDEX('POR Config List'!A:A,MATCH(G873,'POR Config List'!D:D,0)),"")</f>
        <v/>
      </c>
      <c r="C873" s="101" t="str">
        <f t="array" ref="C873">IFERROR(INDEX('label approval artwork'!E:E,MATCH(G873,'label approval artwork'!F:F,0),""),"")</f>
        <v/>
      </c>
      <c r="D873" s="102" t="str">
        <f t="shared" si="3"/>
        <v/>
      </c>
      <c r="E873" s="100" t="str">
        <f t="array" ref="E873">IF(ISBLANK(G873),"",INDEX('POR Config List'!K:K,MATCH(G873,'POR Config List'!D:D,0)))</f>
        <v/>
      </c>
      <c r="F873" s="100" t="str">
        <f t="array" ref="F873">IF(ISBLANK(G873),"",INDEX('POR Config List'!J:J,MATCH(G873,'POR Config List'!D:D,0)))</f>
        <v/>
      </c>
      <c r="G873" s="168"/>
      <c r="H873" s="104" t="str">
        <f t="array" ref="H873">IF(ISBLANK(G873),"",INDEX('MP SKUs'!G:G,MATCH(G873,'MP SKUs'!A:A,0)))</f>
        <v/>
      </c>
      <c r="I873" s="105" t="str">
        <f t="array" ref="I873">IF(ISBLANK(G873),"",INDEX('POR Config List'!O:O,MATCH(G873,'POR Config List'!D:D,0)))</f>
        <v/>
      </c>
      <c r="J873" s="104" t="str">
        <f t="array" ref="J873">IF(ISBLANK(G873),"",INDEX('POR Config List'!H:H,MATCH(G873,'POR Config List'!D:D,0)))</f>
        <v/>
      </c>
      <c r="K873" s="105" t="str">
        <f t="array" ref="K873">IF(ISBLANK(G873),"",INDEX('POR Config List'!G:G,MATCH(G873,'POR Config List'!D:D,0)))</f>
        <v/>
      </c>
      <c r="L873" s="105"/>
      <c r="M873" s="105" t="str">
        <f t="array" ref="M873">IF(ISBLANK(G873),"",INDEX('label approval artwork'!Q:Q,MATCH( G873,'label approval artwork'!F:F,0)))</f>
        <v/>
      </c>
      <c r="N873" s="169" t="str">
        <f t="shared" si="5"/>
        <v/>
      </c>
      <c r="O873" s="102" t="str">
        <f t="array" ref="O873">IF(ISBLANK(G873),"",INDEX('POR Config List'!C:C,MATCH(G873,'POR Config List'!D:D,0)))</f>
        <v/>
      </c>
      <c r="P873" s="105" t="str">
        <f t="shared" si="4"/>
        <v/>
      </c>
      <c r="Q873" s="105" t="str">
        <f t="array" ref="Q873">IF(ISBLANK(G873),"",INDEX('label approval artwork'!J:J,MATCH( G873,'label approval artwork'!F:F,0)))</f>
        <v/>
      </c>
      <c r="R873" s="105" t="str">
        <f t="array" ref="R873">IFERROR( IF(P873&lt;&gt;"EMA",INDEX('label approval artwork'!H:H,MATCH(G873,'label approval artwork'!F:F,0),"")),"")</f>
        <v/>
      </c>
      <c r="S873" s="105"/>
      <c r="T873" s="105" t="str">
        <f t="array" ref="T873">IF(ISBLANK(G873),"",INDEX('POR Config List'!I:I,MATCH(G873,'POR Config List'!D:D,0)))</f>
        <v/>
      </c>
      <c r="AA873" s="100" t="str">
        <f t="array" ref="AA873">IF(ISBLANK(G873),"",INDEX('POR Config List'!E:E,MATCH(G873,'POR Config List'!D:D,0)))</f>
        <v/>
      </c>
      <c r="AC873" s="105"/>
      <c r="AD873" s="100"/>
      <c r="AE873" s="100"/>
      <c r="AF873" s="100"/>
      <c r="AG873" s="100"/>
      <c r="AM873" s="102"/>
      <c r="AN873" s="102"/>
    </row>
    <row r="874">
      <c r="A874" s="168"/>
      <c r="B874" s="100" t="str">
        <f t="array" ref="B874">IFERROR( INDEX('POR Config List'!A:A,MATCH(G874,'POR Config List'!D:D,0)),"")</f>
        <v/>
      </c>
      <c r="C874" s="101" t="str">
        <f t="array" ref="C874">IFERROR(INDEX('label approval artwork'!E:E,MATCH(G874,'label approval artwork'!F:F,0),""),"")</f>
        <v/>
      </c>
      <c r="D874" s="102" t="str">
        <f t="shared" si="3"/>
        <v/>
      </c>
      <c r="E874" s="100" t="str">
        <f t="array" ref="E874">IF(ISBLANK(G874),"",INDEX('POR Config List'!K:K,MATCH(G874,'POR Config List'!D:D,0)))</f>
        <v/>
      </c>
      <c r="F874" s="100" t="str">
        <f t="array" ref="F874">IF(ISBLANK(G874),"",INDEX('POR Config List'!J:J,MATCH(G874,'POR Config List'!D:D,0)))</f>
        <v/>
      </c>
      <c r="G874" s="168"/>
      <c r="H874" s="104" t="str">
        <f t="array" ref="H874">IF(ISBLANK(G874),"",INDEX('MP SKUs'!G:G,MATCH(G874,'MP SKUs'!A:A,0)))</f>
        <v/>
      </c>
      <c r="I874" s="105" t="str">
        <f t="array" ref="I874">IF(ISBLANK(G874),"",INDEX('POR Config List'!O:O,MATCH(G874,'POR Config List'!D:D,0)))</f>
        <v/>
      </c>
      <c r="J874" s="104" t="str">
        <f t="array" ref="J874">IF(ISBLANK(G874),"",INDEX('POR Config List'!H:H,MATCH(G874,'POR Config List'!D:D,0)))</f>
        <v/>
      </c>
      <c r="K874" s="105" t="str">
        <f t="array" ref="K874">IF(ISBLANK(G874),"",INDEX('POR Config List'!G:G,MATCH(G874,'POR Config List'!D:D,0)))</f>
        <v/>
      </c>
      <c r="L874" s="105"/>
      <c r="M874" s="105" t="str">
        <f t="array" ref="M874">IF(ISBLANK(G874),"",INDEX('label approval artwork'!Q:Q,MATCH( G874,'label approval artwork'!F:F,0)))</f>
        <v/>
      </c>
      <c r="N874" s="169" t="str">
        <f t="shared" si="5"/>
        <v/>
      </c>
      <c r="O874" s="102" t="str">
        <f t="array" ref="O874">IF(ISBLANK(G874),"",INDEX('POR Config List'!C:C,MATCH(G874,'POR Config List'!D:D,0)))</f>
        <v/>
      </c>
      <c r="P874" s="105" t="str">
        <f t="shared" si="4"/>
        <v/>
      </c>
      <c r="Q874" s="105" t="str">
        <f t="array" ref="Q874">IF(ISBLANK(G874),"",INDEX('label approval artwork'!J:J,MATCH( G874,'label approval artwork'!F:F,0)))</f>
        <v/>
      </c>
      <c r="R874" s="105" t="str">
        <f t="array" ref="R874">IFERROR( IF(P874&lt;&gt;"EMA",INDEX('label approval artwork'!H:H,MATCH(G874,'label approval artwork'!F:F,0),"")),"")</f>
        <v/>
      </c>
      <c r="S874" s="105"/>
      <c r="T874" s="105" t="str">
        <f t="array" ref="T874">IF(ISBLANK(G874),"",INDEX('POR Config List'!I:I,MATCH(G874,'POR Config List'!D:D,0)))</f>
        <v/>
      </c>
      <c r="AA874" s="100" t="str">
        <f t="array" ref="AA874">IF(ISBLANK(G874),"",INDEX('POR Config List'!E:E,MATCH(G874,'POR Config List'!D:D,0)))</f>
        <v/>
      </c>
      <c r="AC874" s="105"/>
      <c r="AD874" s="100"/>
      <c r="AE874" s="100"/>
      <c r="AF874" s="100"/>
      <c r="AG874" s="100"/>
      <c r="AM874" s="102"/>
      <c r="AN874" s="102"/>
    </row>
    <row r="875">
      <c r="A875" s="168"/>
      <c r="B875" s="100" t="str">
        <f t="array" ref="B875">IFERROR( INDEX('POR Config List'!A:A,MATCH(G875,'POR Config List'!D:D,0)),"")</f>
        <v/>
      </c>
      <c r="C875" s="101" t="str">
        <f t="array" ref="C875">IFERROR(INDEX('label approval artwork'!E:E,MATCH(G875,'label approval artwork'!F:F,0),""),"")</f>
        <v/>
      </c>
      <c r="D875" s="102" t="str">
        <f t="shared" si="3"/>
        <v/>
      </c>
      <c r="E875" s="100" t="str">
        <f t="array" ref="E875">IF(ISBLANK(G875),"",INDEX('POR Config List'!K:K,MATCH(G875,'POR Config List'!D:D,0)))</f>
        <v/>
      </c>
      <c r="F875" s="100" t="str">
        <f t="array" ref="F875">IF(ISBLANK(G875),"",INDEX('POR Config List'!J:J,MATCH(G875,'POR Config List'!D:D,0)))</f>
        <v/>
      </c>
      <c r="G875" s="168"/>
      <c r="H875" s="104" t="str">
        <f t="array" ref="H875">IF(ISBLANK(G875),"",INDEX('MP SKUs'!G:G,MATCH(G875,'MP SKUs'!A:A,0)))</f>
        <v/>
      </c>
      <c r="I875" s="105" t="str">
        <f t="array" ref="I875">IF(ISBLANK(G875),"",INDEX('POR Config List'!O:O,MATCH(G875,'POR Config List'!D:D,0)))</f>
        <v/>
      </c>
      <c r="J875" s="104" t="str">
        <f t="array" ref="J875">IF(ISBLANK(G875),"",INDEX('POR Config List'!H:H,MATCH(G875,'POR Config List'!D:D,0)))</f>
        <v/>
      </c>
      <c r="K875" s="105" t="str">
        <f t="array" ref="K875">IF(ISBLANK(G875),"",INDEX('POR Config List'!G:G,MATCH(G875,'POR Config List'!D:D,0)))</f>
        <v/>
      </c>
      <c r="L875" s="105"/>
      <c r="M875" s="105" t="str">
        <f t="array" ref="M875">IF(ISBLANK(G875),"",INDEX('label approval artwork'!Q:Q,MATCH( G875,'label approval artwork'!F:F,0)))</f>
        <v/>
      </c>
      <c r="N875" s="169" t="str">
        <f t="shared" si="5"/>
        <v/>
      </c>
      <c r="O875" s="102" t="str">
        <f t="array" ref="O875">IF(ISBLANK(G875),"",INDEX('POR Config List'!C:C,MATCH(G875,'POR Config List'!D:D,0)))</f>
        <v/>
      </c>
      <c r="P875" s="105" t="str">
        <f t="shared" si="4"/>
        <v/>
      </c>
      <c r="Q875" s="105" t="str">
        <f t="array" ref="Q875">IF(ISBLANK(G875),"",INDEX('label approval artwork'!J:J,MATCH( G875,'label approval artwork'!F:F,0)))</f>
        <v/>
      </c>
      <c r="R875" s="105" t="str">
        <f t="array" ref="R875">IFERROR( IF(P875&lt;&gt;"EMA",INDEX('label approval artwork'!H:H,MATCH(G875,'label approval artwork'!F:F,0),"")),"")</f>
        <v/>
      </c>
      <c r="S875" s="105"/>
      <c r="T875" s="105" t="str">
        <f t="array" ref="T875">IF(ISBLANK(G875),"",INDEX('POR Config List'!I:I,MATCH(G875,'POR Config List'!D:D,0)))</f>
        <v/>
      </c>
      <c r="AA875" s="100" t="str">
        <f t="array" ref="AA875">IF(ISBLANK(G875),"",INDEX('POR Config List'!E:E,MATCH(G875,'POR Config List'!D:D,0)))</f>
        <v/>
      </c>
      <c r="AC875" s="105"/>
      <c r="AD875" s="100"/>
      <c r="AE875" s="100"/>
      <c r="AF875" s="100"/>
      <c r="AG875" s="100"/>
      <c r="AM875" s="102"/>
      <c r="AN875" s="102"/>
    </row>
    <row r="876">
      <c r="A876" s="168"/>
      <c r="B876" s="100" t="str">
        <f t="array" ref="B876">IFERROR( INDEX('POR Config List'!A:A,MATCH(G876,'POR Config List'!D:D,0)),"")</f>
        <v/>
      </c>
      <c r="C876" s="101" t="str">
        <f t="array" ref="C876">IFERROR(INDEX('label approval artwork'!E:E,MATCH(G876,'label approval artwork'!F:F,0),""),"")</f>
        <v/>
      </c>
      <c r="D876" s="102" t="str">
        <f t="shared" si="3"/>
        <v/>
      </c>
      <c r="E876" s="100" t="str">
        <f t="array" ref="E876">IF(ISBLANK(G876),"",INDEX('POR Config List'!K:K,MATCH(G876,'POR Config List'!D:D,0)))</f>
        <v/>
      </c>
      <c r="F876" s="100" t="str">
        <f t="array" ref="F876">IF(ISBLANK(G876),"",INDEX('POR Config List'!J:J,MATCH(G876,'POR Config List'!D:D,0)))</f>
        <v/>
      </c>
      <c r="G876" s="168"/>
      <c r="H876" s="104" t="str">
        <f t="array" ref="H876">IF(ISBLANK(G876),"",INDEX('MP SKUs'!G:G,MATCH(G876,'MP SKUs'!A:A,0)))</f>
        <v/>
      </c>
      <c r="I876" s="105" t="str">
        <f t="array" ref="I876">IF(ISBLANK(G876),"",INDEX('POR Config List'!O:O,MATCH(G876,'POR Config List'!D:D,0)))</f>
        <v/>
      </c>
      <c r="J876" s="104" t="str">
        <f t="array" ref="J876">IF(ISBLANK(G876),"",INDEX('POR Config List'!H:H,MATCH(G876,'POR Config List'!D:D,0)))</f>
        <v/>
      </c>
      <c r="K876" s="105" t="str">
        <f t="array" ref="K876">IF(ISBLANK(G876),"",INDEX('POR Config List'!G:G,MATCH(G876,'POR Config List'!D:D,0)))</f>
        <v/>
      </c>
      <c r="L876" s="105"/>
      <c r="M876" s="105" t="str">
        <f t="array" ref="M876">IF(ISBLANK(G876),"",INDEX('label approval artwork'!Q:Q,MATCH( G876,'label approval artwork'!F:F,0)))</f>
        <v/>
      </c>
      <c r="N876" s="169" t="str">
        <f t="shared" si="5"/>
        <v/>
      </c>
      <c r="O876" s="102" t="str">
        <f t="array" ref="O876">IF(ISBLANK(G876),"",INDEX('POR Config List'!C:C,MATCH(G876,'POR Config List'!D:D,0)))</f>
        <v/>
      </c>
      <c r="P876" s="105" t="str">
        <f t="shared" si="4"/>
        <v/>
      </c>
      <c r="Q876" s="105" t="str">
        <f t="array" ref="Q876">IF(ISBLANK(G876),"",INDEX('label approval artwork'!J:J,MATCH( G876,'label approval artwork'!F:F,0)))</f>
        <v/>
      </c>
      <c r="R876" s="105" t="str">
        <f t="array" ref="R876">IFERROR( IF(P876&lt;&gt;"EMA",INDEX('label approval artwork'!H:H,MATCH(G876,'label approval artwork'!F:F,0),"")),"")</f>
        <v/>
      </c>
      <c r="S876" s="105"/>
      <c r="T876" s="105" t="str">
        <f t="array" ref="T876">IF(ISBLANK(G876),"",INDEX('POR Config List'!I:I,MATCH(G876,'POR Config List'!D:D,0)))</f>
        <v/>
      </c>
      <c r="AA876" s="100" t="str">
        <f t="array" ref="AA876">IF(ISBLANK(G876),"",INDEX('POR Config List'!E:E,MATCH(G876,'POR Config List'!D:D,0)))</f>
        <v/>
      </c>
      <c r="AC876" s="105"/>
      <c r="AD876" s="100"/>
      <c r="AE876" s="100"/>
      <c r="AF876" s="100"/>
      <c r="AG876" s="100"/>
      <c r="AM876" s="102"/>
      <c r="AN876" s="102"/>
    </row>
    <row r="877">
      <c r="A877" s="168"/>
      <c r="B877" s="100" t="str">
        <f t="array" ref="B877">IFERROR( INDEX('POR Config List'!A:A,MATCH(G877,'POR Config List'!D:D,0)),"")</f>
        <v/>
      </c>
      <c r="C877" s="101" t="str">
        <f t="array" ref="C877">IFERROR(INDEX('label approval artwork'!E:E,MATCH(G877,'label approval artwork'!F:F,0),""),"")</f>
        <v/>
      </c>
      <c r="D877" s="102" t="str">
        <f t="shared" si="3"/>
        <v/>
      </c>
      <c r="E877" s="100" t="str">
        <f t="array" ref="E877">IF(ISBLANK(G877),"",INDEX('POR Config List'!K:K,MATCH(G877,'POR Config List'!D:D,0)))</f>
        <v/>
      </c>
      <c r="F877" s="100" t="str">
        <f t="array" ref="F877">IF(ISBLANK(G877),"",INDEX('POR Config List'!J:J,MATCH(G877,'POR Config List'!D:D,0)))</f>
        <v/>
      </c>
      <c r="G877" s="168"/>
      <c r="H877" s="104" t="str">
        <f t="array" ref="H877">IF(ISBLANK(G877),"",INDEX('MP SKUs'!G:G,MATCH(G877,'MP SKUs'!A:A,0)))</f>
        <v/>
      </c>
      <c r="I877" s="105" t="str">
        <f t="array" ref="I877">IF(ISBLANK(G877),"",INDEX('POR Config List'!O:O,MATCH(G877,'POR Config List'!D:D,0)))</f>
        <v/>
      </c>
      <c r="J877" s="104" t="str">
        <f t="array" ref="J877">IF(ISBLANK(G877),"",INDEX('POR Config List'!H:H,MATCH(G877,'POR Config List'!D:D,0)))</f>
        <v/>
      </c>
      <c r="K877" s="105" t="str">
        <f t="array" ref="K877">IF(ISBLANK(G877),"",INDEX('POR Config List'!G:G,MATCH(G877,'POR Config List'!D:D,0)))</f>
        <v/>
      </c>
      <c r="L877" s="105"/>
      <c r="M877" s="105" t="str">
        <f t="array" ref="M877">IF(ISBLANK(G877),"",INDEX('label approval artwork'!Q:Q,MATCH( G877,'label approval artwork'!F:F,0)))</f>
        <v/>
      </c>
      <c r="N877" s="169" t="str">
        <f t="shared" si="5"/>
        <v/>
      </c>
      <c r="O877" s="102" t="str">
        <f t="array" ref="O877">IF(ISBLANK(G877),"",INDEX('POR Config List'!C:C,MATCH(G877,'POR Config List'!D:D,0)))</f>
        <v/>
      </c>
      <c r="P877" s="105" t="str">
        <f t="shared" si="4"/>
        <v/>
      </c>
      <c r="Q877" s="105" t="str">
        <f t="array" ref="Q877">IF(ISBLANK(G877),"",INDEX('label approval artwork'!J:J,MATCH( G877,'label approval artwork'!F:F,0)))</f>
        <v/>
      </c>
      <c r="R877" s="105" t="str">
        <f t="array" ref="R877">IFERROR( IF(P877&lt;&gt;"EMA",INDEX('label approval artwork'!H:H,MATCH(G877,'label approval artwork'!F:F,0),"")),"")</f>
        <v/>
      </c>
      <c r="S877" s="105"/>
      <c r="T877" s="105" t="str">
        <f t="array" ref="T877">IF(ISBLANK(G877),"",INDEX('POR Config List'!I:I,MATCH(G877,'POR Config List'!D:D,0)))</f>
        <v/>
      </c>
      <c r="AA877" s="100" t="str">
        <f t="array" ref="AA877">IF(ISBLANK(G877),"",INDEX('POR Config List'!E:E,MATCH(G877,'POR Config List'!D:D,0)))</f>
        <v/>
      </c>
      <c r="AC877" s="105"/>
      <c r="AD877" s="100"/>
      <c r="AE877" s="100"/>
      <c r="AF877" s="100"/>
      <c r="AG877" s="100"/>
      <c r="AM877" s="102"/>
      <c r="AN877" s="102"/>
    </row>
    <row r="878">
      <c r="A878" s="168"/>
      <c r="B878" s="100" t="str">
        <f t="array" ref="B878">IFERROR( INDEX('POR Config List'!A:A,MATCH(G878,'POR Config List'!D:D,0)),"")</f>
        <v/>
      </c>
      <c r="C878" s="101" t="str">
        <f t="array" ref="C878">IFERROR(INDEX('label approval artwork'!E:E,MATCH(G878,'label approval artwork'!F:F,0),""),"")</f>
        <v/>
      </c>
      <c r="D878" s="102" t="str">
        <f t="shared" si="3"/>
        <v/>
      </c>
      <c r="E878" s="100" t="str">
        <f t="array" ref="E878">IF(ISBLANK(G878),"",INDEX('POR Config List'!K:K,MATCH(G878,'POR Config List'!D:D,0)))</f>
        <v/>
      </c>
      <c r="F878" s="100" t="str">
        <f t="array" ref="F878">IF(ISBLANK(G878),"",INDEX('POR Config List'!J:J,MATCH(G878,'POR Config List'!D:D,0)))</f>
        <v/>
      </c>
      <c r="G878" s="168"/>
      <c r="H878" s="104" t="str">
        <f t="array" ref="H878">IF(ISBLANK(G878),"",INDEX('MP SKUs'!G:G,MATCH(G878,'MP SKUs'!A:A,0)))</f>
        <v/>
      </c>
      <c r="I878" s="105" t="str">
        <f t="array" ref="I878">IF(ISBLANK(G878),"",INDEX('POR Config List'!O:O,MATCH(G878,'POR Config List'!D:D,0)))</f>
        <v/>
      </c>
      <c r="J878" s="104" t="str">
        <f t="array" ref="J878">IF(ISBLANK(G878),"",INDEX('POR Config List'!H:H,MATCH(G878,'POR Config List'!D:D,0)))</f>
        <v/>
      </c>
      <c r="K878" s="105" t="str">
        <f t="array" ref="K878">IF(ISBLANK(G878),"",INDEX('POR Config List'!G:G,MATCH(G878,'POR Config List'!D:D,0)))</f>
        <v/>
      </c>
      <c r="L878" s="105"/>
      <c r="M878" s="105" t="str">
        <f t="array" ref="M878">IF(ISBLANK(G878),"",INDEX('label approval artwork'!Q:Q,MATCH( G878,'label approval artwork'!F:F,0)))</f>
        <v/>
      </c>
      <c r="N878" s="169" t="str">
        <f t="shared" si="5"/>
        <v/>
      </c>
      <c r="O878" s="102" t="str">
        <f t="array" ref="O878">IF(ISBLANK(G878),"",INDEX('POR Config List'!C:C,MATCH(G878,'POR Config List'!D:D,0)))</f>
        <v/>
      </c>
      <c r="P878" s="105" t="str">
        <f t="shared" si="4"/>
        <v/>
      </c>
      <c r="Q878" s="105" t="str">
        <f t="array" ref="Q878">IF(ISBLANK(G878),"",INDEX('label approval artwork'!J:J,MATCH( G878,'label approval artwork'!F:F,0)))</f>
        <v/>
      </c>
      <c r="R878" s="105" t="str">
        <f t="array" ref="R878">IFERROR( IF(P878&lt;&gt;"EMA",INDEX('label approval artwork'!H:H,MATCH(G878,'label approval artwork'!F:F,0),"")),"")</f>
        <v/>
      </c>
      <c r="S878" s="105"/>
      <c r="T878" s="105" t="str">
        <f t="array" ref="T878">IF(ISBLANK(G878),"",INDEX('POR Config List'!I:I,MATCH(G878,'POR Config List'!D:D,0)))</f>
        <v/>
      </c>
      <c r="AA878" s="100" t="str">
        <f t="array" ref="AA878">IF(ISBLANK(G878),"",INDEX('POR Config List'!E:E,MATCH(G878,'POR Config List'!D:D,0)))</f>
        <v/>
      </c>
      <c r="AC878" s="105"/>
      <c r="AD878" s="100"/>
      <c r="AE878" s="100"/>
      <c r="AF878" s="100"/>
      <c r="AG878" s="100"/>
      <c r="AM878" s="102"/>
      <c r="AN878" s="102"/>
    </row>
    <row r="879">
      <c r="A879" s="168"/>
      <c r="B879" s="100" t="str">
        <f t="array" ref="B879">IFERROR( INDEX('POR Config List'!A:A,MATCH(G879,'POR Config List'!D:D,0)),"")</f>
        <v/>
      </c>
      <c r="C879" s="101" t="str">
        <f t="array" ref="C879">IFERROR(INDEX('label approval artwork'!E:E,MATCH(G879,'label approval artwork'!F:F,0),""),"")</f>
        <v/>
      </c>
      <c r="D879" s="102" t="str">
        <f t="shared" si="3"/>
        <v/>
      </c>
      <c r="E879" s="100" t="str">
        <f t="array" ref="E879">IF(ISBLANK(G879),"",INDEX('POR Config List'!K:K,MATCH(G879,'POR Config List'!D:D,0)))</f>
        <v/>
      </c>
      <c r="F879" s="100" t="str">
        <f t="array" ref="F879">IF(ISBLANK(G879),"",INDEX('POR Config List'!J:J,MATCH(G879,'POR Config List'!D:D,0)))</f>
        <v/>
      </c>
      <c r="G879" s="168"/>
      <c r="H879" s="104" t="str">
        <f t="array" ref="H879">IF(ISBLANK(G879),"",INDEX('MP SKUs'!G:G,MATCH(G879,'MP SKUs'!A:A,0)))</f>
        <v/>
      </c>
      <c r="I879" s="105" t="str">
        <f t="array" ref="I879">IF(ISBLANK(G879),"",INDEX('POR Config List'!O:O,MATCH(G879,'POR Config List'!D:D,0)))</f>
        <v/>
      </c>
      <c r="J879" s="104" t="str">
        <f t="array" ref="J879">IF(ISBLANK(G879),"",INDEX('POR Config List'!H:H,MATCH(G879,'POR Config List'!D:D,0)))</f>
        <v/>
      </c>
      <c r="K879" s="105" t="str">
        <f t="array" ref="K879">IF(ISBLANK(G879),"",INDEX('POR Config List'!G:G,MATCH(G879,'POR Config List'!D:D,0)))</f>
        <v/>
      </c>
      <c r="L879" s="105"/>
      <c r="M879" s="105" t="str">
        <f t="array" ref="M879">IF(ISBLANK(G879),"",INDEX('label approval artwork'!Q:Q,MATCH( G879,'label approval artwork'!F:F,0)))</f>
        <v/>
      </c>
      <c r="N879" s="169" t="str">
        <f t="shared" si="5"/>
        <v/>
      </c>
      <c r="O879" s="102" t="str">
        <f t="array" ref="O879">IF(ISBLANK(G879),"",INDEX('POR Config List'!C:C,MATCH(G879,'POR Config List'!D:D,0)))</f>
        <v/>
      </c>
      <c r="P879" s="105" t="str">
        <f t="shared" si="4"/>
        <v/>
      </c>
      <c r="Q879" s="105" t="str">
        <f t="array" ref="Q879">IF(ISBLANK(G879),"",INDEX('label approval artwork'!J:J,MATCH( G879,'label approval artwork'!F:F,0)))</f>
        <v/>
      </c>
      <c r="R879" s="105" t="str">
        <f t="array" ref="R879">IFERROR( IF(P879&lt;&gt;"EMA",INDEX('label approval artwork'!H:H,MATCH(G879,'label approval artwork'!F:F,0),"")),"")</f>
        <v/>
      </c>
      <c r="S879" s="105"/>
      <c r="T879" s="105" t="str">
        <f t="array" ref="T879">IF(ISBLANK(G879),"",INDEX('POR Config List'!I:I,MATCH(G879,'POR Config List'!D:D,0)))</f>
        <v/>
      </c>
      <c r="AA879" s="100" t="str">
        <f t="array" ref="AA879">IF(ISBLANK(G879),"",INDEX('POR Config List'!E:E,MATCH(G879,'POR Config List'!D:D,0)))</f>
        <v/>
      </c>
      <c r="AC879" s="105"/>
      <c r="AD879" s="100"/>
      <c r="AE879" s="100"/>
      <c r="AF879" s="100"/>
      <c r="AG879" s="100"/>
      <c r="AM879" s="102"/>
      <c r="AN879" s="102"/>
    </row>
    <row r="880">
      <c r="A880" s="168"/>
      <c r="B880" s="100" t="str">
        <f t="array" ref="B880">IFERROR( INDEX('POR Config List'!A:A,MATCH(G880,'POR Config List'!D:D,0)),"")</f>
        <v/>
      </c>
      <c r="C880" s="101" t="str">
        <f t="array" ref="C880">IFERROR(INDEX('label approval artwork'!E:E,MATCH(G880,'label approval artwork'!F:F,0),""),"")</f>
        <v/>
      </c>
      <c r="D880" s="102" t="str">
        <f t="shared" si="3"/>
        <v/>
      </c>
      <c r="E880" s="100" t="str">
        <f t="array" ref="E880">IF(ISBLANK(G880),"",INDEX('POR Config List'!K:K,MATCH(G880,'POR Config List'!D:D,0)))</f>
        <v/>
      </c>
      <c r="F880" s="100" t="str">
        <f t="array" ref="F880">IF(ISBLANK(G880),"",INDEX('POR Config List'!J:J,MATCH(G880,'POR Config List'!D:D,0)))</f>
        <v/>
      </c>
      <c r="G880" s="168"/>
      <c r="H880" s="104" t="str">
        <f t="array" ref="H880">IF(ISBLANK(G880),"",INDEX('MP SKUs'!G:G,MATCH(G880,'MP SKUs'!A:A,0)))</f>
        <v/>
      </c>
      <c r="I880" s="105" t="str">
        <f t="array" ref="I880">IF(ISBLANK(G880),"",INDEX('POR Config List'!O:O,MATCH(G880,'POR Config List'!D:D,0)))</f>
        <v/>
      </c>
      <c r="J880" s="104" t="str">
        <f t="array" ref="J880">IF(ISBLANK(G880),"",INDEX('POR Config List'!H:H,MATCH(G880,'POR Config List'!D:D,0)))</f>
        <v/>
      </c>
      <c r="K880" s="105" t="str">
        <f t="array" ref="K880">IF(ISBLANK(G880),"",INDEX('POR Config List'!G:G,MATCH(G880,'POR Config List'!D:D,0)))</f>
        <v/>
      </c>
      <c r="L880" s="105"/>
      <c r="M880" s="105" t="str">
        <f t="array" ref="M880">IF(ISBLANK(G880),"",INDEX('label approval artwork'!Q:Q,MATCH( G880,'label approval artwork'!F:F,0)))</f>
        <v/>
      </c>
      <c r="N880" s="169" t="str">
        <f t="shared" si="5"/>
        <v/>
      </c>
      <c r="O880" s="102" t="str">
        <f t="array" ref="O880">IF(ISBLANK(G880),"",INDEX('POR Config List'!C:C,MATCH(G880,'POR Config List'!D:D,0)))</f>
        <v/>
      </c>
      <c r="P880" s="105" t="str">
        <f t="shared" si="4"/>
        <v/>
      </c>
      <c r="Q880" s="105" t="str">
        <f t="array" ref="Q880">IF(ISBLANK(G880),"",INDEX('label approval artwork'!J:J,MATCH( G880,'label approval artwork'!F:F,0)))</f>
        <v/>
      </c>
      <c r="R880" s="105" t="str">
        <f t="array" ref="R880">IFERROR( IF(P880&lt;&gt;"EMA",INDEX('label approval artwork'!H:H,MATCH(G880,'label approval artwork'!F:F,0),"")),"")</f>
        <v/>
      </c>
      <c r="S880" s="105"/>
      <c r="T880" s="105" t="str">
        <f t="array" ref="T880">IF(ISBLANK(G880),"",INDEX('POR Config List'!I:I,MATCH(G880,'POR Config List'!D:D,0)))</f>
        <v/>
      </c>
      <c r="AA880" s="100" t="str">
        <f t="array" ref="AA880">IF(ISBLANK(G880),"",INDEX('POR Config List'!E:E,MATCH(G880,'POR Config List'!D:D,0)))</f>
        <v/>
      </c>
      <c r="AC880" s="105"/>
      <c r="AD880" s="100"/>
      <c r="AE880" s="100"/>
      <c r="AF880" s="100"/>
      <c r="AG880" s="100"/>
      <c r="AM880" s="102"/>
      <c r="AN880" s="102"/>
    </row>
    <row r="881">
      <c r="A881" s="168"/>
      <c r="B881" s="100" t="str">
        <f t="array" ref="B881">IFERROR( INDEX('POR Config List'!A:A,MATCH(G881,'POR Config List'!D:D,0)),"")</f>
        <v/>
      </c>
      <c r="C881" s="101" t="str">
        <f t="array" ref="C881">IFERROR(INDEX('label approval artwork'!E:E,MATCH(G881,'label approval artwork'!F:F,0),""),"")</f>
        <v/>
      </c>
      <c r="D881" s="102" t="str">
        <f t="shared" si="3"/>
        <v/>
      </c>
      <c r="E881" s="100" t="str">
        <f t="array" ref="E881">IF(ISBLANK(G881),"",INDEX('POR Config List'!K:K,MATCH(G881,'POR Config List'!D:D,0)))</f>
        <v/>
      </c>
      <c r="F881" s="100" t="str">
        <f t="array" ref="F881">IF(ISBLANK(G881),"",INDEX('POR Config List'!J:J,MATCH(G881,'POR Config List'!D:D,0)))</f>
        <v/>
      </c>
      <c r="G881" s="168"/>
      <c r="H881" s="104" t="str">
        <f t="array" ref="H881">IF(ISBLANK(G881),"",INDEX('MP SKUs'!G:G,MATCH(G881,'MP SKUs'!A:A,0)))</f>
        <v/>
      </c>
      <c r="I881" s="105" t="str">
        <f t="array" ref="I881">IF(ISBLANK(G881),"",INDEX('POR Config List'!O:O,MATCH(G881,'POR Config List'!D:D,0)))</f>
        <v/>
      </c>
      <c r="J881" s="104" t="str">
        <f t="array" ref="J881">IF(ISBLANK(G881),"",INDEX('POR Config List'!H:H,MATCH(G881,'POR Config List'!D:D,0)))</f>
        <v/>
      </c>
      <c r="K881" s="105" t="str">
        <f t="array" ref="K881">IF(ISBLANK(G881),"",INDEX('POR Config List'!G:G,MATCH(G881,'POR Config List'!D:D,0)))</f>
        <v/>
      </c>
      <c r="L881" s="105"/>
      <c r="M881" s="105" t="str">
        <f t="array" ref="M881">IF(ISBLANK(G881),"",INDEX('label approval artwork'!Q:Q,MATCH( G881,'label approval artwork'!F:F,0)))</f>
        <v/>
      </c>
      <c r="N881" s="169" t="str">
        <f t="shared" si="5"/>
        <v/>
      </c>
      <c r="O881" s="102" t="str">
        <f t="array" ref="O881">IF(ISBLANK(G881),"",INDEX('POR Config List'!C:C,MATCH(G881,'POR Config List'!D:D,0)))</f>
        <v/>
      </c>
      <c r="P881" s="105" t="str">
        <f t="shared" si="4"/>
        <v/>
      </c>
      <c r="Q881" s="105" t="str">
        <f t="array" ref="Q881">IF(ISBLANK(G881),"",INDEX('label approval artwork'!J:J,MATCH( G881,'label approval artwork'!F:F,0)))</f>
        <v/>
      </c>
      <c r="R881" s="105" t="str">
        <f t="array" ref="R881">IFERROR( IF(P881&lt;&gt;"EMA",INDEX('label approval artwork'!H:H,MATCH(G881,'label approval artwork'!F:F,0),"")),"")</f>
        <v/>
      </c>
      <c r="S881" s="105"/>
      <c r="T881" s="105" t="str">
        <f t="array" ref="T881">IF(ISBLANK(G881),"",INDEX('POR Config List'!I:I,MATCH(G881,'POR Config List'!D:D,0)))</f>
        <v/>
      </c>
      <c r="AA881" s="100" t="str">
        <f t="array" ref="AA881">IF(ISBLANK(G881),"",INDEX('POR Config List'!E:E,MATCH(G881,'POR Config List'!D:D,0)))</f>
        <v/>
      </c>
      <c r="AC881" s="105"/>
      <c r="AD881" s="100"/>
      <c r="AE881" s="100"/>
      <c r="AF881" s="100"/>
      <c r="AG881" s="100"/>
      <c r="AM881" s="102"/>
      <c r="AN881" s="102"/>
    </row>
    <row r="882">
      <c r="A882" s="168"/>
      <c r="B882" s="100" t="str">
        <f t="array" ref="B882">IFERROR( INDEX('POR Config List'!A:A,MATCH(G882,'POR Config List'!D:D,0)),"")</f>
        <v/>
      </c>
      <c r="C882" s="101" t="str">
        <f t="array" ref="C882">IFERROR(INDEX('label approval artwork'!E:E,MATCH(G882,'label approval artwork'!F:F,0),""),"")</f>
        <v/>
      </c>
      <c r="D882" s="102" t="str">
        <f t="shared" si="3"/>
        <v/>
      </c>
      <c r="E882" s="100" t="str">
        <f t="array" ref="E882">IF(ISBLANK(G882),"",INDEX('POR Config List'!K:K,MATCH(G882,'POR Config List'!D:D,0)))</f>
        <v/>
      </c>
      <c r="F882" s="100" t="str">
        <f t="array" ref="F882">IF(ISBLANK(G882),"",INDEX('POR Config List'!J:J,MATCH(G882,'POR Config List'!D:D,0)))</f>
        <v/>
      </c>
      <c r="G882" s="168"/>
      <c r="H882" s="104" t="str">
        <f t="array" ref="H882">IF(ISBLANK(G882),"",INDEX('MP SKUs'!G:G,MATCH(G882,'MP SKUs'!A:A,0)))</f>
        <v/>
      </c>
      <c r="I882" s="105" t="str">
        <f t="array" ref="I882">IF(ISBLANK(G882),"",INDEX('POR Config List'!O:O,MATCH(G882,'POR Config List'!D:D,0)))</f>
        <v/>
      </c>
      <c r="J882" s="104" t="str">
        <f t="array" ref="J882">IF(ISBLANK(G882),"",INDEX('POR Config List'!H:H,MATCH(G882,'POR Config List'!D:D,0)))</f>
        <v/>
      </c>
      <c r="K882" s="105" t="str">
        <f t="array" ref="K882">IF(ISBLANK(G882),"",INDEX('POR Config List'!G:G,MATCH(G882,'POR Config List'!D:D,0)))</f>
        <v/>
      </c>
      <c r="L882" s="105"/>
      <c r="M882" s="105" t="str">
        <f t="array" ref="M882">IF(ISBLANK(G882),"",INDEX('label approval artwork'!Q:Q,MATCH( G882,'label approval artwork'!F:F,0)))</f>
        <v/>
      </c>
      <c r="N882" s="169" t="str">
        <f t="shared" si="5"/>
        <v/>
      </c>
      <c r="O882" s="102" t="str">
        <f t="array" ref="O882">IF(ISBLANK(G882),"",INDEX('POR Config List'!C:C,MATCH(G882,'POR Config List'!D:D,0)))</f>
        <v/>
      </c>
      <c r="P882" s="105" t="str">
        <f t="shared" si="4"/>
        <v/>
      </c>
      <c r="Q882" s="105" t="str">
        <f t="array" ref="Q882">IF(ISBLANK(G882),"",INDEX('label approval artwork'!J:J,MATCH( G882,'label approval artwork'!F:F,0)))</f>
        <v/>
      </c>
      <c r="R882" s="105" t="str">
        <f t="array" ref="R882">IFERROR( IF(P882&lt;&gt;"EMA",INDEX('label approval artwork'!H:H,MATCH(G882,'label approval artwork'!F:F,0),"")),"")</f>
        <v/>
      </c>
      <c r="S882" s="105"/>
      <c r="T882" s="105" t="str">
        <f t="array" ref="T882">IF(ISBLANK(G882),"",INDEX('POR Config List'!I:I,MATCH(G882,'POR Config List'!D:D,0)))</f>
        <v/>
      </c>
      <c r="AA882" s="100" t="str">
        <f t="array" ref="AA882">IF(ISBLANK(G882),"",INDEX('POR Config List'!E:E,MATCH(G882,'POR Config List'!D:D,0)))</f>
        <v/>
      </c>
      <c r="AC882" s="105"/>
      <c r="AD882" s="100"/>
      <c r="AE882" s="100"/>
      <c r="AF882" s="100"/>
      <c r="AG882" s="100"/>
      <c r="AM882" s="102"/>
      <c r="AN882" s="102"/>
    </row>
    <row r="883">
      <c r="A883" s="168"/>
      <c r="B883" s="100" t="str">
        <f t="array" ref="B883">IFERROR( INDEX('POR Config List'!A:A,MATCH(G883,'POR Config List'!D:D,0)),"")</f>
        <v/>
      </c>
      <c r="C883" s="101" t="str">
        <f t="array" ref="C883">IFERROR(INDEX('label approval artwork'!E:E,MATCH(G883,'label approval artwork'!F:F,0),""),"")</f>
        <v/>
      </c>
      <c r="D883" s="102" t="str">
        <f t="shared" si="3"/>
        <v/>
      </c>
      <c r="E883" s="100" t="str">
        <f t="array" ref="E883">IF(ISBLANK(G883),"",INDEX('POR Config List'!K:K,MATCH(G883,'POR Config List'!D:D,0)))</f>
        <v/>
      </c>
      <c r="F883" s="100" t="str">
        <f t="array" ref="F883">IF(ISBLANK(G883),"",INDEX('POR Config List'!J:J,MATCH(G883,'POR Config List'!D:D,0)))</f>
        <v/>
      </c>
      <c r="G883" s="168"/>
      <c r="H883" s="104" t="str">
        <f t="array" ref="H883">IF(ISBLANK(G883),"",INDEX('MP SKUs'!G:G,MATCH(G883,'MP SKUs'!A:A,0)))</f>
        <v/>
      </c>
      <c r="I883" s="105" t="str">
        <f t="array" ref="I883">IF(ISBLANK(G883),"",INDEX('POR Config List'!O:O,MATCH(G883,'POR Config List'!D:D,0)))</f>
        <v/>
      </c>
      <c r="J883" s="104" t="str">
        <f t="array" ref="J883">IF(ISBLANK(G883),"",INDEX('POR Config List'!H:H,MATCH(G883,'POR Config List'!D:D,0)))</f>
        <v/>
      </c>
      <c r="K883" s="105" t="str">
        <f t="array" ref="K883">IF(ISBLANK(G883),"",INDEX('POR Config List'!G:G,MATCH(G883,'POR Config List'!D:D,0)))</f>
        <v/>
      </c>
      <c r="L883" s="105"/>
      <c r="M883" s="105" t="str">
        <f t="array" ref="M883">IF(ISBLANK(G883),"",INDEX('label approval artwork'!Q:Q,MATCH( G883,'label approval artwork'!F:F,0)))</f>
        <v/>
      </c>
      <c r="N883" s="169" t="str">
        <f t="shared" si="5"/>
        <v/>
      </c>
      <c r="O883" s="102" t="str">
        <f t="array" ref="O883">IF(ISBLANK(G883),"",INDEX('POR Config List'!C:C,MATCH(G883,'POR Config List'!D:D,0)))</f>
        <v/>
      </c>
      <c r="P883" s="105" t="str">
        <f t="shared" si="4"/>
        <v/>
      </c>
      <c r="Q883" s="105" t="str">
        <f t="array" ref="Q883">IF(ISBLANK(G883),"",INDEX('label approval artwork'!J:J,MATCH( G883,'label approval artwork'!F:F,0)))</f>
        <v/>
      </c>
      <c r="R883" s="105" t="str">
        <f t="array" ref="R883">IFERROR( IF(P883&lt;&gt;"EMA",INDEX('label approval artwork'!H:H,MATCH(G883,'label approval artwork'!F:F,0),"")),"")</f>
        <v/>
      </c>
      <c r="S883" s="105"/>
      <c r="T883" s="105" t="str">
        <f t="array" ref="T883">IF(ISBLANK(G883),"",INDEX('POR Config List'!I:I,MATCH(G883,'POR Config List'!D:D,0)))</f>
        <v/>
      </c>
      <c r="AA883" s="100" t="str">
        <f t="array" ref="AA883">IF(ISBLANK(G883),"",INDEX('POR Config List'!E:E,MATCH(G883,'POR Config List'!D:D,0)))</f>
        <v/>
      </c>
      <c r="AC883" s="105"/>
      <c r="AD883" s="100"/>
      <c r="AE883" s="100"/>
      <c r="AF883" s="100"/>
      <c r="AG883" s="100"/>
      <c r="AM883" s="102"/>
      <c r="AN883" s="102"/>
    </row>
    <row r="884">
      <c r="A884" s="168"/>
      <c r="B884" s="100" t="str">
        <f t="array" ref="B884">IFERROR( INDEX('POR Config List'!A:A,MATCH(G884,'POR Config List'!D:D,0)),"")</f>
        <v/>
      </c>
      <c r="C884" s="101" t="str">
        <f t="array" ref="C884">IFERROR(INDEX('label approval artwork'!E:E,MATCH(G884,'label approval artwork'!F:F,0),""),"")</f>
        <v/>
      </c>
      <c r="D884" s="102" t="str">
        <f t="shared" si="3"/>
        <v/>
      </c>
      <c r="E884" s="100" t="str">
        <f t="array" ref="E884">IF(ISBLANK(G884),"",INDEX('POR Config List'!K:K,MATCH(G884,'POR Config List'!D:D,0)))</f>
        <v/>
      </c>
      <c r="F884" s="100" t="str">
        <f t="array" ref="F884">IF(ISBLANK(G884),"",INDEX('POR Config List'!J:J,MATCH(G884,'POR Config List'!D:D,0)))</f>
        <v/>
      </c>
      <c r="G884" s="168"/>
      <c r="H884" s="104" t="str">
        <f t="array" ref="H884">IF(ISBLANK(G884),"",INDEX('MP SKUs'!G:G,MATCH(G884,'MP SKUs'!A:A,0)))</f>
        <v/>
      </c>
      <c r="I884" s="105" t="str">
        <f t="array" ref="I884">IF(ISBLANK(G884),"",INDEX('POR Config List'!O:O,MATCH(G884,'POR Config List'!D:D,0)))</f>
        <v/>
      </c>
      <c r="J884" s="104" t="str">
        <f t="array" ref="J884">IF(ISBLANK(G884),"",INDEX('POR Config List'!H:H,MATCH(G884,'POR Config List'!D:D,0)))</f>
        <v/>
      </c>
      <c r="K884" s="105" t="str">
        <f t="array" ref="K884">IF(ISBLANK(G884),"",INDEX('POR Config List'!G:G,MATCH(G884,'POR Config List'!D:D,0)))</f>
        <v/>
      </c>
      <c r="L884" s="105"/>
      <c r="M884" s="105" t="str">
        <f t="array" ref="M884">IF(ISBLANK(G884),"",INDEX('label approval artwork'!Q:Q,MATCH( G884,'label approval artwork'!F:F,0)))</f>
        <v/>
      </c>
      <c r="N884" s="169" t="str">
        <f t="shared" si="5"/>
        <v/>
      </c>
      <c r="O884" s="102" t="str">
        <f t="array" ref="O884">IF(ISBLANK(G884),"",INDEX('POR Config List'!C:C,MATCH(G884,'POR Config List'!D:D,0)))</f>
        <v/>
      </c>
      <c r="P884" s="105" t="str">
        <f t="shared" si="4"/>
        <v/>
      </c>
      <c r="Q884" s="105" t="str">
        <f t="array" ref="Q884">IF(ISBLANK(G884),"",INDEX('label approval artwork'!J:J,MATCH( G884,'label approval artwork'!F:F,0)))</f>
        <v/>
      </c>
      <c r="R884" s="105" t="str">
        <f t="array" ref="R884">IFERROR( IF(P884&lt;&gt;"EMA",INDEX('label approval artwork'!H:H,MATCH(G884,'label approval artwork'!F:F,0),"")),"")</f>
        <v/>
      </c>
      <c r="S884" s="105"/>
      <c r="T884" s="105" t="str">
        <f t="array" ref="T884">IF(ISBLANK(G884),"",INDEX('POR Config List'!I:I,MATCH(G884,'POR Config List'!D:D,0)))</f>
        <v/>
      </c>
      <c r="AA884" s="100" t="str">
        <f t="array" ref="AA884">IF(ISBLANK(G884),"",INDEX('POR Config List'!E:E,MATCH(G884,'POR Config List'!D:D,0)))</f>
        <v/>
      </c>
      <c r="AC884" s="105"/>
      <c r="AD884" s="100"/>
      <c r="AE884" s="100"/>
      <c r="AF884" s="100"/>
      <c r="AG884" s="100"/>
      <c r="AM884" s="102"/>
      <c r="AN884" s="102"/>
    </row>
    <row r="885">
      <c r="A885" s="168"/>
      <c r="B885" s="100" t="str">
        <f t="array" ref="B885">IFERROR( INDEX('POR Config List'!A:A,MATCH(G885,'POR Config List'!D:D,0)),"")</f>
        <v/>
      </c>
      <c r="C885" s="101" t="str">
        <f t="array" ref="C885">IFERROR(INDEX('label approval artwork'!E:E,MATCH(G885,'label approval artwork'!F:F,0),""),"")</f>
        <v/>
      </c>
      <c r="D885" s="102" t="str">
        <f t="shared" si="3"/>
        <v/>
      </c>
      <c r="E885" s="100" t="str">
        <f t="array" ref="E885">IF(ISBLANK(G885),"",INDEX('POR Config List'!K:K,MATCH(G885,'POR Config List'!D:D,0)))</f>
        <v/>
      </c>
      <c r="F885" s="100" t="str">
        <f t="array" ref="F885">IF(ISBLANK(G885),"",INDEX('POR Config List'!J:J,MATCH(G885,'POR Config List'!D:D,0)))</f>
        <v/>
      </c>
      <c r="G885" s="168"/>
      <c r="H885" s="104" t="str">
        <f t="array" ref="H885">IF(ISBLANK(G885),"",INDEX('MP SKUs'!G:G,MATCH(G885,'MP SKUs'!A:A,0)))</f>
        <v/>
      </c>
      <c r="I885" s="105" t="str">
        <f t="array" ref="I885">IF(ISBLANK(G885),"",INDEX('POR Config List'!O:O,MATCH(G885,'POR Config List'!D:D,0)))</f>
        <v/>
      </c>
      <c r="J885" s="104" t="str">
        <f t="array" ref="J885">IF(ISBLANK(G885),"",INDEX('POR Config List'!H:H,MATCH(G885,'POR Config List'!D:D,0)))</f>
        <v/>
      </c>
      <c r="K885" s="105" t="str">
        <f t="array" ref="K885">IF(ISBLANK(G885),"",INDEX('POR Config List'!G:G,MATCH(G885,'POR Config List'!D:D,0)))</f>
        <v/>
      </c>
      <c r="L885" s="105"/>
      <c r="M885" s="105" t="str">
        <f t="array" ref="M885">IF(ISBLANK(G885),"",INDEX('label approval artwork'!Q:Q,MATCH( G885,'label approval artwork'!F:F,0)))</f>
        <v/>
      </c>
      <c r="N885" s="169" t="str">
        <f t="shared" si="5"/>
        <v/>
      </c>
      <c r="O885" s="102" t="str">
        <f t="array" ref="O885">IF(ISBLANK(G885),"",INDEX('POR Config List'!C:C,MATCH(G885,'POR Config List'!D:D,0)))</f>
        <v/>
      </c>
      <c r="P885" s="105" t="str">
        <f t="shared" si="4"/>
        <v/>
      </c>
      <c r="Q885" s="105" t="str">
        <f t="array" ref="Q885">IF(ISBLANK(G885),"",INDEX('label approval artwork'!J:J,MATCH( G885,'label approval artwork'!F:F,0)))</f>
        <v/>
      </c>
      <c r="R885" s="105" t="str">
        <f t="array" ref="R885">IFERROR( IF(P885&lt;&gt;"EMA",INDEX('label approval artwork'!H:H,MATCH(G885,'label approval artwork'!F:F,0),"")),"")</f>
        <v/>
      </c>
      <c r="S885" s="105"/>
      <c r="T885" s="105" t="str">
        <f t="array" ref="T885">IF(ISBLANK(G885),"",INDEX('POR Config List'!I:I,MATCH(G885,'POR Config List'!D:D,0)))</f>
        <v/>
      </c>
      <c r="AA885" s="100" t="str">
        <f t="array" ref="AA885">IF(ISBLANK(G885),"",INDEX('POR Config List'!E:E,MATCH(G885,'POR Config List'!D:D,0)))</f>
        <v/>
      </c>
      <c r="AC885" s="105"/>
      <c r="AD885" s="100"/>
      <c r="AE885" s="100"/>
      <c r="AF885" s="100"/>
      <c r="AG885" s="100"/>
      <c r="AM885" s="102"/>
      <c r="AN885" s="102"/>
    </row>
    <row r="886">
      <c r="A886" s="168"/>
      <c r="B886" s="100" t="str">
        <f t="array" ref="B886">IFERROR( INDEX('POR Config List'!A:A,MATCH(G886,'POR Config List'!D:D,0)),"")</f>
        <v/>
      </c>
      <c r="C886" s="101" t="str">
        <f t="array" ref="C886">IFERROR(INDEX('label approval artwork'!E:E,MATCH(G886,'label approval artwork'!F:F,0),""),"")</f>
        <v/>
      </c>
      <c r="D886" s="102" t="str">
        <f t="shared" si="3"/>
        <v/>
      </c>
      <c r="E886" s="100" t="str">
        <f t="array" ref="E886">IF(ISBLANK(G886),"",INDEX('POR Config List'!K:K,MATCH(G886,'POR Config List'!D:D,0)))</f>
        <v/>
      </c>
      <c r="F886" s="100" t="str">
        <f t="array" ref="F886">IF(ISBLANK(G886),"",INDEX('POR Config List'!J:J,MATCH(G886,'POR Config List'!D:D,0)))</f>
        <v/>
      </c>
      <c r="G886" s="168"/>
      <c r="H886" s="104" t="str">
        <f t="array" ref="H886">IF(ISBLANK(G886),"",INDEX('MP SKUs'!G:G,MATCH(G886,'MP SKUs'!A:A,0)))</f>
        <v/>
      </c>
      <c r="I886" s="105" t="str">
        <f t="array" ref="I886">IF(ISBLANK(G886),"",INDEX('POR Config List'!O:O,MATCH(G886,'POR Config List'!D:D,0)))</f>
        <v/>
      </c>
      <c r="J886" s="104" t="str">
        <f t="array" ref="J886">IF(ISBLANK(G886),"",INDEX('POR Config List'!H:H,MATCH(G886,'POR Config List'!D:D,0)))</f>
        <v/>
      </c>
      <c r="K886" s="105" t="str">
        <f t="array" ref="K886">IF(ISBLANK(G886),"",INDEX('POR Config List'!G:G,MATCH(G886,'POR Config List'!D:D,0)))</f>
        <v/>
      </c>
      <c r="L886" s="105"/>
      <c r="M886" s="105" t="str">
        <f t="array" ref="M886">IF(ISBLANK(G886),"",INDEX('label approval artwork'!Q:Q,MATCH( G886,'label approval artwork'!F:F,0)))</f>
        <v/>
      </c>
      <c r="N886" s="169" t="str">
        <f t="shared" si="5"/>
        <v/>
      </c>
      <c r="O886" s="102" t="str">
        <f t="array" ref="O886">IF(ISBLANK(G886),"",INDEX('POR Config List'!C:C,MATCH(G886,'POR Config List'!D:D,0)))</f>
        <v/>
      </c>
      <c r="P886" s="105" t="str">
        <f t="shared" si="4"/>
        <v/>
      </c>
      <c r="Q886" s="105" t="str">
        <f t="array" ref="Q886">IF(ISBLANK(G886),"",INDEX('label approval artwork'!J:J,MATCH( G886,'label approval artwork'!F:F,0)))</f>
        <v/>
      </c>
      <c r="R886" s="105" t="str">
        <f t="array" ref="R886">IFERROR( IF(P886&lt;&gt;"EMA",INDEX('label approval artwork'!H:H,MATCH(G886,'label approval artwork'!F:F,0),"")),"")</f>
        <v/>
      </c>
      <c r="S886" s="105"/>
      <c r="T886" s="105" t="str">
        <f t="array" ref="T886">IF(ISBLANK(G886),"",INDEX('POR Config List'!I:I,MATCH(G886,'POR Config List'!D:D,0)))</f>
        <v/>
      </c>
      <c r="AA886" s="100" t="str">
        <f t="array" ref="AA886">IF(ISBLANK(G886),"",INDEX('POR Config List'!E:E,MATCH(G886,'POR Config List'!D:D,0)))</f>
        <v/>
      </c>
      <c r="AC886" s="105"/>
      <c r="AD886" s="100"/>
      <c r="AE886" s="100"/>
      <c r="AF886" s="100"/>
      <c r="AG886" s="100"/>
      <c r="AM886" s="102"/>
      <c r="AN886" s="102"/>
    </row>
    <row r="887">
      <c r="A887" s="168"/>
      <c r="B887" s="100" t="str">
        <f t="array" ref="B887">IFERROR( INDEX('POR Config List'!A:A,MATCH(G887,'POR Config List'!D:D,0)),"")</f>
        <v/>
      </c>
      <c r="C887" s="101" t="str">
        <f t="array" ref="C887">IFERROR(INDEX('label approval artwork'!E:E,MATCH(G887,'label approval artwork'!F:F,0),""),"")</f>
        <v/>
      </c>
      <c r="D887" s="102" t="str">
        <f t="shared" si="3"/>
        <v/>
      </c>
      <c r="E887" s="100" t="str">
        <f t="array" ref="E887">IF(ISBLANK(G887),"",INDEX('POR Config List'!K:K,MATCH(G887,'POR Config List'!D:D,0)))</f>
        <v/>
      </c>
      <c r="F887" s="100" t="str">
        <f t="array" ref="F887">IF(ISBLANK(G887),"",INDEX('POR Config List'!J:J,MATCH(G887,'POR Config List'!D:D,0)))</f>
        <v/>
      </c>
      <c r="G887" s="168"/>
      <c r="H887" s="104" t="str">
        <f t="array" ref="H887">IF(ISBLANK(G887),"",INDEX('MP SKUs'!G:G,MATCH(G887,'MP SKUs'!A:A,0)))</f>
        <v/>
      </c>
      <c r="I887" s="105" t="str">
        <f t="array" ref="I887">IF(ISBLANK(G887),"",INDEX('POR Config List'!O:O,MATCH(G887,'POR Config List'!D:D,0)))</f>
        <v/>
      </c>
      <c r="J887" s="104" t="str">
        <f t="array" ref="J887">IF(ISBLANK(G887),"",INDEX('POR Config List'!H:H,MATCH(G887,'POR Config List'!D:D,0)))</f>
        <v/>
      </c>
      <c r="K887" s="105" t="str">
        <f t="array" ref="K887">IF(ISBLANK(G887),"",INDEX('POR Config List'!G:G,MATCH(G887,'POR Config List'!D:D,0)))</f>
        <v/>
      </c>
      <c r="L887" s="105"/>
      <c r="M887" s="105" t="str">
        <f t="array" ref="M887">IF(ISBLANK(G887),"",INDEX('label approval artwork'!Q:Q,MATCH( G887,'label approval artwork'!F:F,0)))</f>
        <v/>
      </c>
      <c r="N887" s="169" t="str">
        <f t="shared" si="5"/>
        <v/>
      </c>
      <c r="O887" s="102" t="str">
        <f t="array" ref="O887">IF(ISBLANK(G887),"",INDEX('POR Config List'!C:C,MATCH(G887,'POR Config List'!D:D,0)))</f>
        <v/>
      </c>
      <c r="P887" s="105" t="str">
        <f t="shared" si="4"/>
        <v/>
      </c>
      <c r="Q887" s="105" t="str">
        <f t="array" ref="Q887">IF(ISBLANK(G887),"",INDEX('label approval artwork'!J:J,MATCH( G887,'label approval artwork'!F:F,0)))</f>
        <v/>
      </c>
      <c r="R887" s="105" t="str">
        <f t="array" ref="R887">IFERROR( IF(P887&lt;&gt;"EMA",INDEX('label approval artwork'!H:H,MATCH(G887,'label approval artwork'!F:F,0),"")),"")</f>
        <v/>
      </c>
      <c r="S887" s="105"/>
      <c r="T887" s="105" t="str">
        <f t="array" ref="T887">IF(ISBLANK(G887),"",INDEX('POR Config List'!I:I,MATCH(G887,'POR Config List'!D:D,0)))</f>
        <v/>
      </c>
      <c r="AA887" s="100" t="str">
        <f t="array" ref="AA887">IF(ISBLANK(G887),"",INDEX('POR Config List'!E:E,MATCH(G887,'POR Config List'!D:D,0)))</f>
        <v/>
      </c>
      <c r="AC887" s="105"/>
      <c r="AD887" s="100"/>
      <c r="AE887" s="100"/>
      <c r="AF887" s="100"/>
      <c r="AG887" s="100"/>
      <c r="AM887" s="102"/>
      <c r="AN887" s="102"/>
    </row>
    <row r="888">
      <c r="A888" s="168"/>
      <c r="B888" s="100" t="str">
        <f t="array" ref="B888">IFERROR( INDEX('POR Config List'!A:A,MATCH(G888,'POR Config List'!D:D,0)),"")</f>
        <v/>
      </c>
      <c r="C888" s="101" t="str">
        <f t="array" ref="C888">IFERROR(INDEX('label approval artwork'!E:E,MATCH(G888,'label approval artwork'!F:F,0),""),"")</f>
        <v/>
      </c>
      <c r="D888" s="102" t="str">
        <f t="shared" si="3"/>
        <v/>
      </c>
      <c r="E888" s="100" t="str">
        <f t="array" ref="E888">IF(ISBLANK(G888),"",INDEX('POR Config List'!K:K,MATCH(G888,'POR Config List'!D:D,0)))</f>
        <v/>
      </c>
      <c r="F888" s="100" t="str">
        <f t="array" ref="F888">IF(ISBLANK(G888),"",INDEX('POR Config List'!J:J,MATCH(G888,'POR Config List'!D:D,0)))</f>
        <v/>
      </c>
      <c r="G888" s="168"/>
      <c r="H888" s="104" t="str">
        <f t="array" ref="H888">IF(ISBLANK(G888),"",INDEX('MP SKUs'!G:G,MATCH(G888,'MP SKUs'!A:A,0)))</f>
        <v/>
      </c>
      <c r="I888" s="105" t="str">
        <f t="array" ref="I888">IF(ISBLANK(G888),"",INDEX('POR Config List'!O:O,MATCH(G888,'POR Config List'!D:D,0)))</f>
        <v/>
      </c>
      <c r="J888" s="104" t="str">
        <f t="array" ref="J888">IF(ISBLANK(G888),"",INDEX('POR Config List'!H:H,MATCH(G888,'POR Config List'!D:D,0)))</f>
        <v/>
      </c>
      <c r="K888" s="105" t="str">
        <f t="array" ref="K888">IF(ISBLANK(G888),"",INDEX('POR Config List'!G:G,MATCH(G888,'POR Config List'!D:D,0)))</f>
        <v/>
      </c>
      <c r="L888" s="105"/>
      <c r="M888" s="105" t="str">
        <f t="array" ref="M888">IF(ISBLANK(G888),"",INDEX('label approval artwork'!Q:Q,MATCH( G888,'label approval artwork'!F:F,0)))</f>
        <v/>
      </c>
      <c r="N888" s="169" t="str">
        <f t="shared" si="5"/>
        <v/>
      </c>
      <c r="O888" s="102" t="str">
        <f t="array" ref="O888">IF(ISBLANK(G888),"",INDEX('POR Config List'!C:C,MATCH(G888,'POR Config List'!D:D,0)))</f>
        <v/>
      </c>
      <c r="P888" s="105" t="str">
        <f t="shared" si="4"/>
        <v/>
      </c>
      <c r="Q888" s="105" t="str">
        <f t="array" ref="Q888">IF(ISBLANK(G888),"",INDEX('label approval artwork'!J:J,MATCH( G888,'label approval artwork'!F:F,0)))</f>
        <v/>
      </c>
      <c r="R888" s="105" t="str">
        <f t="array" ref="R888">IFERROR( IF(P888&lt;&gt;"EMA",INDEX('label approval artwork'!H:H,MATCH(G888,'label approval artwork'!F:F,0),"")),"")</f>
        <v/>
      </c>
      <c r="S888" s="105"/>
      <c r="T888" s="105" t="str">
        <f t="array" ref="T888">IF(ISBLANK(G888),"",INDEX('POR Config List'!I:I,MATCH(G888,'POR Config List'!D:D,0)))</f>
        <v/>
      </c>
      <c r="AA888" s="100" t="str">
        <f t="array" ref="AA888">IF(ISBLANK(G888),"",INDEX('POR Config List'!E:E,MATCH(G888,'POR Config List'!D:D,0)))</f>
        <v/>
      </c>
      <c r="AC888" s="105"/>
      <c r="AD888" s="100"/>
      <c r="AE888" s="100"/>
      <c r="AF888" s="100"/>
      <c r="AG888" s="100"/>
      <c r="AM888" s="102"/>
      <c r="AN888" s="102"/>
    </row>
    <row r="889">
      <c r="A889" s="168"/>
      <c r="B889" s="100" t="str">
        <f t="array" ref="B889">IFERROR( INDEX('POR Config List'!A:A,MATCH(G889,'POR Config List'!D:D,0)),"")</f>
        <v/>
      </c>
      <c r="C889" s="101" t="str">
        <f t="array" ref="C889">IFERROR(INDEX('label approval artwork'!E:E,MATCH(G889,'label approval artwork'!F:F,0),""),"")</f>
        <v/>
      </c>
      <c r="D889" s="102" t="str">
        <f t="shared" si="3"/>
        <v/>
      </c>
      <c r="E889" s="100" t="str">
        <f t="array" ref="E889">IF(ISBLANK(G889),"",INDEX('POR Config List'!K:K,MATCH(G889,'POR Config List'!D:D,0)))</f>
        <v/>
      </c>
      <c r="F889" s="100" t="str">
        <f t="array" ref="F889">IF(ISBLANK(G889),"",INDEX('POR Config List'!J:J,MATCH(G889,'POR Config List'!D:D,0)))</f>
        <v/>
      </c>
      <c r="G889" s="168"/>
      <c r="H889" s="104" t="str">
        <f t="array" ref="H889">IF(ISBLANK(G889),"",INDEX('MP SKUs'!G:G,MATCH(G889,'MP SKUs'!A:A,0)))</f>
        <v/>
      </c>
      <c r="I889" s="105" t="str">
        <f t="array" ref="I889">IF(ISBLANK(G889),"",INDEX('POR Config List'!O:O,MATCH(G889,'POR Config List'!D:D,0)))</f>
        <v/>
      </c>
      <c r="J889" s="104" t="str">
        <f t="array" ref="J889">IF(ISBLANK(G889),"",INDEX('POR Config List'!H:H,MATCH(G889,'POR Config List'!D:D,0)))</f>
        <v/>
      </c>
      <c r="K889" s="105" t="str">
        <f t="array" ref="K889">IF(ISBLANK(G889),"",INDEX('POR Config List'!G:G,MATCH(G889,'POR Config List'!D:D,0)))</f>
        <v/>
      </c>
      <c r="L889" s="105"/>
      <c r="M889" s="105" t="str">
        <f t="array" ref="M889">IF(ISBLANK(G889),"",INDEX('label approval artwork'!Q:Q,MATCH( G889,'label approval artwork'!F:F,0)))</f>
        <v/>
      </c>
      <c r="N889" s="169" t="str">
        <f t="shared" si="5"/>
        <v/>
      </c>
      <c r="O889" s="102" t="str">
        <f t="array" ref="O889">IF(ISBLANK(G889),"",INDEX('POR Config List'!C:C,MATCH(G889,'POR Config List'!D:D,0)))</f>
        <v/>
      </c>
      <c r="P889" s="105" t="str">
        <f t="shared" si="4"/>
        <v/>
      </c>
      <c r="Q889" s="105" t="str">
        <f t="array" ref="Q889">IF(ISBLANK(G889),"",INDEX('label approval artwork'!J:J,MATCH( G889,'label approval artwork'!F:F,0)))</f>
        <v/>
      </c>
      <c r="R889" s="105" t="str">
        <f t="array" ref="R889">IFERROR( IF(P889&lt;&gt;"EMA",INDEX('label approval artwork'!H:H,MATCH(G889,'label approval artwork'!F:F,0),"")),"")</f>
        <v/>
      </c>
      <c r="S889" s="105"/>
      <c r="T889" s="105" t="str">
        <f t="array" ref="T889">IF(ISBLANK(G889),"",INDEX('POR Config List'!I:I,MATCH(G889,'POR Config List'!D:D,0)))</f>
        <v/>
      </c>
      <c r="AA889" s="100" t="str">
        <f t="array" ref="AA889">IF(ISBLANK(G889),"",INDEX('POR Config List'!E:E,MATCH(G889,'POR Config List'!D:D,0)))</f>
        <v/>
      </c>
      <c r="AC889" s="105"/>
      <c r="AD889" s="100"/>
      <c r="AE889" s="100"/>
      <c r="AF889" s="100"/>
      <c r="AG889" s="100"/>
      <c r="AM889" s="102"/>
      <c r="AN889" s="102"/>
    </row>
    <row r="890">
      <c r="A890" s="168"/>
      <c r="B890" s="100" t="str">
        <f t="array" ref="B890">IFERROR( INDEX('POR Config List'!A:A,MATCH(G890,'POR Config List'!D:D,0)),"")</f>
        <v/>
      </c>
      <c r="C890" s="101" t="str">
        <f t="array" ref="C890">IFERROR(INDEX('label approval artwork'!E:E,MATCH(G890,'label approval artwork'!F:F,0),""),"")</f>
        <v/>
      </c>
      <c r="D890" s="102" t="str">
        <f t="shared" si="3"/>
        <v/>
      </c>
      <c r="E890" s="100" t="str">
        <f t="array" ref="E890">IF(ISBLANK(G890),"",INDEX('POR Config List'!K:K,MATCH(G890,'POR Config List'!D:D,0)))</f>
        <v/>
      </c>
      <c r="F890" s="100" t="str">
        <f t="array" ref="F890">IF(ISBLANK(G890),"",INDEX('POR Config List'!J:J,MATCH(G890,'POR Config List'!D:D,0)))</f>
        <v/>
      </c>
      <c r="G890" s="168"/>
      <c r="H890" s="104" t="str">
        <f t="array" ref="H890">IF(ISBLANK(G890),"",INDEX('MP SKUs'!G:G,MATCH(G890,'MP SKUs'!A:A,0)))</f>
        <v/>
      </c>
      <c r="I890" s="105" t="str">
        <f t="array" ref="I890">IF(ISBLANK(G890),"",INDEX('POR Config List'!O:O,MATCH(G890,'POR Config List'!D:D,0)))</f>
        <v/>
      </c>
      <c r="J890" s="104" t="str">
        <f t="array" ref="J890">IF(ISBLANK(G890),"",INDEX('POR Config List'!H:H,MATCH(G890,'POR Config List'!D:D,0)))</f>
        <v/>
      </c>
      <c r="K890" s="105" t="str">
        <f t="array" ref="K890">IF(ISBLANK(G890),"",INDEX('POR Config List'!G:G,MATCH(G890,'POR Config List'!D:D,0)))</f>
        <v/>
      </c>
      <c r="L890" s="105"/>
      <c r="M890" s="105" t="str">
        <f t="array" ref="M890">IF(ISBLANK(G890),"",INDEX('label approval artwork'!Q:Q,MATCH( G890,'label approval artwork'!F:F,0)))</f>
        <v/>
      </c>
      <c r="N890" s="169" t="str">
        <f t="shared" si="5"/>
        <v/>
      </c>
      <c r="O890" s="102" t="str">
        <f t="array" ref="O890">IF(ISBLANK(G890),"",INDEX('POR Config List'!C:C,MATCH(G890,'POR Config List'!D:D,0)))</f>
        <v/>
      </c>
      <c r="P890" s="105" t="str">
        <f t="shared" si="4"/>
        <v/>
      </c>
      <c r="Q890" s="105" t="str">
        <f t="array" ref="Q890">IF(ISBLANK(G890),"",INDEX('label approval artwork'!J:J,MATCH( G890,'label approval artwork'!F:F,0)))</f>
        <v/>
      </c>
      <c r="R890" s="105" t="str">
        <f t="array" ref="R890">IFERROR( IF(P890&lt;&gt;"EMA",INDEX('label approval artwork'!H:H,MATCH(G890,'label approval artwork'!F:F,0),"")),"")</f>
        <v/>
      </c>
      <c r="S890" s="105"/>
      <c r="T890" s="105" t="str">
        <f t="array" ref="T890">IF(ISBLANK(G890),"",INDEX('POR Config List'!I:I,MATCH(G890,'POR Config List'!D:D,0)))</f>
        <v/>
      </c>
      <c r="AA890" s="100" t="str">
        <f t="array" ref="AA890">IF(ISBLANK(G890),"",INDEX('POR Config List'!E:E,MATCH(G890,'POR Config List'!D:D,0)))</f>
        <v/>
      </c>
      <c r="AC890" s="105"/>
      <c r="AD890" s="100"/>
      <c r="AE890" s="100"/>
      <c r="AF890" s="100"/>
      <c r="AG890" s="100"/>
      <c r="AM890" s="102"/>
      <c r="AN890" s="102"/>
    </row>
    <row r="891">
      <c r="A891" s="168"/>
      <c r="B891" s="100" t="str">
        <f t="array" ref="B891">IFERROR( INDEX('POR Config List'!A:A,MATCH(G891,'POR Config List'!D:D,0)),"")</f>
        <v/>
      </c>
      <c r="C891" s="101" t="str">
        <f t="array" ref="C891">IFERROR(INDEX('label approval artwork'!E:E,MATCH(G891,'label approval artwork'!F:F,0),""),"")</f>
        <v/>
      </c>
      <c r="D891" s="102" t="str">
        <f t="shared" si="3"/>
        <v/>
      </c>
      <c r="E891" s="100" t="str">
        <f t="array" ref="E891">IF(ISBLANK(G891),"",INDEX('POR Config List'!K:K,MATCH(G891,'POR Config List'!D:D,0)))</f>
        <v/>
      </c>
      <c r="F891" s="100" t="str">
        <f t="array" ref="F891">IF(ISBLANK(G891),"",INDEX('POR Config List'!J:J,MATCH(G891,'POR Config List'!D:D,0)))</f>
        <v/>
      </c>
      <c r="G891" s="168"/>
      <c r="H891" s="104" t="str">
        <f t="array" ref="H891">IF(ISBLANK(G891),"",INDEX('MP SKUs'!G:G,MATCH(G891,'MP SKUs'!A:A,0)))</f>
        <v/>
      </c>
      <c r="I891" s="105" t="str">
        <f t="array" ref="I891">IF(ISBLANK(G891),"",INDEX('POR Config List'!O:O,MATCH(G891,'POR Config List'!D:D,0)))</f>
        <v/>
      </c>
      <c r="J891" s="104" t="str">
        <f t="array" ref="J891">IF(ISBLANK(G891),"",INDEX('POR Config List'!H:H,MATCH(G891,'POR Config List'!D:D,0)))</f>
        <v/>
      </c>
      <c r="K891" s="105" t="str">
        <f t="array" ref="K891">IF(ISBLANK(G891),"",INDEX('POR Config List'!G:G,MATCH(G891,'POR Config List'!D:D,0)))</f>
        <v/>
      </c>
      <c r="L891" s="105"/>
      <c r="M891" s="105" t="str">
        <f t="array" ref="M891">IF(ISBLANK(G891),"",INDEX('label approval artwork'!Q:Q,MATCH( G891,'label approval artwork'!F:F,0)))</f>
        <v/>
      </c>
      <c r="N891" s="169" t="str">
        <f t="shared" si="5"/>
        <v/>
      </c>
      <c r="O891" s="102" t="str">
        <f t="array" ref="O891">IF(ISBLANK(G891),"",INDEX('POR Config List'!C:C,MATCH(G891,'POR Config List'!D:D,0)))</f>
        <v/>
      </c>
      <c r="P891" s="105" t="str">
        <f t="shared" si="4"/>
        <v/>
      </c>
      <c r="Q891" s="105" t="str">
        <f t="array" ref="Q891">IF(ISBLANK(G891),"",INDEX('label approval artwork'!J:J,MATCH( G891,'label approval artwork'!F:F,0)))</f>
        <v/>
      </c>
      <c r="R891" s="105" t="str">
        <f t="array" ref="R891">IFERROR( IF(P891&lt;&gt;"EMA",INDEX('label approval artwork'!H:H,MATCH(G891,'label approval artwork'!F:F,0),"")),"")</f>
        <v/>
      </c>
      <c r="S891" s="105"/>
      <c r="T891" s="105" t="str">
        <f t="array" ref="T891">IF(ISBLANK(G891),"",INDEX('POR Config List'!I:I,MATCH(G891,'POR Config List'!D:D,0)))</f>
        <v/>
      </c>
      <c r="AA891" s="100" t="str">
        <f t="array" ref="AA891">IF(ISBLANK(G891),"",INDEX('POR Config List'!E:E,MATCH(G891,'POR Config List'!D:D,0)))</f>
        <v/>
      </c>
      <c r="AC891" s="105"/>
      <c r="AD891" s="100"/>
      <c r="AE891" s="100"/>
      <c r="AF891" s="100"/>
      <c r="AG891" s="100"/>
      <c r="AM891" s="102"/>
      <c r="AN891" s="102"/>
    </row>
    <row r="892">
      <c r="A892" s="168"/>
      <c r="B892" s="100" t="str">
        <f t="array" ref="B892">IFERROR( INDEX('POR Config List'!A:A,MATCH(G892,'POR Config List'!D:D,0)),"")</f>
        <v/>
      </c>
      <c r="C892" s="101" t="str">
        <f t="array" ref="C892">IFERROR(INDEX('label approval artwork'!E:E,MATCH(G892,'label approval artwork'!F:F,0),""),"")</f>
        <v/>
      </c>
      <c r="D892" s="102" t="str">
        <f t="shared" si="3"/>
        <v/>
      </c>
      <c r="E892" s="100" t="str">
        <f t="array" ref="E892">IF(ISBLANK(G892),"",INDEX('POR Config List'!K:K,MATCH(G892,'POR Config List'!D:D,0)))</f>
        <v/>
      </c>
      <c r="F892" s="100" t="str">
        <f t="array" ref="F892">IF(ISBLANK(G892),"",INDEX('POR Config List'!J:J,MATCH(G892,'POR Config List'!D:D,0)))</f>
        <v/>
      </c>
      <c r="G892" s="168"/>
      <c r="H892" s="104" t="str">
        <f t="array" ref="H892">IF(ISBLANK(G892),"",INDEX('MP SKUs'!G:G,MATCH(G892,'MP SKUs'!A:A,0)))</f>
        <v/>
      </c>
      <c r="I892" s="105" t="str">
        <f t="array" ref="I892">IF(ISBLANK(G892),"",INDEX('POR Config List'!O:O,MATCH(G892,'POR Config List'!D:D,0)))</f>
        <v/>
      </c>
      <c r="J892" s="104" t="str">
        <f t="array" ref="J892">IF(ISBLANK(G892),"",INDEX('POR Config List'!H:H,MATCH(G892,'POR Config List'!D:D,0)))</f>
        <v/>
      </c>
      <c r="K892" s="105" t="str">
        <f t="array" ref="K892">IF(ISBLANK(G892),"",INDEX('POR Config List'!G:G,MATCH(G892,'POR Config List'!D:D,0)))</f>
        <v/>
      </c>
      <c r="L892" s="105"/>
      <c r="M892" s="105" t="str">
        <f t="array" ref="M892">IF(ISBLANK(G892),"",INDEX('label approval artwork'!Q:Q,MATCH( G892,'label approval artwork'!F:F,0)))</f>
        <v/>
      </c>
      <c r="N892" s="169" t="str">
        <f t="shared" si="5"/>
        <v/>
      </c>
      <c r="O892" s="102" t="str">
        <f t="array" ref="O892">IF(ISBLANK(G892),"",INDEX('POR Config List'!C:C,MATCH(G892,'POR Config List'!D:D,0)))</f>
        <v/>
      </c>
      <c r="P892" s="105" t="str">
        <f t="shared" si="4"/>
        <v/>
      </c>
      <c r="Q892" s="105" t="str">
        <f t="array" ref="Q892">IF(ISBLANK(G892),"",INDEX('label approval artwork'!J:J,MATCH( G892,'label approval artwork'!F:F,0)))</f>
        <v/>
      </c>
      <c r="R892" s="105" t="str">
        <f t="array" ref="R892">IFERROR( IF(P892&lt;&gt;"EMA",INDEX('label approval artwork'!H:H,MATCH(G892,'label approval artwork'!F:F,0),"")),"")</f>
        <v/>
      </c>
      <c r="S892" s="105"/>
      <c r="T892" s="105" t="str">
        <f t="array" ref="T892">IF(ISBLANK(G892),"",INDEX('POR Config List'!I:I,MATCH(G892,'POR Config List'!D:D,0)))</f>
        <v/>
      </c>
      <c r="AA892" s="100" t="str">
        <f t="array" ref="AA892">IF(ISBLANK(G892),"",INDEX('POR Config List'!E:E,MATCH(G892,'POR Config List'!D:D,0)))</f>
        <v/>
      </c>
      <c r="AC892" s="105"/>
      <c r="AD892" s="100"/>
      <c r="AE892" s="100"/>
      <c r="AF892" s="100"/>
      <c r="AG892" s="100"/>
      <c r="AM892" s="102"/>
      <c r="AN892" s="102"/>
    </row>
    <row r="893">
      <c r="A893" s="168"/>
      <c r="B893" s="100" t="str">
        <f t="array" ref="B893">IFERROR( INDEX('POR Config List'!A:A,MATCH(G893,'POR Config List'!D:D,0)),"")</f>
        <v/>
      </c>
      <c r="C893" s="101" t="str">
        <f t="array" ref="C893">IFERROR(INDEX('label approval artwork'!E:E,MATCH(G893,'label approval artwork'!F:F,0),""),"")</f>
        <v/>
      </c>
      <c r="D893" s="102" t="str">
        <f t="shared" si="3"/>
        <v/>
      </c>
      <c r="E893" s="100" t="str">
        <f t="array" ref="E893">IF(ISBLANK(G893),"",INDEX('POR Config List'!K:K,MATCH(G893,'POR Config List'!D:D,0)))</f>
        <v/>
      </c>
      <c r="F893" s="100" t="str">
        <f t="array" ref="F893">IF(ISBLANK(G893),"",INDEX('POR Config List'!J:J,MATCH(G893,'POR Config List'!D:D,0)))</f>
        <v/>
      </c>
      <c r="G893" s="168"/>
      <c r="H893" s="104" t="str">
        <f t="array" ref="H893">IF(ISBLANK(G893),"",INDEX('MP SKUs'!G:G,MATCH(G893,'MP SKUs'!A:A,0)))</f>
        <v/>
      </c>
      <c r="I893" s="105" t="str">
        <f t="array" ref="I893">IF(ISBLANK(G893),"",INDEX('POR Config List'!O:O,MATCH(G893,'POR Config List'!D:D,0)))</f>
        <v/>
      </c>
      <c r="J893" s="104" t="str">
        <f t="array" ref="J893">IF(ISBLANK(G893),"",INDEX('POR Config List'!H:H,MATCH(G893,'POR Config List'!D:D,0)))</f>
        <v/>
      </c>
      <c r="K893" s="105" t="str">
        <f t="array" ref="K893">IF(ISBLANK(G893),"",INDEX('POR Config List'!G:G,MATCH(G893,'POR Config List'!D:D,0)))</f>
        <v/>
      </c>
      <c r="L893" s="105"/>
      <c r="M893" s="105" t="str">
        <f t="array" ref="M893">IF(ISBLANK(G893),"",INDEX('label approval artwork'!Q:Q,MATCH( G893,'label approval artwork'!F:F,0)))</f>
        <v/>
      </c>
      <c r="N893" s="169" t="str">
        <f t="shared" si="5"/>
        <v/>
      </c>
      <c r="O893" s="102" t="str">
        <f t="array" ref="O893">IF(ISBLANK(G893),"",INDEX('POR Config List'!C:C,MATCH(G893,'POR Config List'!D:D,0)))</f>
        <v/>
      </c>
      <c r="P893" s="105" t="str">
        <f t="shared" si="4"/>
        <v/>
      </c>
      <c r="Q893" s="105" t="str">
        <f t="array" ref="Q893">IF(ISBLANK(G893),"",INDEX('label approval artwork'!J:J,MATCH( G893,'label approval artwork'!F:F,0)))</f>
        <v/>
      </c>
      <c r="R893" s="105" t="str">
        <f t="array" ref="R893">IFERROR( IF(P893&lt;&gt;"EMA",INDEX('label approval artwork'!H:H,MATCH(G893,'label approval artwork'!F:F,0),"")),"")</f>
        <v/>
      </c>
      <c r="S893" s="105"/>
      <c r="T893" s="105" t="str">
        <f t="array" ref="T893">IF(ISBLANK(G893),"",INDEX('POR Config List'!I:I,MATCH(G893,'POR Config List'!D:D,0)))</f>
        <v/>
      </c>
      <c r="AA893" s="100" t="str">
        <f t="array" ref="AA893">IF(ISBLANK(G893),"",INDEX('POR Config List'!E:E,MATCH(G893,'POR Config List'!D:D,0)))</f>
        <v/>
      </c>
      <c r="AC893" s="105"/>
      <c r="AD893" s="100"/>
      <c r="AE893" s="100"/>
      <c r="AF893" s="100"/>
      <c r="AG893" s="100"/>
      <c r="AM893" s="102"/>
      <c r="AN893" s="102"/>
    </row>
    <row r="894">
      <c r="A894" s="168"/>
      <c r="B894" s="100" t="str">
        <f t="array" ref="B894">IFERROR( INDEX('POR Config List'!A:A,MATCH(G894,'POR Config List'!D:D,0)),"")</f>
        <v/>
      </c>
      <c r="C894" s="101" t="str">
        <f t="array" ref="C894">IFERROR(INDEX('label approval artwork'!E:E,MATCH(G894,'label approval artwork'!F:F,0),""),"")</f>
        <v/>
      </c>
      <c r="D894" s="102" t="str">
        <f t="shared" si="3"/>
        <v/>
      </c>
      <c r="E894" s="100" t="str">
        <f t="array" ref="E894">IF(ISBLANK(G894),"",INDEX('POR Config List'!K:K,MATCH(G894,'POR Config List'!D:D,0)))</f>
        <v/>
      </c>
      <c r="F894" s="100" t="str">
        <f t="array" ref="F894">IF(ISBLANK(G894),"",INDEX('POR Config List'!J:J,MATCH(G894,'POR Config List'!D:D,0)))</f>
        <v/>
      </c>
      <c r="G894" s="168"/>
      <c r="H894" s="104" t="str">
        <f t="array" ref="H894">IF(ISBLANK(G894),"",INDEX('MP SKUs'!G:G,MATCH(G894,'MP SKUs'!A:A,0)))</f>
        <v/>
      </c>
      <c r="I894" s="105" t="str">
        <f t="array" ref="I894">IF(ISBLANK(G894),"",INDEX('POR Config List'!O:O,MATCH(G894,'POR Config List'!D:D,0)))</f>
        <v/>
      </c>
      <c r="J894" s="104" t="str">
        <f t="array" ref="J894">IF(ISBLANK(G894),"",INDEX('POR Config List'!H:H,MATCH(G894,'POR Config List'!D:D,0)))</f>
        <v/>
      </c>
      <c r="K894" s="105" t="str">
        <f t="array" ref="K894">IF(ISBLANK(G894),"",INDEX('POR Config List'!G:G,MATCH(G894,'POR Config List'!D:D,0)))</f>
        <v/>
      </c>
      <c r="L894" s="105"/>
      <c r="M894" s="105" t="str">
        <f t="array" ref="M894">IF(ISBLANK(G894),"",INDEX('label approval artwork'!Q:Q,MATCH( G894,'label approval artwork'!F:F,0)))</f>
        <v/>
      </c>
      <c r="N894" s="169" t="str">
        <f t="shared" si="5"/>
        <v/>
      </c>
      <c r="O894" s="102" t="str">
        <f t="array" ref="O894">IF(ISBLANK(G894),"",INDEX('POR Config List'!C:C,MATCH(G894,'POR Config List'!D:D,0)))</f>
        <v/>
      </c>
      <c r="P894" s="105" t="str">
        <f t="shared" si="4"/>
        <v/>
      </c>
      <c r="Q894" s="105" t="str">
        <f t="array" ref="Q894">IF(ISBLANK(G894),"",INDEX('label approval artwork'!J:J,MATCH( G894,'label approval artwork'!F:F,0)))</f>
        <v/>
      </c>
      <c r="R894" s="105" t="str">
        <f t="array" ref="R894">IFERROR( IF(P894&lt;&gt;"EMA",INDEX('label approval artwork'!H:H,MATCH(G894,'label approval artwork'!F:F,0),"")),"")</f>
        <v/>
      </c>
      <c r="S894" s="105"/>
      <c r="T894" s="105" t="str">
        <f t="array" ref="T894">IF(ISBLANK(G894),"",INDEX('POR Config List'!I:I,MATCH(G894,'POR Config List'!D:D,0)))</f>
        <v/>
      </c>
      <c r="AA894" s="100" t="str">
        <f t="array" ref="AA894">IF(ISBLANK(G894),"",INDEX('POR Config List'!E:E,MATCH(G894,'POR Config List'!D:D,0)))</f>
        <v/>
      </c>
      <c r="AC894" s="105"/>
      <c r="AD894" s="100"/>
      <c r="AE894" s="100"/>
      <c r="AF894" s="100"/>
      <c r="AG894" s="100"/>
      <c r="AM894" s="102"/>
      <c r="AN894" s="102"/>
    </row>
    <row r="895">
      <c r="A895" s="168"/>
      <c r="B895" s="100" t="str">
        <f t="array" ref="B895">IFERROR( INDEX('POR Config List'!A:A,MATCH(G895,'POR Config List'!D:D,0)),"")</f>
        <v/>
      </c>
      <c r="C895" s="101" t="str">
        <f t="array" ref="C895">IFERROR(INDEX('label approval artwork'!E:E,MATCH(G895,'label approval artwork'!F:F,0),""),"")</f>
        <v/>
      </c>
      <c r="D895" s="102" t="str">
        <f t="shared" si="3"/>
        <v/>
      </c>
      <c r="E895" s="100" t="str">
        <f t="array" ref="E895">IF(ISBLANK(G895),"",INDEX('POR Config List'!K:K,MATCH(G895,'POR Config List'!D:D,0)))</f>
        <v/>
      </c>
      <c r="F895" s="100" t="str">
        <f t="array" ref="F895">IF(ISBLANK(G895),"",INDEX('POR Config List'!J:J,MATCH(G895,'POR Config List'!D:D,0)))</f>
        <v/>
      </c>
      <c r="G895" s="168"/>
      <c r="H895" s="104" t="str">
        <f t="array" ref="H895">IF(ISBLANK(G895),"",INDEX('MP SKUs'!G:G,MATCH(G895,'MP SKUs'!A:A,0)))</f>
        <v/>
      </c>
      <c r="I895" s="105" t="str">
        <f t="array" ref="I895">IF(ISBLANK(G895),"",INDEX('POR Config List'!O:O,MATCH(G895,'POR Config List'!D:D,0)))</f>
        <v/>
      </c>
      <c r="J895" s="104" t="str">
        <f t="array" ref="J895">IF(ISBLANK(G895),"",INDEX('POR Config List'!H:H,MATCH(G895,'POR Config List'!D:D,0)))</f>
        <v/>
      </c>
      <c r="K895" s="105" t="str">
        <f t="array" ref="K895">IF(ISBLANK(G895),"",INDEX('POR Config List'!G:G,MATCH(G895,'POR Config List'!D:D,0)))</f>
        <v/>
      </c>
      <c r="L895" s="105"/>
      <c r="M895" s="105" t="str">
        <f t="array" ref="M895">IF(ISBLANK(G895),"",INDEX('label approval artwork'!Q:Q,MATCH( G895,'label approval artwork'!F:F,0)))</f>
        <v/>
      </c>
      <c r="N895" s="169" t="str">
        <f t="shared" si="5"/>
        <v/>
      </c>
      <c r="O895" s="102" t="str">
        <f t="array" ref="O895">IF(ISBLANK(G895),"",INDEX('POR Config List'!C:C,MATCH(G895,'POR Config List'!D:D,0)))</f>
        <v/>
      </c>
      <c r="P895" s="105" t="str">
        <f t="shared" si="4"/>
        <v/>
      </c>
      <c r="Q895" s="105" t="str">
        <f t="array" ref="Q895">IF(ISBLANK(G895),"",INDEX('label approval artwork'!J:J,MATCH( G895,'label approval artwork'!F:F,0)))</f>
        <v/>
      </c>
      <c r="R895" s="105" t="str">
        <f t="array" ref="R895">IFERROR( IF(P895&lt;&gt;"EMA",INDEX('label approval artwork'!H:H,MATCH(G895,'label approval artwork'!F:F,0),"")),"")</f>
        <v/>
      </c>
      <c r="S895" s="105"/>
      <c r="T895" s="105" t="str">
        <f t="array" ref="T895">IF(ISBLANK(G895),"",INDEX('POR Config List'!I:I,MATCH(G895,'POR Config List'!D:D,0)))</f>
        <v/>
      </c>
      <c r="AA895" s="100" t="str">
        <f t="array" ref="AA895">IF(ISBLANK(G895),"",INDEX('POR Config List'!E:E,MATCH(G895,'POR Config List'!D:D,0)))</f>
        <v/>
      </c>
      <c r="AC895" s="105"/>
      <c r="AD895" s="100"/>
      <c r="AE895" s="100"/>
      <c r="AF895" s="100"/>
      <c r="AG895" s="100"/>
      <c r="AM895" s="102"/>
      <c r="AN895" s="102"/>
    </row>
    <row r="896">
      <c r="A896" s="168"/>
      <c r="B896" s="100" t="str">
        <f t="array" ref="B896">IFERROR( INDEX('POR Config List'!A:A,MATCH(G896,'POR Config List'!D:D,0)),"")</f>
        <v/>
      </c>
      <c r="C896" s="101" t="str">
        <f t="array" ref="C896">IFERROR(INDEX('label approval artwork'!E:E,MATCH(G896,'label approval artwork'!F:F,0),""),"")</f>
        <v/>
      </c>
      <c r="D896" s="102" t="str">
        <f t="shared" si="3"/>
        <v/>
      </c>
      <c r="E896" s="100" t="str">
        <f t="array" ref="E896">IF(ISBLANK(G896),"",INDEX('POR Config List'!K:K,MATCH(G896,'POR Config List'!D:D,0)))</f>
        <v/>
      </c>
      <c r="F896" s="100" t="str">
        <f t="array" ref="F896">IF(ISBLANK(G896),"",INDEX('POR Config List'!J:J,MATCH(G896,'POR Config List'!D:D,0)))</f>
        <v/>
      </c>
      <c r="G896" s="168"/>
      <c r="H896" s="104" t="str">
        <f t="array" ref="H896">IF(ISBLANK(G896),"",INDEX('MP SKUs'!G:G,MATCH(G896,'MP SKUs'!A:A,0)))</f>
        <v/>
      </c>
      <c r="I896" s="105" t="str">
        <f t="array" ref="I896">IF(ISBLANK(G896),"",INDEX('POR Config List'!O:O,MATCH(G896,'POR Config List'!D:D,0)))</f>
        <v/>
      </c>
      <c r="J896" s="104" t="str">
        <f t="array" ref="J896">IF(ISBLANK(G896),"",INDEX('POR Config List'!H:H,MATCH(G896,'POR Config List'!D:D,0)))</f>
        <v/>
      </c>
      <c r="K896" s="105" t="str">
        <f t="array" ref="K896">IF(ISBLANK(G896),"",INDEX('POR Config List'!G:G,MATCH(G896,'POR Config List'!D:D,0)))</f>
        <v/>
      </c>
      <c r="L896" s="105"/>
      <c r="M896" s="105" t="str">
        <f t="array" ref="M896">IF(ISBLANK(G896),"",INDEX('label approval artwork'!Q:Q,MATCH( G896,'label approval artwork'!F:F,0)))</f>
        <v/>
      </c>
      <c r="N896" s="169" t="str">
        <f t="shared" si="5"/>
        <v/>
      </c>
      <c r="O896" s="102" t="str">
        <f t="array" ref="O896">IF(ISBLANK(G896),"",INDEX('POR Config List'!C:C,MATCH(G896,'POR Config List'!D:D,0)))</f>
        <v/>
      </c>
      <c r="P896" s="105" t="str">
        <f t="shared" si="4"/>
        <v/>
      </c>
      <c r="Q896" s="105" t="str">
        <f t="array" ref="Q896">IF(ISBLANK(G896),"",INDEX('label approval artwork'!J:J,MATCH( G896,'label approval artwork'!F:F,0)))</f>
        <v/>
      </c>
      <c r="R896" s="105" t="str">
        <f t="array" ref="R896">IFERROR( IF(P896&lt;&gt;"EMA",INDEX('label approval artwork'!H:H,MATCH(G896,'label approval artwork'!F:F,0),"")),"")</f>
        <v/>
      </c>
      <c r="S896" s="105"/>
      <c r="T896" s="105" t="str">
        <f t="array" ref="T896">IF(ISBLANK(G896),"",INDEX('POR Config List'!I:I,MATCH(G896,'POR Config List'!D:D,0)))</f>
        <v/>
      </c>
      <c r="AA896" s="100" t="str">
        <f t="array" ref="AA896">IF(ISBLANK(G896),"",INDEX('POR Config List'!E:E,MATCH(G896,'POR Config List'!D:D,0)))</f>
        <v/>
      </c>
      <c r="AC896" s="105"/>
      <c r="AD896" s="100"/>
      <c r="AE896" s="100"/>
      <c r="AF896" s="100"/>
      <c r="AG896" s="100"/>
      <c r="AM896" s="102"/>
      <c r="AN896" s="102"/>
    </row>
    <row r="897">
      <c r="A897" s="168"/>
      <c r="B897" s="100" t="str">
        <f t="array" ref="B897">IFERROR( INDEX('POR Config List'!A:A,MATCH(G897,'POR Config List'!D:D,0)),"")</f>
        <v/>
      </c>
      <c r="C897" s="101" t="str">
        <f t="array" ref="C897">IFERROR(INDEX('label approval artwork'!E:E,MATCH(G897,'label approval artwork'!F:F,0),""),"")</f>
        <v/>
      </c>
      <c r="D897" s="102" t="str">
        <f t="shared" si="3"/>
        <v/>
      </c>
      <c r="E897" s="100" t="str">
        <f t="array" ref="E897">IF(ISBLANK(G897),"",INDEX('POR Config List'!K:K,MATCH(G897,'POR Config List'!D:D,0)))</f>
        <v/>
      </c>
      <c r="F897" s="100" t="str">
        <f t="array" ref="F897">IF(ISBLANK(G897),"",INDEX('POR Config List'!J:J,MATCH(G897,'POR Config List'!D:D,0)))</f>
        <v/>
      </c>
      <c r="G897" s="168"/>
      <c r="H897" s="104" t="str">
        <f t="array" ref="H897">IF(ISBLANK(G897),"",INDEX('MP SKUs'!G:G,MATCH(G897,'MP SKUs'!A:A,0)))</f>
        <v/>
      </c>
      <c r="I897" s="105" t="str">
        <f t="array" ref="I897">IF(ISBLANK(G897),"",INDEX('POR Config List'!O:O,MATCH(G897,'POR Config List'!D:D,0)))</f>
        <v/>
      </c>
      <c r="J897" s="104" t="str">
        <f t="array" ref="J897">IF(ISBLANK(G897),"",INDEX('POR Config List'!H:H,MATCH(G897,'POR Config List'!D:D,0)))</f>
        <v/>
      </c>
      <c r="K897" s="105" t="str">
        <f t="array" ref="K897">IF(ISBLANK(G897),"",INDEX('POR Config List'!G:G,MATCH(G897,'POR Config List'!D:D,0)))</f>
        <v/>
      </c>
      <c r="L897" s="105"/>
      <c r="M897" s="105" t="str">
        <f t="array" ref="M897">IF(ISBLANK(G897),"",INDEX('label approval artwork'!Q:Q,MATCH( G897,'label approval artwork'!F:F,0)))</f>
        <v/>
      </c>
      <c r="N897" s="169" t="str">
        <f t="shared" si="5"/>
        <v/>
      </c>
      <c r="O897" s="102" t="str">
        <f t="array" ref="O897">IF(ISBLANK(G897),"",INDEX('POR Config List'!C:C,MATCH(G897,'POR Config List'!D:D,0)))</f>
        <v/>
      </c>
      <c r="P897" s="105" t="str">
        <f t="shared" si="4"/>
        <v/>
      </c>
      <c r="Q897" s="105" t="str">
        <f t="array" ref="Q897">IF(ISBLANK(G897),"",INDEX('label approval artwork'!J:J,MATCH( G897,'label approval artwork'!F:F,0)))</f>
        <v/>
      </c>
      <c r="R897" s="105" t="str">
        <f t="array" ref="R897">IFERROR( IF(P897&lt;&gt;"EMA",INDEX('label approval artwork'!H:H,MATCH(G897,'label approval artwork'!F:F,0),"")),"")</f>
        <v/>
      </c>
      <c r="S897" s="105"/>
      <c r="T897" s="105" t="str">
        <f t="array" ref="T897">IF(ISBLANK(G897),"",INDEX('POR Config List'!I:I,MATCH(G897,'POR Config List'!D:D,0)))</f>
        <v/>
      </c>
      <c r="AA897" s="100" t="str">
        <f t="array" ref="AA897">IF(ISBLANK(G897),"",INDEX('POR Config List'!E:E,MATCH(G897,'POR Config List'!D:D,0)))</f>
        <v/>
      </c>
      <c r="AC897" s="105"/>
      <c r="AD897" s="100"/>
      <c r="AE897" s="100"/>
      <c r="AF897" s="100"/>
      <c r="AG897" s="100"/>
      <c r="AM897" s="102"/>
      <c r="AN897" s="102"/>
    </row>
    <row r="898">
      <c r="A898" s="168"/>
      <c r="B898" s="100" t="str">
        <f t="array" ref="B898">IFERROR( INDEX('POR Config List'!A:A,MATCH(G898,'POR Config List'!D:D,0)),"")</f>
        <v/>
      </c>
      <c r="C898" s="101" t="str">
        <f t="array" ref="C898">IFERROR(INDEX('label approval artwork'!E:E,MATCH(G898,'label approval artwork'!F:F,0),""),"")</f>
        <v/>
      </c>
      <c r="D898" s="102" t="str">
        <f t="shared" si="3"/>
        <v/>
      </c>
      <c r="E898" s="100" t="str">
        <f t="array" ref="E898">IF(ISBLANK(G898),"",INDEX('POR Config List'!K:K,MATCH(G898,'POR Config List'!D:D,0)))</f>
        <v/>
      </c>
      <c r="F898" s="100" t="str">
        <f t="array" ref="F898">IF(ISBLANK(G898),"",INDEX('POR Config List'!J:J,MATCH(G898,'POR Config List'!D:D,0)))</f>
        <v/>
      </c>
      <c r="G898" s="168"/>
      <c r="H898" s="104" t="str">
        <f t="array" ref="H898">IF(ISBLANK(G898),"",INDEX('MP SKUs'!G:G,MATCH(G898,'MP SKUs'!A:A,0)))</f>
        <v/>
      </c>
      <c r="I898" s="105" t="str">
        <f t="array" ref="I898">IF(ISBLANK(G898),"",INDEX('POR Config List'!O:O,MATCH(G898,'POR Config List'!D:D,0)))</f>
        <v/>
      </c>
      <c r="J898" s="104" t="str">
        <f t="array" ref="J898">IF(ISBLANK(G898),"",INDEX('POR Config List'!H:H,MATCH(G898,'POR Config List'!D:D,0)))</f>
        <v/>
      </c>
      <c r="K898" s="105" t="str">
        <f t="array" ref="K898">IF(ISBLANK(G898),"",INDEX('POR Config List'!G:G,MATCH(G898,'POR Config List'!D:D,0)))</f>
        <v/>
      </c>
      <c r="L898" s="105"/>
      <c r="M898" s="105" t="str">
        <f t="array" ref="M898">IF(ISBLANK(G898),"",INDEX('label approval artwork'!Q:Q,MATCH( G898,'label approval artwork'!F:F,0)))</f>
        <v/>
      </c>
      <c r="N898" s="169" t="str">
        <f t="shared" si="5"/>
        <v/>
      </c>
      <c r="O898" s="102" t="str">
        <f t="array" ref="O898">IF(ISBLANK(G898),"",INDEX('POR Config List'!C:C,MATCH(G898,'POR Config List'!D:D,0)))</f>
        <v/>
      </c>
      <c r="P898" s="105" t="str">
        <f t="shared" si="4"/>
        <v/>
      </c>
      <c r="Q898" s="105" t="str">
        <f t="array" ref="Q898">IF(ISBLANK(G898),"",INDEX('label approval artwork'!J:J,MATCH( G898,'label approval artwork'!F:F,0)))</f>
        <v/>
      </c>
      <c r="R898" s="105" t="str">
        <f t="array" ref="R898">IFERROR( IF(P898&lt;&gt;"EMA",INDEX('label approval artwork'!H:H,MATCH(G898,'label approval artwork'!F:F,0),"")),"")</f>
        <v/>
      </c>
      <c r="S898" s="105"/>
      <c r="T898" s="105" t="str">
        <f t="array" ref="T898">IF(ISBLANK(G898),"",INDEX('POR Config List'!I:I,MATCH(G898,'POR Config List'!D:D,0)))</f>
        <v/>
      </c>
      <c r="AA898" s="100" t="str">
        <f t="array" ref="AA898">IF(ISBLANK(G898),"",INDEX('POR Config List'!E:E,MATCH(G898,'POR Config List'!D:D,0)))</f>
        <v/>
      </c>
      <c r="AC898" s="105"/>
      <c r="AD898" s="100"/>
      <c r="AE898" s="100"/>
      <c r="AF898" s="100"/>
      <c r="AG898" s="100"/>
      <c r="AM898" s="102"/>
      <c r="AN898" s="102"/>
    </row>
    <row r="899">
      <c r="A899" s="168"/>
      <c r="B899" s="100" t="str">
        <f t="array" ref="B899">IFERROR( INDEX('POR Config List'!A:A,MATCH(G899,'POR Config List'!D:D,0)),"")</f>
        <v/>
      </c>
      <c r="C899" s="101" t="str">
        <f t="array" ref="C899">IFERROR(INDEX('label approval artwork'!E:E,MATCH(G899,'label approval artwork'!F:F,0),""),"")</f>
        <v/>
      </c>
      <c r="D899" s="102" t="str">
        <f t="shared" si="3"/>
        <v/>
      </c>
      <c r="E899" s="100" t="str">
        <f t="array" ref="E899">IF(ISBLANK(G899),"",INDEX('POR Config List'!K:K,MATCH(G899,'POR Config List'!D:D,0)))</f>
        <v/>
      </c>
      <c r="F899" s="100" t="str">
        <f t="array" ref="F899">IF(ISBLANK(G899),"",INDEX('POR Config List'!J:J,MATCH(G899,'POR Config List'!D:D,0)))</f>
        <v/>
      </c>
      <c r="G899" s="168"/>
      <c r="H899" s="104" t="str">
        <f t="array" ref="H899">IF(ISBLANK(G899),"",INDEX('MP SKUs'!G:G,MATCH(G899,'MP SKUs'!A:A,0)))</f>
        <v/>
      </c>
      <c r="I899" s="105" t="str">
        <f t="array" ref="I899">IF(ISBLANK(G899),"",INDEX('POR Config List'!O:O,MATCH(G899,'POR Config List'!D:D,0)))</f>
        <v/>
      </c>
      <c r="J899" s="104" t="str">
        <f t="array" ref="J899">IF(ISBLANK(G899),"",INDEX('POR Config List'!H:H,MATCH(G899,'POR Config List'!D:D,0)))</f>
        <v/>
      </c>
      <c r="K899" s="105" t="str">
        <f t="array" ref="K899">IF(ISBLANK(G899),"",INDEX('POR Config List'!G:G,MATCH(G899,'POR Config List'!D:D,0)))</f>
        <v/>
      </c>
      <c r="L899" s="105"/>
      <c r="M899" s="105" t="str">
        <f t="array" ref="M899">IF(ISBLANK(G899),"",INDEX('label approval artwork'!Q:Q,MATCH( G899,'label approval artwork'!F:F,0)))</f>
        <v/>
      </c>
      <c r="N899" s="169" t="str">
        <f t="shared" si="5"/>
        <v/>
      </c>
      <c r="O899" s="102" t="str">
        <f t="array" ref="O899">IF(ISBLANK(G899),"",INDEX('POR Config List'!C:C,MATCH(G899,'POR Config List'!D:D,0)))</f>
        <v/>
      </c>
      <c r="P899" s="105" t="str">
        <f t="shared" si="4"/>
        <v/>
      </c>
      <c r="Q899" s="105" t="str">
        <f t="array" ref="Q899">IF(ISBLANK(G899),"",INDEX('label approval artwork'!J:J,MATCH( G899,'label approval artwork'!F:F,0)))</f>
        <v/>
      </c>
      <c r="R899" s="105" t="str">
        <f t="array" ref="R899">IFERROR( IF(P899&lt;&gt;"EMA",INDEX('label approval artwork'!H:H,MATCH(G899,'label approval artwork'!F:F,0),"")),"")</f>
        <v/>
      </c>
      <c r="S899" s="105"/>
      <c r="T899" s="105" t="str">
        <f t="array" ref="T899">IF(ISBLANK(G899),"",INDEX('POR Config List'!I:I,MATCH(G899,'POR Config List'!D:D,0)))</f>
        <v/>
      </c>
      <c r="AA899" s="100" t="str">
        <f t="array" ref="AA899">IF(ISBLANK(G899),"",INDEX('POR Config List'!E:E,MATCH(G899,'POR Config List'!D:D,0)))</f>
        <v/>
      </c>
      <c r="AC899" s="105"/>
      <c r="AD899" s="100"/>
      <c r="AE899" s="100"/>
      <c r="AF899" s="100"/>
      <c r="AG899" s="100"/>
      <c r="AM899" s="102"/>
      <c r="AN899" s="102"/>
    </row>
    <row r="900">
      <c r="A900" s="168"/>
      <c r="B900" s="100" t="str">
        <f t="array" ref="B900">IFERROR( INDEX('POR Config List'!A:A,MATCH(G900,'POR Config List'!D:D,0)),"")</f>
        <v/>
      </c>
      <c r="C900" s="101" t="str">
        <f t="array" ref="C900">IFERROR(INDEX('label approval artwork'!E:E,MATCH(G900,'label approval artwork'!F:F,0),""),"")</f>
        <v/>
      </c>
      <c r="D900" s="102" t="str">
        <f t="shared" si="3"/>
        <v/>
      </c>
      <c r="E900" s="100" t="str">
        <f t="array" ref="E900">IF(ISBLANK(G900),"",INDEX('POR Config List'!K:K,MATCH(G900,'POR Config List'!D:D,0)))</f>
        <v/>
      </c>
      <c r="F900" s="100" t="str">
        <f t="array" ref="F900">IF(ISBLANK(G900),"",INDEX('POR Config List'!J:J,MATCH(G900,'POR Config List'!D:D,0)))</f>
        <v/>
      </c>
      <c r="G900" s="168"/>
      <c r="H900" s="104" t="str">
        <f t="array" ref="H900">IF(ISBLANK(G900),"",INDEX('MP SKUs'!G:G,MATCH(G900,'MP SKUs'!A:A,0)))</f>
        <v/>
      </c>
      <c r="I900" s="105" t="str">
        <f t="array" ref="I900">IF(ISBLANK(G900),"",INDEX('POR Config List'!O:O,MATCH(G900,'POR Config List'!D:D,0)))</f>
        <v/>
      </c>
      <c r="J900" s="104" t="str">
        <f t="array" ref="J900">IF(ISBLANK(G900),"",INDEX('POR Config List'!H:H,MATCH(G900,'POR Config List'!D:D,0)))</f>
        <v/>
      </c>
      <c r="K900" s="105" t="str">
        <f t="array" ref="K900">IF(ISBLANK(G900),"",INDEX('POR Config List'!G:G,MATCH(G900,'POR Config List'!D:D,0)))</f>
        <v/>
      </c>
      <c r="L900" s="105"/>
      <c r="M900" s="105" t="str">
        <f t="array" ref="M900">IF(ISBLANK(G900),"",INDEX('label approval artwork'!Q:Q,MATCH( G900,'label approval artwork'!F:F,0)))</f>
        <v/>
      </c>
      <c r="N900" s="169" t="str">
        <f t="shared" si="5"/>
        <v/>
      </c>
      <c r="O900" s="102" t="str">
        <f t="array" ref="O900">IF(ISBLANK(G900),"",INDEX('POR Config List'!C:C,MATCH(G900,'POR Config List'!D:D,0)))</f>
        <v/>
      </c>
      <c r="P900" s="105" t="str">
        <f t="shared" si="4"/>
        <v/>
      </c>
      <c r="Q900" s="105" t="str">
        <f t="array" ref="Q900">IF(ISBLANK(G900),"",INDEX('label approval artwork'!J:J,MATCH( G900,'label approval artwork'!F:F,0)))</f>
        <v/>
      </c>
      <c r="R900" s="105" t="str">
        <f t="array" ref="R900">IFERROR( IF(P900&lt;&gt;"EMA",INDEX('label approval artwork'!H:H,MATCH(G900,'label approval artwork'!F:F,0),"")),"")</f>
        <v/>
      </c>
      <c r="S900" s="105"/>
      <c r="T900" s="105" t="str">
        <f t="array" ref="T900">IF(ISBLANK(G900),"",INDEX('POR Config List'!I:I,MATCH(G900,'POR Config List'!D:D,0)))</f>
        <v/>
      </c>
      <c r="AA900" s="100" t="str">
        <f t="array" ref="AA900">IF(ISBLANK(G900),"",INDEX('POR Config List'!E:E,MATCH(G900,'POR Config List'!D:D,0)))</f>
        <v/>
      </c>
      <c r="AC900" s="105"/>
      <c r="AD900" s="100"/>
      <c r="AE900" s="100"/>
      <c r="AF900" s="100"/>
      <c r="AG900" s="100"/>
      <c r="AM900" s="102"/>
      <c r="AN900" s="102"/>
    </row>
    <row r="901">
      <c r="A901" s="168"/>
      <c r="B901" s="100" t="str">
        <f t="array" ref="B901">IFERROR( INDEX('POR Config List'!A:A,MATCH(G901,'POR Config List'!D:D,0)),"")</f>
        <v/>
      </c>
      <c r="C901" s="101" t="str">
        <f t="array" ref="C901">IFERROR(INDEX('label approval artwork'!E:E,MATCH(G901,'label approval artwork'!F:F,0),""),"")</f>
        <v/>
      </c>
      <c r="D901" s="102" t="str">
        <f t="shared" si="3"/>
        <v/>
      </c>
      <c r="E901" s="100" t="str">
        <f t="array" ref="E901">IF(ISBLANK(G901),"",INDEX('POR Config List'!K:K,MATCH(G901,'POR Config List'!D:D,0)))</f>
        <v/>
      </c>
      <c r="F901" s="100" t="str">
        <f t="array" ref="F901">IF(ISBLANK(G901),"",INDEX('POR Config List'!J:J,MATCH(G901,'POR Config List'!D:D,0)))</f>
        <v/>
      </c>
      <c r="G901" s="168"/>
      <c r="H901" s="104" t="str">
        <f t="array" ref="H901">IF(ISBLANK(G901),"",INDEX('MP SKUs'!G:G,MATCH(G901,'MP SKUs'!A:A,0)))</f>
        <v/>
      </c>
      <c r="I901" s="105" t="str">
        <f t="array" ref="I901">IF(ISBLANK(G901),"",INDEX('POR Config List'!O:O,MATCH(G901,'POR Config List'!D:D,0)))</f>
        <v/>
      </c>
      <c r="J901" s="104" t="str">
        <f t="array" ref="J901">IF(ISBLANK(G901),"",INDEX('POR Config List'!H:H,MATCH(G901,'POR Config List'!D:D,0)))</f>
        <v/>
      </c>
      <c r="K901" s="105" t="str">
        <f t="array" ref="K901">IF(ISBLANK(G901),"",INDEX('POR Config List'!G:G,MATCH(G901,'POR Config List'!D:D,0)))</f>
        <v/>
      </c>
      <c r="L901" s="105"/>
      <c r="M901" s="105" t="str">
        <f t="array" ref="M901">IF(ISBLANK(G901),"",INDEX('label approval artwork'!Q:Q,MATCH( G901,'label approval artwork'!F:F,0)))</f>
        <v/>
      </c>
      <c r="N901" s="169" t="str">
        <f t="shared" si="5"/>
        <v/>
      </c>
      <c r="O901" s="102" t="str">
        <f t="array" ref="O901">IF(ISBLANK(G901),"",INDEX('POR Config List'!C:C,MATCH(G901,'POR Config List'!D:D,0)))</f>
        <v/>
      </c>
      <c r="P901" s="105" t="str">
        <f t="shared" si="4"/>
        <v/>
      </c>
      <c r="Q901" s="105" t="str">
        <f t="array" ref="Q901">IF(ISBLANK(G901),"",INDEX('label approval artwork'!J:J,MATCH( G901,'label approval artwork'!F:F,0)))</f>
        <v/>
      </c>
      <c r="R901" s="105" t="str">
        <f t="array" ref="R901">IFERROR( IF(P901&lt;&gt;"EMA",INDEX('label approval artwork'!H:H,MATCH(G901,'label approval artwork'!F:F,0),"")),"")</f>
        <v/>
      </c>
      <c r="S901" s="105"/>
      <c r="T901" s="105" t="str">
        <f t="array" ref="T901">IF(ISBLANK(G901),"",INDEX('POR Config List'!I:I,MATCH(G901,'POR Config List'!D:D,0)))</f>
        <v/>
      </c>
      <c r="AA901" s="100" t="str">
        <f t="array" ref="AA901">IF(ISBLANK(G901),"",INDEX('POR Config List'!E:E,MATCH(G901,'POR Config List'!D:D,0)))</f>
        <v/>
      </c>
      <c r="AC901" s="105"/>
      <c r="AD901" s="100"/>
      <c r="AE901" s="100"/>
      <c r="AF901" s="100"/>
      <c r="AG901" s="100"/>
      <c r="AM901" s="102"/>
      <c r="AN901" s="102"/>
    </row>
    <row r="902">
      <c r="A902" s="168"/>
      <c r="B902" s="100" t="str">
        <f t="array" ref="B902">IFERROR( INDEX('POR Config List'!A:A,MATCH(G902,'POR Config List'!D:D,0)),"")</f>
        <v/>
      </c>
      <c r="C902" s="101" t="str">
        <f t="array" ref="C902">IFERROR(INDEX('label approval artwork'!E:E,MATCH(G902,'label approval artwork'!F:F,0),""),"")</f>
        <v/>
      </c>
      <c r="D902" s="102" t="str">
        <f t="shared" si="3"/>
        <v/>
      </c>
      <c r="E902" s="100" t="str">
        <f t="array" ref="E902">IF(ISBLANK(G902),"",INDEX('POR Config List'!K:K,MATCH(G902,'POR Config List'!D:D,0)))</f>
        <v/>
      </c>
      <c r="F902" s="100" t="str">
        <f t="array" ref="F902">IF(ISBLANK(G902),"",INDEX('POR Config List'!J:J,MATCH(G902,'POR Config List'!D:D,0)))</f>
        <v/>
      </c>
      <c r="G902" s="168"/>
      <c r="H902" s="104" t="str">
        <f t="array" ref="H902">IF(ISBLANK(G902),"",INDEX('MP SKUs'!G:G,MATCH(G902,'MP SKUs'!A:A,0)))</f>
        <v/>
      </c>
      <c r="I902" s="105" t="str">
        <f t="array" ref="I902">IF(ISBLANK(G902),"",INDEX('POR Config List'!O:O,MATCH(G902,'POR Config List'!D:D,0)))</f>
        <v/>
      </c>
      <c r="J902" s="104" t="str">
        <f t="array" ref="J902">IF(ISBLANK(G902),"",INDEX('POR Config List'!H:H,MATCH(G902,'POR Config List'!D:D,0)))</f>
        <v/>
      </c>
      <c r="K902" s="105" t="str">
        <f t="array" ref="K902">IF(ISBLANK(G902),"",INDEX('POR Config List'!G:G,MATCH(G902,'POR Config List'!D:D,0)))</f>
        <v/>
      </c>
      <c r="L902" s="105"/>
      <c r="M902" s="105" t="str">
        <f t="array" ref="M902">IF(ISBLANK(G902),"",INDEX('label approval artwork'!Q:Q,MATCH( G902,'label approval artwork'!F:F,0)))</f>
        <v/>
      </c>
      <c r="N902" s="169" t="str">
        <f t="shared" si="5"/>
        <v/>
      </c>
      <c r="O902" s="102" t="str">
        <f t="array" ref="O902">IF(ISBLANK(G902),"",INDEX('POR Config List'!C:C,MATCH(G902,'POR Config List'!D:D,0)))</f>
        <v/>
      </c>
      <c r="P902" s="105" t="str">
        <f t="shared" si="4"/>
        <v/>
      </c>
      <c r="Q902" s="105" t="str">
        <f t="array" ref="Q902">IF(ISBLANK(G902),"",INDEX('label approval artwork'!J:J,MATCH( G902,'label approval artwork'!F:F,0)))</f>
        <v/>
      </c>
      <c r="R902" s="105" t="str">
        <f t="array" ref="R902">IFERROR( IF(P902&lt;&gt;"EMA",INDEX('label approval artwork'!H:H,MATCH(G902,'label approval artwork'!F:F,0),"")),"")</f>
        <v/>
      </c>
      <c r="S902" s="105"/>
      <c r="T902" s="105" t="str">
        <f t="array" ref="T902">IF(ISBLANK(G902),"",INDEX('POR Config List'!I:I,MATCH(G902,'POR Config List'!D:D,0)))</f>
        <v/>
      </c>
      <c r="AA902" s="100" t="str">
        <f t="array" ref="AA902">IF(ISBLANK(G902),"",INDEX('POR Config List'!E:E,MATCH(G902,'POR Config List'!D:D,0)))</f>
        <v/>
      </c>
      <c r="AC902" s="105"/>
      <c r="AD902" s="100"/>
      <c r="AE902" s="100"/>
      <c r="AF902" s="100"/>
      <c r="AG902" s="100"/>
      <c r="AM902" s="102"/>
      <c r="AN902" s="102"/>
    </row>
    <row r="903">
      <c r="A903" s="168"/>
      <c r="B903" s="100" t="str">
        <f t="array" ref="B903">IFERROR( INDEX('POR Config List'!A:A,MATCH(G903,'POR Config List'!D:D,0)),"")</f>
        <v/>
      </c>
      <c r="C903" s="101" t="str">
        <f t="array" ref="C903">IFERROR(INDEX('label approval artwork'!E:E,MATCH(G903,'label approval artwork'!F:F,0),""),"")</f>
        <v/>
      </c>
      <c r="D903" s="102" t="str">
        <f t="shared" si="3"/>
        <v/>
      </c>
      <c r="E903" s="100" t="str">
        <f t="array" ref="E903">IF(ISBLANK(G903),"",INDEX('POR Config List'!K:K,MATCH(G903,'POR Config List'!D:D,0)))</f>
        <v/>
      </c>
      <c r="F903" s="100" t="str">
        <f t="array" ref="F903">IF(ISBLANK(G903),"",INDEX('POR Config List'!J:J,MATCH(G903,'POR Config List'!D:D,0)))</f>
        <v/>
      </c>
      <c r="G903" s="168"/>
      <c r="H903" s="104" t="str">
        <f t="array" ref="H903">IF(ISBLANK(G903),"",INDEX('MP SKUs'!G:G,MATCH(G903,'MP SKUs'!A:A,0)))</f>
        <v/>
      </c>
      <c r="I903" s="105" t="str">
        <f t="array" ref="I903">IF(ISBLANK(G903),"",INDEX('POR Config List'!O:O,MATCH(G903,'POR Config List'!D:D,0)))</f>
        <v/>
      </c>
      <c r="J903" s="104" t="str">
        <f t="array" ref="J903">IF(ISBLANK(G903),"",INDEX('POR Config List'!H:H,MATCH(G903,'POR Config List'!D:D,0)))</f>
        <v/>
      </c>
      <c r="K903" s="105" t="str">
        <f t="array" ref="K903">IF(ISBLANK(G903),"",INDEX('POR Config List'!G:G,MATCH(G903,'POR Config List'!D:D,0)))</f>
        <v/>
      </c>
      <c r="L903" s="105"/>
      <c r="M903" s="105" t="str">
        <f t="array" ref="M903">IF(ISBLANK(G903),"",INDEX('label approval artwork'!Q:Q,MATCH( G903,'label approval artwork'!F:F,0)))</f>
        <v/>
      </c>
      <c r="N903" s="169" t="str">
        <f t="shared" si="5"/>
        <v/>
      </c>
      <c r="O903" s="102" t="str">
        <f t="array" ref="O903">IF(ISBLANK(G903),"",INDEX('POR Config List'!C:C,MATCH(G903,'POR Config List'!D:D,0)))</f>
        <v/>
      </c>
      <c r="P903" s="105" t="str">
        <f t="shared" si="4"/>
        <v/>
      </c>
      <c r="Q903" s="105" t="str">
        <f t="array" ref="Q903">IF(ISBLANK(G903),"",INDEX('label approval artwork'!J:J,MATCH( G903,'label approval artwork'!F:F,0)))</f>
        <v/>
      </c>
      <c r="R903" s="105" t="str">
        <f t="array" ref="R903">IFERROR( IF(P903&lt;&gt;"EMA",INDEX('label approval artwork'!H:H,MATCH(G903,'label approval artwork'!F:F,0),"")),"")</f>
        <v/>
      </c>
      <c r="S903" s="105"/>
      <c r="T903" s="105" t="str">
        <f t="array" ref="T903">IF(ISBLANK(G903),"",INDEX('POR Config List'!I:I,MATCH(G903,'POR Config List'!D:D,0)))</f>
        <v/>
      </c>
      <c r="AA903" s="100" t="str">
        <f t="array" ref="AA903">IF(ISBLANK(G903),"",INDEX('POR Config List'!E:E,MATCH(G903,'POR Config List'!D:D,0)))</f>
        <v/>
      </c>
      <c r="AC903" s="105"/>
      <c r="AD903" s="100"/>
      <c r="AE903" s="100"/>
      <c r="AF903" s="100"/>
      <c r="AG903" s="100"/>
      <c r="AM903" s="102"/>
      <c r="AN903" s="102"/>
    </row>
    <row r="904">
      <c r="A904" s="168"/>
      <c r="B904" s="100" t="str">
        <f t="array" ref="B904">IFERROR( INDEX('POR Config List'!A:A,MATCH(G904,'POR Config List'!D:D,0)),"")</f>
        <v/>
      </c>
      <c r="C904" s="101" t="str">
        <f t="array" ref="C904">IFERROR(INDEX('label approval artwork'!E:E,MATCH(G904,'label approval artwork'!F:F,0),""),"")</f>
        <v/>
      </c>
      <c r="D904" s="102" t="str">
        <f t="shared" si="3"/>
        <v/>
      </c>
      <c r="E904" s="100" t="str">
        <f t="array" ref="E904">IF(ISBLANK(G904),"",INDEX('POR Config List'!K:K,MATCH(G904,'POR Config List'!D:D,0)))</f>
        <v/>
      </c>
      <c r="F904" s="100" t="str">
        <f t="array" ref="F904">IF(ISBLANK(G904),"",INDEX('POR Config List'!J:J,MATCH(G904,'POR Config List'!D:D,0)))</f>
        <v/>
      </c>
      <c r="G904" s="168"/>
      <c r="H904" s="104" t="str">
        <f t="array" ref="H904">IF(ISBLANK(G904),"",INDEX('MP SKUs'!G:G,MATCH(G904,'MP SKUs'!A:A,0)))</f>
        <v/>
      </c>
      <c r="I904" s="105" t="str">
        <f t="array" ref="I904">IF(ISBLANK(G904),"",INDEX('POR Config List'!O:O,MATCH(G904,'POR Config List'!D:D,0)))</f>
        <v/>
      </c>
      <c r="J904" s="104" t="str">
        <f t="array" ref="J904">IF(ISBLANK(G904),"",INDEX('POR Config List'!H:H,MATCH(G904,'POR Config List'!D:D,0)))</f>
        <v/>
      </c>
      <c r="K904" s="105" t="str">
        <f t="array" ref="K904">IF(ISBLANK(G904),"",INDEX('POR Config List'!G:G,MATCH(G904,'POR Config List'!D:D,0)))</f>
        <v/>
      </c>
      <c r="L904" s="105"/>
      <c r="M904" s="105" t="str">
        <f t="array" ref="M904">IF(ISBLANK(G904),"",INDEX('label approval artwork'!Q:Q,MATCH( G904,'label approval artwork'!F:F,0)))</f>
        <v/>
      </c>
      <c r="N904" s="169" t="str">
        <f t="shared" si="5"/>
        <v/>
      </c>
      <c r="O904" s="102" t="str">
        <f t="array" ref="O904">IF(ISBLANK(G904),"",INDEX('POR Config List'!C:C,MATCH(G904,'POR Config List'!D:D,0)))</f>
        <v/>
      </c>
      <c r="P904" s="105" t="str">
        <f t="shared" si="4"/>
        <v/>
      </c>
      <c r="Q904" s="105" t="str">
        <f t="array" ref="Q904">IF(ISBLANK(G904),"",INDEX('label approval artwork'!J:J,MATCH( G904,'label approval artwork'!F:F,0)))</f>
        <v/>
      </c>
      <c r="R904" s="105" t="str">
        <f t="array" ref="R904">IFERROR( IF(P904&lt;&gt;"EMA",INDEX('label approval artwork'!H:H,MATCH(G904,'label approval artwork'!F:F,0),"")),"")</f>
        <v/>
      </c>
      <c r="S904" s="105"/>
      <c r="T904" s="105" t="str">
        <f t="array" ref="T904">IF(ISBLANK(G904),"",INDEX('POR Config List'!I:I,MATCH(G904,'POR Config List'!D:D,0)))</f>
        <v/>
      </c>
      <c r="AA904" s="100" t="str">
        <f t="array" ref="AA904">IF(ISBLANK(G904),"",INDEX('POR Config List'!E:E,MATCH(G904,'POR Config List'!D:D,0)))</f>
        <v/>
      </c>
      <c r="AC904" s="105"/>
      <c r="AD904" s="100"/>
      <c r="AE904" s="100"/>
      <c r="AF904" s="100"/>
      <c r="AG904" s="100"/>
      <c r="AM904" s="102"/>
      <c r="AN904" s="102"/>
    </row>
    <row r="905">
      <c r="A905" s="168"/>
      <c r="B905" s="100" t="str">
        <f t="array" ref="B905">IFERROR( INDEX('POR Config List'!A:A,MATCH(G905,'POR Config List'!D:D,0)),"")</f>
        <v/>
      </c>
      <c r="C905" s="101" t="str">
        <f t="array" ref="C905">IFERROR(INDEX('label approval artwork'!E:E,MATCH(G905,'label approval artwork'!F:F,0),""),"")</f>
        <v/>
      </c>
      <c r="D905" s="102" t="str">
        <f t="shared" si="3"/>
        <v/>
      </c>
      <c r="E905" s="100" t="str">
        <f t="array" ref="E905">IF(ISBLANK(G905),"",INDEX('POR Config List'!K:K,MATCH(G905,'POR Config List'!D:D,0)))</f>
        <v/>
      </c>
      <c r="F905" s="100" t="str">
        <f t="array" ref="F905">IF(ISBLANK(G905),"",INDEX('POR Config List'!J:J,MATCH(G905,'POR Config List'!D:D,0)))</f>
        <v/>
      </c>
      <c r="G905" s="168"/>
      <c r="H905" s="104" t="str">
        <f t="array" ref="H905">IF(ISBLANK(G905),"",INDEX('MP SKUs'!G:G,MATCH(G905,'MP SKUs'!A:A,0)))</f>
        <v/>
      </c>
      <c r="I905" s="105" t="str">
        <f t="array" ref="I905">IF(ISBLANK(G905),"",INDEX('POR Config List'!O:O,MATCH(G905,'POR Config List'!D:D,0)))</f>
        <v/>
      </c>
      <c r="J905" s="104" t="str">
        <f t="array" ref="J905">IF(ISBLANK(G905),"",INDEX('POR Config List'!H:H,MATCH(G905,'POR Config List'!D:D,0)))</f>
        <v/>
      </c>
      <c r="K905" s="105" t="str">
        <f t="array" ref="K905">IF(ISBLANK(G905),"",INDEX('POR Config List'!G:G,MATCH(G905,'POR Config List'!D:D,0)))</f>
        <v/>
      </c>
      <c r="L905" s="105"/>
      <c r="M905" s="105" t="str">
        <f t="array" ref="M905">IF(ISBLANK(G905),"",INDEX('label approval artwork'!Q:Q,MATCH( G905,'label approval artwork'!F:F,0)))</f>
        <v/>
      </c>
      <c r="N905" s="169" t="str">
        <f t="shared" si="5"/>
        <v/>
      </c>
      <c r="O905" s="102" t="str">
        <f t="array" ref="O905">IF(ISBLANK(G905),"",INDEX('POR Config List'!C:C,MATCH(G905,'POR Config List'!D:D,0)))</f>
        <v/>
      </c>
      <c r="P905" s="105" t="str">
        <f t="shared" si="4"/>
        <v/>
      </c>
      <c r="Q905" s="105" t="str">
        <f t="array" ref="Q905">IF(ISBLANK(G905),"",INDEX('label approval artwork'!J:J,MATCH( G905,'label approval artwork'!F:F,0)))</f>
        <v/>
      </c>
      <c r="R905" s="105" t="str">
        <f t="array" ref="R905">IFERROR( IF(P905&lt;&gt;"EMA",INDEX('label approval artwork'!H:H,MATCH(G905,'label approval artwork'!F:F,0),"")),"")</f>
        <v/>
      </c>
      <c r="S905" s="105"/>
      <c r="T905" s="105" t="str">
        <f t="array" ref="T905">IF(ISBLANK(G905),"",INDEX('POR Config List'!I:I,MATCH(G905,'POR Config List'!D:D,0)))</f>
        <v/>
      </c>
      <c r="AA905" s="100" t="str">
        <f t="array" ref="AA905">IF(ISBLANK(G905),"",INDEX('POR Config List'!E:E,MATCH(G905,'POR Config List'!D:D,0)))</f>
        <v/>
      </c>
      <c r="AC905" s="105"/>
      <c r="AD905" s="100"/>
      <c r="AE905" s="100"/>
      <c r="AF905" s="100"/>
      <c r="AG905" s="100"/>
      <c r="AM905" s="102"/>
      <c r="AN905" s="102"/>
    </row>
    <row r="906">
      <c r="A906" s="168"/>
      <c r="B906" s="100" t="str">
        <f t="array" ref="B906">IFERROR( INDEX('POR Config List'!A:A,MATCH(G906,'POR Config List'!D:D,0)),"")</f>
        <v/>
      </c>
      <c r="C906" s="101" t="str">
        <f t="array" ref="C906">IFERROR(INDEX('label approval artwork'!E:E,MATCH(G906,'label approval artwork'!F:F,0),""),"")</f>
        <v/>
      </c>
      <c r="D906" s="102" t="str">
        <f t="shared" si="3"/>
        <v/>
      </c>
      <c r="E906" s="100" t="str">
        <f t="array" ref="E906">IF(ISBLANK(G906),"",INDEX('POR Config List'!K:K,MATCH(G906,'POR Config List'!D:D,0)))</f>
        <v/>
      </c>
      <c r="F906" s="100" t="str">
        <f t="array" ref="F906">IF(ISBLANK(G906),"",INDEX('POR Config List'!J:J,MATCH(G906,'POR Config List'!D:D,0)))</f>
        <v/>
      </c>
      <c r="G906" s="168"/>
      <c r="H906" s="104" t="str">
        <f t="array" ref="H906">IF(ISBLANK(G906),"",INDEX('MP SKUs'!G:G,MATCH(G906,'MP SKUs'!A:A,0)))</f>
        <v/>
      </c>
      <c r="I906" s="105" t="str">
        <f t="array" ref="I906">IF(ISBLANK(G906),"",INDEX('POR Config List'!O:O,MATCH(G906,'POR Config List'!D:D,0)))</f>
        <v/>
      </c>
      <c r="J906" s="104" t="str">
        <f t="array" ref="J906">IF(ISBLANK(G906),"",INDEX('POR Config List'!H:H,MATCH(G906,'POR Config List'!D:D,0)))</f>
        <v/>
      </c>
      <c r="K906" s="105" t="str">
        <f t="array" ref="K906">IF(ISBLANK(G906),"",INDEX('POR Config List'!G:G,MATCH(G906,'POR Config List'!D:D,0)))</f>
        <v/>
      </c>
      <c r="L906" s="105"/>
      <c r="M906" s="105" t="str">
        <f t="array" ref="M906">IF(ISBLANK(G906),"",INDEX('label approval artwork'!Q:Q,MATCH( G906,'label approval artwork'!F:F,0)))</f>
        <v/>
      </c>
      <c r="N906" s="169" t="str">
        <f t="shared" si="5"/>
        <v/>
      </c>
      <c r="O906" s="102" t="str">
        <f t="array" ref="O906">IF(ISBLANK(G906),"",INDEX('POR Config List'!C:C,MATCH(G906,'POR Config List'!D:D,0)))</f>
        <v/>
      </c>
      <c r="P906" s="105" t="str">
        <f t="shared" si="4"/>
        <v/>
      </c>
      <c r="Q906" s="105" t="str">
        <f t="array" ref="Q906">IF(ISBLANK(G906),"",INDEX('label approval artwork'!J:J,MATCH( G906,'label approval artwork'!F:F,0)))</f>
        <v/>
      </c>
      <c r="R906" s="105" t="str">
        <f t="array" ref="R906">IFERROR( IF(P906&lt;&gt;"EMA",INDEX('label approval artwork'!H:H,MATCH(G906,'label approval artwork'!F:F,0),"")),"")</f>
        <v/>
      </c>
      <c r="S906" s="105"/>
      <c r="T906" s="105" t="str">
        <f t="array" ref="T906">IF(ISBLANK(G906),"",INDEX('POR Config List'!I:I,MATCH(G906,'POR Config List'!D:D,0)))</f>
        <v/>
      </c>
      <c r="AA906" s="100" t="str">
        <f t="array" ref="AA906">IF(ISBLANK(G906),"",INDEX('POR Config List'!E:E,MATCH(G906,'POR Config List'!D:D,0)))</f>
        <v/>
      </c>
      <c r="AC906" s="105"/>
      <c r="AD906" s="100"/>
      <c r="AE906" s="100"/>
      <c r="AF906" s="100"/>
      <c r="AG906" s="100"/>
      <c r="AM906" s="102"/>
      <c r="AN906" s="102"/>
    </row>
    <row r="907">
      <c r="A907" s="168"/>
      <c r="B907" s="100" t="str">
        <f t="array" ref="B907">IFERROR( INDEX('POR Config List'!A:A,MATCH(G907,'POR Config List'!D:D,0)),"")</f>
        <v/>
      </c>
      <c r="C907" s="101" t="str">
        <f t="array" ref="C907">IFERROR(INDEX('label approval artwork'!E:E,MATCH(G907,'label approval artwork'!F:F,0),""),"")</f>
        <v/>
      </c>
      <c r="D907" s="102" t="str">
        <f t="shared" si="3"/>
        <v/>
      </c>
      <c r="E907" s="100" t="str">
        <f t="array" ref="E907">IF(ISBLANK(G907),"",INDEX('POR Config List'!K:K,MATCH(G907,'POR Config List'!D:D,0)))</f>
        <v/>
      </c>
      <c r="F907" s="100" t="str">
        <f t="array" ref="F907">IF(ISBLANK(G907),"",INDEX('POR Config List'!J:J,MATCH(G907,'POR Config List'!D:D,0)))</f>
        <v/>
      </c>
      <c r="G907" s="168"/>
      <c r="H907" s="104" t="str">
        <f t="array" ref="H907">IF(ISBLANK(G907),"",INDEX('MP SKUs'!G:G,MATCH(G907,'MP SKUs'!A:A,0)))</f>
        <v/>
      </c>
      <c r="I907" s="105" t="str">
        <f t="array" ref="I907">IF(ISBLANK(G907),"",INDEX('POR Config List'!O:O,MATCH(G907,'POR Config List'!D:D,0)))</f>
        <v/>
      </c>
      <c r="J907" s="104" t="str">
        <f t="array" ref="J907">IF(ISBLANK(G907),"",INDEX('POR Config List'!H:H,MATCH(G907,'POR Config List'!D:D,0)))</f>
        <v/>
      </c>
      <c r="K907" s="105" t="str">
        <f t="array" ref="K907">IF(ISBLANK(G907),"",INDEX('POR Config List'!G:G,MATCH(G907,'POR Config List'!D:D,0)))</f>
        <v/>
      </c>
      <c r="L907" s="105"/>
      <c r="M907" s="105" t="str">
        <f t="array" ref="M907">IF(ISBLANK(G907),"",INDEX('label approval artwork'!Q:Q,MATCH( G907,'label approval artwork'!F:F,0)))</f>
        <v/>
      </c>
      <c r="N907" s="169" t="str">
        <f t="shared" si="5"/>
        <v/>
      </c>
      <c r="O907" s="102" t="str">
        <f t="array" ref="O907">IF(ISBLANK(G907),"",INDEX('POR Config List'!C:C,MATCH(G907,'POR Config List'!D:D,0)))</f>
        <v/>
      </c>
      <c r="P907" s="105" t="str">
        <f t="shared" si="4"/>
        <v/>
      </c>
      <c r="Q907" s="105" t="str">
        <f t="array" ref="Q907">IF(ISBLANK(G907),"",INDEX('label approval artwork'!J:J,MATCH( G907,'label approval artwork'!F:F,0)))</f>
        <v/>
      </c>
      <c r="R907" s="105" t="str">
        <f t="array" ref="R907">IFERROR( IF(P907&lt;&gt;"EMA",INDEX('label approval artwork'!H:H,MATCH(G907,'label approval artwork'!F:F,0),"")),"")</f>
        <v/>
      </c>
      <c r="S907" s="105"/>
      <c r="T907" s="105" t="str">
        <f t="array" ref="T907">IF(ISBLANK(G907),"",INDEX('POR Config List'!I:I,MATCH(G907,'POR Config List'!D:D,0)))</f>
        <v/>
      </c>
      <c r="AA907" s="100" t="str">
        <f t="array" ref="AA907">IF(ISBLANK(G907),"",INDEX('POR Config List'!E:E,MATCH(G907,'POR Config List'!D:D,0)))</f>
        <v/>
      </c>
      <c r="AC907" s="105"/>
      <c r="AD907" s="100"/>
      <c r="AE907" s="100"/>
      <c r="AF907" s="100"/>
      <c r="AG907" s="100"/>
      <c r="AM907" s="102"/>
      <c r="AN907" s="102"/>
    </row>
    <row r="908">
      <c r="A908" s="168"/>
      <c r="B908" s="100" t="str">
        <f t="array" ref="B908">IFERROR( INDEX('POR Config List'!A:A,MATCH(G908,'POR Config List'!D:D,0)),"")</f>
        <v/>
      </c>
      <c r="C908" s="101" t="str">
        <f t="array" ref="C908">IFERROR(INDEX('label approval artwork'!E:E,MATCH(G908,'label approval artwork'!F:F,0),""),"")</f>
        <v/>
      </c>
      <c r="D908" s="102" t="str">
        <f t="shared" si="3"/>
        <v/>
      </c>
      <c r="E908" s="100" t="str">
        <f t="array" ref="E908">IF(ISBLANK(G908),"",INDEX('POR Config List'!K:K,MATCH(G908,'POR Config List'!D:D,0)))</f>
        <v/>
      </c>
      <c r="F908" s="100" t="str">
        <f t="array" ref="F908">IF(ISBLANK(G908),"",INDEX('POR Config List'!J:J,MATCH(G908,'POR Config List'!D:D,0)))</f>
        <v/>
      </c>
      <c r="G908" s="168"/>
      <c r="H908" s="104" t="str">
        <f t="array" ref="H908">IF(ISBLANK(G908),"",INDEX('MP SKUs'!G:G,MATCH(G908,'MP SKUs'!A:A,0)))</f>
        <v/>
      </c>
      <c r="I908" s="105" t="str">
        <f t="array" ref="I908">IF(ISBLANK(G908),"",INDEX('POR Config List'!O:O,MATCH(G908,'POR Config List'!D:D,0)))</f>
        <v/>
      </c>
      <c r="J908" s="104" t="str">
        <f t="array" ref="J908">IF(ISBLANK(G908),"",INDEX('POR Config List'!H:H,MATCH(G908,'POR Config List'!D:D,0)))</f>
        <v/>
      </c>
      <c r="K908" s="105" t="str">
        <f t="array" ref="K908">IF(ISBLANK(G908),"",INDEX('POR Config List'!G:G,MATCH(G908,'POR Config List'!D:D,0)))</f>
        <v/>
      </c>
      <c r="L908" s="105"/>
      <c r="M908" s="105" t="str">
        <f t="array" ref="M908">IF(ISBLANK(G908),"",INDEX('label approval artwork'!Q:Q,MATCH( G908,'label approval artwork'!F:F,0)))</f>
        <v/>
      </c>
      <c r="N908" s="169" t="str">
        <f t="shared" si="5"/>
        <v/>
      </c>
      <c r="O908" s="102" t="str">
        <f t="array" ref="O908">IF(ISBLANK(G908),"",INDEX('POR Config List'!C:C,MATCH(G908,'POR Config List'!D:D,0)))</f>
        <v/>
      </c>
      <c r="P908" s="105" t="str">
        <f t="shared" si="4"/>
        <v/>
      </c>
      <c r="Q908" s="105" t="str">
        <f t="array" ref="Q908">IF(ISBLANK(G908),"",INDEX('label approval artwork'!J:J,MATCH( G908,'label approval artwork'!F:F,0)))</f>
        <v/>
      </c>
      <c r="R908" s="105" t="str">
        <f t="array" ref="R908">IFERROR( IF(P908&lt;&gt;"EMA",INDEX('label approval artwork'!H:H,MATCH(G908,'label approval artwork'!F:F,0),"")),"")</f>
        <v/>
      </c>
      <c r="S908" s="105"/>
      <c r="T908" s="105" t="str">
        <f t="array" ref="T908">IF(ISBLANK(G908),"",INDEX('POR Config List'!I:I,MATCH(G908,'POR Config List'!D:D,0)))</f>
        <v/>
      </c>
      <c r="AA908" s="100" t="str">
        <f t="array" ref="AA908">IF(ISBLANK(G908),"",INDEX('POR Config List'!E:E,MATCH(G908,'POR Config List'!D:D,0)))</f>
        <v/>
      </c>
      <c r="AC908" s="105"/>
      <c r="AD908" s="100"/>
      <c r="AE908" s="100"/>
      <c r="AF908" s="100"/>
      <c r="AG908" s="100"/>
      <c r="AM908" s="102"/>
      <c r="AN908" s="102"/>
    </row>
    <row r="909">
      <c r="A909" s="168"/>
      <c r="B909" s="100" t="str">
        <f t="array" ref="B909">IFERROR( INDEX('POR Config List'!A:A,MATCH(G909,'POR Config List'!D:D,0)),"")</f>
        <v/>
      </c>
      <c r="C909" s="101" t="str">
        <f t="array" ref="C909">IFERROR(INDEX('label approval artwork'!E:E,MATCH(G909,'label approval artwork'!F:F,0),""),"")</f>
        <v/>
      </c>
      <c r="D909" s="102" t="str">
        <f t="shared" si="3"/>
        <v/>
      </c>
      <c r="E909" s="100" t="str">
        <f t="array" ref="E909">IF(ISBLANK(G909),"",INDEX('POR Config List'!K:K,MATCH(G909,'POR Config List'!D:D,0)))</f>
        <v/>
      </c>
      <c r="F909" s="100" t="str">
        <f t="array" ref="F909">IF(ISBLANK(G909),"",INDEX('POR Config List'!J:J,MATCH(G909,'POR Config List'!D:D,0)))</f>
        <v/>
      </c>
      <c r="G909" s="168"/>
      <c r="H909" s="104" t="str">
        <f t="array" ref="H909">IF(ISBLANK(G909),"",INDEX('MP SKUs'!G:G,MATCH(G909,'MP SKUs'!A:A,0)))</f>
        <v/>
      </c>
      <c r="I909" s="105" t="str">
        <f t="array" ref="I909">IF(ISBLANK(G909),"",INDEX('POR Config List'!O:O,MATCH(G909,'POR Config List'!D:D,0)))</f>
        <v/>
      </c>
      <c r="J909" s="104" t="str">
        <f t="array" ref="J909">IF(ISBLANK(G909),"",INDEX('POR Config List'!H:H,MATCH(G909,'POR Config List'!D:D,0)))</f>
        <v/>
      </c>
      <c r="K909" s="105" t="str">
        <f t="array" ref="K909">IF(ISBLANK(G909),"",INDEX('POR Config List'!G:G,MATCH(G909,'POR Config List'!D:D,0)))</f>
        <v/>
      </c>
      <c r="L909" s="105"/>
      <c r="M909" s="105" t="str">
        <f t="array" ref="M909">IF(ISBLANK(G909),"",INDEX('label approval artwork'!Q:Q,MATCH( G909,'label approval artwork'!F:F,0)))</f>
        <v/>
      </c>
      <c r="N909" s="169" t="str">
        <f t="shared" si="5"/>
        <v/>
      </c>
      <c r="O909" s="102" t="str">
        <f t="array" ref="O909">IF(ISBLANK(G909),"",INDEX('POR Config List'!C:C,MATCH(G909,'POR Config List'!D:D,0)))</f>
        <v/>
      </c>
      <c r="P909" s="105" t="str">
        <f t="shared" si="4"/>
        <v/>
      </c>
      <c r="Q909" s="105" t="str">
        <f t="array" ref="Q909">IF(ISBLANK(G909),"",INDEX('label approval artwork'!J:J,MATCH( G909,'label approval artwork'!F:F,0)))</f>
        <v/>
      </c>
      <c r="R909" s="105" t="str">
        <f t="array" ref="R909">IFERROR( IF(P909&lt;&gt;"EMA",INDEX('label approval artwork'!H:H,MATCH(G909,'label approval artwork'!F:F,0),"")),"")</f>
        <v/>
      </c>
      <c r="S909" s="105"/>
      <c r="T909" s="105" t="str">
        <f t="array" ref="T909">IF(ISBLANK(G909),"",INDEX('POR Config List'!I:I,MATCH(G909,'POR Config List'!D:D,0)))</f>
        <v/>
      </c>
      <c r="AA909" s="100" t="str">
        <f t="array" ref="AA909">IF(ISBLANK(G909),"",INDEX('POR Config List'!E:E,MATCH(G909,'POR Config List'!D:D,0)))</f>
        <v/>
      </c>
      <c r="AC909" s="105"/>
      <c r="AD909" s="100"/>
      <c r="AE909" s="100"/>
      <c r="AF909" s="100"/>
      <c r="AG909" s="100"/>
      <c r="AM909" s="102"/>
      <c r="AN909" s="102"/>
    </row>
    <row r="910">
      <c r="A910" s="168"/>
      <c r="B910" s="100" t="str">
        <f t="array" ref="B910">IFERROR( INDEX('POR Config List'!A:A,MATCH(G910,'POR Config List'!D:D,0)),"")</f>
        <v/>
      </c>
      <c r="C910" s="101" t="str">
        <f t="array" ref="C910">IFERROR(INDEX('label approval artwork'!E:E,MATCH(G910,'label approval artwork'!F:F,0),""),"")</f>
        <v/>
      </c>
      <c r="D910" s="102" t="str">
        <f t="shared" si="3"/>
        <v/>
      </c>
      <c r="E910" s="100" t="str">
        <f t="array" ref="E910">IF(ISBLANK(G910),"",INDEX('POR Config List'!K:K,MATCH(G910,'POR Config List'!D:D,0)))</f>
        <v/>
      </c>
      <c r="F910" s="100" t="str">
        <f t="array" ref="F910">IF(ISBLANK(G910),"",INDEX('POR Config List'!J:J,MATCH(G910,'POR Config List'!D:D,0)))</f>
        <v/>
      </c>
      <c r="G910" s="168"/>
      <c r="H910" s="104" t="str">
        <f t="array" ref="H910">IF(ISBLANK(G910),"",INDEX('MP SKUs'!G:G,MATCH(G910,'MP SKUs'!A:A,0)))</f>
        <v/>
      </c>
      <c r="I910" s="105" t="str">
        <f t="array" ref="I910">IF(ISBLANK(G910),"",INDEX('POR Config List'!O:O,MATCH(G910,'POR Config List'!D:D,0)))</f>
        <v/>
      </c>
      <c r="J910" s="104" t="str">
        <f t="array" ref="J910">IF(ISBLANK(G910),"",INDEX('POR Config List'!H:H,MATCH(G910,'POR Config List'!D:D,0)))</f>
        <v/>
      </c>
      <c r="K910" s="105" t="str">
        <f t="array" ref="K910">IF(ISBLANK(G910),"",INDEX('POR Config List'!G:G,MATCH(G910,'POR Config List'!D:D,0)))</f>
        <v/>
      </c>
      <c r="L910" s="105"/>
      <c r="M910" s="105" t="str">
        <f t="array" ref="M910">IF(ISBLANK(G910),"",INDEX('label approval artwork'!Q:Q,MATCH( G910,'label approval artwork'!F:F,0)))</f>
        <v/>
      </c>
      <c r="N910" s="169" t="str">
        <f t="shared" si="5"/>
        <v/>
      </c>
      <c r="O910" s="102" t="str">
        <f t="array" ref="O910">IF(ISBLANK(G910),"",INDEX('POR Config List'!C:C,MATCH(G910,'POR Config List'!D:D,0)))</f>
        <v/>
      </c>
      <c r="P910" s="105" t="str">
        <f t="shared" si="4"/>
        <v/>
      </c>
      <c r="Q910" s="105" t="str">
        <f t="array" ref="Q910">IF(ISBLANK(G910),"",INDEX('label approval artwork'!J:J,MATCH( G910,'label approval artwork'!F:F,0)))</f>
        <v/>
      </c>
      <c r="R910" s="105" t="str">
        <f t="array" ref="R910">IFERROR( IF(P910&lt;&gt;"EMA",INDEX('label approval artwork'!H:H,MATCH(G910,'label approval artwork'!F:F,0),"")),"")</f>
        <v/>
      </c>
      <c r="S910" s="105"/>
      <c r="T910" s="105" t="str">
        <f t="array" ref="T910">IF(ISBLANK(G910),"",INDEX('POR Config List'!I:I,MATCH(G910,'POR Config List'!D:D,0)))</f>
        <v/>
      </c>
      <c r="AA910" s="100" t="str">
        <f t="array" ref="AA910">IF(ISBLANK(G910),"",INDEX('POR Config List'!E:E,MATCH(G910,'POR Config List'!D:D,0)))</f>
        <v/>
      </c>
      <c r="AC910" s="105"/>
      <c r="AD910" s="100"/>
      <c r="AE910" s="100"/>
      <c r="AF910" s="100"/>
      <c r="AG910" s="100"/>
      <c r="AM910" s="102"/>
      <c r="AN910" s="102"/>
    </row>
    <row r="911">
      <c r="A911" s="168"/>
      <c r="B911" s="100" t="str">
        <f t="array" ref="B911">IFERROR( INDEX('POR Config List'!A:A,MATCH(G911,'POR Config List'!D:D,0)),"")</f>
        <v/>
      </c>
      <c r="C911" s="101" t="str">
        <f t="array" ref="C911">IFERROR(INDEX('label approval artwork'!E:E,MATCH(G911,'label approval artwork'!F:F,0),""),"")</f>
        <v/>
      </c>
      <c r="D911" s="102" t="str">
        <f t="shared" si="3"/>
        <v/>
      </c>
      <c r="E911" s="100" t="str">
        <f t="array" ref="E911">IF(ISBLANK(G911),"",INDEX('POR Config List'!K:K,MATCH(G911,'POR Config List'!D:D,0)))</f>
        <v/>
      </c>
      <c r="F911" s="100" t="str">
        <f t="array" ref="F911">IF(ISBLANK(G911),"",INDEX('POR Config List'!J:J,MATCH(G911,'POR Config List'!D:D,0)))</f>
        <v/>
      </c>
      <c r="G911" s="168"/>
      <c r="H911" s="104" t="str">
        <f t="array" ref="H911">IF(ISBLANK(G911),"",INDEX('MP SKUs'!G:G,MATCH(G911,'MP SKUs'!A:A,0)))</f>
        <v/>
      </c>
      <c r="I911" s="105" t="str">
        <f t="array" ref="I911">IF(ISBLANK(G911),"",INDEX('POR Config List'!O:O,MATCH(G911,'POR Config List'!D:D,0)))</f>
        <v/>
      </c>
      <c r="J911" s="104" t="str">
        <f t="array" ref="J911">IF(ISBLANK(G911),"",INDEX('POR Config List'!H:H,MATCH(G911,'POR Config List'!D:D,0)))</f>
        <v/>
      </c>
      <c r="K911" s="105" t="str">
        <f t="array" ref="K911">IF(ISBLANK(G911),"",INDEX('POR Config List'!G:G,MATCH(G911,'POR Config List'!D:D,0)))</f>
        <v/>
      </c>
      <c r="L911" s="105"/>
      <c r="M911" s="105" t="str">
        <f t="array" ref="M911">IF(ISBLANK(G911),"",INDEX('label approval artwork'!Q:Q,MATCH( G911,'label approval artwork'!F:F,0)))</f>
        <v/>
      </c>
      <c r="N911" s="169" t="str">
        <f t="shared" si="5"/>
        <v/>
      </c>
      <c r="O911" s="102" t="str">
        <f t="array" ref="O911">IF(ISBLANK(G911),"",INDEX('POR Config List'!C:C,MATCH(G911,'POR Config List'!D:D,0)))</f>
        <v/>
      </c>
      <c r="P911" s="105" t="str">
        <f t="shared" si="4"/>
        <v/>
      </c>
      <c r="Q911" s="105" t="str">
        <f t="array" ref="Q911">IF(ISBLANK(G911),"",INDEX('label approval artwork'!J:J,MATCH( G911,'label approval artwork'!F:F,0)))</f>
        <v/>
      </c>
      <c r="R911" s="105" t="str">
        <f t="array" ref="R911">IFERROR( IF(P911&lt;&gt;"EMA",INDEX('label approval artwork'!H:H,MATCH(G911,'label approval artwork'!F:F,0),"")),"")</f>
        <v/>
      </c>
      <c r="S911" s="105"/>
      <c r="T911" s="105" t="str">
        <f t="array" ref="T911">IF(ISBLANK(G911),"",INDEX('POR Config List'!I:I,MATCH(G911,'POR Config List'!D:D,0)))</f>
        <v/>
      </c>
      <c r="AA911" s="100" t="str">
        <f t="array" ref="AA911">IF(ISBLANK(G911),"",INDEX('POR Config List'!E:E,MATCH(G911,'POR Config List'!D:D,0)))</f>
        <v/>
      </c>
      <c r="AC911" s="105"/>
      <c r="AD911" s="100"/>
      <c r="AE911" s="100"/>
      <c r="AF911" s="100"/>
      <c r="AG911" s="100"/>
      <c r="AM911" s="102"/>
      <c r="AN911" s="102"/>
    </row>
    <row r="912">
      <c r="A912" s="168"/>
      <c r="B912" s="100" t="str">
        <f t="array" ref="B912">IFERROR( INDEX('POR Config List'!A:A,MATCH(G912,'POR Config List'!D:D,0)),"")</f>
        <v/>
      </c>
      <c r="C912" s="101" t="str">
        <f t="array" ref="C912">IFERROR(INDEX('label approval artwork'!E:E,MATCH(G912,'label approval artwork'!F:F,0),""),"")</f>
        <v/>
      </c>
      <c r="D912" s="102" t="str">
        <f t="shared" si="3"/>
        <v/>
      </c>
      <c r="E912" s="100" t="str">
        <f t="array" ref="E912">IF(ISBLANK(G912),"",INDEX('POR Config List'!K:K,MATCH(G912,'POR Config List'!D:D,0)))</f>
        <v/>
      </c>
      <c r="F912" s="100" t="str">
        <f t="array" ref="F912">IF(ISBLANK(G912),"",INDEX('POR Config List'!J:J,MATCH(G912,'POR Config List'!D:D,0)))</f>
        <v/>
      </c>
      <c r="G912" s="168"/>
      <c r="H912" s="104" t="str">
        <f t="array" ref="H912">IF(ISBLANK(G912),"",INDEX('MP SKUs'!G:G,MATCH(G912,'MP SKUs'!A:A,0)))</f>
        <v/>
      </c>
      <c r="I912" s="105" t="str">
        <f t="array" ref="I912">IF(ISBLANK(G912),"",INDEX('POR Config List'!O:O,MATCH(G912,'POR Config List'!D:D,0)))</f>
        <v/>
      </c>
      <c r="J912" s="104" t="str">
        <f t="array" ref="J912">IF(ISBLANK(G912),"",INDEX('POR Config List'!H:H,MATCH(G912,'POR Config List'!D:D,0)))</f>
        <v/>
      </c>
      <c r="K912" s="105" t="str">
        <f t="array" ref="K912">IF(ISBLANK(G912),"",INDEX('POR Config List'!G:G,MATCH(G912,'POR Config List'!D:D,0)))</f>
        <v/>
      </c>
      <c r="L912" s="105"/>
      <c r="M912" s="105" t="str">
        <f t="array" ref="M912">IF(ISBLANK(G912),"",INDEX('label approval artwork'!Q:Q,MATCH( G912,'label approval artwork'!F:F,0)))</f>
        <v/>
      </c>
      <c r="N912" s="169" t="str">
        <f t="shared" si="5"/>
        <v/>
      </c>
      <c r="O912" s="102" t="str">
        <f t="array" ref="O912">IF(ISBLANK(G912),"",INDEX('POR Config List'!C:C,MATCH(G912,'POR Config List'!D:D,0)))</f>
        <v/>
      </c>
      <c r="P912" s="105" t="str">
        <f t="shared" si="4"/>
        <v/>
      </c>
      <c r="Q912" s="105" t="str">
        <f t="array" ref="Q912">IF(ISBLANK(G912),"",INDEX('label approval artwork'!J:J,MATCH( G912,'label approval artwork'!F:F,0)))</f>
        <v/>
      </c>
      <c r="R912" s="105" t="str">
        <f t="array" ref="R912">IFERROR( IF(P912&lt;&gt;"EMA",INDEX('label approval artwork'!H:H,MATCH(G912,'label approval artwork'!F:F,0),"")),"")</f>
        <v/>
      </c>
      <c r="S912" s="105"/>
      <c r="T912" s="105" t="str">
        <f t="array" ref="T912">IF(ISBLANK(G912),"",INDEX('POR Config List'!I:I,MATCH(G912,'POR Config List'!D:D,0)))</f>
        <v/>
      </c>
      <c r="AA912" s="100" t="str">
        <f t="array" ref="AA912">IF(ISBLANK(G912),"",INDEX('POR Config List'!E:E,MATCH(G912,'POR Config List'!D:D,0)))</f>
        <v/>
      </c>
      <c r="AC912" s="105"/>
      <c r="AD912" s="100"/>
      <c r="AE912" s="100"/>
      <c r="AF912" s="100"/>
      <c r="AG912" s="100"/>
      <c r="AM912" s="102"/>
      <c r="AN912" s="102"/>
    </row>
    <row r="913">
      <c r="A913" s="168"/>
      <c r="B913" s="100" t="str">
        <f t="array" ref="B913">IFERROR( INDEX('POR Config List'!A:A,MATCH(G913,'POR Config List'!D:D,0)),"")</f>
        <v/>
      </c>
      <c r="C913" s="101" t="str">
        <f t="array" ref="C913">IFERROR(INDEX('label approval artwork'!E:E,MATCH(G913,'label approval artwork'!F:F,0),""),"")</f>
        <v/>
      </c>
      <c r="D913" s="102" t="str">
        <f t="shared" si="3"/>
        <v/>
      </c>
      <c r="E913" s="100" t="str">
        <f t="array" ref="E913">IF(ISBLANK(G913),"",INDEX('POR Config List'!K:K,MATCH(G913,'POR Config List'!D:D,0)))</f>
        <v/>
      </c>
      <c r="F913" s="100" t="str">
        <f t="array" ref="F913">IF(ISBLANK(G913),"",INDEX('POR Config List'!J:J,MATCH(G913,'POR Config List'!D:D,0)))</f>
        <v/>
      </c>
      <c r="G913" s="168"/>
      <c r="H913" s="104" t="str">
        <f t="array" ref="H913">IF(ISBLANK(G913),"",INDEX('MP SKUs'!G:G,MATCH(G913,'MP SKUs'!A:A,0)))</f>
        <v/>
      </c>
      <c r="I913" s="105" t="str">
        <f t="array" ref="I913">IF(ISBLANK(G913),"",INDEX('POR Config List'!O:O,MATCH(G913,'POR Config List'!D:D,0)))</f>
        <v/>
      </c>
      <c r="J913" s="104" t="str">
        <f t="array" ref="J913">IF(ISBLANK(G913),"",INDEX('POR Config List'!H:H,MATCH(G913,'POR Config List'!D:D,0)))</f>
        <v/>
      </c>
      <c r="K913" s="105" t="str">
        <f t="array" ref="K913">IF(ISBLANK(G913),"",INDEX('POR Config List'!G:G,MATCH(G913,'POR Config List'!D:D,0)))</f>
        <v/>
      </c>
      <c r="L913" s="105"/>
      <c r="M913" s="105" t="str">
        <f t="array" ref="M913">IF(ISBLANK(G913),"",INDEX('label approval artwork'!Q:Q,MATCH( G913,'label approval artwork'!F:F,0)))</f>
        <v/>
      </c>
      <c r="N913" s="169" t="str">
        <f t="shared" si="5"/>
        <v/>
      </c>
      <c r="O913" s="102" t="str">
        <f t="array" ref="O913">IF(ISBLANK(G913),"",INDEX('POR Config List'!C:C,MATCH(G913,'POR Config List'!D:D,0)))</f>
        <v/>
      </c>
      <c r="P913" s="105" t="str">
        <f t="shared" si="4"/>
        <v/>
      </c>
      <c r="Q913" s="105" t="str">
        <f t="array" ref="Q913">IF(ISBLANK(G913),"",INDEX('label approval artwork'!J:J,MATCH( G913,'label approval artwork'!F:F,0)))</f>
        <v/>
      </c>
      <c r="R913" s="105" t="str">
        <f t="array" ref="R913">IFERROR( IF(P913&lt;&gt;"EMA",INDEX('label approval artwork'!H:H,MATCH(G913,'label approval artwork'!F:F,0),"")),"")</f>
        <v/>
      </c>
      <c r="S913" s="105"/>
      <c r="T913" s="105" t="str">
        <f t="array" ref="T913">IF(ISBLANK(G913),"",INDEX('POR Config List'!I:I,MATCH(G913,'POR Config List'!D:D,0)))</f>
        <v/>
      </c>
      <c r="AA913" s="100" t="str">
        <f t="array" ref="AA913">IF(ISBLANK(G913),"",INDEX('POR Config List'!E:E,MATCH(G913,'POR Config List'!D:D,0)))</f>
        <v/>
      </c>
      <c r="AC913" s="105"/>
      <c r="AD913" s="100"/>
      <c r="AE913" s="100"/>
      <c r="AF913" s="100"/>
      <c r="AG913" s="100"/>
      <c r="AM913" s="102"/>
      <c r="AN913" s="102"/>
    </row>
    <row r="914">
      <c r="A914" s="168"/>
      <c r="B914" s="100" t="str">
        <f t="array" ref="B914">IFERROR( INDEX('POR Config List'!A:A,MATCH(G914,'POR Config List'!D:D,0)),"")</f>
        <v/>
      </c>
      <c r="C914" s="101" t="str">
        <f t="array" ref="C914">IFERROR(INDEX('label approval artwork'!E:E,MATCH(G914,'label approval artwork'!F:F,0),""),"")</f>
        <v/>
      </c>
      <c r="D914" s="102" t="str">
        <f t="shared" si="3"/>
        <v/>
      </c>
      <c r="E914" s="100" t="str">
        <f t="array" ref="E914">IF(ISBLANK(G914),"",INDEX('POR Config List'!K:K,MATCH(G914,'POR Config List'!D:D,0)))</f>
        <v/>
      </c>
      <c r="F914" s="100" t="str">
        <f t="array" ref="F914">IF(ISBLANK(G914),"",INDEX('POR Config List'!J:J,MATCH(G914,'POR Config List'!D:D,0)))</f>
        <v/>
      </c>
      <c r="G914" s="168"/>
      <c r="H914" s="104" t="str">
        <f t="array" ref="H914">IF(ISBLANK(G914),"",INDEX('MP SKUs'!G:G,MATCH(G914,'MP SKUs'!A:A,0)))</f>
        <v/>
      </c>
      <c r="I914" s="105" t="str">
        <f t="array" ref="I914">IF(ISBLANK(G914),"",INDEX('POR Config List'!O:O,MATCH(G914,'POR Config List'!D:D,0)))</f>
        <v/>
      </c>
      <c r="J914" s="104" t="str">
        <f t="array" ref="J914">IF(ISBLANK(G914),"",INDEX('POR Config List'!H:H,MATCH(G914,'POR Config List'!D:D,0)))</f>
        <v/>
      </c>
      <c r="K914" s="105" t="str">
        <f t="array" ref="K914">IF(ISBLANK(G914),"",INDEX('POR Config List'!G:G,MATCH(G914,'POR Config List'!D:D,0)))</f>
        <v/>
      </c>
      <c r="L914" s="105"/>
      <c r="M914" s="105" t="str">
        <f t="array" ref="M914">IF(ISBLANK(G914),"",INDEX('label approval artwork'!Q:Q,MATCH( G914,'label approval artwork'!F:F,0)))</f>
        <v/>
      </c>
      <c r="N914" s="169" t="str">
        <f t="shared" si="5"/>
        <v/>
      </c>
      <c r="O914" s="102" t="str">
        <f t="array" ref="O914">IF(ISBLANK(G914),"",INDEX('POR Config List'!C:C,MATCH(G914,'POR Config List'!D:D,0)))</f>
        <v/>
      </c>
      <c r="P914" s="105" t="str">
        <f t="shared" si="4"/>
        <v/>
      </c>
      <c r="Q914" s="105" t="str">
        <f t="array" ref="Q914">IF(ISBLANK(G914),"",INDEX('label approval artwork'!J:J,MATCH( G914,'label approval artwork'!F:F,0)))</f>
        <v/>
      </c>
      <c r="R914" s="105" t="str">
        <f t="array" ref="R914">IFERROR( IF(P914&lt;&gt;"EMA",INDEX('label approval artwork'!H:H,MATCH(G914,'label approval artwork'!F:F,0),"")),"")</f>
        <v/>
      </c>
      <c r="S914" s="105"/>
      <c r="T914" s="105" t="str">
        <f t="array" ref="T914">IF(ISBLANK(G914),"",INDEX('POR Config List'!I:I,MATCH(G914,'POR Config List'!D:D,0)))</f>
        <v/>
      </c>
      <c r="AA914" s="100" t="str">
        <f t="array" ref="AA914">IF(ISBLANK(G914),"",INDEX('POR Config List'!E:E,MATCH(G914,'POR Config List'!D:D,0)))</f>
        <v/>
      </c>
      <c r="AC914" s="105"/>
      <c r="AD914" s="100"/>
      <c r="AE914" s="100"/>
      <c r="AF914" s="100"/>
      <c r="AG914" s="100"/>
      <c r="AM914" s="102"/>
      <c r="AN914" s="102"/>
    </row>
    <row r="915">
      <c r="A915" s="168"/>
      <c r="B915" s="100" t="str">
        <f t="array" ref="B915">IFERROR( INDEX('POR Config List'!A:A,MATCH(G915,'POR Config List'!D:D,0)),"")</f>
        <v/>
      </c>
      <c r="C915" s="101" t="str">
        <f t="array" ref="C915">IFERROR(INDEX('label approval artwork'!E:E,MATCH(G915,'label approval artwork'!F:F,0),""),"")</f>
        <v/>
      </c>
      <c r="D915" s="102" t="str">
        <f t="shared" si="3"/>
        <v/>
      </c>
      <c r="E915" s="100" t="str">
        <f t="array" ref="E915">IF(ISBLANK(G915),"",INDEX('POR Config List'!K:K,MATCH(G915,'POR Config List'!D:D,0)))</f>
        <v/>
      </c>
      <c r="F915" s="100" t="str">
        <f t="array" ref="F915">IF(ISBLANK(G915),"",INDEX('POR Config List'!J:J,MATCH(G915,'POR Config List'!D:D,0)))</f>
        <v/>
      </c>
      <c r="G915" s="168"/>
      <c r="H915" s="104" t="str">
        <f t="array" ref="H915">IF(ISBLANK(G915),"",INDEX('MP SKUs'!G:G,MATCH(G915,'MP SKUs'!A:A,0)))</f>
        <v/>
      </c>
      <c r="I915" s="105" t="str">
        <f t="array" ref="I915">IF(ISBLANK(G915),"",INDEX('POR Config List'!O:O,MATCH(G915,'POR Config List'!D:D,0)))</f>
        <v/>
      </c>
      <c r="J915" s="104" t="str">
        <f t="array" ref="J915">IF(ISBLANK(G915),"",INDEX('POR Config List'!H:H,MATCH(G915,'POR Config List'!D:D,0)))</f>
        <v/>
      </c>
      <c r="K915" s="105" t="str">
        <f t="array" ref="K915">IF(ISBLANK(G915),"",INDEX('POR Config List'!G:G,MATCH(G915,'POR Config List'!D:D,0)))</f>
        <v/>
      </c>
      <c r="L915" s="105"/>
      <c r="M915" s="105" t="str">
        <f t="array" ref="M915">IF(ISBLANK(G915),"",INDEX('label approval artwork'!Q:Q,MATCH( G915,'label approval artwork'!F:F,0)))</f>
        <v/>
      </c>
      <c r="N915" s="169" t="str">
        <f t="shared" si="5"/>
        <v/>
      </c>
      <c r="O915" s="102" t="str">
        <f t="array" ref="O915">IF(ISBLANK(G915),"",INDEX('POR Config List'!C:C,MATCH(G915,'POR Config List'!D:D,0)))</f>
        <v/>
      </c>
      <c r="P915" s="105" t="str">
        <f t="shared" si="4"/>
        <v/>
      </c>
      <c r="Q915" s="105" t="str">
        <f t="array" ref="Q915">IF(ISBLANK(G915),"",INDEX('label approval artwork'!J:J,MATCH( G915,'label approval artwork'!F:F,0)))</f>
        <v/>
      </c>
      <c r="R915" s="105" t="str">
        <f t="array" ref="R915">IFERROR( IF(P915&lt;&gt;"EMA",INDEX('label approval artwork'!H:H,MATCH(G915,'label approval artwork'!F:F,0),"")),"")</f>
        <v/>
      </c>
      <c r="S915" s="105"/>
      <c r="T915" s="105" t="str">
        <f t="array" ref="T915">IF(ISBLANK(G915),"",INDEX('POR Config List'!I:I,MATCH(G915,'POR Config List'!D:D,0)))</f>
        <v/>
      </c>
      <c r="AA915" s="100" t="str">
        <f t="array" ref="AA915">IF(ISBLANK(G915),"",INDEX('POR Config List'!E:E,MATCH(G915,'POR Config List'!D:D,0)))</f>
        <v/>
      </c>
      <c r="AC915" s="105"/>
      <c r="AD915" s="100"/>
      <c r="AE915" s="100"/>
      <c r="AF915" s="100"/>
      <c r="AG915" s="100"/>
      <c r="AM915" s="102"/>
      <c r="AN915" s="102"/>
    </row>
    <row r="916">
      <c r="A916" s="168"/>
      <c r="B916" s="100" t="str">
        <f t="array" ref="B916">IFERROR( INDEX('POR Config List'!A:A,MATCH(G916,'POR Config List'!D:D,0)),"")</f>
        <v/>
      </c>
      <c r="C916" s="101" t="str">
        <f t="array" ref="C916">IFERROR(INDEX('label approval artwork'!E:E,MATCH(G916,'label approval artwork'!F:F,0),""),"")</f>
        <v/>
      </c>
      <c r="D916" s="102" t="str">
        <f t="shared" si="3"/>
        <v/>
      </c>
      <c r="E916" s="100" t="str">
        <f t="array" ref="E916">IF(ISBLANK(G916),"",INDEX('POR Config List'!K:K,MATCH(G916,'POR Config List'!D:D,0)))</f>
        <v/>
      </c>
      <c r="F916" s="100" t="str">
        <f t="array" ref="F916">IF(ISBLANK(G916),"",INDEX('POR Config List'!J:J,MATCH(G916,'POR Config List'!D:D,0)))</f>
        <v/>
      </c>
      <c r="G916" s="168"/>
      <c r="H916" s="104" t="str">
        <f t="array" ref="H916">IF(ISBLANK(G916),"",INDEX('MP SKUs'!G:G,MATCH(G916,'MP SKUs'!A:A,0)))</f>
        <v/>
      </c>
      <c r="I916" s="105" t="str">
        <f t="array" ref="I916">IF(ISBLANK(G916),"",INDEX('POR Config List'!O:O,MATCH(G916,'POR Config List'!D:D,0)))</f>
        <v/>
      </c>
      <c r="J916" s="104" t="str">
        <f t="array" ref="J916">IF(ISBLANK(G916),"",INDEX('POR Config List'!H:H,MATCH(G916,'POR Config List'!D:D,0)))</f>
        <v/>
      </c>
      <c r="K916" s="105" t="str">
        <f t="array" ref="K916">IF(ISBLANK(G916),"",INDEX('POR Config List'!G:G,MATCH(G916,'POR Config List'!D:D,0)))</f>
        <v/>
      </c>
      <c r="L916" s="105"/>
      <c r="M916" s="105" t="str">
        <f t="array" ref="M916">IF(ISBLANK(G916),"",INDEX('label approval artwork'!Q:Q,MATCH( G916,'label approval artwork'!F:F,0)))</f>
        <v/>
      </c>
      <c r="N916" s="169" t="str">
        <f t="shared" si="5"/>
        <v/>
      </c>
      <c r="O916" s="102" t="str">
        <f t="array" ref="O916">IF(ISBLANK(G916),"",INDEX('POR Config List'!C:C,MATCH(G916,'POR Config List'!D:D,0)))</f>
        <v/>
      </c>
      <c r="P916" s="105" t="str">
        <f t="shared" si="4"/>
        <v/>
      </c>
      <c r="Q916" s="105" t="str">
        <f t="array" ref="Q916">IF(ISBLANK(G916),"",INDEX('label approval artwork'!J:J,MATCH( G916,'label approval artwork'!F:F,0)))</f>
        <v/>
      </c>
      <c r="R916" s="105" t="str">
        <f t="array" ref="R916">IFERROR( IF(P916&lt;&gt;"EMA",INDEX('label approval artwork'!H:H,MATCH(G916,'label approval artwork'!F:F,0),"")),"")</f>
        <v/>
      </c>
      <c r="S916" s="105"/>
      <c r="T916" s="105" t="str">
        <f t="array" ref="T916">IF(ISBLANK(G916),"",INDEX('POR Config List'!I:I,MATCH(G916,'POR Config List'!D:D,0)))</f>
        <v/>
      </c>
      <c r="AA916" s="100" t="str">
        <f t="array" ref="AA916">IF(ISBLANK(G916),"",INDEX('POR Config List'!E:E,MATCH(G916,'POR Config List'!D:D,0)))</f>
        <v/>
      </c>
      <c r="AC916" s="105"/>
      <c r="AD916" s="100"/>
      <c r="AE916" s="100"/>
      <c r="AF916" s="100"/>
      <c r="AG916" s="100"/>
      <c r="AM916" s="102"/>
      <c r="AN916" s="102"/>
    </row>
    <row r="917">
      <c r="A917" s="168"/>
      <c r="B917" s="100" t="str">
        <f t="array" ref="B917">IFERROR( INDEX('POR Config List'!A:A,MATCH(G917,'POR Config List'!D:D,0)),"")</f>
        <v/>
      </c>
      <c r="C917" s="101" t="str">
        <f t="array" ref="C917">IFERROR(INDEX('label approval artwork'!E:E,MATCH(G917,'label approval artwork'!F:F,0),""),"")</f>
        <v/>
      </c>
      <c r="D917" s="102" t="str">
        <f t="shared" si="3"/>
        <v/>
      </c>
      <c r="E917" s="100" t="str">
        <f t="array" ref="E917">IF(ISBLANK(G917),"",INDEX('POR Config List'!K:K,MATCH(G917,'POR Config List'!D:D,0)))</f>
        <v/>
      </c>
      <c r="F917" s="100" t="str">
        <f t="array" ref="F917">IF(ISBLANK(G917),"",INDEX('POR Config List'!J:J,MATCH(G917,'POR Config List'!D:D,0)))</f>
        <v/>
      </c>
      <c r="G917" s="168"/>
      <c r="H917" s="104" t="str">
        <f t="array" ref="H917">IF(ISBLANK(G917),"",INDEX('MP SKUs'!G:G,MATCH(G917,'MP SKUs'!A:A,0)))</f>
        <v/>
      </c>
      <c r="I917" s="105" t="str">
        <f t="array" ref="I917">IF(ISBLANK(G917),"",INDEX('POR Config List'!O:O,MATCH(G917,'POR Config List'!D:D,0)))</f>
        <v/>
      </c>
      <c r="J917" s="104" t="str">
        <f t="array" ref="J917">IF(ISBLANK(G917),"",INDEX('POR Config List'!H:H,MATCH(G917,'POR Config List'!D:D,0)))</f>
        <v/>
      </c>
      <c r="K917" s="105" t="str">
        <f t="array" ref="K917">IF(ISBLANK(G917),"",INDEX('POR Config List'!G:G,MATCH(G917,'POR Config List'!D:D,0)))</f>
        <v/>
      </c>
      <c r="L917" s="105"/>
      <c r="M917" s="105" t="str">
        <f t="array" ref="M917">IF(ISBLANK(G917),"",INDEX('label approval artwork'!Q:Q,MATCH( G917,'label approval artwork'!F:F,0)))</f>
        <v/>
      </c>
      <c r="N917" s="169" t="str">
        <f t="shared" si="5"/>
        <v/>
      </c>
      <c r="O917" s="102" t="str">
        <f t="array" ref="O917">IF(ISBLANK(G917),"",INDEX('POR Config List'!C:C,MATCH(G917,'POR Config List'!D:D,0)))</f>
        <v/>
      </c>
      <c r="P917" s="105" t="str">
        <f t="shared" si="4"/>
        <v/>
      </c>
      <c r="Q917" s="105" t="str">
        <f t="array" ref="Q917">IF(ISBLANK(G917),"",INDEX('label approval artwork'!J:J,MATCH( G917,'label approval artwork'!F:F,0)))</f>
        <v/>
      </c>
      <c r="R917" s="105" t="str">
        <f t="array" ref="R917">IFERROR( IF(P917&lt;&gt;"EMA",INDEX('label approval artwork'!H:H,MATCH(G917,'label approval artwork'!F:F,0),"")),"")</f>
        <v/>
      </c>
      <c r="S917" s="105"/>
      <c r="T917" s="105" t="str">
        <f t="array" ref="T917">IF(ISBLANK(G917),"",INDEX('POR Config List'!I:I,MATCH(G917,'POR Config List'!D:D,0)))</f>
        <v/>
      </c>
      <c r="AA917" s="100" t="str">
        <f t="array" ref="AA917">IF(ISBLANK(G917),"",INDEX('POR Config List'!E:E,MATCH(G917,'POR Config List'!D:D,0)))</f>
        <v/>
      </c>
      <c r="AC917" s="105"/>
      <c r="AD917" s="100"/>
      <c r="AE917" s="100"/>
      <c r="AF917" s="100"/>
      <c r="AG917" s="100"/>
      <c r="AM917" s="102"/>
      <c r="AN917" s="102"/>
    </row>
    <row r="918">
      <c r="A918" s="168"/>
      <c r="B918" s="100" t="str">
        <f t="array" ref="B918">IFERROR( INDEX('POR Config List'!A:A,MATCH(G918,'POR Config List'!D:D,0)),"")</f>
        <v/>
      </c>
      <c r="C918" s="101" t="str">
        <f t="array" ref="C918">IFERROR(INDEX('label approval artwork'!E:E,MATCH(G918,'label approval artwork'!F:F,0),""),"")</f>
        <v/>
      </c>
      <c r="D918" s="102" t="str">
        <f t="shared" si="3"/>
        <v/>
      </c>
      <c r="E918" s="100" t="str">
        <f t="array" ref="E918">IF(ISBLANK(G918),"",INDEX('POR Config List'!K:K,MATCH(G918,'POR Config List'!D:D,0)))</f>
        <v/>
      </c>
      <c r="F918" s="100" t="str">
        <f t="array" ref="F918">IF(ISBLANK(G918),"",INDEX('POR Config List'!J:J,MATCH(G918,'POR Config List'!D:D,0)))</f>
        <v/>
      </c>
      <c r="G918" s="168"/>
      <c r="H918" s="104" t="str">
        <f t="array" ref="H918">IF(ISBLANK(G918),"",INDEX('MP SKUs'!G:G,MATCH(G918,'MP SKUs'!A:A,0)))</f>
        <v/>
      </c>
      <c r="I918" s="105" t="str">
        <f t="array" ref="I918">IF(ISBLANK(G918),"",INDEX('POR Config List'!O:O,MATCH(G918,'POR Config List'!D:D,0)))</f>
        <v/>
      </c>
      <c r="J918" s="104" t="str">
        <f t="array" ref="J918">IF(ISBLANK(G918),"",INDEX('POR Config List'!H:H,MATCH(G918,'POR Config List'!D:D,0)))</f>
        <v/>
      </c>
      <c r="K918" s="105" t="str">
        <f t="array" ref="K918">IF(ISBLANK(G918),"",INDEX('POR Config List'!G:G,MATCH(G918,'POR Config List'!D:D,0)))</f>
        <v/>
      </c>
      <c r="L918" s="105"/>
      <c r="M918" s="105" t="str">
        <f t="array" ref="M918">IF(ISBLANK(G918),"",INDEX('label approval artwork'!Q:Q,MATCH( G918,'label approval artwork'!F:F,0)))</f>
        <v/>
      </c>
      <c r="N918" s="169" t="str">
        <f t="shared" si="5"/>
        <v/>
      </c>
      <c r="O918" s="102" t="str">
        <f t="array" ref="O918">IF(ISBLANK(G918),"",INDEX('POR Config List'!C:C,MATCH(G918,'POR Config List'!D:D,0)))</f>
        <v/>
      </c>
      <c r="P918" s="105" t="str">
        <f t="shared" si="4"/>
        <v/>
      </c>
      <c r="Q918" s="105" t="str">
        <f t="array" ref="Q918">IF(ISBLANK(G918),"",INDEX('label approval artwork'!J:J,MATCH( G918,'label approval artwork'!F:F,0)))</f>
        <v/>
      </c>
      <c r="R918" s="105" t="str">
        <f t="array" ref="R918">IFERROR( IF(P918&lt;&gt;"EMA",INDEX('label approval artwork'!H:H,MATCH(G918,'label approval artwork'!F:F,0),"")),"")</f>
        <v/>
      </c>
      <c r="S918" s="105"/>
      <c r="T918" s="105" t="str">
        <f t="array" ref="T918">IF(ISBLANK(G918),"",INDEX('POR Config List'!I:I,MATCH(G918,'POR Config List'!D:D,0)))</f>
        <v/>
      </c>
      <c r="AA918" s="100" t="str">
        <f t="array" ref="AA918">IF(ISBLANK(G918),"",INDEX('POR Config List'!E:E,MATCH(G918,'POR Config List'!D:D,0)))</f>
        <v/>
      </c>
      <c r="AC918" s="105"/>
      <c r="AD918" s="100"/>
      <c r="AE918" s="100"/>
      <c r="AF918" s="100"/>
      <c r="AG918" s="100"/>
      <c r="AM918" s="102"/>
      <c r="AN918" s="102"/>
    </row>
    <row r="919">
      <c r="A919" s="168"/>
      <c r="B919" s="100" t="str">
        <f t="array" ref="B919">IFERROR( INDEX('POR Config List'!A:A,MATCH(G919,'POR Config List'!D:D,0)),"")</f>
        <v/>
      </c>
      <c r="C919" s="101" t="str">
        <f t="array" ref="C919">IFERROR(INDEX('label approval artwork'!E:E,MATCH(G919,'label approval artwork'!F:F,0),""),"")</f>
        <v/>
      </c>
      <c r="D919" s="102" t="str">
        <f t="shared" si="3"/>
        <v/>
      </c>
      <c r="E919" s="100" t="str">
        <f t="array" ref="E919">IF(ISBLANK(G919),"",INDEX('POR Config List'!K:K,MATCH(G919,'POR Config List'!D:D,0)))</f>
        <v/>
      </c>
      <c r="F919" s="100" t="str">
        <f t="array" ref="F919">IF(ISBLANK(G919),"",INDEX('POR Config List'!J:J,MATCH(G919,'POR Config List'!D:D,0)))</f>
        <v/>
      </c>
      <c r="G919" s="168"/>
      <c r="H919" s="104" t="str">
        <f t="array" ref="H919">IF(ISBLANK(G919),"",INDEX('MP SKUs'!G:G,MATCH(G919,'MP SKUs'!A:A,0)))</f>
        <v/>
      </c>
      <c r="I919" s="105" t="str">
        <f t="array" ref="I919">IF(ISBLANK(G919),"",INDEX('POR Config List'!O:O,MATCH(G919,'POR Config List'!D:D,0)))</f>
        <v/>
      </c>
      <c r="J919" s="104" t="str">
        <f t="array" ref="J919">IF(ISBLANK(G919),"",INDEX('POR Config List'!H:H,MATCH(G919,'POR Config List'!D:D,0)))</f>
        <v/>
      </c>
      <c r="K919" s="105" t="str">
        <f t="array" ref="K919">IF(ISBLANK(G919),"",INDEX('POR Config List'!G:G,MATCH(G919,'POR Config List'!D:D,0)))</f>
        <v/>
      </c>
      <c r="L919" s="105"/>
      <c r="M919" s="105" t="str">
        <f t="array" ref="M919">IF(ISBLANK(G919),"",INDEX('label approval artwork'!Q:Q,MATCH( G919,'label approval artwork'!F:F,0)))</f>
        <v/>
      </c>
      <c r="N919" s="169" t="str">
        <f t="shared" si="5"/>
        <v/>
      </c>
      <c r="O919" s="102" t="str">
        <f t="array" ref="O919">IF(ISBLANK(G919),"",INDEX('POR Config List'!C:C,MATCH(G919,'POR Config List'!D:D,0)))</f>
        <v/>
      </c>
      <c r="P919" s="105" t="str">
        <f t="shared" si="4"/>
        <v/>
      </c>
      <c r="Q919" s="105" t="str">
        <f t="array" ref="Q919">IF(ISBLANK(G919),"",INDEX('label approval artwork'!J:J,MATCH( G919,'label approval artwork'!F:F,0)))</f>
        <v/>
      </c>
      <c r="R919" s="105" t="str">
        <f t="array" ref="R919">IFERROR( IF(P919&lt;&gt;"EMA",INDEX('label approval artwork'!H:H,MATCH(G919,'label approval artwork'!F:F,0),"")),"")</f>
        <v/>
      </c>
      <c r="S919" s="105"/>
      <c r="T919" s="105" t="str">
        <f t="array" ref="T919">IF(ISBLANK(G919),"",INDEX('POR Config List'!I:I,MATCH(G919,'POR Config List'!D:D,0)))</f>
        <v/>
      </c>
      <c r="AA919" s="100" t="str">
        <f t="array" ref="AA919">IF(ISBLANK(G919),"",INDEX('POR Config List'!E:E,MATCH(G919,'POR Config List'!D:D,0)))</f>
        <v/>
      </c>
      <c r="AC919" s="105"/>
      <c r="AD919" s="100"/>
      <c r="AE919" s="100"/>
      <c r="AF919" s="100"/>
      <c r="AG919" s="100"/>
      <c r="AM919" s="102"/>
      <c r="AN919" s="102"/>
    </row>
    <row r="920">
      <c r="A920" s="168"/>
      <c r="B920" s="100" t="str">
        <f t="array" ref="B920">IFERROR( INDEX('POR Config List'!A:A,MATCH(G920,'POR Config List'!D:D,0)),"")</f>
        <v/>
      </c>
      <c r="C920" s="101" t="str">
        <f t="array" ref="C920">IFERROR(INDEX('label approval artwork'!E:E,MATCH(G920,'label approval artwork'!F:F,0),""),"")</f>
        <v/>
      </c>
      <c r="D920" s="102" t="str">
        <f t="shared" si="3"/>
        <v/>
      </c>
      <c r="E920" s="100" t="str">
        <f t="array" ref="E920">IF(ISBLANK(G920),"",INDEX('POR Config List'!K:K,MATCH(G920,'POR Config List'!D:D,0)))</f>
        <v/>
      </c>
      <c r="F920" s="100" t="str">
        <f t="array" ref="F920">IF(ISBLANK(G920),"",INDEX('POR Config List'!J:J,MATCH(G920,'POR Config List'!D:D,0)))</f>
        <v/>
      </c>
      <c r="G920" s="168"/>
      <c r="H920" s="104" t="str">
        <f t="array" ref="H920">IF(ISBLANK(G920),"",INDEX('MP SKUs'!G:G,MATCH(G920,'MP SKUs'!A:A,0)))</f>
        <v/>
      </c>
      <c r="I920" s="105" t="str">
        <f t="array" ref="I920">IF(ISBLANK(G920),"",INDEX('POR Config List'!O:O,MATCH(G920,'POR Config List'!D:D,0)))</f>
        <v/>
      </c>
      <c r="J920" s="104" t="str">
        <f t="array" ref="J920">IF(ISBLANK(G920),"",INDEX('POR Config List'!H:H,MATCH(G920,'POR Config List'!D:D,0)))</f>
        <v/>
      </c>
      <c r="K920" s="105" t="str">
        <f t="array" ref="K920">IF(ISBLANK(G920),"",INDEX('POR Config List'!G:G,MATCH(G920,'POR Config List'!D:D,0)))</f>
        <v/>
      </c>
      <c r="L920" s="105"/>
      <c r="M920" s="105" t="str">
        <f t="array" ref="M920">IF(ISBLANK(G920),"",INDEX('label approval artwork'!Q:Q,MATCH( G920,'label approval artwork'!F:F,0)))</f>
        <v/>
      </c>
      <c r="N920" s="169" t="str">
        <f t="shared" si="5"/>
        <v/>
      </c>
      <c r="O920" s="102" t="str">
        <f t="array" ref="O920">IF(ISBLANK(G920),"",INDEX('POR Config List'!C:C,MATCH(G920,'POR Config List'!D:D,0)))</f>
        <v/>
      </c>
      <c r="P920" s="105" t="str">
        <f t="shared" si="4"/>
        <v/>
      </c>
      <c r="Q920" s="105" t="str">
        <f t="array" ref="Q920">IF(ISBLANK(G920),"",INDEX('label approval artwork'!J:J,MATCH( G920,'label approval artwork'!F:F,0)))</f>
        <v/>
      </c>
      <c r="R920" s="105" t="str">
        <f t="array" ref="R920">IFERROR( IF(P920&lt;&gt;"EMA",INDEX('label approval artwork'!H:H,MATCH(G920,'label approval artwork'!F:F,0),"")),"")</f>
        <v/>
      </c>
      <c r="S920" s="105"/>
      <c r="T920" s="105" t="str">
        <f t="array" ref="T920">IF(ISBLANK(G920),"",INDEX('POR Config List'!I:I,MATCH(G920,'POR Config List'!D:D,0)))</f>
        <v/>
      </c>
      <c r="AA920" s="100" t="str">
        <f t="array" ref="AA920">IF(ISBLANK(G920),"",INDEX('POR Config List'!E:E,MATCH(G920,'POR Config List'!D:D,0)))</f>
        <v/>
      </c>
      <c r="AC920" s="105"/>
      <c r="AD920" s="100"/>
      <c r="AE920" s="100"/>
      <c r="AF920" s="100"/>
      <c r="AG920" s="100"/>
      <c r="AM920" s="102"/>
      <c r="AN920" s="102"/>
    </row>
    <row r="921">
      <c r="A921" s="168"/>
      <c r="B921" s="100" t="str">
        <f t="array" ref="B921">IFERROR( INDEX('POR Config List'!A:A,MATCH(G921,'POR Config List'!D:D,0)),"")</f>
        <v/>
      </c>
      <c r="C921" s="101" t="str">
        <f t="array" ref="C921">IFERROR(INDEX('label approval artwork'!E:E,MATCH(G921,'label approval artwork'!F:F,0),""),"")</f>
        <v/>
      </c>
      <c r="D921" s="102" t="str">
        <f t="shared" si="3"/>
        <v/>
      </c>
      <c r="E921" s="100" t="str">
        <f t="array" ref="E921">IF(ISBLANK(G921),"",INDEX('POR Config List'!K:K,MATCH(G921,'POR Config List'!D:D,0)))</f>
        <v/>
      </c>
      <c r="F921" s="100" t="str">
        <f t="array" ref="F921">IF(ISBLANK(G921),"",INDEX('POR Config List'!J:J,MATCH(G921,'POR Config List'!D:D,0)))</f>
        <v/>
      </c>
      <c r="G921" s="168"/>
      <c r="H921" s="104" t="str">
        <f t="array" ref="H921">IF(ISBLANK(G921),"",INDEX('MP SKUs'!G:G,MATCH(G921,'MP SKUs'!A:A,0)))</f>
        <v/>
      </c>
      <c r="I921" s="105" t="str">
        <f t="array" ref="I921">IF(ISBLANK(G921),"",INDEX('POR Config List'!O:O,MATCH(G921,'POR Config List'!D:D,0)))</f>
        <v/>
      </c>
      <c r="J921" s="104" t="str">
        <f t="array" ref="J921">IF(ISBLANK(G921),"",INDEX('POR Config List'!H:H,MATCH(G921,'POR Config List'!D:D,0)))</f>
        <v/>
      </c>
      <c r="K921" s="105" t="str">
        <f t="array" ref="K921">IF(ISBLANK(G921),"",INDEX('POR Config List'!G:G,MATCH(G921,'POR Config List'!D:D,0)))</f>
        <v/>
      </c>
      <c r="L921" s="105"/>
      <c r="M921" s="105" t="str">
        <f t="array" ref="M921">IF(ISBLANK(G921),"",INDEX('label approval artwork'!Q:Q,MATCH( G921,'label approval artwork'!F:F,0)))</f>
        <v/>
      </c>
      <c r="N921" s="169" t="str">
        <f t="shared" si="5"/>
        <v/>
      </c>
      <c r="O921" s="102" t="str">
        <f t="array" ref="O921">IF(ISBLANK(G921),"",INDEX('POR Config List'!C:C,MATCH(G921,'POR Config List'!D:D,0)))</f>
        <v/>
      </c>
      <c r="P921" s="105" t="str">
        <f t="shared" si="4"/>
        <v/>
      </c>
      <c r="Q921" s="105" t="str">
        <f t="array" ref="Q921">IF(ISBLANK(G921),"",INDEX('label approval artwork'!J:J,MATCH( G921,'label approval artwork'!F:F,0)))</f>
        <v/>
      </c>
      <c r="R921" s="105" t="str">
        <f t="array" ref="R921">IFERROR( IF(P921&lt;&gt;"EMA",INDEX('label approval artwork'!H:H,MATCH(G921,'label approval artwork'!F:F,0),"")),"")</f>
        <v/>
      </c>
      <c r="S921" s="105"/>
      <c r="T921" s="105" t="str">
        <f t="array" ref="T921">IF(ISBLANK(G921),"",INDEX('POR Config List'!I:I,MATCH(G921,'POR Config List'!D:D,0)))</f>
        <v/>
      </c>
      <c r="AA921" s="100" t="str">
        <f t="array" ref="AA921">IF(ISBLANK(G921),"",INDEX('POR Config List'!E:E,MATCH(G921,'POR Config List'!D:D,0)))</f>
        <v/>
      </c>
      <c r="AC921" s="105"/>
      <c r="AD921" s="100"/>
      <c r="AE921" s="100"/>
      <c r="AF921" s="100"/>
      <c r="AG921" s="100"/>
      <c r="AM921" s="102"/>
      <c r="AN921" s="102"/>
    </row>
    <row r="922">
      <c r="A922" s="168"/>
      <c r="B922" s="100" t="str">
        <f t="array" ref="B922">IFERROR( INDEX('POR Config List'!A:A,MATCH(G922,'POR Config List'!D:D,0)),"")</f>
        <v/>
      </c>
      <c r="C922" s="101" t="str">
        <f t="array" ref="C922">IFERROR(INDEX('label approval artwork'!E:E,MATCH(G922,'label approval artwork'!F:F,0),""),"")</f>
        <v/>
      </c>
      <c r="D922" s="102" t="str">
        <f t="shared" si="3"/>
        <v/>
      </c>
      <c r="E922" s="100" t="str">
        <f t="array" ref="E922">IF(ISBLANK(G922),"",INDEX('POR Config List'!K:K,MATCH(G922,'POR Config List'!D:D,0)))</f>
        <v/>
      </c>
      <c r="F922" s="100" t="str">
        <f t="array" ref="F922">IF(ISBLANK(G922),"",INDEX('POR Config List'!J:J,MATCH(G922,'POR Config List'!D:D,0)))</f>
        <v/>
      </c>
      <c r="G922" s="168"/>
      <c r="H922" s="104" t="str">
        <f t="array" ref="H922">IF(ISBLANK(G922),"",INDEX('MP SKUs'!G:G,MATCH(G922,'MP SKUs'!A:A,0)))</f>
        <v/>
      </c>
      <c r="I922" s="105" t="str">
        <f t="array" ref="I922">IF(ISBLANK(G922),"",INDEX('POR Config List'!O:O,MATCH(G922,'POR Config List'!D:D,0)))</f>
        <v/>
      </c>
      <c r="J922" s="104" t="str">
        <f t="array" ref="J922">IF(ISBLANK(G922),"",INDEX('POR Config List'!H:H,MATCH(G922,'POR Config List'!D:D,0)))</f>
        <v/>
      </c>
      <c r="K922" s="105" t="str">
        <f t="array" ref="K922">IF(ISBLANK(G922),"",INDEX('POR Config List'!G:G,MATCH(G922,'POR Config List'!D:D,0)))</f>
        <v/>
      </c>
      <c r="L922" s="105"/>
      <c r="M922" s="105" t="str">
        <f t="array" ref="M922">IF(ISBLANK(G922),"",INDEX('label approval artwork'!Q:Q,MATCH( G922,'label approval artwork'!F:F,0)))</f>
        <v/>
      </c>
      <c r="N922" s="169" t="str">
        <f t="shared" si="5"/>
        <v/>
      </c>
      <c r="O922" s="102" t="str">
        <f t="array" ref="O922">IF(ISBLANK(G922),"",INDEX('POR Config List'!C:C,MATCH(G922,'POR Config List'!D:D,0)))</f>
        <v/>
      </c>
      <c r="P922" s="105" t="str">
        <f t="shared" si="4"/>
        <v/>
      </c>
      <c r="Q922" s="105" t="str">
        <f t="array" ref="Q922">IF(ISBLANK(G922),"",INDEX('label approval artwork'!J:J,MATCH( G922,'label approval artwork'!F:F,0)))</f>
        <v/>
      </c>
      <c r="R922" s="105" t="str">
        <f t="array" ref="R922">IFERROR( IF(P922&lt;&gt;"EMA",INDEX('label approval artwork'!H:H,MATCH(G922,'label approval artwork'!F:F,0),"")),"")</f>
        <v/>
      </c>
      <c r="S922" s="105"/>
      <c r="T922" s="105" t="str">
        <f t="array" ref="T922">IF(ISBLANK(G922),"",INDEX('POR Config List'!I:I,MATCH(G922,'POR Config List'!D:D,0)))</f>
        <v/>
      </c>
      <c r="AA922" s="100" t="str">
        <f t="array" ref="AA922">IF(ISBLANK(G922),"",INDEX('POR Config List'!E:E,MATCH(G922,'POR Config List'!D:D,0)))</f>
        <v/>
      </c>
      <c r="AC922" s="105"/>
      <c r="AD922" s="100"/>
      <c r="AE922" s="100"/>
      <c r="AF922" s="100"/>
      <c r="AG922" s="100"/>
      <c r="AM922" s="102"/>
      <c r="AN922" s="102"/>
    </row>
    <row r="923">
      <c r="A923" s="168"/>
      <c r="B923" s="100" t="str">
        <f t="array" ref="B923">IFERROR( INDEX('POR Config List'!A:A,MATCH(G923,'POR Config List'!D:D,0)),"")</f>
        <v/>
      </c>
      <c r="C923" s="101" t="str">
        <f t="array" ref="C923">IFERROR(INDEX('label approval artwork'!E:E,MATCH(G923,'label approval artwork'!F:F,0),""),"")</f>
        <v/>
      </c>
      <c r="D923" s="102" t="str">
        <f t="shared" si="3"/>
        <v/>
      </c>
      <c r="E923" s="100" t="str">
        <f t="array" ref="E923">IF(ISBLANK(G923),"",INDEX('POR Config List'!K:K,MATCH(G923,'POR Config List'!D:D,0)))</f>
        <v/>
      </c>
      <c r="F923" s="100" t="str">
        <f t="array" ref="F923">IF(ISBLANK(G923),"",INDEX('POR Config List'!J:J,MATCH(G923,'POR Config List'!D:D,0)))</f>
        <v/>
      </c>
      <c r="G923" s="168"/>
      <c r="H923" s="104" t="str">
        <f t="array" ref="H923">IF(ISBLANK(G923),"",INDEX('MP SKUs'!G:G,MATCH(G923,'MP SKUs'!A:A,0)))</f>
        <v/>
      </c>
      <c r="I923" s="105" t="str">
        <f t="array" ref="I923">IF(ISBLANK(G923),"",INDEX('POR Config List'!O:O,MATCH(G923,'POR Config List'!D:D,0)))</f>
        <v/>
      </c>
      <c r="J923" s="104" t="str">
        <f t="array" ref="J923">IF(ISBLANK(G923),"",INDEX('POR Config List'!H:H,MATCH(G923,'POR Config List'!D:D,0)))</f>
        <v/>
      </c>
      <c r="K923" s="105" t="str">
        <f t="array" ref="K923">IF(ISBLANK(G923),"",INDEX('POR Config List'!G:G,MATCH(G923,'POR Config List'!D:D,0)))</f>
        <v/>
      </c>
      <c r="L923" s="105"/>
      <c r="M923" s="105" t="str">
        <f t="array" ref="M923">IF(ISBLANK(G923),"",INDEX('label approval artwork'!Q:Q,MATCH( G923,'label approval artwork'!F:F,0)))</f>
        <v/>
      </c>
      <c r="N923" s="169" t="str">
        <f t="shared" si="5"/>
        <v/>
      </c>
      <c r="O923" s="102" t="str">
        <f t="array" ref="O923">IF(ISBLANK(G923),"",INDEX('POR Config List'!C:C,MATCH(G923,'POR Config List'!D:D,0)))</f>
        <v/>
      </c>
      <c r="P923" s="105" t="str">
        <f t="shared" si="4"/>
        <v/>
      </c>
      <c r="Q923" s="105" t="str">
        <f t="array" ref="Q923">IF(ISBLANK(G923),"",INDEX('label approval artwork'!J:J,MATCH( G923,'label approval artwork'!F:F,0)))</f>
        <v/>
      </c>
      <c r="R923" s="105" t="str">
        <f t="array" ref="R923">IFERROR( IF(P923&lt;&gt;"EMA",INDEX('label approval artwork'!H:H,MATCH(G923,'label approval artwork'!F:F,0),"")),"")</f>
        <v/>
      </c>
      <c r="S923" s="105"/>
      <c r="T923" s="105" t="str">
        <f t="array" ref="T923">IF(ISBLANK(G923),"",INDEX('POR Config List'!I:I,MATCH(G923,'POR Config List'!D:D,0)))</f>
        <v/>
      </c>
      <c r="AA923" s="100" t="str">
        <f t="array" ref="AA923">IF(ISBLANK(G923),"",INDEX('POR Config List'!E:E,MATCH(G923,'POR Config List'!D:D,0)))</f>
        <v/>
      </c>
      <c r="AC923" s="105"/>
      <c r="AD923" s="100"/>
      <c r="AE923" s="100"/>
      <c r="AF923" s="100"/>
      <c r="AG923" s="100"/>
      <c r="AM923" s="102"/>
      <c r="AN923" s="102"/>
    </row>
    <row r="924">
      <c r="A924" s="168"/>
      <c r="B924" s="100" t="str">
        <f t="array" ref="B924">IFERROR( INDEX('POR Config List'!A:A,MATCH(G924,'POR Config List'!D:D,0)),"")</f>
        <v/>
      </c>
      <c r="C924" s="101" t="str">
        <f t="array" ref="C924">IFERROR(INDEX('label approval artwork'!E:E,MATCH(G924,'label approval artwork'!F:F,0),""),"")</f>
        <v/>
      </c>
      <c r="D924" s="102" t="str">
        <f t="shared" si="3"/>
        <v/>
      </c>
      <c r="E924" s="100" t="str">
        <f t="array" ref="E924">IF(ISBLANK(G924),"",INDEX('POR Config List'!K:K,MATCH(G924,'POR Config List'!D:D,0)))</f>
        <v/>
      </c>
      <c r="F924" s="100" t="str">
        <f t="array" ref="F924">IF(ISBLANK(G924),"",INDEX('POR Config List'!J:J,MATCH(G924,'POR Config List'!D:D,0)))</f>
        <v/>
      </c>
      <c r="G924" s="168"/>
      <c r="H924" s="104" t="str">
        <f t="array" ref="H924">IF(ISBLANK(G924),"",INDEX('MP SKUs'!G:G,MATCH(G924,'MP SKUs'!A:A,0)))</f>
        <v/>
      </c>
      <c r="I924" s="105" t="str">
        <f t="array" ref="I924">IF(ISBLANK(G924),"",INDEX('POR Config List'!O:O,MATCH(G924,'POR Config List'!D:D,0)))</f>
        <v/>
      </c>
      <c r="J924" s="104" t="str">
        <f t="array" ref="J924">IF(ISBLANK(G924),"",INDEX('POR Config List'!H:H,MATCH(G924,'POR Config List'!D:D,0)))</f>
        <v/>
      </c>
      <c r="K924" s="105" t="str">
        <f t="array" ref="K924">IF(ISBLANK(G924),"",INDEX('POR Config List'!G:G,MATCH(G924,'POR Config List'!D:D,0)))</f>
        <v/>
      </c>
      <c r="L924" s="105"/>
      <c r="M924" s="105" t="str">
        <f t="array" ref="M924">IF(ISBLANK(G924),"",INDEX('label approval artwork'!Q:Q,MATCH( G924,'label approval artwork'!F:F,0)))</f>
        <v/>
      </c>
      <c r="N924" s="169" t="str">
        <f t="shared" si="5"/>
        <v/>
      </c>
      <c r="O924" s="102" t="str">
        <f t="array" ref="O924">IF(ISBLANK(G924),"",INDEX('POR Config List'!C:C,MATCH(G924,'POR Config List'!D:D,0)))</f>
        <v/>
      </c>
      <c r="P924" s="105" t="str">
        <f t="shared" si="4"/>
        <v/>
      </c>
      <c r="Q924" s="105" t="str">
        <f t="array" ref="Q924">IF(ISBLANK(G924),"",INDEX('label approval artwork'!J:J,MATCH( G924,'label approval artwork'!F:F,0)))</f>
        <v/>
      </c>
      <c r="R924" s="105" t="str">
        <f t="array" ref="R924">IFERROR( IF(P924&lt;&gt;"EMA",INDEX('label approval artwork'!H:H,MATCH(G924,'label approval artwork'!F:F,0),"")),"")</f>
        <v/>
      </c>
      <c r="S924" s="105"/>
      <c r="T924" s="105" t="str">
        <f t="array" ref="T924">IF(ISBLANK(G924),"",INDEX('POR Config List'!I:I,MATCH(G924,'POR Config List'!D:D,0)))</f>
        <v/>
      </c>
      <c r="AA924" s="100" t="str">
        <f t="array" ref="AA924">IF(ISBLANK(G924),"",INDEX('POR Config List'!E:E,MATCH(G924,'POR Config List'!D:D,0)))</f>
        <v/>
      </c>
      <c r="AC924" s="105"/>
      <c r="AD924" s="100"/>
      <c r="AE924" s="100"/>
      <c r="AF924" s="100"/>
      <c r="AG924" s="100"/>
      <c r="AM924" s="102"/>
      <c r="AN924" s="102"/>
    </row>
    <row r="925">
      <c r="A925" s="168"/>
      <c r="B925" s="100" t="str">
        <f t="array" ref="B925">IFERROR( INDEX('POR Config List'!A:A,MATCH(G925,'POR Config List'!D:D,0)),"")</f>
        <v/>
      </c>
      <c r="C925" s="101" t="str">
        <f t="array" ref="C925">IFERROR(INDEX('label approval artwork'!E:E,MATCH(G925,'label approval artwork'!F:F,0),""),"")</f>
        <v/>
      </c>
      <c r="D925" s="102" t="str">
        <f t="shared" si="3"/>
        <v/>
      </c>
      <c r="E925" s="100" t="str">
        <f t="array" ref="E925">IF(ISBLANK(G925),"",INDEX('POR Config List'!K:K,MATCH(G925,'POR Config List'!D:D,0)))</f>
        <v/>
      </c>
      <c r="F925" s="100" t="str">
        <f t="array" ref="F925">IF(ISBLANK(G925),"",INDEX('POR Config List'!J:J,MATCH(G925,'POR Config List'!D:D,0)))</f>
        <v/>
      </c>
      <c r="G925" s="168"/>
      <c r="H925" s="104" t="str">
        <f t="array" ref="H925">IF(ISBLANK(G925),"",INDEX('MP SKUs'!G:G,MATCH(G925,'MP SKUs'!A:A,0)))</f>
        <v/>
      </c>
      <c r="I925" s="105" t="str">
        <f t="array" ref="I925">IF(ISBLANK(G925),"",INDEX('POR Config List'!O:O,MATCH(G925,'POR Config List'!D:D,0)))</f>
        <v/>
      </c>
      <c r="J925" s="104" t="str">
        <f t="array" ref="J925">IF(ISBLANK(G925),"",INDEX('POR Config List'!H:H,MATCH(G925,'POR Config List'!D:D,0)))</f>
        <v/>
      </c>
      <c r="K925" s="105" t="str">
        <f t="array" ref="K925">IF(ISBLANK(G925),"",INDEX('POR Config List'!G:G,MATCH(G925,'POR Config List'!D:D,0)))</f>
        <v/>
      </c>
      <c r="L925" s="105"/>
      <c r="M925" s="105" t="str">
        <f t="array" ref="M925">IF(ISBLANK(G925),"",INDEX('label approval artwork'!Q:Q,MATCH( G925,'label approval artwork'!F:F,0)))</f>
        <v/>
      </c>
      <c r="N925" s="169" t="str">
        <f t="shared" si="5"/>
        <v/>
      </c>
      <c r="O925" s="102" t="str">
        <f t="array" ref="O925">IF(ISBLANK(G925),"",INDEX('POR Config List'!C:C,MATCH(G925,'POR Config List'!D:D,0)))</f>
        <v/>
      </c>
      <c r="P925" s="105" t="str">
        <f t="shared" si="4"/>
        <v/>
      </c>
      <c r="Q925" s="105" t="str">
        <f t="array" ref="Q925">IF(ISBLANK(G925),"",INDEX('label approval artwork'!J:J,MATCH( G925,'label approval artwork'!F:F,0)))</f>
        <v/>
      </c>
      <c r="R925" s="105" t="str">
        <f t="array" ref="R925">IFERROR( IF(P925&lt;&gt;"EMA",INDEX('label approval artwork'!H:H,MATCH(G925,'label approval artwork'!F:F,0),"")),"")</f>
        <v/>
      </c>
      <c r="S925" s="105"/>
      <c r="T925" s="105" t="str">
        <f t="array" ref="T925">IF(ISBLANK(G925),"",INDEX('POR Config List'!I:I,MATCH(G925,'POR Config List'!D:D,0)))</f>
        <v/>
      </c>
      <c r="AA925" s="100" t="str">
        <f t="array" ref="AA925">IF(ISBLANK(G925),"",INDEX('POR Config List'!E:E,MATCH(G925,'POR Config List'!D:D,0)))</f>
        <v/>
      </c>
      <c r="AC925" s="105"/>
      <c r="AD925" s="100"/>
      <c r="AE925" s="100"/>
      <c r="AF925" s="100"/>
      <c r="AG925" s="100"/>
      <c r="AM925" s="102"/>
      <c r="AN925" s="102"/>
    </row>
    <row r="926">
      <c r="A926" s="168"/>
      <c r="B926" s="100" t="str">
        <f t="array" ref="B926">IFERROR( INDEX('POR Config List'!A:A,MATCH(G926,'POR Config List'!D:D,0)),"")</f>
        <v/>
      </c>
      <c r="C926" s="101" t="str">
        <f t="array" ref="C926">IFERROR(INDEX('label approval artwork'!E:E,MATCH(G926,'label approval artwork'!F:F,0),""),"")</f>
        <v/>
      </c>
      <c r="D926" s="102" t="str">
        <f t="shared" si="3"/>
        <v/>
      </c>
      <c r="E926" s="100" t="str">
        <f t="array" ref="E926">IF(ISBLANK(G926),"",INDEX('POR Config List'!K:K,MATCH(G926,'POR Config List'!D:D,0)))</f>
        <v/>
      </c>
      <c r="F926" s="100" t="str">
        <f t="array" ref="F926">IF(ISBLANK(G926),"",INDEX('POR Config List'!J:J,MATCH(G926,'POR Config List'!D:D,0)))</f>
        <v/>
      </c>
      <c r="G926" s="168"/>
      <c r="H926" s="104" t="str">
        <f t="array" ref="H926">IF(ISBLANK(G926),"",INDEX('MP SKUs'!G:G,MATCH(G926,'MP SKUs'!A:A,0)))</f>
        <v/>
      </c>
      <c r="I926" s="105" t="str">
        <f t="array" ref="I926">IF(ISBLANK(G926),"",INDEX('POR Config List'!O:O,MATCH(G926,'POR Config List'!D:D,0)))</f>
        <v/>
      </c>
      <c r="J926" s="104" t="str">
        <f t="array" ref="J926">IF(ISBLANK(G926),"",INDEX('POR Config List'!H:H,MATCH(G926,'POR Config List'!D:D,0)))</f>
        <v/>
      </c>
      <c r="K926" s="105" t="str">
        <f t="array" ref="K926">IF(ISBLANK(G926),"",INDEX('POR Config List'!G:G,MATCH(G926,'POR Config List'!D:D,0)))</f>
        <v/>
      </c>
      <c r="L926" s="105"/>
      <c r="M926" s="105" t="str">
        <f t="array" ref="M926">IF(ISBLANK(G926),"",INDEX('label approval artwork'!Q:Q,MATCH( G926,'label approval artwork'!F:F,0)))</f>
        <v/>
      </c>
      <c r="N926" s="169" t="str">
        <f t="shared" si="5"/>
        <v/>
      </c>
      <c r="O926" s="102" t="str">
        <f t="array" ref="O926">IF(ISBLANK(G926),"",INDEX('POR Config List'!C:C,MATCH(G926,'POR Config List'!D:D,0)))</f>
        <v/>
      </c>
      <c r="P926" s="105" t="str">
        <f t="shared" si="4"/>
        <v/>
      </c>
      <c r="Q926" s="105" t="str">
        <f t="array" ref="Q926">IF(ISBLANK(G926),"",INDEX('label approval artwork'!J:J,MATCH( G926,'label approval artwork'!F:F,0)))</f>
        <v/>
      </c>
      <c r="R926" s="105" t="str">
        <f t="array" ref="R926">IFERROR( IF(P926&lt;&gt;"EMA",INDEX('label approval artwork'!H:H,MATCH(G926,'label approval artwork'!F:F,0),"")),"")</f>
        <v/>
      </c>
      <c r="S926" s="105"/>
      <c r="T926" s="105" t="str">
        <f t="array" ref="T926">IF(ISBLANK(G926),"",INDEX('POR Config List'!I:I,MATCH(G926,'POR Config List'!D:D,0)))</f>
        <v/>
      </c>
      <c r="AA926" s="100" t="str">
        <f t="array" ref="AA926">IF(ISBLANK(G926),"",INDEX('POR Config List'!E:E,MATCH(G926,'POR Config List'!D:D,0)))</f>
        <v/>
      </c>
      <c r="AC926" s="105"/>
      <c r="AD926" s="100"/>
      <c r="AE926" s="100"/>
      <c r="AF926" s="100"/>
      <c r="AG926" s="100"/>
      <c r="AM926" s="102"/>
      <c r="AN926" s="102"/>
    </row>
    <row r="927">
      <c r="A927" s="168"/>
      <c r="B927" s="100" t="str">
        <f t="array" ref="B927">IFERROR( INDEX('POR Config List'!A:A,MATCH(G927,'POR Config List'!D:D,0)),"")</f>
        <v/>
      </c>
      <c r="C927" s="101" t="str">
        <f t="array" ref="C927">IFERROR(INDEX('label approval artwork'!E:E,MATCH(G927,'label approval artwork'!F:F,0),""),"")</f>
        <v/>
      </c>
      <c r="D927" s="102" t="str">
        <f t="shared" si="3"/>
        <v/>
      </c>
      <c r="E927" s="100" t="str">
        <f t="array" ref="E927">IF(ISBLANK(G927),"",INDEX('POR Config List'!K:K,MATCH(G927,'POR Config List'!D:D,0)))</f>
        <v/>
      </c>
      <c r="F927" s="100" t="str">
        <f t="array" ref="F927">IF(ISBLANK(G927),"",INDEX('POR Config List'!J:J,MATCH(G927,'POR Config List'!D:D,0)))</f>
        <v/>
      </c>
      <c r="G927" s="168"/>
      <c r="H927" s="104" t="str">
        <f t="array" ref="H927">IF(ISBLANK(G927),"",INDEX('MP SKUs'!G:G,MATCH(G927,'MP SKUs'!A:A,0)))</f>
        <v/>
      </c>
      <c r="I927" s="105" t="str">
        <f t="array" ref="I927">IF(ISBLANK(G927),"",INDEX('POR Config List'!O:O,MATCH(G927,'POR Config List'!D:D,0)))</f>
        <v/>
      </c>
      <c r="J927" s="104" t="str">
        <f t="array" ref="J927">IF(ISBLANK(G927),"",INDEX('POR Config List'!H:H,MATCH(G927,'POR Config List'!D:D,0)))</f>
        <v/>
      </c>
      <c r="K927" s="105" t="str">
        <f t="array" ref="K927">IF(ISBLANK(G927),"",INDEX('POR Config List'!G:G,MATCH(G927,'POR Config List'!D:D,0)))</f>
        <v/>
      </c>
      <c r="L927" s="105"/>
      <c r="M927" s="105" t="str">
        <f t="array" ref="M927">IF(ISBLANK(G927),"",INDEX('label approval artwork'!Q:Q,MATCH( G927,'label approval artwork'!F:F,0)))</f>
        <v/>
      </c>
      <c r="N927" s="169" t="str">
        <f t="shared" si="5"/>
        <v/>
      </c>
      <c r="O927" s="102" t="str">
        <f t="array" ref="O927">IF(ISBLANK(G927),"",INDEX('POR Config List'!C:C,MATCH(G927,'POR Config List'!D:D,0)))</f>
        <v/>
      </c>
      <c r="P927" s="105" t="str">
        <f t="shared" si="4"/>
        <v/>
      </c>
      <c r="Q927" s="105" t="str">
        <f t="array" ref="Q927">IF(ISBLANK(G927),"",INDEX('label approval artwork'!J:J,MATCH( G927,'label approval artwork'!F:F,0)))</f>
        <v/>
      </c>
      <c r="R927" s="105" t="str">
        <f t="array" ref="R927">IFERROR( IF(P927&lt;&gt;"EMA",INDEX('label approval artwork'!H:H,MATCH(G927,'label approval artwork'!F:F,0),"")),"")</f>
        <v/>
      </c>
      <c r="S927" s="105"/>
      <c r="T927" s="105" t="str">
        <f t="array" ref="T927">IF(ISBLANK(G927),"",INDEX('POR Config List'!I:I,MATCH(G927,'POR Config List'!D:D,0)))</f>
        <v/>
      </c>
      <c r="AA927" s="100" t="str">
        <f t="array" ref="AA927">IF(ISBLANK(G927),"",INDEX('POR Config List'!E:E,MATCH(G927,'POR Config List'!D:D,0)))</f>
        <v/>
      </c>
      <c r="AC927" s="105"/>
      <c r="AD927" s="100"/>
      <c r="AE927" s="100"/>
      <c r="AF927" s="100"/>
      <c r="AG927" s="100"/>
      <c r="AM927" s="102"/>
      <c r="AN927" s="102"/>
    </row>
    <row r="928">
      <c r="A928" s="168"/>
      <c r="B928" s="100" t="str">
        <f t="array" ref="B928">IFERROR( INDEX('POR Config List'!A:A,MATCH(G928,'POR Config List'!D:D,0)),"")</f>
        <v/>
      </c>
      <c r="C928" s="101" t="str">
        <f t="array" ref="C928">IFERROR(INDEX('label approval artwork'!E:E,MATCH(G928,'label approval artwork'!F:F,0),""),"")</f>
        <v/>
      </c>
      <c r="D928" s="102" t="str">
        <f t="shared" si="3"/>
        <v/>
      </c>
      <c r="E928" s="100" t="str">
        <f t="array" ref="E928">IF(ISBLANK(G928),"",INDEX('POR Config List'!K:K,MATCH(G928,'POR Config List'!D:D,0)))</f>
        <v/>
      </c>
      <c r="F928" s="100" t="str">
        <f t="array" ref="F928">IF(ISBLANK(G928),"",INDEX('POR Config List'!J:J,MATCH(G928,'POR Config List'!D:D,0)))</f>
        <v/>
      </c>
      <c r="G928" s="168"/>
      <c r="H928" s="104" t="str">
        <f t="array" ref="H928">IF(ISBLANK(G928),"",INDEX('MP SKUs'!G:G,MATCH(G928,'MP SKUs'!A:A,0)))</f>
        <v/>
      </c>
      <c r="I928" s="105" t="str">
        <f t="array" ref="I928">IF(ISBLANK(G928),"",INDEX('POR Config List'!O:O,MATCH(G928,'POR Config List'!D:D,0)))</f>
        <v/>
      </c>
      <c r="J928" s="104" t="str">
        <f t="array" ref="J928">IF(ISBLANK(G928),"",INDEX('POR Config List'!H:H,MATCH(G928,'POR Config List'!D:D,0)))</f>
        <v/>
      </c>
      <c r="K928" s="105" t="str">
        <f t="array" ref="K928">IF(ISBLANK(G928),"",INDEX('POR Config List'!G:G,MATCH(G928,'POR Config List'!D:D,0)))</f>
        <v/>
      </c>
      <c r="L928" s="105"/>
      <c r="M928" s="105" t="str">
        <f t="array" ref="M928">IF(ISBLANK(G928),"",INDEX('label approval artwork'!Q:Q,MATCH( G928,'label approval artwork'!F:F,0)))</f>
        <v/>
      </c>
      <c r="N928" s="169" t="str">
        <f t="shared" si="5"/>
        <v/>
      </c>
      <c r="O928" s="102" t="str">
        <f t="array" ref="O928">IF(ISBLANK(G928),"",INDEX('POR Config List'!C:C,MATCH(G928,'POR Config List'!D:D,0)))</f>
        <v/>
      </c>
      <c r="P928" s="105" t="str">
        <f t="shared" si="4"/>
        <v/>
      </c>
      <c r="Q928" s="105" t="str">
        <f t="array" ref="Q928">IF(ISBLANK(G928),"",INDEX('label approval artwork'!J:J,MATCH( G928,'label approval artwork'!F:F,0)))</f>
        <v/>
      </c>
      <c r="R928" s="105" t="str">
        <f t="array" ref="R928">IFERROR( IF(P928&lt;&gt;"EMA",INDEX('label approval artwork'!H:H,MATCH(G928,'label approval artwork'!F:F,0),"")),"")</f>
        <v/>
      </c>
      <c r="S928" s="105"/>
      <c r="T928" s="105" t="str">
        <f t="array" ref="T928">IF(ISBLANK(G928),"",INDEX('POR Config List'!I:I,MATCH(G928,'POR Config List'!D:D,0)))</f>
        <v/>
      </c>
      <c r="AA928" s="100" t="str">
        <f t="array" ref="AA928">IF(ISBLANK(G928),"",INDEX('POR Config List'!E:E,MATCH(G928,'POR Config List'!D:D,0)))</f>
        <v/>
      </c>
      <c r="AC928" s="105"/>
      <c r="AD928" s="100"/>
      <c r="AE928" s="100"/>
      <c r="AF928" s="100"/>
      <c r="AG928" s="100"/>
      <c r="AM928" s="102"/>
      <c r="AN928" s="102"/>
    </row>
    <row r="929">
      <c r="A929" s="168"/>
      <c r="B929" s="100" t="str">
        <f t="array" ref="B929">IFERROR( INDEX('POR Config List'!A:A,MATCH(G929,'POR Config List'!D:D,0)),"")</f>
        <v/>
      </c>
      <c r="C929" s="101" t="str">
        <f t="array" ref="C929">IFERROR(INDEX('label approval artwork'!E:E,MATCH(G929,'label approval artwork'!F:F,0),""),"")</f>
        <v/>
      </c>
      <c r="D929" s="102" t="str">
        <f t="shared" si="3"/>
        <v/>
      </c>
      <c r="E929" s="100" t="str">
        <f t="array" ref="E929">IF(ISBLANK(G929),"",INDEX('POR Config List'!K:K,MATCH(G929,'POR Config List'!D:D,0)))</f>
        <v/>
      </c>
      <c r="F929" s="100" t="str">
        <f t="array" ref="F929">IF(ISBLANK(G929),"",INDEX('POR Config List'!J:J,MATCH(G929,'POR Config List'!D:D,0)))</f>
        <v/>
      </c>
      <c r="G929" s="168"/>
      <c r="H929" s="104" t="str">
        <f t="array" ref="H929">IF(ISBLANK(G929),"",INDEX('MP SKUs'!G:G,MATCH(G929,'MP SKUs'!A:A,0)))</f>
        <v/>
      </c>
      <c r="I929" s="105" t="str">
        <f t="array" ref="I929">IF(ISBLANK(G929),"",INDEX('POR Config List'!O:O,MATCH(G929,'POR Config List'!D:D,0)))</f>
        <v/>
      </c>
      <c r="J929" s="104" t="str">
        <f t="array" ref="J929">IF(ISBLANK(G929),"",INDEX('POR Config List'!H:H,MATCH(G929,'POR Config List'!D:D,0)))</f>
        <v/>
      </c>
      <c r="K929" s="105" t="str">
        <f t="array" ref="K929">IF(ISBLANK(G929),"",INDEX('POR Config List'!G:G,MATCH(G929,'POR Config List'!D:D,0)))</f>
        <v/>
      </c>
      <c r="L929" s="105"/>
      <c r="M929" s="105" t="str">
        <f t="array" ref="M929">IF(ISBLANK(G929),"",INDEX('label approval artwork'!Q:Q,MATCH( G929,'label approval artwork'!F:F,0)))</f>
        <v/>
      </c>
      <c r="N929" s="169" t="str">
        <f t="shared" si="5"/>
        <v/>
      </c>
      <c r="O929" s="102" t="str">
        <f t="array" ref="O929">IF(ISBLANK(G929),"",INDEX('POR Config List'!C:C,MATCH(G929,'POR Config List'!D:D,0)))</f>
        <v/>
      </c>
      <c r="P929" s="105" t="str">
        <f t="shared" si="4"/>
        <v/>
      </c>
      <c r="Q929" s="105" t="str">
        <f t="array" ref="Q929">IF(ISBLANK(G929),"",INDEX('label approval artwork'!J:J,MATCH( G929,'label approval artwork'!F:F,0)))</f>
        <v/>
      </c>
      <c r="R929" s="105" t="str">
        <f t="array" ref="R929">IFERROR( IF(P929&lt;&gt;"EMA",INDEX('label approval artwork'!H:H,MATCH(G929,'label approval artwork'!F:F,0),"")),"")</f>
        <v/>
      </c>
      <c r="S929" s="105"/>
      <c r="T929" s="105" t="str">
        <f t="array" ref="T929">IF(ISBLANK(G929),"",INDEX('POR Config List'!I:I,MATCH(G929,'POR Config List'!D:D,0)))</f>
        <v/>
      </c>
      <c r="AA929" s="100" t="str">
        <f t="array" ref="AA929">IF(ISBLANK(G929),"",INDEX('POR Config List'!E:E,MATCH(G929,'POR Config List'!D:D,0)))</f>
        <v/>
      </c>
      <c r="AC929" s="105"/>
      <c r="AD929" s="100"/>
      <c r="AE929" s="100"/>
      <c r="AF929" s="100"/>
      <c r="AG929" s="100"/>
      <c r="AM929" s="102"/>
      <c r="AN929" s="102"/>
    </row>
    <row r="930">
      <c r="A930" s="168"/>
      <c r="B930" s="100" t="str">
        <f t="array" ref="B930">IFERROR( INDEX('POR Config List'!A:A,MATCH(G930,'POR Config List'!D:D,0)),"")</f>
        <v/>
      </c>
      <c r="C930" s="101" t="str">
        <f t="array" ref="C930">IFERROR(INDEX('label approval artwork'!E:E,MATCH(G930,'label approval artwork'!F:F,0),""),"")</f>
        <v/>
      </c>
      <c r="D930" s="102" t="str">
        <f t="shared" si="3"/>
        <v/>
      </c>
      <c r="E930" s="100" t="str">
        <f t="array" ref="E930">IF(ISBLANK(G930),"",INDEX('POR Config List'!K:K,MATCH(G930,'POR Config List'!D:D,0)))</f>
        <v/>
      </c>
      <c r="F930" s="100" t="str">
        <f t="array" ref="F930">IF(ISBLANK(G930),"",INDEX('POR Config List'!J:J,MATCH(G930,'POR Config List'!D:D,0)))</f>
        <v/>
      </c>
      <c r="G930" s="168"/>
      <c r="H930" s="104" t="str">
        <f t="array" ref="H930">IF(ISBLANK(G930),"",INDEX('MP SKUs'!G:G,MATCH(G930,'MP SKUs'!A:A,0)))</f>
        <v/>
      </c>
      <c r="I930" s="105" t="str">
        <f t="array" ref="I930">IF(ISBLANK(G930),"",INDEX('POR Config List'!O:O,MATCH(G930,'POR Config List'!D:D,0)))</f>
        <v/>
      </c>
      <c r="J930" s="104" t="str">
        <f t="array" ref="J930">IF(ISBLANK(G930),"",INDEX('POR Config List'!H:H,MATCH(G930,'POR Config List'!D:D,0)))</f>
        <v/>
      </c>
      <c r="K930" s="105" t="str">
        <f t="array" ref="K930">IF(ISBLANK(G930),"",INDEX('POR Config List'!G:G,MATCH(G930,'POR Config List'!D:D,0)))</f>
        <v/>
      </c>
      <c r="L930" s="105"/>
      <c r="M930" s="105" t="str">
        <f t="array" ref="M930">IF(ISBLANK(G930),"",INDEX('label approval artwork'!Q:Q,MATCH( G930,'label approval artwork'!F:F,0)))</f>
        <v/>
      </c>
      <c r="N930" s="169" t="str">
        <f t="shared" si="5"/>
        <v/>
      </c>
      <c r="O930" s="102" t="str">
        <f t="array" ref="O930">IF(ISBLANK(G930),"",INDEX('POR Config List'!C:C,MATCH(G930,'POR Config List'!D:D,0)))</f>
        <v/>
      </c>
      <c r="P930" s="105" t="str">
        <f t="shared" si="4"/>
        <v/>
      </c>
      <c r="Q930" s="105" t="str">
        <f t="array" ref="Q930">IF(ISBLANK(G930),"",INDEX('label approval artwork'!J:J,MATCH( G930,'label approval artwork'!F:F,0)))</f>
        <v/>
      </c>
      <c r="R930" s="105" t="str">
        <f t="array" ref="R930">IFERROR( IF(P930&lt;&gt;"EMA",INDEX('label approval artwork'!H:H,MATCH(G930,'label approval artwork'!F:F,0),"")),"")</f>
        <v/>
      </c>
      <c r="S930" s="105"/>
      <c r="T930" s="105" t="str">
        <f t="array" ref="T930">IF(ISBLANK(G930),"",INDEX('POR Config List'!I:I,MATCH(G930,'POR Config List'!D:D,0)))</f>
        <v/>
      </c>
      <c r="AA930" s="100" t="str">
        <f t="array" ref="AA930">IF(ISBLANK(G930),"",INDEX('POR Config List'!E:E,MATCH(G930,'POR Config List'!D:D,0)))</f>
        <v/>
      </c>
      <c r="AC930" s="105"/>
      <c r="AD930" s="100"/>
      <c r="AE930" s="100"/>
      <c r="AF930" s="100"/>
      <c r="AG930" s="100"/>
      <c r="AM930" s="102"/>
      <c r="AN930" s="102"/>
    </row>
    <row r="931">
      <c r="A931" s="168"/>
      <c r="B931" s="100" t="str">
        <f t="array" ref="B931">IFERROR( INDEX('POR Config List'!A:A,MATCH(G931,'POR Config List'!D:D,0)),"")</f>
        <v/>
      </c>
      <c r="C931" s="101" t="str">
        <f t="array" ref="C931">IFERROR(INDEX('label approval artwork'!E:E,MATCH(G931,'label approval artwork'!F:F,0),""),"")</f>
        <v/>
      </c>
      <c r="D931" s="102" t="str">
        <f t="shared" si="3"/>
        <v/>
      </c>
      <c r="E931" s="100" t="str">
        <f t="array" ref="E931">IF(ISBLANK(G931),"",INDEX('POR Config List'!K:K,MATCH(G931,'POR Config List'!D:D,0)))</f>
        <v/>
      </c>
      <c r="F931" s="100" t="str">
        <f t="array" ref="F931">IF(ISBLANK(G931),"",INDEX('POR Config List'!J:J,MATCH(G931,'POR Config List'!D:D,0)))</f>
        <v/>
      </c>
      <c r="G931" s="168"/>
      <c r="H931" s="104" t="str">
        <f t="array" ref="H931">IF(ISBLANK(G931),"",INDEX('MP SKUs'!G:G,MATCH(G931,'MP SKUs'!A:A,0)))</f>
        <v/>
      </c>
      <c r="I931" s="105" t="str">
        <f t="array" ref="I931">IF(ISBLANK(G931),"",INDEX('POR Config List'!O:O,MATCH(G931,'POR Config List'!D:D,0)))</f>
        <v/>
      </c>
      <c r="J931" s="104" t="str">
        <f t="array" ref="J931">IF(ISBLANK(G931),"",INDEX('POR Config List'!H:H,MATCH(G931,'POR Config List'!D:D,0)))</f>
        <v/>
      </c>
      <c r="K931" s="105" t="str">
        <f t="array" ref="K931">IF(ISBLANK(G931),"",INDEX('POR Config List'!G:G,MATCH(G931,'POR Config List'!D:D,0)))</f>
        <v/>
      </c>
      <c r="L931" s="105"/>
      <c r="M931" s="105" t="str">
        <f t="array" ref="M931">IF(ISBLANK(G931),"",INDEX('label approval artwork'!Q:Q,MATCH( G931,'label approval artwork'!F:F,0)))</f>
        <v/>
      </c>
      <c r="N931" s="169" t="str">
        <f t="shared" si="5"/>
        <v/>
      </c>
      <c r="O931" s="102" t="str">
        <f t="array" ref="O931">IF(ISBLANK(G931),"",INDEX('POR Config List'!C:C,MATCH(G931,'POR Config List'!D:D,0)))</f>
        <v/>
      </c>
      <c r="P931" s="105" t="str">
        <f t="shared" si="4"/>
        <v/>
      </c>
      <c r="Q931" s="105" t="str">
        <f t="array" ref="Q931">IF(ISBLANK(G931),"",INDEX('label approval artwork'!J:J,MATCH( G931,'label approval artwork'!F:F,0)))</f>
        <v/>
      </c>
      <c r="R931" s="105" t="str">
        <f t="array" ref="R931">IFERROR( IF(P931&lt;&gt;"EMA",INDEX('label approval artwork'!H:H,MATCH(G931,'label approval artwork'!F:F,0),"")),"")</f>
        <v/>
      </c>
      <c r="S931" s="105"/>
      <c r="T931" s="105" t="str">
        <f t="array" ref="T931">IF(ISBLANK(G931),"",INDEX('POR Config List'!I:I,MATCH(G931,'POR Config List'!D:D,0)))</f>
        <v/>
      </c>
      <c r="AA931" s="100" t="str">
        <f t="array" ref="AA931">IF(ISBLANK(G931),"",INDEX('POR Config List'!E:E,MATCH(G931,'POR Config List'!D:D,0)))</f>
        <v/>
      </c>
      <c r="AC931" s="105"/>
      <c r="AD931" s="100"/>
      <c r="AE931" s="100"/>
      <c r="AF931" s="100"/>
      <c r="AG931" s="100"/>
      <c r="AM931" s="102"/>
      <c r="AN931" s="102"/>
    </row>
    <row r="932">
      <c r="A932" s="168"/>
      <c r="B932" s="100" t="str">
        <f t="array" ref="B932">IFERROR( INDEX('POR Config List'!A:A,MATCH(G932,'POR Config List'!D:D,0)),"")</f>
        <v/>
      </c>
      <c r="C932" s="101" t="str">
        <f t="array" ref="C932">IFERROR(INDEX('label approval artwork'!E:E,MATCH(G932,'label approval artwork'!F:F,0),""),"")</f>
        <v/>
      </c>
      <c r="D932" s="102" t="str">
        <f t="shared" si="3"/>
        <v/>
      </c>
      <c r="E932" s="100" t="str">
        <f t="array" ref="E932">IF(ISBLANK(G932),"",INDEX('POR Config List'!K:K,MATCH(G932,'POR Config List'!D:D,0)))</f>
        <v/>
      </c>
      <c r="F932" s="100" t="str">
        <f t="array" ref="F932">IF(ISBLANK(G932),"",INDEX('POR Config List'!J:J,MATCH(G932,'POR Config List'!D:D,0)))</f>
        <v/>
      </c>
      <c r="G932" s="168"/>
      <c r="H932" s="104" t="str">
        <f t="array" ref="H932">IF(ISBLANK(G932),"",INDEX('MP SKUs'!G:G,MATCH(G932,'MP SKUs'!A:A,0)))</f>
        <v/>
      </c>
      <c r="I932" s="105" t="str">
        <f t="array" ref="I932">IF(ISBLANK(G932),"",INDEX('POR Config List'!O:O,MATCH(G932,'POR Config List'!D:D,0)))</f>
        <v/>
      </c>
      <c r="J932" s="104" t="str">
        <f t="array" ref="J932">IF(ISBLANK(G932),"",INDEX('POR Config List'!H:H,MATCH(G932,'POR Config List'!D:D,0)))</f>
        <v/>
      </c>
      <c r="K932" s="105" t="str">
        <f t="array" ref="K932">IF(ISBLANK(G932),"",INDEX('POR Config List'!G:G,MATCH(G932,'POR Config List'!D:D,0)))</f>
        <v/>
      </c>
      <c r="L932" s="105"/>
      <c r="M932" s="105" t="str">
        <f t="array" ref="M932">IF(ISBLANK(G932),"",INDEX('label approval artwork'!Q:Q,MATCH( G932,'label approval artwork'!F:F,0)))</f>
        <v/>
      </c>
      <c r="N932" s="169" t="str">
        <f t="shared" si="5"/>
        <v/>
      </c>
      <c r="O932" s="102" t="str">
        <f t="array" ref="O932">IF(ISBLANK(G932),"",INDEX('POR Config List'!C:C,MATCH(G932,'POR Config List'!D:D,0)))</f>
        <v/>
      </c>
      <c r="P932" s="105" t="str">
        <f t="shared" si="4"/>
        <v/>
      </c>
      <c r="Q932" s="105" t="str">
        <f t="array" ref="Q932">IF(ISBLANK(G932),"",INDEX('label approval artwork'!J:J,MATCH( G932,'label approval artwork'!F:F,0)))</f>
        <v/>
      </c>
      <c r="R932" s="105" t="str">
        <f t="array" ref="R932">IFERROR( IF(P932&lt;&gt;"EMA",INDEX('label approval artwork'!H:H,MATCH(G932,'label approval artwork'!F:F,0),"")),"")</f>
        <v/>
      </c>
      <c r="S932" s="105"/>
      <c r="T932" s="105" t="str">
        <f t="array" ref="T932">IF(ISBLANK(G932),"",INDEX('POR Config List'!I:I,MATCH(G932,'POR Config List'!D:D,0)))</f>
        <v/>
      </c>
      <c r="AA932" s="100" t="str">
        <f t="array" ref="AA932">IF(ISBLANK(G932),"",INDEX('POR Config List'!E:E,MATCH(G932,'POR Config List'!D:D,0)))</f>
        <v/>
      </c>
      <c r="AC932" s="105"/>
      <c r="AD932" s="100"/>
      <c r="AE932" s="100"/>
      <c r="AF932" s="100"/>
      <c r="AG932" s="100"/>
      <c r="AM932" s="102"/>
      <c r="AN932" s="102"/>
    </row>
    <row r="933">
      <c r="A933" s="168"/>
      <c r="B933" s="100" t="str">
        <f t="array" ref="B933">IFERROR( INDEX('POR Config List'!A:A,MATCH(G933,'POR Config List'!D:D,0)),"")</f>
        <v/>
      </c>
      <c r="C933" s="101" t="str">
        <f t="array" ref="C933">IFERROR(INDEX('label approval artwork'!E:E,MATCH(G933,'label approval artwork'!F:F,0),""),"")</f>
        <v/>
      </c>
      <c r="D933" s="102" t="str">
        <f t="shared" si="3"/>
        <v/>
      </c>
      <c r="E933" s="100" t="str">
        <f t="array" ref="E933">IF(ISBLANK(G933),"",INDEX('POR Config List'!K:K,MATCH(G933,'POR Config List'!D:D,0)))</f>
        <v/>
      </c>
      <c r="F933" s="100" t="str">
        <f t="array" ref="F933">IF(ISBLANK(G933),"",INDEX('POR Config List'!J:J,MATCH(G933,'POR Config List'!D:D,0)))</f>
        <v/>
      </c>
      <c r="G933" s="168"/>
      <c r="H933" s="104" t="str">
        <f t="array" ref="H933">IF(ISBLANK(G933),"",INDEX('MP SKUs'!G:G,MATCH(G933,'MP SKUs'!A:A,0)))</f>
        <v/>
      </c>
      <c r="I933" s="105" t="str">
        <f t="array" ref="I933">IF(ISBLANK(G933),"",INDEX('POR Config List'!O:O,MATCH(G933,'POR Config List'!D:D,0)))</f>
        <v/>
      </c>
      <c r="J933" s="104" t="str">
        <f t="array" ref="J933">IF(ISBLANK(G933),"",INDEX('POR Config List'!H:H,MATCH(G933,'POR Config List'!D:D,0)))</f>
        <v/>
      </c>
      <c r="K933" s="105" t="str">
        <f t="array" ref="K933">IF(ISBLANK(G933),"",INDEX('POR Config List'!G:G,MATCH(G933,'POR Config List'!D:D,0)))</f>
        <v/>
      </c>
      <c r="L933" s="105"/>
      <c r="M933" s="105" t="str">
        <f t="array" ref="M933">IF(ISBLANK(G933),"",INDEX('label approval artwork'!Q:Q,MATCH( G933,'label approval artwork'!F:F,0)))</f>
        <v/>
      </c>
      <c r="N933" s="169" t="str">
        <f t="shared" si="5"/>
        <v/>
      </c>
      <c r="O933" s="102" t="str">
        <f t="array" ref="O933">IF(ISBLANK(G933),"",INDEX('POR Config List'!C:C,MATCH(G933,'POR Config List'!D:D,0)))</f>
        <v/>
      </c>
      <c r="P933" s="105" t="str">
        <f t="shared" si="4"/>
        <v/>
      </c>
      <c r="Q933" s="105" t="str">
        <f t="array" ref="Q933">IF(ISBLANK(G933),"",INDEX('label approval artwork'!J:J,MATCH( G933,'label approval artwork'!F:F,0)))</f>
        <v/>
      </c>
      <c r="R933" s="105" t="str">
        <f t="array" ref="R933">IFERROR( IF(P933&lt;&gt;"EMA",INDEX('label approval artwork'!H:H,MATCH(G933,'label approval artwork'!F:F,0),"")),"")</f>
        <v/>
      </c>
      <c r="S933" s="105"/>
      <c r="T933" s="105" t="str">
        <f t="array" ref="T933">IF(ISBLANK(G933),"",INDEX('POR Config List'!I:I,MATCH(G933,'POR Config List'!D:D,0)))</f>
        <v/>
      </c>
      <c r="AA933" s="100" t="str">
        <f t="array" ref="AA933">IF(ISBLANK(G933),"",INDEX('POR Config List'!E:E,MATCH(G933,'POR Config List'!D:D,0)))</f>
        <v/>
      </c>
      <c r="AC933" s="105"/>
      <c r="AD933" s="100"/>
      <c r="AE933" s="100"/>
      <c r="AF933" s="100"/>
      <c r="AG933" s="100"/>
      <c r="AM933" s="102"/>
      <c r="AN933" s="102"/>
    </row>
    <row r="934">
      <c r="A934" s="168"/>
      <c r="B934" s="100" t="str">
        <f t="array" ref="B934">IFERROR( INDEX('POR Config List'!A:A,MATCH(G934,'POR Config List'!D:D,0)),"")</f>
        <v/>
      </c>
      <c r="C934" s="101" t="str">
        <f t="array" ref="C934">IFERROR(INDEX('label approval artwork'!E:E,MATCH(G934,'label approval artwork'!F:F,0),""),"")</f>
        <v/>
      </c>
      <c r="D934" s="102" t="str">
        <f t="shared" si="3"/>
        <v/>
      </c>
      <c r="E934" s="100" t="str">
        <f t="array" ref="E934">IF(ISBLANK(G934),"",INDEX('POR Config List'!K:K,MATCH(G934,'POR Config List'!D:D,0)))</f>
        <v/>
      </c>
      <c r="F934" s="100" t="str">
        <f t="array" ref="F934">IF(ISBLANK(G934),"",INDEX('POR Config List'!J:J,MATCH(G934,'POR Config List'!D:D,0)))</f>
        <v/>
      </c>
      <c r="G934" s="168"/>
      <c r="H934" s="104" t="str">
        <f t="array" ref="H934">IF(ISBLANK(G934),"",INDEX('MP SKUs'!G:G,MATCH(G934,'MP SKUs'!A:A,0)))</f>
        <v/>
      </c>
      <c r="I934" s="105" t="str">
        <f t="array" ref="I934">IF(ISBLANK(G934),"",INDEX('POR Config List'!O:O,MATCH(G934,'POR Config List'!D:D,0)))</f>
        <v/>
      </c>
      <c r="J934" s="104" t="str">
        <f t="array" ref="J934">IF(ISBLANK(G934),"",INDEX('POR Config List'!H:H,MATCH(G934,'POR Config List'!D:D,0)))</f>
        <v/>
      </c>
      <c r="K934" s="105" t="str">
        <f t="array" ref="K934">IF(ISBLANK(G934),"",INDEX('POR Config List'!G:G,MATCH(G934,'POR Config List'!D:D,0)))</f>
        <v/>
      </c>
      <c r="L934" s="105"/>
      <c r="M934" s="105" t="str">
        <f t="array" ref="M934">IF(ISBLANK(G934),"",INDEX('label approval artwork'!Q:Q,MATCH( G934,'label approval artwork'!F:F,0)))</f>
        <v/>
      </c>
      <c r="N934" s="169" t="str">
        <f t="shared" si="5"/>
        <v/>
      </c>
      <c r="O934" s="102" t="str">
        <f t="array" ref="O934">IF(ISBLANK(G934),"",INDEX('POR Config List'!C:C,MATCH(G934,'POR Config List'!D:D,0)))</f>
        <v/>
      </c>
      <c r="P934" s="105" t="str">
        <f t="shared" si="4"/>
        <v/>
      </c>
      <c r="Q934" s="105" t="str">
        <f t="array" ref="Q934">IF(ISBLANK(G934),"",INDEX('label approval artwork'!J:J,MATCH( G934,'label approval artwork'!F:F,0)))</f>
        <v/>
      </c>
      <c r="R934" s="105" t="str">
        <f t="array" ref="R934">IFERROR( IF(P934&lt;&gt;"EMA",INDEX('label approval artwork'!H:H,MATCH(G934,'label approval artwork'!F:F,0),"")),"")</f>
        <v/>
      </c>
      <c r="S934" s="105"/>
      <c r="T934" s="105" t="str">
        <f t="array" ref="T934">IF(ISBLANK(G934),"",INDEX('POR Config List'!I:I,MATCH(G934,'POR Config List'!D:D,0)))</f>
        <v/>
      </c>
      <c r="AA934" s="100" t="str">
        <f t="array" ref="AA934">IF(ISBLANK(G934),"",INDEX('POR Config List'!E:E,MATCH(G934,'POR Config List'!D:D,0)))</f>
        <v/>
      </c>
      <c r="AC934" s="105"/>
      <c r="AD934" s="100"/>
      <c r="AE934" s="100"/>
      <c r="AF934" s="100"/>
      <c r="AG934" s="100"/>
      <c r="AM934" s="102"/>
      <c r="AN934" s="102"/>
    </row>
    <row r="935">
      <c r="A935" s="168"/>
      <c r="B935" s="100" t="str">
        <f t="array" ref="B935">IFERROR( INDEX('POR Config List'!A:A,MATCH(G935,'POR Config List'!D:D,0)),"")</f>
        <v/>
      </c>
      <c r="C935" s="101" t="str">
        <f t="array" ref="C935">IFERROR(INDEX('label approval artwork'!E:E,MATCH(G935,'label approval artwork'!F:F,0),""),"")</f>
        <v/>
      </c>
      <c r="D935" s="102" t="str">
        <f t="shared" si="3"/>
        <v/>
      </c>
      <c r="E935" s="100" t="str">
        <f t="array" ref="E935">IF(ISBLANK(G935),"",INDEX('POR Config List'!K:K,MATCH(G935,'POR Config List'!D:D,0)))</f>
        <v/>
      </c>
      <c r="F935" s="100" t="str">
        <f t="array" ref="F935">IF(ISBLANK(G935),"",INDEX('POR Config List'!J:J,MATCH(G935,'POR Config List'!D:D,0)))</f>
        <v/>
      </c>
      <c r="G935" s="168"/>
      <c r="H935" s="104" t="str">
        <f t="array" ref="H935">IF(ISBLANK(G935),"",INDEX('MP SKUs'!G:G,MATCH(G935,'MP SKUs'!A:A,0)))</f>
        <v/>
      </c>
      <c r="I935" s="105" t="str">
        <f t="array" ref="I935">IF(ISBLANK(G935),"",INDEX('POR Config List'!O:O,MATCH(G935,'POR Config List'!D:D,0)))</f>
        <v/>
      </c>
      <c r="J935" s="104" t="str">
        <f t="array" ref="J935">IF(ISBLANK(G935),"",INDEX('POR Config List'!H:H,MATCH(G935,'POR Config List'!D:D,0)))</f>
        <v/>
      </c>
      <c r="K935" s="105" t="str">
        <f t="array" ref="K935">IF(ISBLANK(G935),"",INDEX('POR Config List'!G:G,MATCH(G935,'POR Config List'!D:D,0)))</f>
        <v/>
      </c>
      <c r="L935" s="105"/>
      <c r="M935" s="105" t="str">
        <f t="array" ref="M935">IF(ISBLANK(G935),"",INDEX('label approval artwork'!Q:Q,MATCH( G935,'label approval artwork'!F:F,0)))</f>
        <v/>
      </c>
      <c r="N935" s="169" t="str">
        <f t="shared" si="5"/>
        <v/>
      </c>
      <c r="O935" s="102" t="str">
        <f t="array" ref="O935">IF(ISBLANK(G935),"",INDEX('POR Config List'!C:C,MATCH(G935,'POR Config List'!D:D,0)))</f>
        <v/>
      </c>
      <c r="P935" s="105" t="str">
        <f t="shared" si="4"/>
        <v/>
      </c>
      <c r="Q935" s="105" t="str">
        <f t="array" ref="Q935">IF(ISBLANK(G935),"",INDEX('label approval artwork'!J:J,MATCH( G935,'label approval artwork'!F:F,0)))</f>
        <v/>
      </c>
      <c r="R935" s="105" t="str">
        <f t="array" ref="R935">IFERROR( IF(P935&lt;&gt;"EMA",INDEX('label approval artwork'!H:H,MATCH(G935,'label approval artwork'!F:F,0),"")),"")</f>
        <v/>
      </c>
      <c r="S935" s="105"/>
      <c r="T935" s="105" t="str">
        <f t="array" ref="T935">IF(ISBLANK(G935),"",INDEX('POR Config List'!I:I,MATCH(G935,'POR Config List'!D:D,0)))</f>
        <v/>
      </c>
      <c r="AA935" s="100" t="str">
        <f t="array" ref="AA935">IF(ISBLANK(G935),"",INDEX('POR Config List'!E:E,MATCH(G935,'POR Config List'!D:D,0)))</f>
        <v/>
      </c>
      <c r="AC935" s="105"/>
      <c r="AD935" s="100"/>
      <c r="AE935" s="100"/>
      <c r="AF935" s="100"/>
      <c r="AG935" s="100"/>
      <c r="AM935" s="102"/>
      <c r="AN935" s="102"/>
    </row>
    <row r="936">
      <c r="A936" s="168"/>
      <c r="B936" s="100" t="str">
        <f t="array" ref="B936">IFERROR( INDEX('POR Config List'!A:A,MATCH(G936,'POR Config List'!D:D,0)),"")</f>
        <v/>
      </c>
      <c r="C936" s="101" t="str">
        <f t="array" ref="C936">IFERROR(INDEX('label approval artwork'!E:E,MATCH(G936,'label approval artwork'!F:F,0),""),"")</f>
        <v/>
      </c>
      <c r="D936" s="102" t="str">
        <f t="shared" si="3"/>
        <v/>
      </c>
      <c r="E936" s="100" t="str">
        <f t="array" ref="E936">IF(ISBLANK(G936),"",INDEX('POR Config List'!K:K,MATCH(G936,'POR Config List'!D:D,0)))</f>
        <v/>
      </c>
      <c r="F936" s="100" t="str">
        <f t="array" ref="F936">IF(ISBLANK(G936),"",INDEX('POR Config List'!J:J,MATCH(G936,'POR Config List'!D:D,0)))</f>
        <v/>
      </c>
      <c r="G936" s="168"/>
      <c r="H936" s="104" t="str">
        <f t="array" ref="H936">IF(ISBLANK(G936),"",INDEX('MP SKUs'!G:G,MATCH(G936,'MP SKUs'!A:A,0)))</f>
        <v/>
      </c>
      <c r="I936" s="105" t="str">
        <f t="array" ref="I936">IF(ISBLANK(G936),"",INDEX('POR Config List'!O:O,MATCH(G936,'POR Config List'!D:D,0)))</f>
        <v/>
      </c>
      <c r="J936" s="104" t="str">
        <f t="array" ref="J936">IF(ISBLANK(G936),"",INDEX('POR Config List'!H:H,MATCH(G936,'POR Config List'!D:D,0)))</f>
        <v/>
      </c>
      <c r="K936" s="105" t="str">
        <f t="array" ref="K936">IF(ISBLANK(G936),"",INDEX('POR Config List'!G:G,MATCH(G936,'POR Config List'!D:D,0)))</f>
        <v/>
      </c>
      <c r="L936" s="105"/>
      <c r="M936" s="105" t="str">
        <f t="array" ref="M936">IF(ISBLANK(G936),"",INDEX('label approval artwork'!Q:Q,MATCH( G936,'label approval artwork'!F:F,0)))</f>
        <v/>
      </c>
      <c r="N936" s="169" t="str">
        <f t="shared" si="5"/>
        <v/>
      </c>
      <c r="O936" s="102" t="str">
        <f t="array" ref="O936">IF(ISBLANK(G936),"",INDEX('POR Config List'!C:C,MATCH(G936,'POR Config List'!D:D,0)))</f>
        <v/>
      </c>
      <c r="P936" s="105" t="str">
        <f t="shared" si="4"/>
        <v/>
      </c>
      <c r="Q936" s="105" t="str">
        <f t="array" ref="Q936">IF(ISBLANK(G936),"",INDEX('label approval artwork'!J:J,MATCH( G936,'label approval artwork'!F:F,0)))</f>
        <v/>
      </c>
      <c r="R936" s="105" t="str">
        <f t="array" ref="R936">IFERROR( IF(P936&lt;&gt;"EMA",INDEX('label approval artwork'!H:H,MATCH(G936,'label approval artwork'!F:F,0),"")),"")</f>
        <v/>
      </c>
      <c r="S936" s="105"/>
      <c r="T936" s="105" t="str">
        <f t="array" ref="T936">IF(ISBLANK(G936),"",INDEX('POR Config List'!I:I,MATCH(G936,'POR Config List'!D:D,0)))</f>
        <v/>
      </c>
      <c r="AA936" s="100" t="str">
        <f t="array" ref="AA936">IF(ISBLANK(G936),"",INDEX('POR Config List'!E:E,MATCH(G936,'POR Config List'!D:D,0)))</f>
        <v/>
      </c>
      <c r="AC936" s="105"/>
      <c r="AD936" s="100"/>
      <c r="AE936" s="100"/>
      <c r="AF936" s="100"/>
      <c r="AG936" s="100"/>
      <c r="AM936" s="102"/>
      <c r="AN936" s="102"/>
    </row>
    <row r="937">
      <c r="A937" s="168"/>
      <c r="B937" s="100" t="str">
        <f t="array" ref="B937">IFERROR( INDEX('POR Config List'!A:A,MATCH(G937,'POR Config List'!D:D,0)),"")</f>
        <v/>
      </c>
      <c r="C937" s="101" t="str">
        <f t="array" ref="C937">IFERROR(INDEX('label approval artwork'!E:E,MATCH(G937,'label approval artwork'!F:F,0),""),"")</f>
        <v/>
      </c>
      <c r="D937" s="102" t="str">
        <f t="shared" si="3"/>
        <v/>
      </c>
      <c r="E937" s="100" t="str">
        <f t="array" ref="E937">IF(ISBLANK(G937),"",INDEX('POR Config List'!K:K,MATCH(G937,'POR Config List'!D:D,0)))</f>
        <v/>
      </c>
      <c r="F937" s="100" t="str">
        <f t="array" ref="F937">IF(ISBLANK(G937),"",INDEX('POR Config List'!J:J,MATCH(G937,'POR Config List'!D:D,0)))</f>
        <v/>
      </c>
      <c r="G937" s="168"/>
      <c r="H937" s="104" t="str">
        <f t="array" ref="H937">IF(ISBLANK(G937),"",INDEX('MP SKUs'!G:G,MATCH(G937,'MP SKUs'!A:A,0)))</f>
        <v/>
      </c>
      <c r="I937" s="105" t="str">
        <f t="array" ref="I937">IF(ISBLANK(G937),"",INDEX('POR Config List'!O:O,MATCH(G937,'POR Config List'!D:D,0)))</f>
        <v/>
      </c>
      <c r="J937" s="104" t="str">
        <f t="array" ref="J937">IF(ISBLANK(G937),"",INDEX('POR Config List'!H:H,MATCH(G937,'POR Config List'!D:D,0)))</f>
        <v/>
      </c>
      <c r="K937" s="105" t="str">
        <f t="array" ref="K937">IF(ISBLANK(G937),"",INDEX('POR Config List'!G:G,MATCH(G937,'POR Config List'!D:D,0)))</f>
        <v/>
      </c>
      <c r="L937" s="105"/>
      <c r="M937" s="105" t="str">
        <f t="array" ref="M937">IF(ISBLANK(G937),"",INDEX('label approval artwork'!Q:Q,MATCH( G937,'label approval artwork'!F:F,0)))</f>
        <v/>
      </c>
      <c r="N937" s="169" t="str">
        <f t="shared" si="5"/>
        <v/>
      </c>
      <c r="O937" s="102" t="str">
        <f t="array" ref="O937">IF(ISBLANK(G937),"",INDEX('POR Config List'!C:C,MATCH(G937,'POR Config List'!D:D,0)))</f>
        <v/>
      </c>
      <c r="P937" s="105" t="str">
        <f t="shared" si="4"/>
        <v/>
      </c>
      <c r="Q937" s="105" t="str">
        <f t="array" ref="Q937">IF(ISBLANK(G937),"",INDEX('label approval artwork'!J:J,MATCH( G937,'label approval artwork'!F:F,0)))</f>
        <v/>
      </c>
      <c r="R937" s="105" t="str">
        <f t="array" ref="R937">IFERROR( IF(P937&lt;&gt;"EMA",INDEX('label approval artwork'!H:H,MATCH(G937,'label approval artwork'!F:F,0),"")),"")</f>
        <v/>
      </c>
      <c r="S937" s="105"/>
      <c r="T937" s="105" t="str">
        <f t="array" ref="T937">IF(ISBLANK(G937),"",INDEX('POR Config List'!I:I,MATCH(G937,'POR Config List'!D:D,0)))</f>
        <v/>
      </c>
      <c r="AA937" s="100" t="str">
        <f t="array" ref="AA937">IF(ISBLANK(G937),"",INDEX('POR Config List'!E:E,MATCH(G937,'POR Config List'!D:D,0)))</f>
        <v/>
      </c>
      <c r="AC937" s="105"/>
      <c r="AD937" s="100"/>
      <c r="AE937" s="100"/>
      <c r="AF937" s="100"/>
      <c r="AG937" s="100"/>
      <c r="AM937" s="102"/>
      <c r="AN937" s="102"/>
    </row>
    <row r="938">
      <c r="A938" s="168"/>
      <c r="B938" s="100" t="str">
        <f t="array" ref="B938">IFERROR( INDEX('POR Config List'!A:A,MATCH(G938,'POR Config List'!D:D,0)),"")</f>
        <v/>
      </c>
      <c r="C938" s="101" t="str">
        <f t="array" ref="C938">IFERROR(INDEX('label approval artwork'!E:E,MATCH(G938,'label approval artwork'!F:F,0),""),"")</f>
        <v/>
      </c>
      <c r="D938" s="102" t="str">
        <f t="shared" si="3"/>
        <v/>
      </c>
      <c r="E938" s="100" t="str">
        <f t="array" ref="E938">IF(ISBLANK(G938),"",INDEX('POR Config List'!K:K,MATCH(G938,'POR Config List'!D:D,0)))</f>
        <v/>
      </c>
      <c r="F938" s="100" t="str">
        <f t="array" ref="F938">IF(ISBLANK(G938),"",INDEX('POR Config List'!J:J,MATCH(G938,'POR Config List'!D:D,0)))</f>
        <v/>
      </c>
      <c r="G938" s="168"/>
      <c r="H938" s="104" t="str">
        <f t="array" ref="H938">IF(ISBLANK(G938),"",INDEX('MP SKUs'!G:G,MATCH(G938,'MP SKUs'!A:A,0)))</f>
        <v/>
      </c>
      <c r="I938" s="105" t="str">
        <f t="array" ref="I938">IF(ISBLANK(G938),"",INDEX('POR Config List'!O:O,MATCH(G938,'POR Config List'!D:D,0)))</f>
        <v/>
      </c>
      <c r="J938" s="104" t="str">
        <f t="array" ref="J938">IF(ISBLANK(G938),"",INDEX('POR Config List'!H:H,MATCH(G938,'POR Config List'!D:D,0)))</f>
        <v/>
      </c>
      <c r="K938" s="105" t="str">
        <f t="array" ref="K938">IF(ISBLANK(G938),"",INDEX('POR Config List'!G:G,MATCH(G938,'POR Config List'!D:D,0)))</f>
        <v/>
      </c>
      <c r="L938" s="105"/>
      <c r="M938" s="105" t="str">
        <f t="array" ref="M938">IF(ISBLANK(G938),"",INDEX('label approval artwork'!Q:Q,MATCH( G938,'label approval artwork'!F:F,0)))</f>
        <v/>
      </c>
      <c r="N938" s="169" t="str">
        <f t="shared" si="5"/>
        <v/>
      </c>
      <c r="O938" s="102" t="str">
        <f t="array" ref="O938">IF(ISBLANK(G938),"",INDEX('POR Config List'!C:C,MATCH(G938,'POR Config List'!D:D,0)))</f>
        <v/>
      </c>
      <c r="P938" s="105" t="str">
        <f t="shared" si="4"/>
        <v/>
      </c>
      <c r="Q938" s="105" t="str">
        <f t="array" ref="Q938">IF(ISBLANK(G938),"",INDEX('label approval artwork'!J:J,MATCH( G938,'label approval artwork'!F:F,0)))</f>
        <v/>
      </c>
      <c r="R938" s="105" t="str">
        <f t="array" ref="R938">IFERROR( IF(P938&lt;&gt;"EMA",INDEX('label approval artwork'!H:H,MATCH(G938,'label approval artwork'!F:F,0),"")),"")</f>
        <v/>
      </c>
      <c r="S938" s="105"/>
      <c r="T938" s="105" t="str">
        <f t="array" ref="T938">IF(ISBLANK(G938),"",INDEX('POR Config List'!I:I,MATCH(G938,'POR Config List'!D:D,0)))</f>
        <v/>
      </c>
      <c r="AA938" s="100" t="str">
        <f t="array" ref="AA938">IF(ISBLANK(G938),"",INDEX('POR Config List'!E:E,MATCH(G938,'POR Config List'!D:D,0)))</f>
        <v/>
      </c>
      <c r="AC938" s="105"/>
      <c r="AD938" s="100"/>
      <c r="AE938" s="100"/>
      <c r="AF938" s="100"/>
      <c r="AG938" s="100"/>
      <c r="AM938" s="102"/>
      <c r="AN938" s="102"/>
    </row>
    <row r="939">
      <c r="A939" s="168"/>
      <c r="B939" s="100" t="str">
        <f t="array" ref="B939">IFERROR( INDEX('POR Config List'!A:A,MATCH(G939,'POR Config List'!D:D,0)),"")</f>
        <v/>
      </c>
      <c r="C939" s="101" t="str">
        <f t="array" ref="C939">IFERROR(INDEX('label approval artwork'!E:E,MATCH(G939,'label approval artwork'!F:F,0),""),"")</f>
        <v/>
      </c>
      <c r="D939" s="102" t="str">
        <f t="shared" si="3"/>
        <v/>
      </c>
      <c r="E939" s="100" t="str">
        <f t="array" ref="E939">IF(ISBLANK(G939),"",INDEX('POR Config List'!K:K,MATCH(G939,'POR Config List'!D:D,0)))</f>
        <v/>
      </c>
      <c r="F939" s="100" t="str">
        <f t="array" ref="F939">IF(ISBLANK(G939),"",INDEX('POR Config List'!J:J,MATCH(G939,'POR Config List'!D:D,0)))</f>
        <v/>
      </c>
      <c r="G939" s="168"/>
      <c r="H939" s="104" t="str">
        <f t="array" ref="H939">IF(ISBLANK(G939),"",INDEX('MP SKUs'!G:G,MATCH(G939,'MP SKUs'!A:A,0)))</f>
        <v/>
      </c>
      <c r="I939" s="105" t="str">
        <f t="array" ref="I939">IF(ISBLANK(G939),"",INDEX('POR Config List'!O:O,MATCH(G939,'POR Config List'!D:D,0)))</f>
        <v/>
      </c>
      <c r="J939" s="104" t="str">
        <f t="array" ref="J939">IF(ISBLANK(G939),"",INDEX('POR Config List'!H:H,MATCH(G939,'POR Config List'!D:D,0)))</f>
        <v/>
      </c>
      <c r="K939" s="105" t="str">
        <f t="array" ref="K939">IF(ISBLANK(G939),"",INDEX('POR Config List'!G:G,MATCH(G939,'POR Config List'!D:D,0)))</f>
        <v/>
      </c>
      <c r="L939" s="105"/>
      <c r="M939" s="105" t="str">
        <f t="array" ref="M939">IF(ISBLANK(G939),"",INDEX('label approval artwork'!Q:Q,MATCH( G939,'label approval artwork'!F:F,0)))</f>
        <v/>
      </c>
      <c r="N939" s="169" t="str">
        <f t="shared" si="5"/>
        <v/>
      </c>
      <c r="O939" s="102" t="str">
        <f t="array" ref="O939">IF(ISBLANK(G939),"",INDEX('POR Config List'!C:C,MATCH(G939,'POR Config List'!D:D,0)))</f>
        <v/>
      </c>
      <c r="P939" s="105" t="str">
        <f t="shared" si="4"/>
        <v/>
      </c>
      <c r="Q939" s="105" t="str">
        <f t="array" ref="Q939">IF(ISBLANK(G939),"",INDEX('label approval artwork'!J:J,MATCH( G939,'label approval artwork'!F:F,0)))</f>
        <v/>
      </c>
      <c r="R939" s="105" t="str">
        <f t="array" ref="R939">IFERROR( IF(P939&lt;&gt;"EMA",INDEX('label approval artwork'!H:H,MATCH(G939,'label approval artwork'!F:F,0),"")),"")</f>
        <v/>
      </c>
      <c r="S939" s="105"/>
      <c r="T939" s="105" t="str">
        <f t="array" ref="T939">IF(ISBLANK(G939),"",INDEX('POR Config List'!I:I,MATCH(G939,'POR Config List'!D:D,0)))</f>
        <v/>
      </c>
      <c r="AA939" s="100" t="str">
        <f t="array" ref="AA939">IF(ISBLANK(G939),"",INDEX('POR Config List'!E:E,MATCH(G939,'POR Config List'!D:D,0)))</f>
        <v/>
      </c>
      <c r="AC939" s="105"/>
      <c r="AD939" s="100"/>
      <c r="AE939" s="100"/>
      <c r="AF939" s="100"/>
      <c r="AG939" s="100"/>
      <c r="AM939" s="102"/>
      <c r="AN939" s="102"/>
    </row>
    <row r="940">
      <c r="A940" s="168"/>
      <c r="B940" s="100" t="str">
        <f t="array" ref="B940">IFERROR( INDEX('POR Config List'!A:A,MATCH(G940,'POR Config List'!D:D,0)),"")</f>
        <v/>
      </c>
      <c r="C940" s="101" t="str">
        <f t="array" ref="C940">IFERROR(INDEX('label approval artwork'!E:E,MATCH(G940,'label approval artwork'!F:F,0),""),"")</f>
        <v/>
      </c>
      <c r="D940" s="102" t="str">
        <f t="shared" si="3"/>
        <v/>
      </c>
      <c r="E940" s="100" t="str">
        <f t="array" ref="E940">IF(ISBLANK(G940),"",INDEX('POR Config List'!K:K,MATCH(G940,'POR Config List'!D:D,0)))</f>
        <v/>
      </c>
      <c r="F940" s="100" t="str">
        <f t="array" ref="F940">IF(ISBLANK(G940),"",INDEX('POR Config List'!J:J,MATCH(G940,'POR Config List'!D:D,0)))</f>
        <v/>
      </c>
      <c r="G940" s="168"/>
      <c r="H940" s="104" t="str">
        <f t="array" ref="H940">IF(ISBLANK(G940),"",INDEX('MP SKUs'!G:G,MATCH(G940,'MP SKUs'!A:A,0)))</f>
        <v/>
      </c>
      <c r="I940" s="105" t="str">
        <f t="array" ref="I940">IF(ISBLANK(G940),"",INDEX('POR Config List'!O:O,MATCH(G940,'POR Config List'!D:D,0)))</f>
        <v/>
      </c>
      <c r="J940" s="104" t="str">
        <f t="array" ref="J940">IF(ISBLANK(G940),"",INDEX('POR Config List'!H:H,MATCH(G940,'POR Config List'!D:D,0)))</f>
        <v/>
      </c>
      <c r="K940" s="105" t="str">
        <f t="array" ref="K940">IF(ISBLANK(G940),"",INDEX('POR Config List'!G:G,MATCH(G940,'POR Config List'!D:D,0)))</f>
        <v/>
      </c>
      <c r="L940" s="105"/>
      <c r="M940" s="105" t="str">
        <f t="array" ref="M940">IF(ISBLANK(G940),"",INDEX('label approval artwork'!Q:Q,MATCH( G940,'label approval artwork'!F:F,0)))</f>
        <v/>
      </c>
      <c r="N940" s="169" t="str">
        <f t="shared" si="5"/>
        <v/>
      </c>
      <c r="O940" s="102" t="str">
        <f t="array" ref="O940">IF(ISBLANK(G940),"",INDEX('POR Config List'!C:C,MATCH(G940,'POR Config List'!D:D,0)))</f>
        <v/>
      </c>
      <c r="P940" s="105" t="str">
        <f t="shared" si="4"/>
        <v/>
      </c>
      <c r="Q940" s="105" t="str">
        <f t="array" ref="Q940">IF(ISBLANK(G940),"",INDEX('label approval artwork'!J:J,MATCH( G940,'label approval artwork'!F:F,0)))</f>
        <v/>
      </c>
      <c r="R940" s="105" t="str">
        <f t="array" ref="R940">IFERROR( IF(P940&lt;&gt;"EMA",INDEX('label approval artwork'!H:H,MATCH(G940,'label approval artwork'!F:F,0),"")),"")</f>
        <v/>
      </c>
      <c r="S940" s="105"/>
      <c r="T940" s="105" t="str">
        <f t="array" ref="T940">IF(ISBLANK(G940),"",INDEX('POR Config List'!I:I,MATCH(G940,'POR Config List'!D:D,0)))</f>
        <v/>
      </c>
      <c r="AA940" s="100" t="str">
        <f t="array" ref="AA940">IF(ISBLANK(G940),"",INDEX('POR Config List'!E:E,MATCH(G940,'POR Config List'!D:D,0)))</f>
        <v/>
      </c>
      <c r="AC940" s="105"/>
      <c r="AD940" s="100"/>
      <c r="AE940" s="100"/>
      <c r="AF940" s="100"/>
      <c r="AG940" s="100"/>
      <c r="AM940" s="102"/>
      <c r="AN940" s="102"/>
    </row>
    <row r="941">
      <c r="A941" s="168"/>
      <c r="B941" s="100" t="str">
        <f t="array" ref="B941">IFERROR( INDEX('POR Config List'!A:A,MATCH(G941,'POR Config List'!D:D,0)),"")</f>
        <v/>
      </c>
      <c r="C941" s="101" t="str">
        <f t="array" ref="C941">IFERROR(INDEX('label approval artwork'!E:E,MATCH(G941,'label approval artwork'!F:F,0),""),"")</f>
        <v/>
      </c>
      <c r="D941" s="102" t="str">
        <f t="shared" si="3"/>
        <v/>
      </c>
      <c r="E941" s="100" t="str">
        <f t="array" ref="E941">IF(ISBLANK(G941),"",INDEX('POR Config List'!K:K,MATCH(G941,'POR Config List'!D:D,0)))</f>
        <v/>
      </c>
      <c r="F941" s="100" t="str">
        <f t="array" ref="F941">IF(ISBLANK(G941),"",INDEX('POR Config List'!J:J,MATCH(G941,'POR Config List'!D:D,0)))</f>
        <v/>
      </c>
      <c r="G941" s="168"/>
      <c r="H941" s="104" t="str">
        <f t="array" ref="H941">IF(ISBLANK(G941),"",INDEX('MP SKUs'!G:G,MATCH(G941,'MP SKUs'!A:A,0)))</f>
        <v/>
      </c>
      <c r="I941" s="105" t="str">
        <f t="array" ref="I941">IF(ISBLANK(G941),"",INDEX('POR Config List'!O:O,MATCH(G941,'POR Config List'!D:D,0)))</f>
        <v/>
      </c>
      <c r="J941" s="104" t="str">
        <f t="array" ref="J941">IF(ISBLANK(G941),"",INDEX('POR Config List'!H:H,MATCH(G941,'POR Config List'!D:D,0)))</f>
        <v/>
      </c>
      <c r="K941" s="105" t="str">
        <f t="array" ref="K941">IF(ISBLANK(G941),"",INDEX('POR Config List'!G:G,MATCH(G941,'POR Config List'!D:D,0)))</f>
        <v/>
      </c>
      <c r="L941" s="105"/>
      <c r="M941" s="105" t="str">
        <f t="array" ref="M941">IF(ISBLANK(G941),"",INDEX('label approval artwork'!Q:Q,MATCH( G941,'label approval artwork'!F:F,0)))</f>
        <v/>
      </c>
      <c r="N941" s="169" t="str">
        <f t="shared" si="5"/>
        <v/>
      </c>
      <c r="O941" s="102" t="str">
        <f t="array" ref="O941">IF(ISBLANK(G941),"",INDEX('POR Config List'!C:C,MATCH(G941,'POR Config List'!D:D,0)))</f>
        <v/>
      </c>
      <c r="P941" s="105" t="str">
        <f t="shared" si="4"/>
        <v/>
      </c>
      <c r="Q941" s="105" t="str">
        <f t="array" ref="Q941">IF(ISBLANK(G941),"",INDEX('label approval artwork'!J:J,MATCH( G941,'label approval artwork'!F:F,0)))</f>
        <v/>
      </c>
      <c r="R941" s="105" t="str">
        <f t="array" ref="R941">IFERROR( IF(P941&lt;&gt;"EMA",INDEX('label approval artwork'!H:H,MATCH(G941,'label approval artwork'!F:F,0),"")),"")</f>
        <v/>
      </c>
      <c r="S941" s="105"/>
      <c r="T941" s="105" t="str">
        <f t="array" ref="T941">IF(ISBLANK(G941),"",INDEX('POR Config List'!I:I,MATCH(G941,'POR Config List'!D:D,0)))</f>
        <v/>
      </c>
      <c r="AA941" s="100" t="str">
        <f t="array" ref="AA941">IF(ISBLANK(G941),"",INDEX('POR Config List'!E:E,MATCH(G941,'POR Config List'!D:D,0)))</f>
        <v/>
      </c>
      <c r="AC941" s="105"/>
      <c r="AD941" s="100"/>
      <c r="AE941" s="100"/>
      <c r="AF941" s="100"/>
      <c r="AG941" s="100"/>
      <c r="AM941" s="102"/>
      <c r="AN941" s="102"/>
    </row>
    <row r="942">
      <c r="A942" s="168"/>
      <c r="B942" s="100" t="str">
        <f t="array" ref="B942">IFERROR( INDEX('POR Config List'!A:A,MATCH(G942,'POR Config List'!D:D,0)),"")</f>
        <v/>
      </c>
      <c r="C942" s="101" t="str">
        <f t="array" ref="C942">IFERROR(INDEX('label approval artwork'!E:E,MATCH(G942,'label approval artwork'!F:F,0),""),"")</f>
        <v/>
      </c>
      <c r="D942" s="102" t="str">
        <f t="shared" si="3"/>
        <v/>
      </c>
      <c r="E942" s="100" t="str">
        <f t="array" ref="E942">IF(ISBLANK(G942),"",INDEX('POR Config List'!K:K,MATCH(G942,'POR Config List'!D:D,0)))</f>
        <v/>
      </c>
      <c r="F942" s="100" t="str">
        <f t="array" ref="F942">IF(ISBLANK(G942),"",INDEX('POR Config List'!J:J,MATCH(G942,'POR Config List'!D:D,0)))</f>
        <v/>
      </c>
      <c r="G942" s="168"/>
      <c r="H942" s="104" t="str">
        <f t="array" ref="H942">IF(ISBLANK(G942),"",INDEX('MP SKUs'!G:G,MATCH(G942,'MP SKUs'!A:A,0)))</f>
        <v/>
      </c>
      <c r="I942" s="105" t="str">
        <f t="array" ref="I942">IF(ISBLANK(G942),"",INDEX('POR Config List'!O:O,MATCH(G942,'POR Config List'!D:D,0)))</f>
        <v/>
      </c>
      <c r="J942" s="104" t="str">
        <f t="array" ref="J942">IF(ISBLANK(G942),"",INDEX('POR Config List'!H:H,MATCH(G942,'POR Config List'!D:D,0)))</f>
        <v/>
      </c>
      <c r="K942" s="105" t="str">
        <f t="array" ref="K942">IF(ISBLANK(G942),"",INDEX('POR Config List'!G:G,MATCH(G942,'POR Config List'!D:D,0)))</f>
        <v/>
      </c>
      <c r="L942" s="105"/>
      <c r="M942" s="105" t="str">
        <f t="array" ref="M942">IF(ISBLANK(G942),"",INDEX('label approval artwork'!Q:Q,MATCH( G942,'label approval artwork'!F:F,0)))</f>
        <v/>
      </c>
      <c r="N942" s="169" t="str">
        <f t="shared" si="5"/>
        <v/>
      </c>
      <c r="O942" s="102" t="str">
        <f t="array" ref="O942">IF(ISBLANK(G942),"",INDEX('POR Config List'!C:C,MATCH(G942,'POR Config List'!D:D,0)))</f>
        <v/>
      </c>
      <c r="P942" s="105" t="str">
        <f t="shared" si="4"/>
        <v/>
      </c>
      <c r="Q942" s="105" t="str">
        <f t="array" ref="Q942">IF(ISBLANK(G942),"",INDEX('label approval artwork'!J:J,MATCH( G942,'label approval artwork'!F:F,0)))</f>
        <v/>
      </c>
      <c r="R942" s="105" t="str">
        <f t="array" ref="R942">IFERROR( IF(P942&lt;&gt;"EMA",INDEX('label approval artwork'!H:H,MATCH(G942,'label approval artwork'!F:F,0),"")),"")</f>
        <v/>
      </c>
      <c r="S942" s="105"/>
      <c r="T942" s="105" t="str">
        <f t="array" ref="T942">IF(ISBLANK(G942),"",INDEX('POR Config List'!I:I,MATCH(G942,'POR Config List'!D:D,0)))</f>
        <v/>
      </c>
      <c r="AA942" s="100" t="str">
        <f t="array" ref="AA942">IF(ISBLANK(G942),"",INDEX('POR Config List'!E:E,MATCH(G942,'POR Config List'!D:D,0)))</f>
        <v/>
      </c>
      <c r="AC942" s="105"/>
      <c r="AD942" s="100"/>
      <c r="AE942" s="100"/>
      <c r="AF942" s="100"/>
      <c r="AG942" s="100"/>
      <c r="AM942" s="102"/>
      <c r="AN942" s="102"/>
    </row>
    <row r="943">
      <c r="A943" s="168"/>
      <c r="B943" s="100" t="str">
        <f t="array" ref="B943">IFERROR( INDEX('POR Config List'!A:A,MATCH(G943,'POR Config List'!D:D,0)),"")</f>
        <v/>
      </c>
      <c r="C943" s="101" t="str">
        <f t="array" ref="C943">IFERROR(INDEX('label approval artwork'!E:E,MATCH(G943,'label approval artwork'!F:F,0),""),"")</f>
        <v/>
      </c>
      <c r="D943" s="102" t="str">
        <f t="shared" si="3"/>
        <v/>
      </c>
      <c r="E943" s="100" t="str">
        <f t="array" ref="E943">IF(ISBLANK(G943),"",INDEX('POR Config List'!K:K,MATCH(G943,'POR Config List'!D:D,0)))</f>
        <v/>
      </c>
      <c r="F943" s="100" t="str">
        <f t="array" ref="F943">IF(ISBLANK(G943),"",INDEX('POR Config List'!J:J,MATCH(G943,'POR Config List'!D:D,0)))</f>
        <v/>
      </c>
      <c r="G943" s="168"/>
      <c r="H943" s="104" t="str">
        <f t="array" ref="H943">IF(ISBLANK(G943),"",INDEX('MP SKUs'!G:G,MATCH(G943,'MP SKUs'!A:A,0)))</f>
        <v/>
      </c>
      <c r="I943" s="105" t="str">
        <f t="array" ref="I943">IF(ISBLANK(G943),"",INDEX('POR Config List'!O:O,MATCH(G943,'POR Config List'!D:D,0)))</f>
        <v/>
      </c>
      <c r="J943" s="104" t="str">
        <f t="array" ref="J943">IF(ISBLANK(G943),"",INDEX('POR Config List'!H:H,MATCH(G943,'POR Config List'!D:D,0)))</f>
        <v/>
      </c>
      <c r="K943" s="105" t="str">
        <f t="array" ref="K943">IF(ISBLANK(G943),"",INDEX('POR Config List'!G:G,MATCH(G943,'POR Config List'!D:D,0)))</f>
        <v/>
      </c>
      <c r="L943" s="105"/>
      <c r="M943" s="105" t="str">
        <f t="array" ref="M943">IF(ISBLANK(G943),"",INDEX('label approval artwork'!Q:Q,MATCH( G943,'label approval artwork'!F:F,0)))</f>
        <v/>
      </c>
      <c r="N943" s="169" t="str">
        <f t="shared" si="5"/>
        <v/>
      </c>
      <c r="O943" s="102" t="str">
        <f t="array" ref="O943">IF(ISBLANK(G943),"",INDEX('POR Config List'!C:C,MATCH(G943,'POR Config List'!D:D,0)))</f>
        <v/>
      </c>
      <c r="P943" s="105" t="str">
        <f t="shared" si="4"/>
        <v/>
      </c>
      <c r="Q943" s="105" t="str">
        <f t="array" ref="Q943">IF(ISBLANK(G943),"",INDEX('label approval artwork'!J:J,MATCH( G943,'label approval artwork'!F:F,0)))</f>
        <v/>
      </c>
      <c r="R943" s="105" t="str">
        <f t="array" ref="R943">IFERROR( IF(P943&lt;&gt;"EMA",INDEX('label approval artwork'!H:H,MATCH(G943,'label approval artwork'!F:F,0),"")),"")</f>
        <v/>
      </c>
      <c r="S943" s="105"/>
      <c r="T943" s="105" t="str">
        <f t="array" ref="T943">IF(ISBLANK(G943),"",INDEX('POR Config List'!I:I,MATCH(G943,'POR Config List'!D:D,0)))</f>
        <v/>
      </c>
      <c r="AA943" s="100" t="str">
        <f t="array" ref="AA943">IF(ISBLANK(G943),"",INDEX('POR Config List'!E:E,MATCH(G943,'POR Config List'!D:D,0)))</f>
        <v/>
      </c>
      <c r="AC943" s="105"/>
      <c r="AD943" s="100"/>
      <c r="AE943" s="100"/>
      <c r="AF943" s="100"/>
      <c r="AG943" s="100"/>
      <c r="AM943" s="102"/>
      <c r="AN943" s="102"/>
    </row>
    <row r="944">
      <c r="A944" s="168"/>
      <c r="B944" s="100" t="str">
        <f t="array" ref="B944">IFERROR( INDEX('POR Config List'!A:A,MATCH(G944,'POR Config List'!D:D,0)),"")</f>
        <v/>
      </c>
      <c r="C944" s="101" t="str">
        <f t="array" ref="C944">IFERROR(INDEX('label approval artwork'!E:E,MATCH(G944,'label approval artwork'!F:F,0),""),"")</f>
        <v/>
      </c>
      <c r="D944" s="102" t="str">
        <f t="shared" si="3"/>
        <v/>
      </c>
      <c r="E944" s="100" t="str">
        <f t="array" ref="E944">IF(ISBLANK(G944),"",INDEX('POR Config List'!K:K,MATCH(G944,'POR Config List'!D:D,0)))</f>
        <v/>
      </c>
      <c r="F944" s="100" t="str">
        <f t="array" ref="F944">IF(ISBLANK(G944),"",INDEX('POR Config List'!J:J,MATCH(G944,'POR Config List'!D:D,0)))</f>
        <v/>
      </c>
      <c r="G944" s="168"/>
      <c r="H944" s="104" t="str">
        <f t="array" ref="H944">IF(ISBLANK(G944),"",INDEX('MP SKUs'!G:G,MATCH(G944,'MP SKUs'!A:A,0)))</f>
        <v/>
      </c>
      <c r="I944" s="105" t="str">
        <f t="array" ref="I944">IF(ISBLANK(G944),"",INDEX('POR Config List'!O:O,MATCH(G944,'POR Config List'!D:D,0)))</f>
        <v/>
      </c>
      <c r="J944" s="104" t="str">
        <f t="array" ref="J944">IF(ISBLANK(G944),"",INDEX('POR Config List'!H:H,MATCH(G944,'POR Config List'!D:D,0)))</f>
        <v/>
      </c>
      <c r="K944" s="105" t="str">
        <f t="array" ref="K944">IF(ISBLANK(G944),"",INDEX('POR Config List'!G:G,MATCH(G944,'POR Config List'!D:D,0)))</f>
        <v/>
      </c>
      <c r="L944" s="105"/>
      <c r="M944" s="105" t="str">
        <f t="array" ref="M944">IF(ISBLANK(G944),"",INDEX('label approval artwork'!Q:Q,MATCH( G944,'label approval artwork'!F:F,0)))</f>
        <v/>
      </c>
      <c r="N944" s="169" t="str">
        <f t="shared" si="5"/>
        <v/>
      </c>
      <c r="O944" s="102" t="str">
        <f t="array" ref="O944">IF(ISBLANK(G944),"",INDEX('POR Config List'!C:C,MATCH(G944,'POR Config List'!D:D,0)))</f>
        <v/>
      </c>
      <c r="P944" s="105" t="str">
        <f t="shared" si="4"/>
        <v/>
      </c>
      <c r="Q944" s="105" t="str">
        <f t="array" ref="Q944">IF(ISBLANK(G944),"",INDEX('label approval artwork'!J:J,MATCH( G944,'label approval artwork'!F:F,0)))</f>
        <v/>
      </c>
      <c r="R944" s="105" t="str">
        <f t="array" ref="R944">IFERROR( IF(P944&lt;&gt;"EMA",INDEX('label approval artwork'!H:H,MATCH(G944,'label approval artwork'!F:F,0),"")),"")</f>
        <v/>
      </c>
      <c r="S944" s="105"/>
      <c r="T944" s="105" t="str">
        <f t="array" ref="T944">IF(ISBLANK(G944),"",INDEX('POR Config List'!I:I,MATCH(G944,'POR Config List'!D:D,0)))</f>
        <v/>
      </c>
      <c r="AA944" s="100" t="str">
        <f t="array" ref="AA944">IF(ISBLANK(G944),"",INDEX('POR Config List'!E:E,MATCH(G944,'POR Config List'!D:D,0)))</f>
        <v/>
      </c>
      <c r="AC944" s="105"/>
      <c r="AD944" s="100"/>
      <c r="AE944" s="100"/>
      <c r="AF944" s="100"/>
      <c r="AG944" s="100"/>
      <c r="AM944" s="102"/>
      <c r="AN944" s="102"/>
    </row>
    <row r="945">
      <c r="A945" s="168"/>
      <c r="B945" s="100" t="str">
        <f t="array" ref="B945">IFERROR( INDEX('POR Config List'!A:A,MATCH(G945,'POR Config List'!D:D,0)),"")</f>
        <v/>
      </c>
      <c r="C945" s="101" t="str">
        <f t="array" ref="C945">IFERROR(INDEX('label approval artwork'!E:E,MATCH(G945,'label approval artwork'!F:F,0),""),"")</f>
        <v/>
      </c>
      <c r="D945" s="102" t="str">
        <f t="shared" si="3"/>
        <v/>
      </c>
      <c r="E945" s="100" t="str">
        <f t="array" ref="E945">IF(ISBLANK(G945),"",INDEX('POR Config List'!K:K,MATCH(G945,'POR Config List'!D:D,0)))</f>
        <v/>
      </c>
      <c r="F945" s="100" t="str">
        <f t="array" ref="F945">IF(ISBLANK(G945),"",INDEX('POR Config List'!J:J,MATCH(G945,'POR Config List'!D:D,0)))</f>
        <v/>
      </c>
      <c r="G945" s="168"/>
      <c r="H945" s="104" t="str">
        <f t="array" ref="H945">IF(ISBLANK(G945),"",INDEX('MP SKUs'!G:G,MATCH(G945,'MP SKUs'!A:A,0)))</f>
        <v/>
      </c>
      <c r="I945" s="105" t="str">
        <f t="array" ref="I945">IF(ISBLANK(G945),"",INDEX('POR Config List'!O:O,MATCH(G945,'POR Config List'!D:D,0)))</f>
        <v/>
      </c>
      <c r="J945" s="104" t="str">
        <f t="array" ref="J945">IF(ISBLANK(G945),"",INDEX('POR Config List'!H:H,MATCH(G945,'POR Config List'!D:D,0)))</f>
        <v/>
      </c>
      <c r="K945" s="105" t="str">
        <f t="array" ref="K945">IF(ISBLANK(G945),"",INDEX('POR Config List'!G:G,MATCH(G945,'POR Config List'!D:D,0)))</f>
        <v/>
      </c>
      <c r="L945" s="105"/>
      <c r="M945" s="105" t="str">
        <f t="array" ref="M945">IF(ISBLANK(G945),"",INDEX('label approval artwork'!Q:Q,MATCH( G945,'label approval artwork'!F:F,0)))</f>
        <v/>
      </c>
      <c r="N945" s="169" t="str">
        <f t="shared" si="5"/>
        <v/>
      </c>
      <c r="O945" s="102" t="str">
        <f t="array" ref="O945">IF(ISBLANK(G945),"",INDEX('POR Config List'!C:C,MATCH(G945,'POR Config List'!D:D,0)))</f>
        <v/>
      </c>
      <c r="P945" s="105" t="str">
        <f t="shared" si="4"/>
        <v/>
      </c>
      <c r="Q945" s="105" t="str">
        <f t="array" ref="Q945">IF(ISBLANK(G945),"",INDEX('label approval artwork'!J:J,MATCH( G945,'label approval artwork'!F:F,0)))</f>
        <v/>
      </c>
      <c r="R945" s="105" t="str">
        <f t="array" ref="R945">IFERROR( IF(P945&lt;&gt;"EMA",INDEX('label approval artwork'!H:H,MATCH(G945,'label approval artwork'!F:F,0),"")),"")</f>
        <v/>
      </c>
      <c r="S945" s="105"/>
      <c r="T945" s="105" t="str">
        <f t="array" ref="T945">IF(ISBLANK(G945),"",INDEX('POR Config List'!I:I,MATCH(G945,'POR Config List'!D:D,0)))</f>
        <v/>
      </c>
      <c r="AA945" s="100" t="str">
        <f t="array" ref="AA945">IF(ISBLANK(G945),"",INDEX('POR Config List'!E:E,MATCH(G945,'POR Config List'!D:D,0)))</f>
        <v/>
      </c>
      <c r="AC945" s="105"/>
      <c r="AD945" s="100"/>
      <c r="AE945" s="100"/>
      <c r="AF945" s="100"/>
      <c r="AG945" s="100"/>
      <c r="AM945" s="102"/>
      <c r="AN945" s="102"/>
    </row>
    <row r="946">
      <c r="A946" s="168"/>
      <c r="B946" s="100" t="str">
        <f t="array" ref="B946">IFERROR( INDEX('POR Config List'!A:A,MATCH(G946,'POR Config List'!D:D,0)),"")</f>
        <v/>
      </c>
      <c r="C946" s="101" t="str">
        <f t="array" ref="C946">IFERROR(INDEX('label approval artwork'!E:E,MATCH(G946,'label approval artwork'!F:F,0),""),"")</f>
        <v/>
      </c>
      <c r="D946" s="102" t="str">
        <f t="shared" si="3"/>
        <v/>
      </c>
      <c r="E946" s="100" t="str">
        <f t="array" ref="E946">IF(ISBLANK(G946),"",INDEX('POR Config List'!K:K,MATCH(G946,'POR Config List'!D:D,0)))</f>
        <v/>
      </c>
      <c r="F946" s="100" t="str">
        <f t="array" ref="F946">IF(ISBLANK(G946),"",INDEX('POR Config List'!J:J,MATCH(G946,'POR Config List'!D:D,0)))</f>
        <v/>
      </c>
      <c r="G946" s="168"/>
      <c r="H946" s="104" t="str">
        <f t="array" ref="H946">IF(ISBLANK(G946),"",INDEX('MP SKUs'!G:G,MATCH(G946,'MP SKUs'!A:A,0)))</f>
        <v/>
      </c>
      <c r="I946" s="105" t="str">
        <f t="array" ref="I946">IF(ISBLANK(G946),"",INDEX('POR Config List'!O:O,MATCH(G946,'POR Config List'!D:D,0)))</f>
        <v/>
      </c>
      <c r="J946" s="104" t="str">
        <f t="array" ref="J946">IF(ISBLANK(G946),"",INDEX('POR Config List'!H:H,MATCH(G946,'POR Config List'!D:D,0)))</f>
        <v/>
      </c>
      <c r="K946" s="105" t="str">
        <f t="array" ref="K946">IF(ISBLANK(G946),"",INDEX('POR Config List'!G:G,MATCH(G946,'POR Config List'!D:D,0)))</f>
        <v/>
      </c>
      <c r="L946" s="105"/>
      <c r="M946" s="105" t="str">
        <f t="array" ref="M946">IF(ISBLANK(G946),"",INDEX('label approval artwork'!Q:Q,MATCH( G946,'label approval artwork'!F:F,0)))</f>
        <v/>
      </c>
      <c r="N946" s="169" t="str">
        <f t="shared" si="5"/>
        <v/>
      </c>
      <c r="O946" s="102" t="str">
        <f t="array" ref="O946">IF(ISBLANK(G946),"",INDEX('POR Config List'!C:C,MATCH(G946,'POR Config List'!D:D,0)))</f>
        <v/>
      </c>
      <c r="P946" s="105" t="str">
        <f t="shared" si="4"/>
        <v/>
      </c>
      <c r="Q946" s="105" t="str">
        <f t="array" ref="Q946">IF(ISBLANK(G946),"",INDEX('label approval artwork'!J:J,MATCH( G946,'label approval artwork'!F:F,0)))</f>
        <v/>
      </c>
      <c r="R946" s="105" t="str">
        <f t="array" ref="R946">IFERROR( IF(P946&lt;&gt;"EMA",INDEX('label approval artwork'!H:H,MATCH(G946,'label approval artwork'!F:F,0),"")),"")</f>
        <v/>
      </c>
      <c r="S946" s="105"/>
      <c r="T946" s="105" t="str">
        <f t="array" ref="T946">IF(ISBLANK(G946),"",INDEX('POR Config List'!I:I,MATCH(G946,'POR Config List'!D:D,0)))</f>
        <v/>
      </c>
      <c r="AA946" s="100" t="str">
        <f t="array" ref="AA946">IF(ISBLANK(G946),"",INDEX('POR Config List'!E:E,MATCH(G946,'POR Config List'!D:D,0)))</f>
        <v/>
      </c>
      <c r="AC946" s="105"/>
      <c r="AD946" s="100"/>
      <c r="AE946" s="100"/>
      <c r="AF946" s="100"/>
      <c r="AG946" s="100"/>
      <c r="AM946" s="102"/>
      <c r="AN946" s="102"/>
    </row>
    <row r="947">
      <c r="A947" s="168"/>
      <c r="B947" s="100" t="str">
        <f t="array" ref="B947">IFERROR( INDEX('POR Config List'!A:A,MATCH(G947,'POR Config List'!D:D,0)),"")</f>
        <v/>
      </c>
      <c r="C947" s="101" t="str">
        <f t="array" ref="C947">IFERROR(INDEX('label approval artwork'!E:E,MATCH(G947,'label approval artwork'!F:F,0),""),"")</f>
        <v/>
      </c>
      <c r="D947" s="102" t="str">
        <f t="shared" si="3"/>
        <v/>
      </c>
      <c r="E947" s="100" t="str">
        <f t="array" ref="E947">IF(ISBLANK(G947),"",INDEX('POR Config List'!K:K,MATCH(G947,'POR Config List'!D:D,0)))</f>
        <v/>
      </c>
      <c r="F947" s="100" t="str">
        <f t="array" ref="F947">IF(ISBLANK(G947),"",INDEX('POR Config List'!J:J,MATCH(G947,'POR Config List'!D:D,0)))</f>
        <v/>
      </c>
      <c r="G947" s="168"/>
      <c r="H947" s="104" t="str">
        <f t="array" ref="H947">IF(ISBLANK(G947),"",INDEX('MP SKUs'!G:G,MATCH(G947,'MP SKUs'!A:A,0)))</f>
        <v/>
      </c>
      <c r="I947" s="105" t="str">
        <f t="array" ref="I947">IF(ISBLANK(G947),"",INDEX('POR Config List'!O:O,MATCH(G947,'POR Config List'!D:D,0)))</f>
        <v/>
      </c>
      <c r="J947" s="104" t="str">
        <f t="array" ref="J947">IF(ISBLANK(G947),"",INDEX('POR Config List'!H:H,MATCH(G947,'POR Config List'!D:D,0)))</f>
        <v/>
      </c>
      <c r="K947" s="105" t="str">
        <f t="array" ref="K947">IF(ISBLANK(G947),"",INDEX('POR Config List'!G:G,MATCH(G947,'POR Config List'!D:D,0)))</f>
        <v/>
      </c>
      <c r="L947" s="105"/>
      <c r="M947" s="105" t="str">
        <f t="array" ref="M947">IF(ISBLANK(G947),"",INDEX('label approval artwork'!Q:Q,MATCH( G947,'label approval artwork'!F:F,0)))</f>
        <v/>
      </c>
      <c r="N947" s="169" t="str">
        <f t="shared" si="5"/>
        <v/>
      </c>
      <c r="O947" s="102" t="str">
        <f t="array" ref="O947">IF(ISBLANK(G947),"",INDEX('POR Config List'!C:C,MATCH(G947,'POR Config List'!D:D,0)))</f>
        <v/>
      </c>
      <c r="P947" s="105" t="str">
        <f t="shared" si="4"/>
        <v/>
      </c>
      <c r="Q947" s="105" t="str">
        <f t="array" ref="Q947">IF(ISBLANK(G947),"",INDEX('label approval artwork'!J:J,MATCH( G947,'label approval artwork'!F:F,0)))</f>
        <v/>
      </c>
      <c r="R947" s="105" t="str">
        <f t="array" ref="R947">IFERROR( IF(P947&lt;&gt;"EMA",INDEX('label approval artwork'!H:H,MATCH(G947,'label approval artwork'!F:F,0),"")),"")</f>
        <v/>
      </c>
      <c r="S947" s="105"/>
      <c r="T947" s="105" t="str">
        <f t="array" ref="T947">IF(ISBLANK(G947),"",INDEX('POR Config List'!I:I,MATCH(G947,'POR Config List'!D:D,0)))</f>
        <v/>
      </c>
      <c r="AA947" s="100" t="str">
        <f t="array" ref="AA947">IF(ISBLANK(G947),"",INDEX('POR Config List'!E:E,MATCH(G947,'POR Config List'!D:D,0)))</f>
        <v/>
      </c>
      <c r="AC947" s="105"/>
      <c r="AD947" s="100"/>
      <c r="AE947" s="100"/>
      <c r="AF947" s="100"/>
      <c r="AG947" s="100"/>
      <c r="AM947" s="102"/>
      <c r="AN947" s="102"/>
    </row>
    <row r="948">
      <c r="A948" s="168"/>
      <c r="B948" s="100" t="str">
        <f t="array" ref="B948">IFERROR( INDEX('POR Config List'!A:A,MATCH(G948,'POR Config List'!D:D,0)),"")</f>
        <v/>
      </c>
      <c r="C948" s="101" t="str">
        <f t="array" ref="C948">IFERROR(INDEX('label approval artwork'!E:E,MATCH(G948,'label approval artwork'!F:F,0),""),"")</f>
        <v/>
      </c>
      <c r="D948" s="102" t="str">
        <f t="shared" si="3"/>
        <v/>
      </c>
      <c r="E948" s="100" t="str">
        <f t="array" ref="E948">IF(ISBLANK(G948),"",INDEX('POR Config List'!K:K,MATCH(G948,'POR Config List'!D:D,0)))</f>
        <v/>
      </c>
      <c r="F948" s="100" t="str">
        <f t="array" ref="F948">IF(ISBLANK(G948),"",INDEX('POR Config List'!J:J,MATCH(G948,'POR Config List'!D:D,0)))</f>
        <v/>
      </c>
      <c r="G948" s="168"/>
      <c r="H948" s="104" t="str">
        <f t="array" ref="H948">IF(ISBLANK(G948),"",INDEX('MP SKUs'!G:G,MATCH(G948,'MP SKUs'!A:A,0)))</f>
        <v/>
      </c>
      <c r="I948" s="105" t="str">
        <f t="array" ref="I948">IF(ISBLANK(G948),"",INDEX('POR Config List'!O:O,MATCH(G948,'POR Config List'!D:D,0)))</f>
        <v/>
      </c>
      <c r="J948" s="104" t="str">
        <f t="array" ref="J948">IF(ISBLANK(G948),"",INDEX('POR Config List'!H:H,MATCH(G948,'POR Config List'!D:D,0)))</f>
        <v/>
      </c>
      <c r="K948" s="105" t="str">
        <f t="array" ref="K948">IF(ISBLANK(G948),"",INDEX('POR Config List'!G:G,MATCH(G948,'POR Config List'!D:D,0)))</f>
        <v/>
      </c>
      <c r="L948" s="105"/>
      <c r="M948" s="105" t="str">
        <f t="array" ref="M948">IF(ISBLANK(G948),"",INDEX('label approval artwork'!Q:Q,MATCH( G948,'label approval artwork'!F:F,0)))</f>
        <v/>
      </c>
      <c r="N948" s="169" t="str">
        <f t="shared" si="5"/>
        <v/>
      </c>
      <c r="O948" s="102" t="str">
        <f t="array" ref="O948">IF(ISBLANK(G948),"",INDEX('POR Config List'!C:C,MATCH(G948,'POR Config List'!D:D,0)))</f>
        <v/>
      </c>
      <c r="P948" s="105" t="str">
        <f t="shared" si="4"/>
        <v/>
      </c>
      <c r="Q948" s="105" t="str">
        <f t="array" ref="Q948">IF(ISBLANK(G948),"",INDEX('label approval artwork'!J:J,MATCH( G948,'label approval artwork'!F:F,0)))</f>
        <v/>
      </c>
      <c r="R948" s="105" t="str">
        <f t="array" ref="R948">IFERROR( IF(P948&lt;&gt;"EMA",INDEX('label approval artwork'!H:H,MATCH(G948,'label approval artwork'!F:F,0),"")),"")</f>
        <v/>
      </c>
      <c r="S948" s="105"/>
      <c r="T948" s="105" t="str">
        <f t="array" ref="T948">IF(ISBLANK(G948),"",INDEX('POR Config List'!I:I,MATCH(G948,'POR Config List'!D:D,0)))</f>
        <v/>
      </c>
      <c r="AA948" s="100" t="str">
        <f t="array" ref="AA948">IF(ISBLANK(G948),"",INDEX('POR Config List'!E:E,MATCH(G948,'POR Config List'!D:D,0)))</f>
        <v/>
      </c>
      <c r="AC948" s="105"/>
      <c r="AD948" s="100"/>
      <c r="AE948" s="100"/>
      <c r="AF948" s="100"/>
      <c r="AG948" s="100"/>
      <c r="AM948" s="102"/>
      <c r="AN948" s="102"/>
    </row>
    <row r="949">
      <c r="A949" s="168"/>
      <c r="B949" s="100" t="str">
        <f t="array" ref="B949">IFERROR( INDEX('POR Config List'!A:A,MATCH(G949,'POR Config List'!D:D,0)),"")</f>
        <v/>
      </c>
      <c r="C949" s="101" t="str">
        <f t="array" ref="C949">IFERROR(INDEX('label approval artwork'!E:E,MATCH(G949,'label approval artwork'!F:F,0),""),"")</f>
        <v/>
      </c>
      <c r="D949" s="102" t="str">
        <f t="shared" si="3"/>
        <v/>
      </c>
      <c r="E949" s="100" t="str">
        <f t="array" ref="E949">IF(ISBLANK(G949),"",INDEX('POR Config List'!K:K,MATCH(G949,'POR Config List'!D:D,0)))</f>
        <v/>
      </c>
      <c r="F949" s="100" t="str">
        <f t="array" ref="F949">IF(ISBLANK(G949),"",INDEX('POR Config List'!J:J,MATCH(G949,'POR Config List'!D:D,0)))</f>
        <v/>
      </c>
      <c r="G949" s="168"/>
      <c r="H949" s="104" t="str">
        <f t="array" ref="H949">IF(ISBLANK(G949),"",INDEX('MP SKUs'!G:G,MATCH(G949,'MP SKUs'!A:A,0)))</f>
        <v/>
      </c>
      <c r="I949" s="105" t="str">
        <f t="array" ref="I949">IF(ISBLANK(G949),"",INDEX('POR Config List'!O:O,MATCH(G949,'POR Config List'!D:D,0)))</f>
        <v/>
      </c>
      <c r="J949" s="104" t="str">
        <f t="array" ref="J949">IF(ISBLANK(G949),"",INDEX('POR Config List'!H:H,MATCH(G949,'POR Config List'!D:D,0)))</f>
        <v/>
      </c>
      <c r="K949" s="105" t="str">
        <f t="array" ref="K949">IF(ISBLANK(G949),"",INDEX('POR Config List'!G:G,MATCH(G949,'POR Config List'!D:D,0)))</f>
        <v/>
      </c>
      <c r="L949" s="105"/>
      <c r="M949" s="105" t="str">
        <f t="array" ref="M949">IF(ISBLANK(G949),"",INDEX('label approval artwork'!Q:Q,MATCH( G949,'label approval artwork'!F:F,0)))</f>
        <v/>
      </c>
      <c r="N949" s="169" t="str">
        <f t="shared" si="5"/>
        <v/>
      </c>
      <c r="O949" s="102" t="str">
        <f t="array" ref="O949">IF(ISBLANK(G949),"",INDEX('POR Config List'!C:C,MATCH(G949,'POR Config List'!D:D,0)))</f>
        <v/>
      </c>
      <c r="P949" s="105" t="str">
        <f t="shared" si="4"/>
        <v/>
      </c>
      <c r="Q949" s="105" t="str">
        <f t="array" ref="Q949">IF(ISBLANK(G949),"",INDEX('label approval artwork'!J:J,MATCH( G949,'label approval artwork'!F:F,0)))</f>
        <v/>
      </c>
      <c r="R949" s="105" t="str">
        <f t="array" ref="R949">IFERROR( IF(P949&lt;&gt;"EMA",INDEX('label approval artwork'!H:H,MATCH(G949,'label approval artwork'!F:F,0),"")),"")</f>
        <v/>
      </c>
      <c r="S949" s="105"/>
      <c r="T949" s="105" t="str">
        <f t="array" ref="T949">IF(ISBLANK(G949),"",INDEX('POR Config List'!I:I,MATCH(G949,'POR Config List'!D:D,0)))</f>
        <v/>
      </c>
      <c r="AA949" s="100" t="str">
        <f t="array" ref="AA949">IF(ISBLANK(G949),"",INDEX('POR Config List'!E:E,MATCH(G949,'POR Config List'!D:D,0)))</f>
        <v/>
      </c>
      <c r="AC949" s="105"/>
      <c r="AD949" s="100"/>
      <c r="AE949" s="100"/>
      <c r="AF949" s="100"/>
      <c r="AG949" s="100"/>
      <c r="AM949" s="102"/>
      <c r="AN949" s="102"/>
    </row>
    <row r="950">
      <c r="A950" s="168"/>
      <c r="B950" s="100" t="str">
        <f t="array" ref="B950">IFERROR( INDEX('POR Config List'!A:A,MATCH(G950,'POR Config List'!D:D,0)),"")</f>
        <v/>
      </c>
      <c r="C950" s="101" t="str">
        <f t="array" ref="C950">IFERROR(INDEX('label approval artwork'!E:E,MATCH(G950,'label approval artwork'!F:F,0),""),"")</f>
        <v/>
      </c>
      <c r="D950" s="102" t="str">
        <f t="shared" si="3"/>
        <v/>
      </c>
      <c r="E950" s="100" t="str">
        <f t="array" ref="E950">IF(ISBLANK(G950),"",INDEX('POR Config List'!K:K,MATCH(G950,'POR Config List'!D:D,0)))</f>
        <v/>
      </c>
      <c r="F950" s="100" t="str">
        <f t="array" ref="F950">IF(ISBLANK(G950),"",INDEX('POR Config List'!J:J,MATCH(G950,'POR Config List'!D:D,0)))</f>
        <v/>
      </c>
      <c r="G950" s="168"/>
      <c r="H950" s="104" t="str">
        <f t="array" ref="H950">IF(ISBLANK(G950),"",INDEX('MP SKUs'!G:G,MATCH(G950,'MP SKUs'!A:A,0)))</f>
        <v/>
      </c>
      <c r="I950" s="105" t="str">
        <f t="array" ref="I950">IF(ISBLANK(G950),"",INDEX('POR Config List'!O:O,MATCH(G950,'POR Config List'!D:D,0)))</f>
        <v/>
      </c>
      <c r="J950" s="104" t="str">
        <f t="array" ref="J950">IF(ISBLANK(G950),"",INDEX('POR Config List'!H:H,MATCH(G950,'POR Config List'!D:D,0)))</f>
        <v/>
      </c>
      <c r="K950" s="105" t="str">
        <f t="array" ref="K950">IF(ISBLANK(G950),"",INDEX('POR Config List'!G:G,MATCH(G950,'POR Config List'!D:D,0)))</f>
        <v/>
      </c>
      <c r="L950" s="105"/>
      <c r="M950" s="105" t="str">
        <f t="array" ref="M950">IF(ISBLANK(G950),"",INDEX('label approval artwork'!Q:Q,MATCH( G950,'label approval artwork'!F:F,0)))</f>
        <v/>
      </c>
      <c r="N950" s="169" t="str">
        <f t="shared" si="5"/>
        <v/>
      </c>
      <c r="O950" s="102" t="str">
        <f t="array" ref="O950">IF(ISBLANK(G950),"",INDEX('POR Config List'!C:C,MATCH(G950,'POR Config List'!D:D,0)))</f>
        <v/>
      </c>
      <c r="P950" s="105" t="str">
        <f t="shared" si="4"/>
        <v/>
      </c>
      <c r="Q950" s="105" t="str">
        <f t="array" ref="Q950">IF(ISBLANK(G950),"",INDEX('label approval artwork'!J:J,MATCH( G950,'label approval artwork'!F:F,0)))</f>
        <v/>
      </c>
      <c r="R950" s="105" t="str">
        <f t="array" ref="R950">IFERROR( IF(P950&lt;&gt;"EMA",INDEX('label approval artwork'!H:H,MATCH(G950,'label approval artwork'!F:F,0),"")),"")</f>
        <v/>
      </c>
      <c r="S950" s="105"/>
      <c r="T950" s="105" t="str">
        <f t="array" ref="T950">IF(ISBLANK(G950),"",INDEX('POR Config List'!I:I,MATCH(G950,'POR Config List'!D:D,0)))</f>
        <v/>
      </c>
      <c r="AA950" s="100" t="str">
        <f t="array" ref="AA950">IF(ISBLANK(G950),"",INDEX('POR Config List'!E:E,MATCH(G950,'POR Config List'!D:D,0)))</f>
        <v/>
      </c>
      <c r="AC950" s="105"/>
      <c r="AD950" s="100"/>
      <c r="AE950" s="100"/>
      <c r="AF950" s="100"/>
      <c r="AG950" s="100"/>
      <c r="AM950" s="102"/>
      <c r="AN950" s="102"/>
    </row>
    <row r="951">
      <c r="A951" s="168"/>
      <c r="B951" s="100" t="str">
        <f t="array" ref="B951">IFERROR( INDEX('POR Config List'!A:A,MATCH(G951,'POR Config List'!D:D,0)),"")</f>
        <v/>
      </c>
      <c r="C951" s="101" t="str">
        <f t="array" ref="C951">IFERROR(INDEX('label approval artwork'!E:E,MATCH(G951,'label approval artwork'!F:F,0),""),"")</f>
        <v/>
      </c>
      <c r="D951" s="102" t="str">
        <f t="shared" si="3"/>
        <v/>
      </c>
      <c r="E951" s="100" t="str">
        <f t="array" ref="E951">IF(ISBLANK(G951),"",INDEX('POR Config List'!K:K,MATCH(G951,'POR Config List'!D:D,0)))</f>
        <v/>
      </c>
      <c r="F951" s="100" t="str">
        <f t="array" ref="F951">IF(ISBLANK(G951),"",INDEX('POR Config List'!J:J,MATCH(G951,'POR Config List'!D:D,0)))</f>
        <v/>
      </c>
      <c r="G951" s="168"/>
      <c r="H951" s="104" t="str">
        <f t="array" ref="H951">IF(ISBLANK(G951),"",INDEX('MP SKUs'!G:G,MATCH(G951,'MP SKUs'!A:A,0)))</f>
        <v/>
      </c>
      <c r="I951" s="105" t="str">
        <f t="array" ref="I951">IF(ISBLANK(G951),"",INDEX('POR Config List'!O:O,MATCH(G951,'POR Config List'!D:D,0)))</f>
        <v/>
      </c>
      <c r="J951" s="104" t="str">
        <f t="array" ref="J951">IF(ISBLANK(G951),"",INDEX('POR Config List'!H:H,MATCH(G951,'POR Config List'!D:D,0)))</f>
        <v/>
      </c>
      <c r="K951" s="105" t="str">
        <f t="array" ref="K951">IF(ISBLANK(G951),"",INDEX('POR Config List'!G:G,MATCH(G951,'POR Config List'!D:D,0)))</f>
        <v/>
      </c>
      <c r="L951" s="105"/>
      <c r="M951" s="105" t="str">
        <f t="array" ref="M951">IF(ISBLANK(G951),"",INDEX('label approval artwork'!Q:Q,MATCH( G951,'label approval artwork'!F:F,0)))</f>
        <v/>
      </c>
      <c r="N951" s="169" t="str">
        <f t="shared" si="5"/>
        <v/>
      </c>
      <c r="O951" s="102" t="str">
        <f t="array" ref="O951">IF(ISBLANK(G951),"",INDEX('POR Config List'!C:C,MATCH(G951,'POR Config List'!D:D,0)))</f>
        <v/>
      </c>
      <c r="P951" s="105" t="str">
        <f t="shared" si="4"/>
        <v/>
      </c>
      <c r="Q951" s="105" t="str">
        <f t="array" ref="Q951">IF(ISBLANK(G951),"",INDEX('label approval artwork'!J:J,MATCH( G951,'label approval artwork'!F:F,0)))</f>
        <v/>
      </c>
      <c r="R951" s="105" t="str">
        <f t="array" ref="R951">IFERROR( IF(P951&lt;&gt;"EMA",INDEX('label approval artwork'!H:H,MATCH(G951,'label approval artwork'!F:F,0),"")),"")</f>
        <v/>
      </c>
      <c r="S951" s="105"/>
      <c r="T951" s="105" t="str">
        <f t="array" ref="T951">IF(ISBLANK(G951),"",INDEX('POR Config List'!I:I,MATCH(G951,'POR Config List'!D:D,0)))</f>
        <v/>
      </c>
      <c r="AA951" s="100" t="str">
        <f t="array" ref="AA951">IF(ISBLANK(G951),"",INDEX('POR Config List'!E:E,MATCH(G951,'POR Config List'!D:D,0)))</f>
        <v/>
      </c>
      <c r="AC951" s="105"/>
      <c r="AD951" s="100"/>
      <c r="AE951" s="100"/>
      <c r="AF951" s="100"/>
      <c r="AG951" s="100"/>
      <c r="AM951" s="102"/>
      <c r="AN951" s="102"/>
    </row>
    <row r="952">
      <c r="A952" s="168"/>
      <c r="B952" s="100" t="str">
        <f t="array" ref="B952">IFERROR( INDEX('POR Config List'!A:A,MATCH(G952,'POR Config List'!D:D,0)),"")</f>
        <v/>
      </c>
      <c r="C952" s="101" t="str">
        <f t="array" ref="C952">IFERROR(INDEX('label approval artwork'!E:E,MATCH(G952,'label approval artwork'!F:F,0),""),"")</f>
        <v/>
      </c>
      <c r="D952" s="102" t="str">
        <f t="shared" si="3"/>
        <v/>
      </c>
      <c r="E952" s="100" t="str">
        <f t="array" ref="E952">IF(ISBLANK(G952),"",INDEX('POR Config List'!K:K,MATCH(G952,'POR Config List'!D:D,0)))</f>
        <v/>
      </c>
      <c r="F952" s="100" t="str">
        <f t="array" ref="F952">IF(ISBLANK(G952),"",INDEX('POR Config List'!J:J,MATCH(G952,'POR Config List'!D:D,0)))</f>
        <v/>
      </c>
      <c r="G952" s="168"/>
      <c r="H952" s="104" t="str">
        <f t="array" ref="H952">IF(ISBLANK(G952),"",INDEX('MP SKUs'!G:G,MATCH(G952,'MP SKUs'!A:A,0)))</f>
        <v/>
      </c>
      <c r="I952" s="105" t="str">
        <f t="array" ref="I952">IF(ISBLANK(G952),"",INDEX('POR Config List'!O:O,MATCH(G952,'POR Config List'!D:D,0)))</f>
        <v/>
      </c>
      <c r="J952" s="104" t="str">
        <f t="array" ref="J952">IF(ISBLANK(G952),"",INDEX('POR Config List'!H:H,MATCH(G952,'POR Config List'!D:D,0)))</f>
        <v/>
      </c>
      <c r="K952" s="105" t="str">
        <f t="array" ref="K952">IF(ISBLANK(G952),"",INDEX('POR Config List'!G:G,MATCH(G952,'POR Config List'!D:D,0)))</f>
        <v/>
      </c>
      <c r="L952" s="105"/>
      <c r="M952" s="105" t="str">
        <f t="array" ref="M952">IF(ISBLANK(G952),"",INDEX('label approval artwork'!Q:Q,MATCH( G952,'label approval artwork'!F:F,0)))</f>
        <v/>
      </c>
      <c r="N952" s="169" t="str">
        <f t="shared" si="5"/>
        <v/>
      </c>
      <c r="O952" s="102" t="str">
        <f t="array" ref="O952">IF(ISBLANK(G952),"",INDEX('POR Config List'!C:C,MATCH(G952,'POR Config List'!D:D,0)))</f>
        <v/>
      </c>
      <c r="P952" s="105" t="str">
        <f t="shared" si="4"/>
        <v/>
      </c>
      <c r="Q952" s="105" t="str">
        <f t="array" ref="Q952">IF(ISBLANK(G952),"",INDEX('label approval artwork'!J:J,MATCH( G952,'label approval artwork'!F:F,0)))</f>
        <v/>
      </c>
      <c r="R952" s="105" t="str">
        <f t="array" ref="R952">IFERROR( IF(P952&lt;&gt;"EMA",INDEX('label approval artwork'!H:H,MATCH(G952,'label approval artwork'!F:F,0),"")),"")</f>
        <v/>
      </c>
      <c r="S952" s="105"/>
      <c r="T952" s="105" t="str">
        <f t="array" ref="T952">IF(ISBLANK(G952),"",INDEX('POR Config List'!I:I,MATCH(G952,'POR Config List'!D:D,0)))</f>
        <v/>
      </c>
      <c r="AA952" s="100" t="str">
        <f t="array" ref="AA952">IF(ISBLANK(G952),"",INDEX('POR Config List'!E:E,MATCH(G952,'POR Config List'!D:D,0)))</f>
        <v/>
      </c>
      <c r="AC952" s="105"/>
      <c r="AD952" s="100"/>
      <c r="AE952" s="100"/>
      <c r="AF952" s="100"/>
      <c r="AG952" s="100"/>
      <c r="AM952" s="102"/>
      <c r="AN952" s="102"/>
    </row>
    <row r="953">
      <c r="A953" s="168"/>
      <c r="B953" s="100" t="str">
        <f t="array" ref="B953">IFERROR( INDEX('POR Config List'!A:A,MATCH(G953,'POR Config List'!D:D,0)),"")</f>
        <v/>
      </c>
      <c r="C953" s="101" t="str">
        <f t="array" ref="C953">IFERROR(INDEX('label approval artwork'!E:E,MATCH(G953,'label approval artwork'!F:F,0),""),"")</f>
        <v/>
      </c>
      <c r="D953" s="102" t="str">
        <f t="shared" si="3"/>
        <v/>
      </c>
      <c r="E953" s="100" t="str">
        <f t="array" ref="E953">IF(ISBLANK(G953),"",INDEX('POR Config List'!K:K,MATCH(G953,'POR Config List'!D:D,0)))</f>
        <v/>
      </c>
      <c r="F953" s="100" t="str">
        <f t="array" ref="F953">IF(ISBLANK(G953),"",INDEX('POR Config List'!J:J,MATCH(G953,'POR Config List'!D:D,0)))</f>
        <v/>
      </c>
      <c r="G953" s="168"/>
      <c r="H953" s="104" t="str">
        <f t="array" ref="H953">IF(ISBLANK(G953),"",INDEX('MP SKUs'!G:G,MATCH(G953,'MP SKUs'!A:A,0)))</f>
        <v/>
      </c>
      <c r="I953" s="105" t="str">
        <f t="array" ref="I953">IF(ISBLANK(G953),"",INDEX('POR Config List'!O:O,MATCH(G953,'POR Config List'!D:D,0)))</f>
        <v/>
      </c>
      <c r="J953" s="104" t="str">
        <f t="array" ref="J953">IF(ISBLANK(G953),"",INDEX('POR Config List'!H:H,MATCH(G953,'POR Config List'!D:D,0)))</f>
        <v/>
      </c>
      <c r="K953" s="105" t="str">
        <f t="array" ref="K953">IF(ISBLANK(G953),"",INDEX('POR Config List'!G:G,MATCH(G953,'POR Config List'!D:D,0)))</f>
        <v/>
      </c>
      <c r="L953" s="105"/>
      <c r="M953" s="105" t="str">
        <f t="array" ref="M953">IF(ISBLANK(G953),"",INDEX('label approval artwork'!Q:Q,MATCH( G953,'label approval artwork'!F:F,0)))</f>
        <v/>
      </c>
      <c r="N953" s="169" t="str">
        <f t="shared" si="5"/>
        <v/>
      </c>
      <c r="O953" s="102" t="str">
        <f t="array" ref="O953">IF(ISBLANK(G953),"",INDEX('POR Config List'!C:C,MATCH(G953,'POR Config List'!D:D,0)))</f>
        <v/>
      </c>
      <c r="P953" s="105" t="str">
        <f t="shared" si="4"/>
        <v/>
      </c>
      <c r="Q953" s="105" t="str">
        <f t="array" ref="Q953">IF(ISBLANK(G953),"",INDEX('label approval artwork'!J:J,MATCH( G953,'label approval artwork'!F:F,0)))</f>
        <v/>
      </c>
      <c r="R953" s="105" t="str">
        <f t="array" ref="R953">IFERROR( IF(P953&lt;&gt;"EMA",INDEX('label approval artwork'!H:H,MATCH(G953,'label approval artwork'!F:F,0),"")),"")</f>
        <v/>
      </c>
      <c r="S953" s="105"/>
      <c r="T953" s="105" t="str">
        <f t="array" ref="T953">IF(ISBLANK(G953),"",INDEX('POR Config List'!I:I,MATCH(G953,'POR Config List'!D:D,0)))</f>
        <v/>
      </c>
      <c r="AA953" s="100" t="str">
        <f t="array" ref="AA953">IF(ISBLANK(G953),"",INDEX('POR Config List'!E:E,MATCH(G953,'POR Config List'!D:D,0)))</f>
        <v/>
      </c>
      <c r="AC953" s="105"/>
      <c r="AD953" s="100"/>
      <c r="AE953" s="100"/>
      <c r="AF953" s="100"/>
      <c r="AG953" s="100"/>
      <c r="AM953" s="102"/>
      <c r="AN953" s="102"/>
    </row>
    <row r="954">
      <c r="A954" s="168"/>
      <c r="B954" s="100" t="str">
        <f t="array" ref="B954">IFERROR( INDEX('POR Config List'!A:A,MATCH(G954,'POR Config List'!D:D,0)),"")</f>
        <v/>
      </c>
      <c r="C954" s="101" t="str">
        <f t="array" ref="C954">IFERROR(INDEX('label approval artwork'!E:E,MATCH(G954,'label approval artwork'!F:F,0),""),"")</f>
        <v/>
      </c>
      <c r="D954" s="102" t="str">
        <f t="shared" si="3"/>
        <v/>
      </c>
      <c r="E954" s="100" t="str">
        <f t="array" ref="E954">IF(ISBLANK(G954),"",INDEX('POR Config List'!K:K,MATCH(G954,'POR Config List'!D:D,0)))</f>
        <v/>
      </c>
      <c r="F954" s="100" t="str">
        <f t="array" ref="F954">IF(ISBLANK(G954),"",INDEX('POR Config List'!J:J,MATCH(G954,'POR Config List'!D:D,0)))</f>
        <v/>
      </c>
      <c r="G954" s="168"/>
      <c r="H954" s="104" t="str">
        <f t="array" ref="H954">IF(ISBLANK(G954),"",INDEX('MP SKUs'!G:G,MATCH(G954,'MP SKUs'!A:A,0)))</f>
        <v/>
      </c>
      <c r="I954" s="105" t="str">
        <f t="array" ref="I954">IF(ISBLANK(G954),"",INDEX('POR Config List'!O:O,MATCH(G954,'POR Config List'!D:D,0)))</f>
        <v/>
      </c>
      <c r="J954" s="104" t="str">
        <f t="array" ref="J954">IF(ISBLANK(G954),"",INDEX('POR Config List'!H:H,MATCH(G954,'POR Config List'!D:D,0)))</f>
        <v/>
      </c>
      <c r="K954" s="105" t="str">
        <f t="array" ref="K954">IF(ISBLANK(G954),"",INDEX('POR Config List'!G:G,MATCH(G954,'POR Config List'!D:D,0)))</f>
        <v/>
      </c>
      <c r="L954" s="105"/>
      <c r="M954" s="105" t="str">
        <f t="array" ref="M954">IF(ISBLANK(G954),"",INDEX('label approval artwork'!Q:Q,MATCH( G954,'label approval artwork'!F:F,0)))</f>
        <v/>
      </c>
      <c r="N954" s="169" t="str">
        <f t="shared" si="5"/>
        <v/>
      </c>
      <c r="O954" s="102" t="str">
        <f t="array" ref="O954">IF(ISBLANK(G954),"",INDEX('POR Config List'!C:C,MATCH(G954,'POR Config List'!D:D,0)))</f>
        <v/>
      </c>
      <c r="P954" s="105" t="str">
        <f t="shared" si="4"/>
        <v/>
      </c>
      <c r="Q954" s="105" t="str">
        <f t="array" ref="Q954">IF(ISBLANK(G954),"",INDEX('label approval artwork'!J:J,MATCH( G954,'label approval artwork'!F:F,0)))</f>
        <v/>
      </c>
      <c r="R954" s="105" t="str">
        <f t="array" ref="R954">IFERROR( IF(P954&lt;&gt;"EMA",INDEX('label approval artwork'!H:H,MATCH(G954,'label approval artwork'!F:F,0),"")),"")</f>
        <v/>
      </c>
      <c r="S954" s="105"/>
      <c r="T954" s="105" t="str">
        <f t="array" ref="T954">IF(ISBLANK(G954),"",INDEX('POR Config List'!I:I,MATCH(G954,'POR Config List'!D:D,0)))</f>
        <v/>
      </c>
      <c r="AA954" s="100" t="str">
        <f t="array" ref="AA954">IF(ISBLANK(G954),"",INDEX('POR Config List'!E:E,MATCH(G954,'POR Config List'!D:D,0)))</f>
        <v/>
      </c>
      <c r="AC954" s="105"/>
      <c r="AD954" s="100"/>
      <c r="AE954" s="100"/>
      <c r="AF954" s="100"/>
      <c r="AG954" s="100"/>
      <c r="AM954" s="102"/>
      <c r="AN954" s="102"/>
    </row>
    <row r="955">
      <c r="A955" s="168"/>
      <c r="B955" s="100" t="str">
        <f t="array" ref="B955">IFERROR( INDEX('POR Config List'!A:A,MATCH(G955,'POR Config List'!D:D,0)),"")</f>
        <v/>
      </c>
      <c r="C955" s="101" t="str">
        <f t="array" ref="C955">IFERROR(INDEX('label approval artwork'!E:E,MATCH(G955,'label approval artwork'!F:F,0),""),"")</f>
        <v/>
      </c>
      <c r="D955" s="102" t="str">
        <f t="shared" si="3"/>
        <v/>
      </c>
      <c r="E955" s="100" t="str">
        <f t="array" ref="E955">IF(ISBLANK(G955),"",INDEX('POR Config List'!K:K,MATCH(G955,'POR Config List'!D:D,0)))</f>
        <v/>
      </c>
      <c r="F955" s="100" t="str">
        <f t="array" ref="F955">IF(ISBLANK(G955),"",INDEX('POR Config List'!J:J,MATCH(G955,'POR Config List'!D:D,0)))</f>
        <v/>
      </c>
      <c r="G955" s="168"/>
      <c r="H955" s="104" t="str">
        <f t="array" ref="H955">IF(ISBLANK(G955),"",INDEX('MP SKUs'!G:G,MATCH(G955,'MP SKUs'!A:A,0)))</f>
        <v/>
      </c>
      <c r="I955" s="105" t="str">
        <f t="array" ref="I955">IF(ISBLANK(G955),"",INDEX('POR Config List'!O:O,MATCH(G955,'POR Config List'!D:D,0)))</f>
        <v/>
      </c>
      <c r="J955" s="104" t="str">
        <f t="array" ref="J955">IF(ISBLANK(G955),"",INDEX('POR Config List'!H:H,MATCH(G955,'POR Config List'!D:D,0)))</f>
        <v/>
      </c>
      <c r="K955" s="105" t="str">
        <f t="array" ref="K955">IF(ISBLANK(G955),"",INDEX('POR Config List'!G:G,MATCH(G955,'POR Config List'!D:D,0)))</f>
        <v/>
      </c>
      <c r="L955" s="105"/>
      <c r="M955" s="105" t="str">
        <f t="array" ref="M955">IF(ISBLANK(G955),"",INDEX('label approval artwork'!Q:Q,MATCH( G955,'label approval artwork'!F:F,0)))</f>
        <v/>
      </c>
      <c r="N955" s="169" t="str">
        <f t="shared" si="5"/>
        <v/>
      </c>
      <c r="O955" s="102" t="str">
        <f t="array" ref="O955">IF(ISBLANK(G955),"",INDEX('POR Config List'!C:C,MATCH(G955,'POR Config List'!D:D,0)))</f>
        <v/>
      </c>
      <c r="P955" s="105" t="str">
        <f t="shared" si="4"/>
        <v/>
      </c>
      <c r="Q955" s="105" t="str">
        <f t="array" ref="Q955">IF(ISBLANK(G955),"",INDEX('label approval artwork'!J:J,MATCH( G955,'label approval artwork'!F:F,0)))</f>
        <v/>
      </c>
      <c r="R955" s="105" t="str">
        <f t="array" ref="R955">IFERROR( IF(P955&lt;&gt;"EMA",INDEX('label approval artwork'!H:H,MATCH(G955,'label approval artwork'!F:F,0),"")),"")</f>
        <v/>
      </c>
      <c r="S955" s="105"/>
      <c r="T955" s="105" t="str">
        <f t="array" ref="T955">IF(ISBLANK(G955),"",INDEX('POR Config List'!I:I,MATCH(G955,'POR Config List'!D:D,0)))</f>
        <v/>
      </c>
      <c r="AA955" s="100" t="str">
        <f t="array" ref="AA955">IF(ISBLANK(G955),"",INDEX('POR Config List'!E:E,MATCH(G955,'POR Config List'!D:D,0)))</f>
        <v/>
      </c>
      <c r="AC955" s="105"/>
      <c r="AD955" s="100"/>
      <c r="AE955" s="100"/>
      <c r="AF955" s="100"/>
      <c r="AG955" s="100"/>
      <c r="AM955" s="102"/>
      <c r="AN955" s="102"/>
    </row>
    <row r="956">
      <c r="A956" s="168"/>
      <c r="B956" s="100" t="str">
        <f t="array" ref="B956">IFERROR( INDEX('POR Config List'!A:A,MATCH(G956,'POR Config List'!D:D,0)),"")</f>
        <v/>
      </c>
      <c r="C956" s="101" t="str">
        <f t="array" ref="C956">IFERROR(INDEX('label approval artwork'!E:E,MATCH(G956,'label approval artwork'!F:F,0),""),"")</f>
        <v/>
      </c>
      <c r="D956" s="102" t="str">
        <f t="shared" si="3"/>
        <v/>
      </c>
      <c r="E956" s="100" t="str">
        <f t="array" ref="E956">IF(ISBLANK(G956),"",INDEX('POR Config List'!K:K,MATCH(G956,'POR Config List'!D:D,0)))</f>
        <v/>
      </c>
      <c r="F956" s="100" t="str">
        <f t="array" ref="F956">IF(ISBLANK(G956),"",INDEX('POR Config List'!J:J,MATCH(G956,'POR Config List'!D:D,0)))</f>
        <v/>
      </c>
      <c r="G956" s="168"/>
      <c r="H956" s="104" t="str">
        <f t="array" ref="H956">IF(ISBLANK(G956),"",INDEX('MP SKUs'!G:G,MATCH(G956,'MP SKUs'!A:A,0)))</f>
        <v/>
      </c>
      <c r="I956" s="105" t="str">
        <f t="array" ref="I956">IF(ISBLANK(G956),"",INDEX('POR Config List'!O:O,MATCH(G956,'POR Config List'!D:D,0)))</f>
        <v/>
      </c>
      <c r="J956" s="104" t="str">
        <f t="array" ref="J956">IF(ISBLANK(G956),"",INDEX('POR Config List'!H:H,MATCH(G956,'POR Config List'!D:D,0)))</f>
        <v/>
      </c>
      <c r="K956" s="105" t="str">
        <f t="array" ref="K956">IF(ISBLANK(G956),"",INDEX('POR Config List'!G:G,MATCH(G956,'POR Config List'!D:D,0)))</f>
        <v/>
      </c>
      <c r="L956" s="105"/>
      <c r="M956" s="105" t="str">
        <f t="array" ref="M956">IF(ISBLANK(G956),"",INDEX('label approval artwork'!Q:Q,MATCH( G956,'label approval artwork'!F:F,0)))</f>
        <v/>
      </c>
      <c r="N956" s="169" t="str">
        <f t="shared" si="5"/>
        <v/>
      </c>
      <c r="O956" s="102" t="str">
        <f t="array" ref="O956">IF(ISBLANK(G956),"",INDEX('POR Config List'!C:C,MATCH(G956,'POR Config List'!D:D,0)))</f>
        <v/>
      </c>
      <c r="P956" s="105" t="str">
        <f t="shared" si="4"/>
        <v/>
      </c>
      <c r="Q956" s="105" t="str">
        <f t="array" ref="Q956">IF(ISBLANK(G956),"",INDEX('label approval artwork'!J:J,MATCH( G956,'label approval artwork'!F:F,0)))</f>
        <v/>
      </c>
      <c r="R956" s="105" t="str">
        <f t="array" ref="R956">IFERROR( IF(P956&lt;&gt;"EMA",INDEX('label approval artwork'!H:H,MATCH(G956,'label approval artwork'!F:F,0),"")),"")</f>
        <v/>
      </c>
      <c r="S956" s="105"/>
      <c r="T956" s="105" t="str">
        <f t="array" ref="T956">IF(ISBLANK(G956),"",INDEX('POR Config List'!I:I,MATCH(G956,'POR Config List'!D:D,0)))</f>
        <v/>
      </c>
      <c r="AA956" s="100" t="str">
        <f t="array" ref="AA956">IF(ISBLANK(G956),"",INDEX('POR Config List'!E:E,MATCH(G956,'POR Config List'!D:D,0)))</f>
        <v/>
      </c>
      <c r="AC956" s="105"/>
      <c r="AD956" s="100"/>
      <c r="AE956" s="100"/>
      <c r="AF956" s="100"/>
      <c r="AG956" s="100"/>
      <c r="AM956" s="102"/>
      <c r="AN956" s="102"/>
    </row>
    <row r="957">
      <c r="A957" s="168"/>
      <c r="B957" s="100" t="str">
        <f t="array" ref="B957">IFERROR( INDEX('POR Config List'!A:A,MATCH(G957,'POR Config List'!D:D,0)),"")</f>
        <v/>
      </c>
      <c r="C957" s="101" t="str">
        <f t="array" ref="C957">IFERROR(INDEX('label approval artwork'!E:E,MATCH(G957,'label approval artwork'!F:F,0),""),"")</f>
        <v/>
      </c>
      <c r="D957" s="102" t="str">
        <f t="shared" si="3"/>
        <v/>
      </c>
      <c r="E957" s="100" t="str">
        <f t="array" ref="E957">IF(ISBLANK(G957),"",INDEX('POR Config List'!K:K,MATCH(G957,'POR Config List'!D:D,0)))</f>
        <v/>
      </c>
      <c r="F957" s="100" t="str">
        <f t="array" ref="F957">IF(ISBLANK(G957),"",INDEX('POR Config List'!J:J,MATCH(G957,'POR Config List'!D:D,0)))</f>
        <v/>
      </c>
      <c r="G957" s="168"/>
      <c r="H957" s="104" t="str">
        <f t="array" ref="H957">IF(ISBLANK(G957),"",INDEX('MP SKUs'!G:G,MATCH(G957,'MP SKUs'!A:A,0)))</f>
        <v/>
      </c>
      <c r="I957" s="105" t="str">
        <f t="array" ref="I957">IF(ISBLANK(G957),"",INDEX('POR Config List'!O:O,MATCH(G957,'POR Config List'!D:D,0)))</f>
        <v/>
      </c>
      <c r="J957" s="104" t="str">
        <f t="array" ref="J957">IF(ISBLANK(G957),"",INDEX('POR Config List'!H:H,MATCH(G957,'POR Config List'!D:D,0)))</f>
        <v/>
      </c>
      <c r="K957" s="105" t="str">
        <f t="array" ref="K957">IF(ISBLANK(G957),"",INDEX('POR Config List'!G:G,MATCH(G957,'POR Config List'!D:D,0)))</f>
        <v/>
      </c>
      <c r="L957" s="105"/>
      <c r="M957" s="105" t="str">
        <f t="array" ref="M957">IF(ISBLANK(G957),"",INDEX('label approval artwork'!Q:Q,MATCH( G957,'label approval artwork'!F:F,0)))</f>
        <v/>
      </c>
      <c r="N957" s="169" t="str">
        <f t="shared" si="5"/>
        <v/>
      </c>
      <c r="O957" s="102" t="str">
        <f t="array" ref="O957">IF(ISBLANK(G957),"",INDEX('POR Config List'!C:C,MATCH(G957,'POR Config List'!D:D,0)))</f>
        <v/>
      </c>
      <c r="P957" s="105" t="str">
        <f t="shared" si="4"/>
        <v/>
      </c>
      <c r="Q957" s="105" t="str">
        <f t="array" ref="Q957">IF(ISBLANK(G957),"",INDEX('label approval artwork'!J:J,MATCH( G957,'label approval artwork'!F:F,0)))</f>
        <v/>
      </c>
      <c r="R957" s="105" t="str">
        <f t="array" ref="R957">IFERROR( IF(P957&lt;&gt;"EMA",INDEX('label approval artwork'!H:H,MATCH(G957,'label approval artwork'!F:F,0),"")),"")</f>
        <v/>
      </c>
      <c r="S957" s="105"/>
      <c r="T957" s="105" t="str">
        <f t="array" ref="T957">IF(ISBLANK(G957),"",INDEX('POR Config List'!I:I,MATCH(G957,'POR Config List'!D:D,0)))</f>
        <v/>
      </c>
      <c r="AA957" s="100" t="str">
        <f t="array" ref="AA957">IF(ISBLANK(G957),"",INDEX('POR Config List'!E:E,MATCH(G957,'POR Config List'!D:D,0)))</f>
        <v/>
      </c>
      <c r="AC957" s="105"/>
      <c r="AD957" s="100"/>
      <c r="AE957" s="100"/>
      <c r="AF957" s="100"/>
      <c r="AG957" s="100"/>
      <c r="AM957" s="102"/>
      <c r="AN957" s="102"/>
    </row>
    <row r="958">
      <c r="A958" s="168"/>
      <c r="B958" s="100" t="str">
        <f t="array" ref="B958">IFERROR( INDEX('POR Config List'!A:A,MATCH(G958,'POR Config List'!D:D,0)),"")</f>
        <v/>
      </c>
      <c r="C958" s="101" t="str">
        <f t="array" ref="C958">IFERROR(INDEX('label approval artwork'!E:E,MATCH(G958,'label approval artwork'!F:F,0),""),"")</f>
        <v/>
      </c>
      <c r="D958" s="102" t="str">
        <f t="shared" si="3"/>
        <v/>
      </c>
      <c r="E958" s="100" t="str">
        <f t="array" ref="E958">IF(ISBLANK(G958),"",INDEX('POR Config List'!K:K,MATCH(G958,'POR Config List'!D:D,0)))</f>
        <v/>
      </c>
      <c r="F958" s="100" t="str">
        <f t="array" ref="F958">IF(ISBLANK(G958),"",INDEX('POR Config List'!J:J,MATCH(G958,'POR Config List'!D:D,0)))</f>
        <v/>
      </c>
      <c r="G958" s="168"/>
      <c r="H958" s="104" t="str">
        <f t="array" ref="H958">IF(ISBLANK(G958),"",INDEX('MP SKUs'!G:G,MATCH(G958,'MP SKUs'!A:A,0)))</f>
        <v/>
      </c>
      <c r="I958" s="105" t="str">
        <f t="array" ref="I958">IF(ISBLANK(G958),"",INDEX('POR Config List'!O:O,MATCH(G958,'POR Config List'!D:D,0)))</f>
        <v/>
      </c>
      <c r="J958" s="104" t="str">
        <f t="array" ref="J958">IF(ISBLANK(G958),"",INDEX('POR Config List'!H:H,MATCH(G958,'POR Config List'!D:D,0)))</f>
        <v/>
      </c>
      <c r="K958" s="105" t="str">
        <f t="array" ref="K958">IF(ISBLANK(G958),"",INDEX('POR Config List'!G:G,MATCH(G958,'POR Config List'!D:D,0)))</f>
        <v/>
      </c>
      <c r="L958" s="105"/>
      <c r="M958" s="105" t="str">
        <f t="array" ref="M958">IF(ISBLANK(G958),"",INDEX('label approval artwork'!Q:Q,MATCH( G958,'label approval artwork'!F:F,0)))</f>
        <v/>
      </c>
      <c r="N958" s="169" t="str">
        <f t="shared" si="5"/>
        <v/>
      </c>
      <c r="O958" s="102" t="str">
        <f t="array" ref="O958">IF(ISBLANK(G958),"",INDEX('POR Config List'!C:C,MATCH(G958,'POR Config List'!D:D,0)))</f>
        <v/>
      </c>
      <c r="P958" s="105" t="str">
        <f t="shared" si="4"/>
        <v/>
      </c>
      <c r="Q958" s="105" t="str">
        <f t="array" ref="Q958">IF(ISBLANK(G958),"",INDEX('label approval artwork'!J:J,MATCH( G958,'label approval artwork'!F:F,0)))</f>
        <v/>
      </c>
      <c r="R958" s="105" t="str">
        <f t="array" ref="R958">IFERROR( IF(P958&lt;&gt;"EMA",INDEX('label approval artwork'!H:H,MATCH(G958,'label approval artwork'!F:F,0),"")),"")</f>
        <v/>
      </c>
      <c r="S958" s="105"/>
      <c r="T958" s="105" t="str">
        <f t="array" ref="T958">IF(ISBLANK(G958),"",INDEX('POR Config List'!I:I,MATCH(G958,'POR Config List'!D:D,0)))</f>
        <v/>
      </c>
      <c r="AA958" s="100" t="str">
        <f t="array" ref="AA958">IF(ISBLANK(G958),"",INDEX('POR Config List'!E:E,MATCH(G958,'POR Config List'!D:D,0)))</f>
        <v/>
      </c>
      <c r="AC958" s="105"/>
      <c r="AD958" s="100"/>
      <c r="AE958" s="100"/>
      <c r="AF958" s="100"/>
      <c r="AG958" s="100"/>
      <c r="AM958" s="102"/>
      <c r="AN958" s="102"/>
    </row>
    <row r="959">
      <c r="A959" s="168"/>
      <c r="B959" s="100" t="str">
        <f t="array" ref="B959">IFERROR( INDEX('POR Config List'!A:A,MATCH(G959,'POR Config List'!D:D,0)),"")</f>
        <v/>
      </c>
      <c r="C959" s="101" t="str">
        <f t="array" ref="C959">IFERROR(INDEX('label approval artwork'!E:E,MATCH(G959,'label approval artwork'!F:F,0),""),"")</f>
        <v/>
      </c>
      <c r="D959" s="102" t="str">
        <f t="shared" si="3"/>
        <v/>
      </c>
      <c r="E959" s="100" t="str">
        <f t="array" ref="E959">IF(ISBLANK(G959),"",INDEX('POR Config List'!K:K,MATCH(G959,'POR Config List'!D:D,0)))</f>
        <v/>
      </c>
      <c r="F959" s="100" t="str">
        <f t="array" ref="F959">IF(ISBLANK(G959),"",INDEX('POR Config List'!J:J,MATCH(G959,'POR Config List'!D:D,0)))</f>
        <v/>
      </c>
      <c r="G959" s="168"/>
      <c r="H959" s="104" t="str">
        <f t="array" ref="H959">IF(ISBLANK(G959),"",INDEX('MP SKUs'!G:G,MATCH(G959,'MP SKUs'!A:A,0)))</f>
        <v/>
      </c>
      <c r="I959" s="105" t="str">
        <f t="array" ref="I959">IF(ISBLANK(G959),"",INDEX('POR Config List'!O:O,MATCH(G959,'POR Config List'!D:D,0)))</f>
        <v/>
      </c>
      <c r="J959" s="104" t="str">
        <f t="array" ref="J959">IF(ISBLANK(G959),"",INDEX('POR Config List'!H:H,MATCH(G959,'POR Config List'!D:D,0)))</f>
        <v/>
      </c>
      <c r="K959" s="105" t="str">
        <f t="array" ref="K959">IF(ISBLANK(G959),"",INDEX('POR Config List'!G:G,MATCH(G959,'POR Config List'!D:D,0)))</f>
        <v/>
      </c>
      <c r="L959" s="105"/>
      <c r="M959" s="105" t="str">
        <f t="array" ref="M959">IF(ISBLANK(G959),"",INDEX('label approval artwork'!Q:Q,MATCH( G959,'label approval artwork'!F:F,0)))</f>
        <v/>
      </c>
      <c r="N959" s="169" t="str">
        <f t="shared" si="5"/>
        <v/>
      </c>
      <c r="O959" s="102" t="str">
        <f t="array" ref="O959">IF(ISBLANK(G959),"",INDEX('POR Config List'!C:C,MATCH(G959,'POR Config List'!D:D,0)))</f>
        <v/>
      </c>
      <c r="P959" s="105" t="str">
        <f t="shared" si="4"/>
        <v/>
      </c>
      <c r="Q959" s="105" t="str">
        <f t="array" ref="Q959">IF(ISBLANK(G959),"",INDEX('label approval artwork'!J:J,MATCH( G959,'label approval artwork'!F:F,0)))</f>
        <v/>
      </c>
      <c r="R959" s="105" t="str">
        <f t="array" ref="R959">IFERROR( IF(P959&lt;&gt;"EMA",INDEX('label approval artwork'!H:H,MATCH(G959,'label approval artwork'!F:F,0),"")),"")</f>
        <v/>
      </c>
      <c r="S959" s="105"/>
      <c r="T959" s="105" t="str">
        <f t="array" ref="T959">IF(ISBLANK(G959),"",INDEX('POR Config List'!I:I,MATCH(G959,'POR Config List'!D:D,0)))</f>
        <v/>
      </c>
      <c r="AA959" s="100" t="str">
        <f t="array" ref="AA959">IF(ISBLANK(G959),"",INDEX('POR Config List'!E:E,MATCH(G959,'POR Config List'!D:D,0)))</f>
        <v/>
      </c>
      <c r="AC959" s="105"/>
      <c r="AD959" s="100"/>
      <c r="AE959" s="100"/>
      <c r="AF959" s="100"/>
      <c r="AG959" s="100"/>
      <c r="AM959" s="102"/>
      <c r="AN959" s="102"/>
    </row>
    <row r="960">
      <c r="A960" s="168"/>
      <c r="B960" s="100" t="str">
        <f t="array" ref="B960">IFERROR( INDEX('POR Config List'!A:A,MATCH(G960,'POR Config List'!D:D,0)),"")</f>
        <v/>
      </c>
      <c r="C960" s="101" t="str">
        <f t="array" ref="C960">IFERROR(INDEX('label approval artwork'!E:E,MATCH(G960,'label approval artwork'!F:F,0),""),"")</f>
        <v/>
      </c>
      <c r="D960" s="102" t="str">
        <f t="shared" si="3"/>
        <v/>
      </c>
      <c r="E960" s="100" t="str">
        <f t="array" ref="E960">IF(ISBLANK(G960),"",INDEX('POR Config List'!K:K,MATCH(G960,'POR Config List'!D:D,0)))</f>
        <v/>
      </c>
      <c r="F960" s="100" t="str">
        <f t="array" ref="F960">IF(ISBLANK(G960),"",INDEX('POR Config List'!J:J,MATCH(G960,'POR Config List'!D:D,0)))</f>
        <v/>
      </c>
      <c r="G960" s="168"/>
      <c r="H960" s="104" t="str">
        <f t="array" ref="H960">IF(ISBLANK(G960),"",INDEX('MP SKUs'!G:G,MATCH(G960,'MP SKUs'!A:A,0)))</f>
        <v/>
      </c>
      <c r="I960" s="105" t="str">
        <f t="array" ref="I960">IF(ISBLANK(G960),"",INDEX('POR Config List'!O:O,MATCH(G960,'POR Config List'!D:D,0)))</f>
        <v/>
      </c>
      <c r="J960" s="104" t="str">
        <f t="array" ref="J960">IF(ISBLANK(G960),"",INDEX('POR Config List'!H:H,MATCH(G960,'POR Config List'!D:D,0)))</f>
        <v/>
      </c>
      <c r="K960" s="105" t="str">
        <f t="array" ref="K960">IF(ISBLANK(G960),"",INDEX('POR Config List'!G:G,MATCH(G960,'POR Config List'!D:D,0)))</f>
        <v/>
      </c>
      <c r="L960" s="105"/>
      <c r="M960" s="105" t="str">
        <f t="array" ref="M960">IF(ISBLANK(G960),"",INDEX('label approval artwork'!Q:Q,MATCH( G960,'label approval artwork'!F:F,0)))</f>
        <v/>
      </c>
      <c r="N960" s="169" t="str">
        <f t="shared" si="5"/>
        <v/>
      </c>
      <c r="O960" s="102" t="str">
        <f t="array" ref="O960">IF(ISBLANK(G960),"",INDEX('POR Config List'!C:C,MATCH(G960,'POR Config List'!D:D,0)))</f>
        <v/>
      </c>
      <c r="P960" s="105" t="str">
        <f t="shared" si="4"/>
        <v/>
      </c>
      <c r="Q960" s="105" t="str">
        <f t="array" ref="Q960">IF(ISBLANK(G960),"",INDEX('label approval artwork'!J:J,MATCH( G960,'label approval artwork'!F:F,0)))</f>
        <v/>
      </c>
      <c r="R960" s="105" t="str">
        <f t="array" ref="R960">IFERROR( IF(P960&lt;&gt;"EMA",INDEX('label approval artwork'!H:H,MATCH(G960,'label approval artwork'!F:F,0),"")),"")</f>
        <v/>
      </c>
      <c r="S960" s="105"/>
      <c r="T960" s="105" t="str">
        <f t="array" ref="T960">IF(ISBLANK(G960),"",INDEX('POR Config List'!I:I,MATCH(G960,'POR Config List'!D:D,0)))</f>
        <v/>
      </c>
      <c r="AA960" s="100" t="str">
        <f t="array" ref="AA960">IF(ISBLANK(G960),"",INDEX('POR Config List'!E:E,MATCH(G960,'POR Config List'!D:D,0)))</f>
        <v/>
      </c>
      <c r="AC960" s="105"/>
      <c r="AD960" s="100"/>
      <c r="AE960" s="100"/>
      <c r="AF960" s="100"/>
      <c r="AG960" s="100"/>
      <c r="AM960" s="102"/>
      <c r="AN960" s="102"/>
    </row>
    <row r="961">
      <c r="A961" s="168"/>
      <c r="B961" s="100" t="str">
        <f t="array" ref="B961">IFERROR( INDEX('POR Config List'!A:A,MATCH(G961,'POR Config List'!D:D,0)),"")</f>
        <v/>
      </c>
      <c r="C961" s="101" t="str">
        <f t="array" ref="C961">IFERROR(INDEX('label approval artwork'!E:E,MATCH(G961,'label approval artwork'!F:F,0),""),"")</f>
        <v/>
      </c>
      <c r="D961" s="102" t="str">
        <f t="shared" si="3"/>
        <v/>
      </c>
      <c r="E961" s="100" t="str">
        <f t="array" ref="E961">IF(ISBLANK(G961),"",INDEX('POR Config List'!K:K,MATCH(G961,'POR Config List'!D:D,0)))</f>
        <v/>
      </c>
      <c r="F961" s="100" t="str">
        <f t="array" ref="F961">IF(ISBLANK(G961),"",INDEX('POR Config List'!J:J,MATCH(G961,'POR Config List'!D:D,0)))</f>
        <v/>
      </c>
      <c r="G961" s="168"/>
      <c r="H961" s="104" t="str">
        <f t="array" ref="H961">IF(ISBLANK(G961),"",INDEX('MP SKUs'!G:G,MATCH(G961,'MP SKUs'!A:A,0)))</f>
        <v/>
      </c>
      <c r="I961" s="105" t="str">
        <f t="array" ref="I961">IF(ISBLANK(G961),"",INDEX('POR Config List'!O:O,MATCH(G961,'POR Config List'!D:D,0)))</f>
        <v/>
      </c>
      <c r="J961" s="104" t="str">
        <f t="array" ref="J961">IF(ISBLANK(G961),"",INDEX('POR Config List'!H:H,MATCH(G961,'POR Config List'!D:D,0)))</f>
        <v/>
      </c>
      <c r="K961" s="105" t="str">
        <f t="array" ref="K961">IF(ISBLANK(G961),"",INDEX('POR Config List'!G:G,MATCH(G961,'POR Config List'!D:D,0)))</f>
        <v/>
      </c>
      <c r="L961" s="105"/>
      <c r="M961" s="105" t="str">
        <f t="array" ref="M961">IF(ISBLANK(G961),"",INDEX('label approval artwork'!Q:Q,MATCH( G961,'label approval artwork'!F:F,0)))</f>
        <v/>
      </c>
      <c r="N961" s="169" t="str">
        <f t="shared" si="5"/>
        <v/>
      </c>
      <c r="O961" s="102" t="str">
        <f t="array" ref="O961">IF(ISBLANK(G961),"",INDEX('POR Config List'!C:C,MATCH(G961,'POR Config List'!D:D,0)))</f>
        <v/>
      </c>
      <c r="P961" s="105" t="str">
        <f t="shared" si="4"/>
        <v/>
      </c>
      <c r="Q961" s="105" t="str">
        <f t="array" ref="Q961">IF(ISBLANK(G961),"",INDEX('label approval artwork'!J:J,MATCH( G961,'label approval artwork'!F:F,0)))</f>
        <v/>
      </c>
      <c r="R961" s="105" t="str">
        <f t="array" ref="R961">IFERROR( IF(P961&lt;&gt;"EMA",INDEX('label approval artwork'!H:H,MATCH(G961,'label approval artwork'!F:F,0),"")),"")</f>
        <v/>
      </c>
      <c r="S961" s="105"/>
      <c r="T961" s="105" t="str">
        <f t="array" ref="T961">IF(ISBLANK(G961),"",INDEX('POR Config List'!I:I,MATCH(G961,'POR Config List'!D:D,0)))</f>
        <v/>
      </c>
      <c r="AA961" s="100" t="str">
        <f t="array" ref="AA961">IF(ISBLANK(G961),"",INDEX('POR Config List'!E:E,MATCH(G961,'POR Config List'!D:D,0)))</f>
        <v/>
      </c>
      <c r="AC961" s="105"/>
      <c r="AD961" s="100"/>
      <c r="AE961" s="100"/>
      <c r="AF961" s="100"/>
      <c r="AG961" s="100"/>
      <c r="AM961" s="102"/>
      <c r="AN961" s="102"/>
    </row>
    <row r="962">
      <c r="A962" s="168"/>
      <c r="B962" s="100" t="str">
        <f t="array" ref="B962">IFERROR( INDEX('POR Config List'!A:A,MATCH(G962,'POR Config List'!D:D,0)),"")</f>
        <v/>
      </c>
      <c r="C962" s="101" t="str">
        <f t="array" ref="C962">IFERROR(INDEX('label approval artwork'!E:E,MATCH(G962,'label approval artwork'!F:F,0),""),"")</f>
        <v/>
      </c>
      <c r="D962" s="102" t="str">
        <f t="shared" si="3"/>
        <v/>
      </c>
      <c r="E962" s="100" t="str">
        <f t="array" ref="E962">IF(ISBLANK(G962),"",INDEX('POR Config List'!K:K,MATCH(G962,'POR Config List'!D:D,0)))</f>
        <v/>
      </c>
      <c r="F962" s="100" t="str">
        <f t="array" ref="F962">IF(ISBLANK(G962),"",INDEX('POR Config List'!J:J,MATCH(G962,'POR Config List'!D:D,0)))</f>
        <v/>
      </c>
      <c r="G962" s="168"/>
      <c r="H962" s="104" t="str">
        <f t="array" ref="H962">IF(ISBLANK(G962),"",INDEX('MP SKUs'!G:G,MATCH(G962,'MP SKUs'!A:A,0)))</f>
        <v/>
      </c>
      <c r="I962" s="105" t="str">
        <f t="array" ref="I962">IF(ISBLANK(G962),"",INDEX('POR Config List'!O:O,MATCH(G962,'POR Config List'!D:D,0)))</f>
        <v/>
      </c>
      <c r="J962" s="104" t="str">
        <f t="array" ref="J962">IF(ISBLANK(G962),"",INDEX('POR Config List'!H:H,MATCH(G962,'POR Config List'!D:D,0)))</f>
        <v/>
      </c>
      <c r="K962" s="105" t="str">
        <f t="array" ref="K962">IF(ISBLANK(G962),"",INDEX('POR Config List'!G:G,MATCH(G962,'POR Config List'!D:D,0)))</f>
        <v/>
      </c>
      <c r="L962" s="105"/>
      <c r="M962" s="105" t="str">
        <f t="array" ref="M962">IF(ISBLANK(G962),"",INDEX('label approval artwork'!Q:Q,MATCH( G962,'label approval artwork'!F:F,0)))</f>
        <v/>
      </c>
      <c r="N962" s="169" t="str">
        <f t="shared" si="5"/>
        <v/>
      </c>
      <c r="O962" s="102" t="str">
        <f t="array" ref="O962">IF(ISBLANK(G962),"",INDEX('POR Config List'!C:C,MATCH(G962,'POR Config List'!D:D,0)))</f>
        <v/>
      </c>
      <c r="P962" s="105" t="str">
        <f t="shared" si="4"/>
        <v/>
      </c>
      <c r="Q962" s="105" t="str">
        <f t="array" ref="Q962">IF(ISBLANK(G962),"",INDEX('label approval artwork'!J:J,MATCH( G962,'label approval artwork'!F:F,0)))</f>
        <v/>
      </c>
      <c r="R962" s="105" t="str">
        <f t="array" ref="R962">IFERROR( IF(P962&lt;&gt;"EMA",INDEX('label approval artwork'!H:H,MATCH(G962,'label approval artwork'!F:F,0),"")),"")</f>
        <v/>
      </c>
      <c r="S962" s="105"/>
      <c r="T962" s="105" t="str">
        <f t="array" ref="T962">IF(ISBLANK(G962),"",INDEX('POR Config List'!I:I,MATCH(G962,'POR Config List'!D:D,0)))</f>
        <v/>
      </c>
      <c r="AA962" s="100" t="str">
        <f t="array" ref="AA962">IF(ISBLANK(G962),"",INDEX('POR Config List'!E:E,MATCH(G962,'POR Config List'!D:D,0)))</f>
        <v/>
      </c>
      <c r="AC962" s="105"/>
      <c r="AD962" s="100"/>
      <c r="AE962" s="100"/>
      <c r="AF962" s="100"/>
      <c r="AG962" s="100"/>
      <c r="AM962" s="102"/>
      <c r="AN962" s="102"/>
    </row>
    <row r="963">
      <c r="A963" s="168"/>
      <c r="B963" s="100" t="str">
        <f t="array" ref="B963">IFERROR( INDEX('POR Config List'!A:A,MATCH(G963,'POR Config List'!D:D,0)),"")</f>
        <v/>
      </c>
      <c r="C963" s="101" t="str">
        <f t="array" ref="C963">IFERROR(INDEX('label approval artwork'!E:E,MATCH(G963,'label approval artwork'!F:F,0),""),"")</f>
        <v/>
      </c>
      <c r="D963" s="102" t="str">
        <f t="shared" si="3"/>
        <v/>
      </c>
      <c r="E963" s="100" t="str">
        <f t="array" ref="E963">IF(ISBLANK(G963),"",INDEX('POR Config List'!K:K,MATCH(G963,'POR Config List'!D:D,0)))</f>
        <v/>
      </c>
      <c r="F963" s="100" t="str">
        <f t="array" ref="F963">IF(ISBLANK(G963),"",INDEX('POR Config List'!J:J,MATCH(G963,'POR Config List'!D:D,0)))</f>
        <v/>
      </c>
      <c r="G963" s="168"/>
      <c r="H963" s="104" t="str">
        <f t="array" ref="H963">IF(ISBLANK(G963),"",INDEX('MP SKUs'!G:G,MATCH(G963,'MP SKUs'!A:A,0)))</f>
        <v/>
      </c>
      <c r="I963" s="105" t="str">
        <f t="array" ref="I963">IF(ISBLANK(G963),"",INDEX('POR Config List'!O:O,MATCH(G963,'POR Config List'!D:D,0)))</f>
        <v/>
      </c>
      <c r="J963" s="104" t="str">
        <f t="array" ref="J963">IF(ISBLANK(G963),"",INDEX('POR Config List'!H:H,MATCH(G963,'POR Config List'!D:D,0)))</f>
        <v/>
      </c>
      <c r="K963" s="105" t="str">
        <f t="array" ref="K963">IF(ISBLANK(G963),"",INDEX('POR Config List'!G:G,MATCH(G963,'POR Config List'!D:D,0)))</f>
        <v/>
      </c>
      <c r="L963" s="105"/>
      <c r="M963" s="105" t="str">
        <f t="array" ref="M963">IF(ISBLANK(G963),"",INDEX('label approval artwork'!Q:Q,MATCH( G963,'label approval artwork'!F:F,0)))</f>
        <v/>
      </c>
      <c r="N963" s="169" t="str">
        <f t="shared" si="5"/>
        <v/>
      </c>
      <c r="O963" s="102" t="str">
        <f t="array" ref="O963">IF(ISBLANK(G963),"",INDEX('POR Config List'!C:C,MATCH(G963,'POR Config List'!D:D,0)))</f>
        <v/>
      </c>
      <c r="P963" s="105" t="str">
        <f t="shared" si="4"/>
        <v/>
      </c>
      <c r="Q963" s="105" t="str">
        <f t="array" ref="Q963">IF(ISBLANK(G963),"",INDEX('label approval artwork'!J:J,MATCH( G963,'label approval artwork'!F:F,0)))</f>
        <v/>
      </c>
      <c r="R963" s="105" t="str">
        <f t="array" ref="R963">IFERROR( IF(P963&lt;&gt;"EMA",INDEX('label approval artwork'!H:H,MATCH(G963,'label approval artwork'!F:F,0),"")),"")</f>
        <v/>
      </c>
      <c r="S963" s="105"/>
      <c r="T963" s="105" t="str">
        <f t="array" ref="T963">IF(ISBLANK(G963),"",INDEX('POR Config List'!I:I,MATCH(G963,'POR Config List'!D:D,0)))</f>
        <v/>
      </c>
      <c r="AA963" s="100" t="str">
        <f t="array" ref="AA963">IF(ISBLANK(G963),"",INDEX('POR Config List'!E:E,MATCH(G963,'POR Config List'!D:D,0)))</f>
        <v/>
      </c>
      <c r="AC963" s="105"/>
      <c r="AD963" s="100"/>
      <c r="AE963" s="100"/>
      <c r="AF963" s="100"/>
      <c r="AG963" s="100"/>
      <c r="AM963" s="102"/>
      <c r="AN963" s="102"/>
    </row>
    <row r="964">
      <c r="A964" s="168"/>
      <c r="B964" s="100" t="str">
        <f t="array" ref="B964">IFERROR( INDEX('POR Config List'!A:A,MATCH(G964,'POR Config List'!D:D,0)),"")</f>
        <v/>
      </c>
      <c r="C964" s="101" t="str">
        <f t="array" ref="C964">IFERROR(INDEX('label approval artwork'!E:E,MATCH(G964,'label approval artwork'!F:F,0),""),"")</f>
        <v/>
      </c>
      <c r="D964" s="102" t="str">
        <f t="shared" si="3"/>
        <v/>
      </c>
      <c r="E964" s="100" t="str">
        <f t="array" ref="E964">IF(ISBLANK(G964),"",INDEX('POR Config List'!K:K,MATCH(G964,'POR Config List'!D:D,0)))</f>
        <v/>
      </c>
      <c r="F964" s="100" t="str">
        <f t="array" ref="F964">IF(ISBLANK(G964),"",INDEX('POR Config List'!J:J,MATCH(G964,'POR Config List'!D:D,0)))</f>
        <v/>
      </c>
      <c r="G964" s="168"/>
      <c r="H964" s="104" t="str">
        <f t="array" ref="H964">IF(ISBLANK(G964),"",INDEX('MP SKUs'!G:G,MATCH(G964,'MP SKUs'!A:A,0)))</f>
        <v/>
      </c>
      <c r="I964" s="105" t="str">
        <f t="array" ref="I964">IF(ISBLANK(G964),"",INDEX('POR Config List'!O:O,MATCH(G964,'POR Config List'!D:D,0)))</f>
        <v/>
      </c>
      <c r="J964" s="104" t="str">
        <f t="array" ref="J964">IF(ISBLANK(G964),"",INDEX('POR Config List'!H:H,MATCH(G964,'POR Config List'!D:D,0)))</f>
        <v/>
      </c>
      <c r="K964" s="105" t="str">
        <f t="array" ref="K964">IF(ISBLANK(G964),"",INDEX('POR Config List'!G:G,MATCH(G964,'POR Config List'!D:D,0)))</f>
        <v/>
      </c>
      <c r="L964" s="105"/>
      <c r="M964" s="105" t="str">
        <f t="array" ref="M964">IF(ISBLANK(G964),"",INDEX('label approval artwork'!Q:Q,MATCH( G964,'label approval artwork'!F:F,0)))</f>
        <v/>
      </c>
      <c r="N964" s="169" t="str">
        <f t="shared" si="5"/>
        <v/>
      </c>
      <c r="O964" s="102" t="str">
        <f t="array" ref="O964">IF(ISBLANK(G964),"",INDEX('POR Config List'!C:C,MATCH(G964,'POR Config List'!D:D,0)))</f>
        <v/>
      </c>
      <c r="P964" s="105" t="str">
        <f t="shared" si="4"/>
        <v/>
      </c>
      <c r="Q964" s="105" t="str">
        <f t="array" ref="Q964">IF(ISBLANK(G964),"",INDEX('label approval artwork'!J:J,MATCH( G964,'label approval artwork'!F:F,0)))</f>
        <v/>
      </c>
      <c r="R964" s="105" t="str">
        <f t="array" ref="R964">IFERROR( IF(P964&lt;&gt;"EMA",INDEX('label approval artwork'!H:H,MATCH(G964,'label approval artwork'!F:F,0),"")),"")</f>
        <v/>
      </c>
      <c r="S964" s="105"/>
      <c r="T964" s="105" t="str">
        <f t="array" ref="T964">IF(ISBLANK(G964),"",INDEX('POR Config List'!I:I,MATCH(G964,'POR Config List'!D:D,0)))</f>
        <v/>
      </c>
      <c r="AA964" s="100" t="str">
        <f t="array" ref="AA964">IF(ISBLANK(G964),"",INDEX('POR Config List'!E:E,MATCH(G964,'POR Config List'!D:D,0)))</f>
        <v/>
      </c>
      <c r="AC964" s="105"/>
      <c r="AD964" s="100"/>
      <c r="AE964" s="100"/>
      <c r="AF964" s="100"/>
      <c r="AG964" s="100"/>
      <c r="AM964" s="102"/>
      <c r="AN964" s="102"/>
    </row>
    <row r="965">
      <c r="A965" s="168"/>
      <c r="B965" s="100" t="str">
        <f t="array" ref="B965">IFERROR( INDEX('POR Config List'!A:A,MATCH(G965,'POR Config List'!D:D,0)),"")</f>
        <v/>
      </c>
      <c r="C965" s="101" t="str">
        <f t="array" ref="C965">IFERROR(INDEX('label approval artwork'!E:E,MATCH(G965,'label approval artwork'!F:F,0),""),"")</f>
        <v/>
      </c>
      <c r="D965" s="102" t="str">
        <f t="shared" si="3"/>
        <v/>
      </c>
      <c r="E965" s="100" t="str">
        <f t="array" ref="E965">IF(ISBLANK(G965),"",INDEX('POR Config List'!K:K,MATCH(G965,'POR Config List'!D:D,0)))</f>
        <v/>
      </c>
      <c r="F965" s="100" t="str">
        <f t="array" ref="F965">IF(ISBLANK(G965),"",INDEX('POR Config List'!J:J,MATCH(G965,'POR Config List'!D:D,0)))</f>
        <v/>
      </c>
      <c r="G965" s="168"/>
      <c r="H965" s="104" t="str">
        <f t="array" ref="H965">IF(ISBLANK(G965),"",INDEX('MP SKUs'!G:G,MATCH(G965,'MP SKUs'!A:A,0)))</f>
        <v/>
      </c>
      <c r="I965" s="105" t="str">
        <f t="array" ref="I965">IF(ISBLANK(G965),"",INDEX('POR Config List'!O:O,MATCH(G965,'POR Config List'!D:D,0)))</f>
        <v/>
      </c>
      <c r="J965" s="104" t="str">
        <f t="array" ref="J965">IF(ISBLANK(G965),"",INDEX('POR Config List'!H:H,MATCH(G965,'POR Config List'!D:D,0)))</f>
        <v/>
      </c>
      <c r="K965" s="105" t="str">
        <f t="array" ref="K965">IF(ISBLANK(G965),"",INDEX('POR Config List'!G:G,MATCH(G965,'POR Config List'!D:D,0)))</f>
        <v/>
      </c>
      <c r="L965" s="105"/>
      <c r="M965" s="105" t="str">
        <f t="array" ref="M965">IF(ISBLANK(G965),"",INDEX('label approval artwork'!Q:Q,MATCH( G965,'label approval artwork'!F:F,0)))</f>
        <v/>
      </c>
      <c r="N965" s="169" t="str">
        <f t="shared" si="5"/>
        <v/>
      </c>
      <c r="O965" s="102" t="str">
        <f t="array" ref="O965">IF(ISBLANK(G965),"",INDEX('POR Config List'!C:C,MATCH(G965,'POR Config List'!D:D,0)))</f>
        <v/>
      </c>
      <c r="P965" s="105" t="str">
        <f t="shared" si="4"/>
        <v/>
      </c>
      <c r="Q965" s="105" t="str">
        <f t="array" ref="Q965">IF(ISBLANK(G965),"",INDEX('label approval artwork'!J:J,MATCH( G965,'label approval artwork'!F:F,0)))</f>
        <v/>
      </c>
      <c r="R965" s="105" t="str">
        <f t="array" ref="R965">IFERROR( IF(P965&lt;&gt;"EMA",INDEX('label approval artwork'!H:H,MATCH(G965,'label approval artwork'!F:F,0),"")),"")</f>
        <v/>
      </c>
      <c r="S965" s="105"/>
      <c r="T965" s="105" t="str">
        <f t="array" ref="T965">IF(ISBLANK(G965),"",INDEX('POR Config List'!I:I,MATCH(G965,'POR Config List'!D:D,0)))</f>
        <v/>
      </c>
      <c r="AA965" s="100" t="str">
        <f t="array" ref="AA965">IF(ISBLANK(G965),"",INDEX('POR Config List'!E:E,MATCH(G965,'POR Config List'!D:D,0)))</f>
        <v/>
      </c>
      <c r="AC965" s="105"/>
      <c r="AD965" s="100"/>
      <c r="AE965" s="100"/>
      <c r="AF965" s="100"/>
      <c r="AG965" s="100"/>
      <c r="AM965" s="102"/>
      <c r="AN965" s="102"/>
    </row>
    <row r="966">
      <c r="A966" s="168"/>
      <c r="B966" s="100" t="str">
        <f t="array" ref="B966">IFERROR( INDEX('POR Config List'!A:A,MATCH(G966,'POR Config List'!D:D,0)),"")</f>
        <v/>
      </c>
      <c r="C966" s="101" t="str">
        <f t="array" ref="C966">IFERROR(INDEX('label approval artwork'!E:E,MATCH(G966,'label approval artwork'!F:F,0),""),"")</f>
        <v/>
      </c>
      <c r="D966" s="102" t="str">
        <f t="shared" si="3"/>
        <v/>
      </c>
      <c r="E966" s="100" t="str">
        <f t="array" ref="E966">IF(ISBLANK(G966),"",INDEX('POR Config List'!K:K,MATCH(G966,'POR Config List'!D:D,0)))</f>
        <v/>
      </c>
      <c r="F966" s="100" t="str">
        <f t="array" ref="F966">IF(ISBLANK(G966),"",INDEX('POR Config List'!J:J,MATCH(G966,'POR Config List'!D:D,0)))</f>
        <v/>
      </c>
      <c r="G966" s="168"/>
      <c r="H966" s="104" t="str">
        <f t="array" ref="H966">IF(ISBLANK(G966),"",INDEX('MP SKUs'!G:G,MATCH(G966,'MP SKUs'!A:A,0)))</f>
        <v/>
      </c>
      <c r="I966" s="105" t="str">
        <f t="array" ref="I966">IF(ISBLANK(G966),"",INDEX('POR Config List'!O:O,MATCH(G966,'POR Config List'!D:D,0)))</f>
        <v/>
      </c>
      <c r="J966" s="104" t="str">
        <f t="array" ref="J966">IF(ISBLANK(G966),"",INDEX('POR Config List'!H:H,MATCH(G966,'POR Config List'!D:D,0)))</f>
        <v/>
      </c>
      <c r="K966" s="105" t="str">
        <f t="array" ref="K966">IF(ISBLANK(G966),"",INDEX('POR Config List'!G:G,MATCH(G966,'POR Config List'!D:D,0)))</f>
        <v/>
      </c>
      <c r="L966" s="105"/>
      <c r="M966" s="105" t="str">
        <f t="array" ref="M966">IF(ISBLANK(G966),"",INDEX('label approval artwork'!Q:Q,MATCH( G966,'label approval artwork'!F:F,0)))</f>
        <v/>
      </c>
      <c r="N966" s="169" t="str">
        <f t="shared" si="5"/>
        <v/>
      </c>
      <c r="O966" s="102" t="str">
        <f t="array" ref="O966">IF(ISBLANK(G966),"",INDEX('POR Config List'!C:C,MATCH(G966,'POR Config List'!D:D,0)))</f>
        <v/>
      </c>
      <c r="P966" s="105" t="str">
        <f t="shared" si="4"/>
        <v/>
      </c>
      <c r="Q966" s="105" t="str">
        <f t="array" ref="Q966">IF(ISBLANK(G966),"",INDEX('label approval artwork'!J:J,MATCH( G966,'label approval artwork'!F:F,0)))</f>
        <v/>
      </c>
      <c r="R966" s="105" t="str">
        <f t="array" ref="R966">IFERROR( IF(P966&lt;&gt;"EMA",INDEX('label approval artwork'!H:H,MATCH(G966,'label approval artwork'!F:F,0),"")),"")</f>
        <v/>
      </c>
      <c r="S966" s="105"/>
      <c r="T966" s="105" t="str">
        <f t="array" ref="T966">IF(ISBLANK(G966),"",INDEX('POR Config List'!I:I,MATCH(G966,'POR Config List'!D:D,0)))</f>
        <v/>
      </c>
      <c r="AA966" s="100" t="str">
        <f t="array" ref="AA966">IF(ISBLANK(G966),"",INDEX('POR Config List'!E:E,MATCH(G966,'POR Config List'!D:D,0)))</f>
        <v/>
      </c>
      <c r="AC966" s="105"/>
      <c r="AD966" s="100"/>
      <c r="AE966" s="100"/>
      <c r="AF966" s="100"/>
      <c r="AG966" s="100"/>
      <c r="AM966" s="102"/>
      <c r="AN966" s="102"/>
    </row>
    <row r="967">
      <c r="A967" s="168"/>
      <c r="C967" s="168"/>
      <c r="G967" s="168"/>
      <c r="N967" s="171"/>
      <c r="AA967" s="172"/>
    </row>
    <row r="968">
      <c r="A968" s="168"/>
      <c r="C968" s="168"/>
      <c r="G968" s="168"/>
      <c r="N968" s="171"/>
      <c r="AA968" s="172"/>
    </row>
    <row r="969">
      <c r="A969" s="168"/>
      <c r="C969" s="168"/>
      <c r="G969" s="168"/>
      <c r="N969" s="171"/>
      <c r="AA969" s="172"/>
    </row>
    <row r="970">
      <c r="A970" s="168"/>
      <c r="C970" s="168"/>
      <c r="G970" s="168"/>
      <c r="N970" s="171"/>
      <c r="AA970" s="172"/>
    </row>
    <row r="971">
      <c r="A971" s="168"/>
      <c r="C971" s="168"/>
      <c r="G971" s="168"/>
      <c r="N971" s="171"/>
      <c r="AA971" s="172"/>
    </row>
    <row r="972">
      <c r="A972" s="168"/>
      <c r="C972" s="168"/>
      <c r="G972" s="168"/>
      <c r="N972" s="171"/>
      <c r="AA972" s="172"/>
    </row>
  </sheetData>
  <autoFilter ref="$A$7:$BA$138"/>
  <mergeCells count="1">
    <mergeCell ref="K1:L1"/>
  </mergeCells>
  <conditionalFormatting sqref="AC1:AN972">
    <cfRule type="containsText" dxfId="0" priority="1" operator="containsText" text="Yes">
      <formula>NOT(ISERROR(SEARCH(("Yes"),(AC1))))</formula>
    </cfRule>
  </conditionalFormatting>
  <conditionalFormatting sqref="AC1:AN972">
    <cfRule type="containsText" dxfId="1" priority="2" operator="containsText" text="NO">
      <formula>NOT(ISERROR(SEARCH(("NO"),(AC1))))</formula>
    </cfRule>
  </conditionalFormatting>
  <conditionalFormatting sqref="G1:G972">
    <cfRule type="expression" dxfId="2" priority="3">
      <formula>COUNTIF($G:$G,$G1)&gt;1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0"/>
    <col customWidth="1" min="4" max="4" width="5.38"/>
    <col customWidth="1" min="5" max="5" width="7.25"/>
    <col customWidth="1" min="6" max="6" width="12.75"/>
    <col customWidth="1" min="7" max="7" width="8.63"/>
    <col customWidth="1" min="8" max="9" width="13.0"/>
    <col customWidth="1" min="10" max="10" width="21.5"/>
    <col customWidth="1" min="11" max="11" width="25.75"/>
    <col customWidth="1" min="12" max="12" width="33.13"/>
    <col customWidth="1" min="13" max="14" width="15.75"/>
    <col customWidth="1" min="15" max="15" width="17.13"/>
    <col customWidth="1" min="16" max="16" width="12.0"/>
    <col customWidth="1" min="17" max="17" width="29.0"/>
    <col customWidth="1" min="18" max="19" width="12.13"/>
    <col customWidth="1" min="20" max="20" width="22.25"/>
    <col customWidth="1" min="21" max="21" width="13.25"/>
    <col customWidth="1" min="22" max="22" width="27.88"/>
    <col customWidth="1" min="23" max="23" width="12.63"/>
    <col customWidth="1" min="24" max="24" width="36.5"/>
    <col customWidth="1" min="25" max="25" width="21.25"/>
    <col customWidth="1" min="26" max="26" width="36.5"/>
    <col customWidth="1" min="27" max="27" width="21.13"/>
    <col customWidth="1" min="28" max="28" width="9.38"/>
    <col customWidth="1" min="29" max="29" width="12.38"/>
    <col customWidth="1" min="30" max="30" width="37.75"/>
    <col customWidth="1" min="31" max="31" width="28.5"/>
    <col customWidth="1" min="32" max="32" width="23.5"/>
    <col customWidth="1" min="33" max="33" width="16.13"/>
    <col customWidth="1" min="34" max="34" width="9.38"/>
    <col customWidth="1" min="35" max="35" width="18.75"/>
    <col customWidth="1" min="36" max="36" width="21.88"/>
    <col customWidth="1" min="37" max="37" width="36.75"/>
    <col customWidth="1" min="38" max="38" width="18.0"/>
    <col customWidth="1" min="39" max="39" width="21.25"/>
    <col customWidth="1" min="40" max="40" width="33.63"/>
    <col customWidth="1" min="41" max="41" width="19.75"/>
    <col customWidth="1" min="42" max="42" width="24.75"/>
    <col customWidth="1" min="43" max="43" width="25.0"/>
    <col customWidth="1" min="44" max="44" width="30.5"/>
    <col customWidth="1" min="45" max="45" width="18.63"/>
    <col customWidth="1" min="46" max="46" width="22.88"/>
    <col customWidth="1" min="47" max="47" width="19.0"/>
    <col customWidth="1" min="48" max="48" width="26.88"/>
    <col customWidth="1" min="49" max="49" width="13.0"/>
    <col customWidth="1" min="50" max="50" width="26.5"/>
    <col customWidth="1" min="51" max="51" width="28.63"/>
    <col customWidth="1" min="52" max="52" width="19.75"/>
    <col customWidth="1" min="53" max="53" width="21.75"/>
    <col customWidth="1" min="54" max="54" width="9.75"/>
  </cols>
  <sheetData>
    <row r="1">
      <c r="A1" s="69"/>
      <c r="B1" s="69"/>
    </row>
    <row r="2">
      <c r="A2" s="173" t="s">
        <v>930</v>
      </c>
      <c r="B2" s="173" t="s">
        <v>931</v>
      </c>
      <c r="C2" s="174" t="str">
        <f>IFERROR(__xludf.DUMMYFUNCTION("IMPORTRANGE(""https://docs.google.com/spreadsheets/d/15lzIx3irnFzzB1FWzssnBG7N0TKQQGt1hWrVTnBNvgM/edit?gid=1763328259#gid=1763328259"",""P-68 Master Approval(for All SKU not include ATT/VZNTMO)!A4:AZ200"")"),"Item")</f>
        <v>Item</v>
      </c>
      <c r="D2" s="174" t="str">
        <f>IFERROR(__xludf.DUMMYFUNCTION("""COMPUTED_VALUE"""),"Stage")</f>
        <v>Stage</v>
      </c>
      <c r="E2" s="174" t="str">
        <f>IFERROR(__xludf.DUMMYFUNCTION("""COMPUTED_VALUE"""),"Purpose")</f>
        <v>Purpose</v>
      </c>
      <c r="F2" s="174" t="str">
        <f>IFERROR(__xludf.DUMMYFUNCTION("""COMPUTED_VALUE"""),"Sale SKU")</f>
        <v>Sale SKU</v>
      </c>
      <c r="G2" s="174" t="str">
        <f>IFERROR(__xludf.DUMMYFUNCTION("""COMPUTED_VALUE"""),"Model#
產品型號#")</f>
        <v>Model#
產品型號#</v>
      </c>
      <c r="H2" s="174" t="str">
        <f>IFERROR(__xludf.DUMMYFUNCTION("""COMPUTED_VALUE"""),"UPC CODE-12")</f>
        <v>UPC CODE-12</v>
      </c>
      <c r="I2" s="175" t="str">
        <f>IFERROR(__xludf.DUMMYFUNCTION("""COMPUTED_VALUE"""),"EAN CODE-13")</f>
        <v>EAN CODE-13</v>
      </c>
      <c r="J2" s="174" t="str">
        <f>IFERROR(__xludf.DUMMYFUNCTION("""COMPUTED_VALUE"""),"SAP/SKU ID for Retail label")</f>
        <v>SAP/SKU ID for Retail label</v>
      </c>
      <c r="K2" s="174" t="str">
        <f>IFERROR(__xludf.DUMMYFUNCTION("""COMPUTED_VALUE"""),"Master Carton Label GPN &amp; Rev")</f>
        <v>Master Carton Label GPN &amp; Rev</v>
      </c>
      <c r="L2" s="174" t="str">
        <f>IFERROR(__xludf.DUMMYFUNCTION("""COMPUTED_VALUE"""),"Pallet Label GPN &amp; Rev")</f>
        <v>Pallet Label GPN &amp; Rev</v>
      </c>
      <c r="M2" s="174" t="str">
        <f>IFERROR(__xludf.DUMMYFUNCTION("""COMPUTED_VALUE"""),"BOB
Artwork GPN &amp; Rev")</f>
        <v>BOB
Artwork GPN &amp; Rev</v>
      </c>
      <c r="N2" s="174" t="str">
        <f>IFERROR(__xludf.DUMMYFUNCTION("""COMPUTED_VALUE"""),"IN MRP Label")</f>
        <v>IN MRP Label</v>
      </c>
      <c r="O2" s="174" t="str">
        <f>IFERROR(__xludf.DUMMYFUNCTION("""COMPUTED_VALUE"""),"Retail
Artwork GPN &amp; Rev")</f>
        <v>Retail
Artwork GPN &amp; Rev</v>
      </c>
      <c r="P2" s="174" t="str">
        <f>IFERROR(__xludf.DUMMYFUNCTION("""COMPUTED_VALUE"""),"Revison")</f>
        <v>Revison</v>
      </c>
      <c r="Q2" s="174" t="str">
        <f>IFERROR(__xludf.DUMMYFUNCTION("""COMPUTED_VALUE"""),"Memory
")</f>
        <v>Memory
</v>
      </c>
      <c r="R2" s="174" t="str">
        <f>IFERROR(__xludf.DUMMYFUNCTION("""COMPUTED_VALUE"""),"Color Name from sleeve template use")</f>
        <v>Color Name from sleeve template use</v>
      </c>
      <c r="S2" s="174" t="str">
        <f>IFERROR(__xludf.DUMMYFUNCTION("""COMPUTED_VALUE"""),"Color ID
from Znext")</f>
        <v>Color ID
from Znext</v>
      </c>
      <c r="T2" s="174" t="str">
        <f>IFERROR(__xludf.DUMMYFUNCTION("""COMPUTED_VALUE"""),"SKU")</f>
        <v>SKU</v>
      </c>
      <c r="U2" s="174" t="str">
        <f>IFERROR(__xludf.DUMMYFUNCTION("""COMPUTED_VALUE"""),"Description")</f>
        <v>Description</v>
      </c>
      <c r="V2" s="174" t="str">
        <f>IFERROR(__xludf.DUMMYFUNCTION("""COMPUTED_VALUE"""),"Real Description")</f>
        <v>Real Description</v>
      </c>
      <c r="W2" s="174" t="str">
        <f>IFERROR(__xludf.DUMMYFUNCTION("""COMPUTED_VALUE"""),"P-65
Inform NPI OPM if no 65 days buffer")</f>
        <v>P-65
Inform NPI OPM if no 65 days buffer</v>
      </c>
      <c r="X2" s="174" t="str">
        <f>IFERROR(__xludf.DUMMYFUNCTION("""COMPUTED_VALUE"""),"Day P Ok2pack")</f>
        <v>Day P Ok2pack</v>
      </c>
      <c r="Y2" s="174" t="str">
        <f>IFERROR(__xludf.DUMMYFUNCTION("""COMPUTED_VALUE"""),"Day P-50 EPM release RevA Date (CM Receive 
from G +1 day)")</f>
        <v>Day P-50 EPM release RevA Date (CM Receive 
from G +1 day)</v>
      </c>
      <c r="Z2" s="174" t="str">
        <f>IFERROR(__xludf.DUMMYFUNCTION("""COMPUTED_VALUE"""),"EPM Confirm done with ✅")</f>
        <v>EPM Confirm done with ✅</v>
      </c>
      <c r="AA2" s="174" t="str">
        <f>IFERROR(__xludf.DUMMYFUNCTION("""COMPUTED_VALUE"""),"Day P-50 PPO release RevA Date (CM Receive 
from G +1 day)")</f>
        <v>Day P-50 PPO release RevA Date (CM Receive 
from G +1 day)</v>
      </c>
      <c r="AB2" s="174" t="str">
        <f>IFERROR(__xludf.DUMMYFUNCTION("""COMPUTED_VALUE"""),"PPO Confirm done with ✅")</f>
        <v>PPO Confirm done with ✅</v>
      </c>
      <c r="AC2" s="174" t="str">
        <f>IFERROR(__xludf.DUMMYFUNCTION("""COMPUTED_VALUE"""),"P-43
Template 
Mock-up")</f>
        <v>P-43
Template 
Mock-up</v>
      </c>
      <c r="AD2" s="174" t="str">
        <f>IFERROR(__xludf.DUMMYFUNCTION("""COMPUTED_VALUE"""),"P-43
Packing PD/PE
 Buy-off")</f>
        <v>P-43
Packing PD/PE
 Buy-off</v>
      </c>
      <c r="AE2" s="174" t="str">
        <f>IFERROR(__xludf.DUMMYFUNCTION("""COMPUTED_VALUE"""),"P-37 Retail Label Photo in Approval Format(+link)")</f>
        <v>P-37 Retail Label Photo in Approval Format(+link)</v>
      </c>
      <c r="AF2" s="174" t="str">
        <f>IFERROR(__xludf.DUMMYFUNCTION("""COMPUTED_VALUE"""),"P-37 MRP Label Photo in Approval Format(+link)")</f>
        <v>P-37 MRP Label Photo in Approval Format(+link)</v>
      </c>
      <c r="AG2" s="174" t="str">
        <f>IFERROR(__xludf.DUMMYFUNCTION("""COMPUTED_VALUE"""),"P-37 Carton/Pallet Label (SKU + link)
")</f>
        <v>P-37 Carton/Pallet Label (SKU + link)
</v>
      </c>
      <c r="AH2" s="174" t="str">
        <f>IFERROR(__xludf.DUMMYFUNCTION("""COMPUTED_VALUE"""),"P-37 BOB Sleeve (SKU + link)")</f>
        <v>P-37 BOB Sleeve (SKU + link)</v>
      </c>
      <c r="AI2" s="174" t="str">
        <f>IFERROR(__xludf.DUMMYFUNCTION("""COMPUTED_VALUE"""),"P-36
QA Buy-off
 (PDF/SKU with link)")</f>
        <v>P-36
QA Buy-off
 (PDF/SKU with link)</v>
      </c>
      <c r="AJ2" s="174" t="str">
        <f>IFERROR(__xludf.DUMMYFUNCTION("""COMPUTED_VALUE"""),"P-36 Date")</f>
        <v>P-36 Date</v>
      </c>
      <c r="AK2" s="174" t="str">
        <f>IFERROR(__xludf.DUMMYFUNCTION("""COMPUTED_VALUE"""),"P-29 EPM soft Approval
(RAP and BOB artwork)")</f>
        <v>P-29 EPM soft Approval
(RAP and BOB artwork)</v>
      </c>
      <c r="AL2" s="174" t="str">
        <f>IFERROR(__xludf.DUMMYFUNCTION("""COMPUTED_VALUE"""),"P-29 EPM soft approved ✅")</f>
        <v>P-29 EPM soft approved ✅</v>
      </c>
      <c r="AM2" s="174" t="str">
        <f>IFERROR(__xludf.DUMMYFUNCTION("""COMPUTED_VALUE"""),"P-30 EPM BOB POR (Rev A) Soft approved ✅")</f>
        <v>P-30 EPM BOB POR (Rev A) Soft approved ✅</v>
      </c>
      <c r="AN2" s="174" t="str">
        <f>IFERROR(__xludf.DUMMYFUNCTION("""COMPUTED_VALUE"""),"P-29 LSL soft approval
(Carton &amp; Pallet label)")</f>
        <v>P-29 LSL soft approval
(Carton &amp; Pallet label)</v>
      </c>
      <c r="AO2" s="174" t="str">
        <f>IFERROR(__xludf.DUMMYFUNCTION("""COMPUTED_VALUE"""),"P-29 LSL soft approved ✅")</f>
        <v>P-29 LSL soft approved ✅</v>
      </c>
      <c r="AP2" s="174" t="str">
        <f>IFERROR(__xludf.DUMMYFUNCTION("""COMPUTED_VALUE"""),"P-26
Origin Logistic Physical Label needed?(Y/N)")</f>
        <v>P-26
Origin Logistic Physical Label needed?(Y/N)</v>
      </c>
      <c r="AQ2" s="174" t="str">
        <f>IFERROR(__xludf.DUMMYFUNCTION("""COMPUTED_VALUE"""),"Origin Logistic Tracking #")</f>
        <v>Origin Logistic Tracking #</v>
      </c>
      <c r="AR2" s="174" t="str">
        <f>IFERROR(__xludf.DUMMYFUNCTION("""COMPUTED_VALUE"""),"P-29
Label Approval
( DRI Name -QRcode Required)")</f>
        <v>P-29
Label Approval
( DRI Name -QRcode Required)</v>
      </c>
      <c r="AS2" s="174" t="str">
        <f>IFERROR(__xludf.DUMMYFUNCTION("""COMPUTED_VALUE"""),"P-29  QRcode DRI approved ✅")</f>
        <v>P-29  QRcode DRI approved ✅</v>
      </c>
      <c r="AT2" s="174" t="str">
        <f>IFERROR(__xludf.DUMMYFUNCTION("""COMPUTED_VALUE"""),"P-29
QRcode Physical sample needed?(Y/N)")</f>
        <v>P-29
QRcode Physical sample needed?(Y/N)</v>
      </c>
      <c r="AU2" s="174" t="str">
        <f>IFERROR(__xludf.DUMMYFUNCTION("""COMPUTED_VALUE"""),"QRcode DRI Tracking #")</f>
        <v>QRcode DRI Tracking #</v>
      </c>
      <c r="AV2" s="174" t="str">
        <f>IFERROR(__xludf.DUMMYFUNCTION("""COMPUTED_VALUE"""),"P-29
Label Approval
(PGM - Carrier info Required)")</f>
        <v>P-29
Label Approval
(PGM - Carrier info Required)</v>
      </c>
      <c r="AW2" s="174" t="str">
        <f>IFERROR(__xludf.DUMMYFUNCTION("""COMPUTED_VALUE"""),"P-29 PGM approved ✅")</f>
        <v>P-29 PGM approved ✅</v>
      </c>
      <c r="AX2" s="174" t="str">
        <f>IFERROR(__xludf.DUMMYFUNCTION("""COMPUTED_VALUE"""),"P-26
PGM Physical Label needed?(Y/N)")</f>
        <v>P-26
PGM Physical Label needed?(Y/N)</v>
      </c>
      <c r="AY2" s="174" t="str">
        <f>IFERROR(__xludf.DUMMYFUNCTION("""COMPUTED_VALUE"""),"PGM Tracking #")</f>
        <v>PGM Tracking #</v>
      </c>
      <c r="AZ2" s="174" t="str">
        <f>IFERROR(__xludf.DUMMYFUNCTION("""COMPUTED_VALUE"""),"P-3 
Origin Logistic Hard copy approval")</f>
        <v>P-3 
Origin Logistic Hard copy approval</v>
      </c>
      <c r="BA2" s="174" t="str">
        <f>IFERROR(__xludf.DUMMYFUNCTION("""COMPUTED_VALUE"""),"P-3 Origin Logistic hard approved ✅")</f>
        <v>P-3 Origin Logistic hard approved ✅</v>
      </c>
      <c r="BB2" s="174" t="str">
        <f>IFERROR(__xludf.DUMMYFUNCTION("""COMPUTED_VALUE"""),"P-3 
PGM Hard copy approval")</f>
        <v>P-3 
PGM Hard copy approval</v>
      </c>
      <c r="BC2" s="174"/>
      <c r="BD2" s="174"/>
      <c r="BE2" s="174"/>
      <c r="BF2" s="174"/>
      <c r="BG2" s="174"/>
      <c r="BH2" s="174"/>
      <c r="BI2" s="174"/>
      <c r="BJ2" s="174"/>
      <c r="BK2" s="174"/>
      <c r="BL2" s="174"/>
    </row>
    <row r="3">
      <c r="A3" s="176"/>
      <c r="B3" s="176"/>
      <c r="C3" s="177" t="str">
        <f>IFERROR(__xludf.DUMMYFUNCTION("""COMPUTED_VALUE"""),"Example")</f>
        <v>Example</v>
      </c>
      <c r="D3" s="177" t="str">
        <f>IFERROR(__xludf.DUMMYFUNCTION("""COMPUTED_VALUE"""),"MP")</f>
        <v>MP</v>
      </c>
      <c r="E3" s="177" t="str">
        <f>IFERROR(__xludf.DUMMYFUNCTION("""COMPUTED_VALUE"""),"Pristine")</f>
        <v>Pristine</v>
      </c>
      <c r="F3" s="177" t="str">
        <f>IFERROR(__xludf.DUMMYFUNCTION("""COMPUTED_VALUE"""),"GA03523-US")</f>
        <v>GA03523-US</v>
      </c>
      <c r="G3" s="177"/>
      <c r="H3" s="177">
        <f>IFERROR(__xludf.DUMMYFUNCTION("""COMPUTED_VALUE"""),8.10029936316E11)</f>
        <v>810029936316</v>
      </c>
      <c r="I3" s="177"/>
      <c r="J3" s="177" t="str">
        <f>IFERROR(__xludf.DUMMYFUNCTION("""COMPUTED_VALUE"""),"no")</f>
        <v>no</v>
      </c>
      <c r="K3" s="177" t="str">
        <f>IFERROR(__xludf.DUMMYFUNCTION("""COMPUTED_VALUE"""),"VZN Master Carton Label")</f>
        <v>VZN Master Carton Label</v>
      </c>
      <c r="L3" s="177"/>
      <c r="M3" s="177" t="str">
        <f>IFERROR(__xludf.DUMMYFUNCTION("""COMPUTED_VALUE"""),"VZN Pallet Label -&gt; BTO(EDI)
VZN Pallet Label -&gt; BTS(Normal case)
")</f>
        <v>VZN Pallet Label -&gt; BTO(EDI)
VZN Pallet Label -&gt; BTS(Normal case)
</v>
      </c>
      <c r="N3" s="177"/>
      <c r="O3" s="177" t="str">
        <f>IFERROR(__xludf.DUMMYFUNCTION("""COMPUTED_VALUE"""),"G952-03249-00")</f>
        <v>G952-03249-00</v>
      </c>
      <c r="P3" s="177" t="str">
        <f>IFERROR(__xludf.DUMMYFUNCTION("""COMPUTED_VALUE"""),"A")</f>
        <v>A</v>
      </c>
      <c r="Q3" s="177" t="str">
        <f>IFERROR(__xludf.DUMMYFUNCTION("""COMPUTED_VALUE"""),"128GB")</f>
        <v>128GB</v>
      </c>
      <c r="R3" s="177"/>
      <c r="S3" s="177" t="str">
        <f>IFERROR(__xludf.DUMMYFUNCTION("""COMPUTED_VALUE"""),"Obsidian")</f>
        <v>Obsidian</v>
      </c>
      <c r="T3" s="177" t="str">
        <f>IFERROR(__xludf.DUMMYFUNCTION("""COMPUTED_VALUE"""),"US-VZW")</f>
        <v>US-VZW</v>
      </c>
      <c r="U3" s="177" t="str">
        <f>IFERROR(__xludf.DUMMYFUNCTION("""COMPUTED_VALUE"""),"Pixel 7, Obsidian, 128GB, VZW")</f>
        <v>Pixel 7, Obsidian, 128GB, VZW</v>
      </c>
      <c r="V3" s="177"/>
      <c r="W3" s="178" t="str">
        <f>IFERROR(__xludf.DUMMYFUNCTION("""COMPUTED_VALUE"""),"#NUM!")</f>
        <v>#NUM!</v>
      </c>
      <c r="X3" s="179">
        <f>IFERROR(__xludf.DUMMYFUNCTION("""COMPUTED_VALUE"""),45291.0)</f>
        <v>45291</v>
      </c>
      <c r="Y3" s="180">
        <f>IFERROR(__xludf.DUMMYFUNCTION("""COMPUTED_VALUE"""),45240.0)</f>
        <v>45240</v>
      </c>
      <c r="Z3" s="177" t="b">
        <f>IFERROR(__xludf.DUMMYFUNCTION("""COMPUTED_VALUE"""),TRUE)</f>
        <v>1</v>
      </c>
      <c r="AA3" s="180">
        <f>IFERROR(__xludf.DUMMYFUNCTION("""COMPUTED_VALUE"""),45240.0)</f>
        <v>45240</v>
      </c>
      <c r="AB3" s="177" t="b">
        <f>IFERROR(__xludf.DUMMYFUNCTION("""COMPUTED_VALUE"""),TRUE)</f>
        <v>1</v>
      </c>
      <c r="AC3" s="180">
        <f>IFERROR(__xludf.DUMMYFUNCTION("""COMPUTED_VALUE"""),45247.0)</f>
        <v>45247</v>
      </c>
      <c r="AD3" s="180">
        <f>IFERROR(__xludf.DUMMYFUNCTION("""COMPUTED_VALUE"""),45247.0)</f>
        <v>45247</v>
      </c>
      <c r="AE3" s="181" t="str">
        <f>IFERROR(__xludf.DUMMYFUNCTION("""COMPUTED_VALUE"""),"GA03523-US")</f>
        <v>GA03523-US</v>
      </c>
      <c r="AF3" s="177"/>
      <c r="AG3" s="177" t="str">
        <f>IFERROR(__xludf.DUMMYFUNCTION("""COMPUTED_VALUE"""),"GA03523-US")</f>
        <v>GA03523-US</v>
      </c>
      <c r="AH3" s="177"/>
      <c r="AI3" s="177" t="str">
        <f>IFERROR(__xludf.DUMMYFUNCTION("""COMPUTED_VALUE"""),"GA03523-US")</f>
        <v>GA03523-US</v>
      </c>
      <c r="AJ3" s="180">
        <f>IFERROR(__xludf.DUMMYFUNCTION("""COMPUTED_VALUE"""),45253.0)</f>
        <v>45253</v>
      </c>
      <c r="AK3" s="180">
        <f>IFERROR(__xludf.DUMMYFUNCTION("""COMPUTED_VALUE"""),45261.0)</f>
        <v>45261</v>
      </c>
      <c r="AL3" s="177" t="b">
        <f>IFERROR(__xludf.DUMMYFUNCTION("""COMPUTED_VALUE"""),TRUE)</f>
        <v>1</v>
      </c>
      <c r="AM3" s="177"/>
      <c r="AN3" s="180">
        <f>IFERROR(__xludf.DUMMYFUNCTION("""COMPUTED_VALUE"""),45261.0)</f>
        <v>45261</v>
      </c>
      <c r="AO3" s="177" t="b">
        <f>IFERROR(__xludf.DUMMYFUNCTION("""COMPUTED_VALUE"""),TRUE)</f>
        <v>1</v>
      </c>
      <c r="AP3" s="177" t="str">
        <f>IFERROR(__xludf.DUMMYFUNCTION("""COMPUTED_VALUE"""),"N")</f>
        <v>N</v>
      </c>
      <c r="AQ3" s="177" t="str">
        <f>IFERROR(__xludf.DUMMYFUNCTION("""COMPUTED_VALUE"""),"-")</f>
        <v>-</v>
      </c>
      <c r="AR3" s="177"/>
      <c r="AS3" s="177"/>
      <c r="AT3" s="177"/>
      <c r="AU3" s="177"/>
      <c r="AV3" s="180">
        <f>IFERROR(__xludf.DUMMYFUNCTION("""COMPUTED_VALUE"""),45261.0)</f>
        <v>45261</v>
      </c>
      <c r="AW3" s="177"/>
      <c r="AX3" s="180" t="str">
        <f>IFERROR(__xludf.DUMMYFUNCTION("""COMPUTED_VALUE"""),"N")</f>
        <v>N</v>
      </c>
      <c r="AY3" s="177"/>
      <c r="AZ3" s="180">
        <f>IFERROR(__xludf.DUMMYFUNCTION("""COMPUTED_VALUE"""),45287.0)</f>
        <v>45287</v>
      </c>
      <c r="BA3" s="177" t="b">
        <f>IFERROR(__xludf.DUMMYFUNCTION("""COMPUTED_VALUE"""),TRUE)</f>
        <v>1</v>
      </c>
      <c r="BB3" s="180">
        <f>IFERROR(__xludf.DUMMYFUNCTION("""COMPUTED_VALUE"""),45287.0)</f>
        <v>45287</v>
      </c>
      <c r="BC3" s="177"/>
      <c r="BD3" s="177"/>
      <c r="BE3" s="177"/>
      <c r="BF3" s="177"/>
      <c r="BG3" s="177"/>
      <c r="BH3" s="177"/>
      <c r="BI3" s="177"/>
      <c r="BJ3" s="177"/>
      <c r="BK3" s="177"/>
      <c r="BL3" s="177"/>
    </row>
    <row r="4">
      <c r="A4" s="176"/>
      <c r="B4" s="176"/>
      <c r="C4" s="177" t="str">
        <f>IFERROR(__xludf.DUMMYFUNCTION("""COMPUTED_VALUE"""),"Example")</f>
        <v>Example</v>
      </c>
      <c r="D4" s="177" t="str">
        <f>IFERROR(__xludf.DUMMYFUNCTION("""COMPUTED_VALUE"""),"MP")</f>
        <v>MP</v>
      </c>
      <c r="E4" s="177" t="str">
        <f>IFERROR(__xludf.DUMMYFUNCTION("""COMPUTED_VALUE"""),"Pristine")</f>
        <v>Pristine</v>
      </c>
      <c r="F4" s="177" t="str">
        <f>IFERROR(__xludf.DUMMYFUNCTION("""COMPUTED_VALUE"""),"GA03523-US")</f>
        <v>GA03523-US</v>
      </c>
      <c r="G4" s="177"/>
      <c r="H4" s="177">
        <f>IFERROR(__xludf.DUMMYFUNCTION("""COMPUTED_VALUE"""),8.10029936316E11)</f>
        <v>810029936316</v>
      </c>
      <c r="I4" s="177"/>
      <c r="J4" s="177" t="str">
        <f>IFERROR(__xludf.DUMMYFUNCTION("""COMPUTED_VALUE"""),"no")</f>
        <v>no</v>
      </c>
      <c r="K4" s="177"/>
      <c r="L4" s="177"/>
      <c r="M4" s="177"/>
      <c r="N4" s="177"/>
      <c r="O4" s="177" t="str">
        <f>IFERROR(__xludf.DUMMYFUNCTION("""COMPUTED_VALUE"""),"G952-03249-00")</f>
        <v>G952-03249-00</v>
      </c>
      <c r="P4" s="177" t="str">
        <f>IFERROR(__xludf.DUMMYFUNCTION("""COMPUTED_VALUE"""),"A")</f>
        <v>A</v>
      </c>
      <c r="Q4" s="177" t="str">
        <f>IFERROR(__xludf.DUMMYFUNCTION("""COMPUTED_VALUE"""),"128GB")</f>
        <v>128GB</v>
      </c>
      <c r="R4" s="177"/>
      <c r="S4" s="177" t="str">
        <f>IFERROR(__xludf.DUMMYFUNCTION("""COMPUTED_VALUE"""),"Obsidian")</f>
        <v>Obsidian</v>
      </c>
      <c r="T4" s="177" t="str">
        <f>IFERROR(__xludf.DUMMYFUNCTION("""COMPUTED_VALUE"""),"US-VZW")</f>
        <v>US-VZW</v>
      </c>
      <c r="U4" s="177" t="str">
        <f>IFERROR(__xludf.DUMMYFUNCTION("""COMPUTED_VALUE"""),"Pixel 7, Obsidian, 128GB, VZW")</f>
        <v>Pixel 7, Obsidian, 128GB, VZW</v>
      </c>
      <c r="V4" s="177"/>
      <c r="W4" s="178" t="str">
        <f>IFERROR(__xludf.DUMMYFUNCTION("""COMPUTED_VALUE"""),"#NUM!")</f>
        <v>#NUM!</v>
      </c>
      <c r="X4" s="179">
        <f>IFERROR(__xludf.DUMMYFUNCTION("""COMPUTED_VALUE"""),45239.0)</f>
        <v>45239</v>
      </c>
      <c r="Y4" s="180">
        <f>IFERROR(__xludf.DUMMYFUNCTION("""COMPUTED_VALUE"""),45188.0)</f>
        <v>45188</v>
      </c>
      <c r="Z4" s="177" t="b">
        <f>IFERROR(__xludf.DUMMYFUNCTION("""COMPUTED_VALUE"""),FALSE)</f>
        <v>0</v>
      </c>
      <c r="AA4" s="180">
        <f>IFERROR(__xludf.DUMMYFUNCTION("""COMPUTED_VALUE"""),45188.0)</f>
        <v>45188</v>
      </c>
      <c r="AB4" s="177" t="b">
        <f>IFERROR(__xludf.DUMMYFUNCTION("""COMPUTED_VALUE"""),FALSE)</f>
        <v>0</v>
      </c>
      <c r="AC4" s="180">
        <f>IFERROR(__xludf.DUMMYFUNCTION("""COMPUTED_VALUE"""),45195.0)</f>
        <v>45195</v>
      </c>
      <c r="AD4" s="180">
        <f>IFERROR(__xludf.DUMMYFUNCTION("""COMPUTED_VALUE"""),45195.0)</f>
        <v>45195</v>
      </c>
      <c r="AE4" s="181" t="str">
        <f>IFERROR(__xludf.DUMMYFUNCTION("""COMPUTED_VALUE"""),"GA03523-US")</f>
        <v>GA03523-US</v>
      </c>
      <c r="AF4" s="177"/>
      <c r="AG4" s="177" t="str">
        <f>IFERROR(__xludf.DUMMYFUNCTION("""COMPUTED_VALUE"""),"GA03523-US")</f>
        <v>GA03523-US</v>
      </c>
      <c r="AH4" s="177"/>
      <c r="AI4" s="177"/>
      <c r="AJ4" s="180">
        <f>IFERROR(__xludf.DUMMYFUNCTION("""COMPUTED_VALUE"""),45201.0)</f>
        <v>45201</v>
      </c>
      <c r="AK4" s="180">
        <f>IFERROR(__xludf.DUMMYFUNCTION("""COMPUTED_VALUE"""),45209.0)</f>
        <v>45209</v>
      </c>
      <c r="AL4" s="177" t="b">
        <f>IFERROR(__xludf.DUMMYFUNCTION("""COMPUTED_VALUE"""),FALSE)</f>
        <v>0</v>
      </c>
      <c r="AM4" s="177"/>
      <c r="AN4" s="180">
        <f>IFERROR(__xludf.DUMMYFUNCTION("""COMPUTED_VALUE"""),45209.0)</f>
        <v>45209</v>
      </c>
      <c r="AO4" s="177" t="b">
        <f>IFERROR(__xludf.DUMMYFUNCTION("""COMPUTED_VALUE"""),FALSE)</f>
        <v>0</v>
      </c>
      <c r="AP4" s="177" t="str">
        <f>IFERROR(__xludf.DUMMYFUNCTION("""COMPUTED_VALUE"""),"Y")</f>
        <v>Y</v>
      </c>
      <c r="AQ4" s="177"/>
      <c r="AR4" s="177"/>
      <c r="AS4" s="177"/>
      <c r="AT4" s="177"/>
      <c r="AU4" s="177"/>
      <c r="AV4" s="180">
        <f>IFERROR(__xludf.DUMMYFUNCTION("""COMPUTED_VALUE"""),45209.0)</f>
        <v>45209</v>
      </c>
      <c r="AW4" s="177"/>
      <c r="AX4" s="180" t="str">
        <f>IFERROR(__xludf.DUMMYFUNCTION("""COMPUTED_VALUE"""),"Y")</f>
        <v>Y</v>
      </c>
      <c r="AY4" s="177" t="str">
        <f>IFERROR(__xludf.DUMMYFUNCTION("""COMPUTED_VALUE"""),"-")</f>
        <v>-</v>
      </c>
      <c r="AZ4" s="180">
        <f>IFERROR(__xludf.DUMMYFUNCTION("""COMPUTED_VALUE"""),45235.0)</f>
        <v>45235</v>
      </c>
      <c r="BA4" s="177" t="b">
        <f>IFERROR(__xludf.DUMMYFUNCTION("""COMPUTED_VALUE"""),TRUE)</f>
        <v>1</v>
      </c>
      <c r="BB4" s="180">
        <f>IFERROR(__xludf.DUMMYFUNCTION("""COMPUTED_VALUE"""),45235.0)</f>
        <v>45235</v>
      </c>
      <c r="BC4" s="177"/>
      <c r="BD4" s="177"/>
      <c r="BE4" s="177"/>
      <c r="BF4" s="177"/>
      <c r="BG4" s="177"/>
      <c r="BH4" s="177"/>
      <c r="BI4" s="177"/>
      <c r="BJ4" s="177"/>
      <c r="BK4" s="177"/>
      <c r="BL4" s="177"/>
    </row>
    <row r="5">
      <c r="A5" s="69"/>
      <c r="B5" s="69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 t="str">
        <f>IFERROR(__xludf.DUMMYFUNCTION("""COMPUTED_VALUE"""),"#NUM!")</f>
        <v>#NUM!</v>
      </c>
      <c r="X5" s="182"/>
      <c r="Y5" s="182" t="str">
        <f>IFERROR(__xludf.DUMMYFUNCTION("""COMPUTED_VALUE"""),"#VALUE!")</f>
        <v>#VALUE!</v>
      </c>
      <c r="Z5" s="182" t="b">
        <f>IFERROR(__xludf.DUMMYFUNCTION("""COMPUTED_VALUE"""),FALSE)</f>
        <v>0</v>
      </c>
      <c r="AA5" s="182" t="str">
        <f>IFERROR(__xludf.DUMMYFUNCTION("""COMPUTED_VALUE"""),"#VALUE!")</f>
        <v>#VALUE!</v>
      </c>
      <c r="AB5" s="182" t="b">
        <f>IFERROR(__xludf.DUMMYFUNCTION("""COMPUTED_VALUE"""),FALSE)</f>
        <v>0</v>
      </c>
      <c r="AC5" s="182" t="str">
        <f>IFERROR(__xludf.DUMMYFUNCTION("""COMPUTED_VALUE"""),"#VALUE!")</f>
        <v>#VALUE!</v>
      </c>
      <c r="AD5" s="182" t="str">
        <f>IFERROR(__xludf.DUMMYFUNCTION("""COMPUTED_VALUE"""),"#VALUE!")</f>
        <v>#VALUE!</v>
      </c>
      <c r="AE5" s="182"/>
      <c r="AF5" s="182"/>
      <c r="AG5" s="182"/>
      <c r="AH5" s="182"/>
      <c r="AI5" s="182"/>
      <c r="AJ5" s="182" t="str">
        <f>IFERROR(__xludf.DUMMYFUNCTION("""COMPUTED_VALUE"""),"#VALUE!")</f>
        <v>#VALUE!</v>
      </c>
      <c r="AK5" s="182" t="str">
        <f>IFERROR(__xludf.DUMMYFUNCTION("""COMPUTED_VALUE"""),"#VALUE!")</f>
        <v>#VALUE!</v>
      </c>
      <c r="AL5" s="182" t="b">
        <f>IFERROR(__xludf.DUMMYFUNCTION("""COMPUTED_VALUE"""),FALSE)</f>
        <v>0</v>
      </c>
      <c r="AM5" s="182"/>
      <c r="AN5" s="182" t="str">
        <f>IFERROR(__xludf.DUMMYFUNCTION("""COMPUTED_VALUE"""),"#VALUE!")</f>
        <v>#VALUE!</v>
      </c>
      <c r="AO5" s="182" t="b">
        <f>IFERROR(__xludf.DUMMYFUNCTION("""COMPUTED_VALUE"""),FALSE)</f>
        <v>0</v>
      </c>
      <c r="AP5" s="182"/>
      <c r="AQ5" s="182"/>
      <c r="AR5" s="182"/>
      <c r="AS5" s="182"/>
      <c r="AT5" s="182"/>
      <c r="AU5" s="182"/>
      <c r="AV5" s="182" t="str">
        <f>IFERROR(__xludf.DUMMYFUNCTION("""COMPUTED_VALUE"""),"#VALUE!")</f>
        <v>#VALUE!</v>
      </c>
      <c r="AW5" s="182"/>
      <c r="AX5" s="182"/>
      <c r="AY5" s="182"/>
      <c r="AZ5" s="182" t="str">
        <f>IFERROR(__xludf.DUMMYFUNCTION("""COMPUTED_VALUE"""),"#VALUE!")</f>
        <v>#VALUE!</v>
      </c>
      <c r="BA5" s="182" t="b">
        <f>IFERROR(__xludf.DUMMYFUNCTION("""COMPUTED_VALUE"""),FALSE)</f>
        <v>0</v>
      </c>
      <c r="BB5" s="182" t="str">
        <f>IFERROR(__xludf.DUMMYFUNCTION("""COMPUTED_VALUE"""),"#VALUE!")</f>
        <v>#VALUE!</v>
      </c>
    </row>
    <row r="6">
      <c r="A6" s="184" t="str">
        <f t="shared" ref="A6:A303" si="1">MID(M6, FIND(CHAR(10), M6) + 1, LEN(M6) - FIND(CHAR(10), M6))</f>
        <v>G990-08499-11-A</v>
      </c>
      <c r="B6" s="69" t="str">
        <f t="shared" ref="B6:B199" si="2">MID(O6, FIND(CHAR(10), O6) + 1, LEN(O6) - FIND(CHAR(10), O6))</f>
        <v>G990-08493-00-A</v>
      </c>
      <c r="C6" s="182" t="str">
        <f>IFERROR(__xludf.DUMMYFUNCTION("""COMPUTED_VALUE"""),"GSTORE")</f>
        <v>GSTORE</v>
      </c>
      <c r="D6" s="182" t="str">
        <f>IFERROR(__xludf.DUMMYFUNCTION("""COMPUTED_VALUE"""),"MP")</f>
        <v>MP</v>
      </c>
      <c r="E6" s="182" t="str">
        <f>IFERROR(__xludf.DUMMYFUNCTION("""COMPUTED_VALUE"""),"Pristine")</f>
        <v>Pristine</v>
      </c>
      <c r="F6" s="182" t="str">
        <f>IFERROR(__xludf.DUMMYFUNCTION("""COMPUTED_VALUE"""),"GA09887-US")</f>
        <v>GA09887-US</v>
      </c>
      <c r="G6" s="182" t="str">
        <f>IFERROR(__xludf.DUMMYFUNCTION("""COMPUTED_VALUE"""),"G4QUR")</f>
        <v>G4QUR</v>
      </c>
      <c r="H6" s="182">
        <f>IFERROR(__xludf.DUMMYFUNCTION("""COMPUTED_VALUE"""),8.40353925823E11)</f>
        <v>840353925823</v>
      </c>
      <c r="I6" s="185" t="str">
        <f>IFERROR(__xludf.DUMMYFUNCTION("""COMPUTED_VALUE"""),"0840353925823")</f>
        <v>0840353925823</v>
      </c>
      <c r="J6" s="182"/>
      <c r="K6" s="182" t="str">
        <f>IFERROR(__xludf.DUMMYFUNCTION("""COMPUTED_VALUE"""),"ROW Master Carton Label (UPC)")</f>
        <v>ROW Master Carton Label (UPC)</v>
      </c>
      <c r="L6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6" s="182" t="str">
        <f>IFERROR(__xludf.DUMMYFUNCTION("""COMPUTED_VALUE"""),"G990-08499-11-02
G990-08499-11-A")</f>
        <v>G990-08499-11-02
G990-08499-11-A</v>
      </c>
      <c r="N6" s="182" t="str">
        <f>IFERROR(__xludf.DUMMYFUNCTION("""COMPUTED_VALUE"""),"N/A")</f>
        <v>N/A</v>
      </c>
      <c r="O6" s="182" t="str">
        <f>IFERROR(__xludf.DUMMYFUNCTION("""COMPUTED_VALUE"""),"G990-08493-00-01
G990-08493-00-A")</f>
        <v>G990-08493-00-01
G990-08493-00-A</v>
      </c>
      <c r="P6" s="182" t="str">
        <f>IFERROR(__xludf.DUMMYFUNCTION("""COMPUTED_VALUE"""),"BOB→A
Retail→A")</f>
        <v>BOB→A
Retail→A</v>
      </c>
      <c r="Q6" s="182" t="str">
        <f>IFERROR(__xludf.DUMMYFUNCTION("""COMPUTED_VALUE"""),"128GB")</f>
        <v>128GB</v>
      </c>
      <c r="R6" s="182" t="str">
        <f>IFERROR(__xludf.DUMMYFUNCTION("""COMPUTED_VALUE"""),"Obsidian")</f>
        <v>Obsidian</v>
      </c>
      <c r="S6" s="182" t="str">
        <f>IFERROR(__xludf.DUMMYFUNCTION("""COMPUTED_VALUE"""),"Midnight")</f>
        <v>Midnight</v>
      </c>
      <c r="T6" s="182" t="str">
        <f>IFERROR(__xludf.DUMMYFUNCTION("""COMPUTED_VALUE"""),"US GStore")</f>
        <v>US GStore</v>
      </c>
      <c r="U6" s="182" t="str">
        <f>IFERROR(__xludf.DUMMYFUNCTION("""COMPUTED_VALUE"""),"SKU,CLR1, GOOD, MMWAVE, US GSTORE, BZ5")</f>
        <v>SKU,CLR1, GOOD, MMWAVE, US GSTORE, BZ5</v>
      </c>
      <c r="V6" s="182"/>
      <c r="W6" s="183" t="str">
        <f>IFERROR(__xludf.DUMMYFUNCTION("""COMPUTED_VALUE"""),"#NUM!")</f>
        <v>#NUM!</v>
      </c>
      <c r="X6" s="186">
        <f>IFERROR(__xludf.DUMMYFUNCTION("""COMPUTED_VALUE"""),45831.0)</f>
        <v>45831</v>
      </c>
      <c r="Y6" s="187">
        <f>IFERROR(__xludf.DUMMYFUNCTION("""COMPUTED_VALUE"""),45780.0)</f>
        <v>45780</v>
      </c>
      <c r="Z6" s="182" t="b">
        <f>IFERROR(__xludf.DUMMYFUNCTION("""COMPUTED_VALUE"""),TRUE)</f>
        <v>1</v>
      </c>
      <c r="AA6" s="187">
        <f>IFERROR(__xludf.DUMMYFUNCTION("""COMPUTED_VALUE"""),45780.0)</f>
        <v>45780</v>
      </c>
      <c r="AB6" s="182" t="b">
        <f>IFERROR(__xludf.DUMMYFUNCTION("""COMPUTED_VALUE"""),FALSE)</f>
        <v>0</v>
      </c>
      <c r="AC6" s="187">
        <f>IFERROR(__xludf.DUMMYFUNCTION("""COMPUTED_VALUE"""),45787.0)</f>
        <v>45787</v>
      </c>
      <c r="AD6" s="187">
        <f>IFERROR(__xludf.DUMMYFUNCTION("""COMPUTED_VALUE"""),45787.0)</f>
        <v>45787</v>
      </c>
      <c r="AE6" s="182" t="str">
        <f>IFERROR(__xludf.DUMMYFUNCTION("""COMPUTED_VALUE"""),"GA09887-US
GA09887-US-RevA")</f>
        <v>GA09887-US
GA09887-US-RevA</v>
      </c>
      <c r="AF6" s="182"/>
      <c r="AG6" s="188" t="str">
        <f>IFERROR(__xludf.DUMMYFUNCTION("""COMPUTED_VALUE"""),"GA09887-US")</f>
        <v>GA09887-US</v>
      </c>
      <c r="AH6" s="182" t="str">
        <f>IFERROR(__xludf.DUMMYFUNCTION("""COMPUTED_VALUE"""),"GA09887-US
GA09887-US-RevA")</f>
        <v>GA09887-US
GA09887-US-RevA</v>
      </c>
      <c r="AI6" s="188" t="str">
        <f>IFERROR(__xludf.DUMMYFUNCTION("""COMPUTED_VALUE"""),"GA09887-US")</f>
        <v>GA09887-US</v>
      </c>
      <c r="AJ6" s="187">
        <f>IFERROR(__xludf.DUMMYFUNCTION("""COMPUTED_VALUE"""),45793.0)</f>
        <v>45793</v>
      </c>
      <c r="AK6" s="187">
        <f>IFERROR(__xludf.DUMMYFUNCTION("""COMPUTED_VALUE"""),45801.0)</f>
        <v>45801</v>
      </c>
      <c r="AL6" s="182" t="b">
        <f>IFERROR(__xludf.DUMMYFUNCTION("""COMPUTED_VALUE"""),TRUE)</f>
        <v>1</v>
      </c>
      <c r="AM6" s="182" t="b">
        <f>IFERROR(__xludf.DUMMYFUNCTION("""COMPUTED_VALUE"""),TRUE)</f>
        <v>1</v>
      </c>
      <c r="AN6" s="187">
        <f>IFERROR(__xludf.DUMMYFUNCTION("""COMPUTED_VALUE"""),45801.0)</f>
        <v>45801</v>
      </c>
      <c r="AO6" s="182" t="b">
        <f>IFERROR(__xludf.DUMMYFUNCTION("""COMPUTED_VALUE"""),TRUE)</f>
        <v>1</v>
      </c>
      <c r="AP6" s="182" t="str">
        <f>IFERROR(__xludf.DUMMYFUNCTION("""COMPUTED_VALUE"""),"N")</f>
        <v>N</v>
      </c>
      <c r="AQ6" s="182"/>
      <c r="AR6" s="187">
        <f>IFERROR(__xludf.DUMMYFUNCTION("""COMPUTED_VALUE"""),45801.0)</f>
        <v>45801</v>
      </c>
      <c r="AS6" s="182" t="b">
        <f>IFERROR(__xludf.DUMMYFUNCTION("""COMPUTED_VALUE"""),TRUE)</f>
        <v>1</v>
      </c>
      <c r="AT6" s="182" t="str">
        <f>IFERROR(__xludf.DUMMYFUNCTION("""COMPUTED_VALUE"""),"N")</f>
        <v>N</v>
      </c>
      <c r="AU6" s="182"/>
      <c r="AV6" s="187">
        <f>IFERROR(__xludf.DUMMYFUNCTION("""COMPUTED_VALUE"""),45801.0)</f>
        <v>45801</v>
      </c>
      <c r="AW6" s="182" t="b">
        <f>IFERROR(__xludf.DUMMYFUNCTION("""COMPUTED_VALUE"""),FALSE)</f>
        <v>0</v>
      </c>
      <c r="AX6" s="182"/>
      <c r="AY6" s="182"/>
      <c r="AZ6" s="187">
        <f>IFERROR(__xludf.DUMMYFUNCTION("""COMPUTED_VALUE"""),45827.0)</f>
        <v>45827</v>
      </c>
      <c r="BA6" s="182" t="b">
        <f>IFERROR(__xludf.DUMMYFUNCTION("""COMPUTED_VALUE"""),FALSE)</f>
        <v>0</v>
      </c>
      <c r="BB6" s="187">
        <f>IFERROR(__xludf.DUMMYFUNCTION("""COMPUTED_VALUE"""),45827.0)</f>
        <v>45827</v>
      </c>
    </row>
    <row r="7">
      <c r="A7" s="184" t="str">
        <f t="shared" si="1"/>
        <v>G990-08499-21-A</v>
      </c>
      <c r="B7" s="69" t="str">
        <f t="shared" si="2"/>
        <v>G990-08493-00-A</v>
      </c>
      <c r="C7" s="182" t="str">
        <f>IFERROR(__xludf.DUMMYFUNCTION("""COMPUTED_VALUE"""),"GSTORE")</f>
        <v>GSTORE</v>
      </c>
      <c r="D7" s="182" t="str">
        <f>IFERROR(__xludf.DUMMYFUNCTION("""COMPUTED_VALUE"""),"MP")</f>
        <v>MP</v>
      </c>
      <c r="E7" s="182" t="str">
        <f>IFERROR(__xludf.DUMMYFUNCTION("""COMPUTED_VALUE"""),"Pristine")</f>
        <v>Pristine</v>
      </c>
      <c r="F7" s="182" t="str">
        <f>IFERROR(__xludf.DUMMYFUNCTION("""COMPUTED_VALUE"""),"GA10302-US")</f>
        <v>GA10302-US</v>
      </c>
      <c r="G7" s="182" t="str">
        <f>IFERROR(__xludf.DUMMYFUNCTION("""COMPUTED_VALUE"""),"G4QUR")</f>
        <v>G4QUR</v>
      </c>
      <c r="H7" s="182">
        <f>IFERROR(__xludf.DUMMYFUNCTION("""COMPUTED_VALUE"""),8.4035392583E11)</f>
        <v>840353925830</v>
      </c>
      <c r="I7" s="185" t="str">
        <f>IFERROR(__xludf.DUMMYFUNCTION("""COMPUTED_VALUE"""),"0840353925830")</f>
        <v>0840353925830</v>
      </c>
      <c r="J7" s="182"/>
      <c r="K7" s="182" t="str">
        <f>IFERROR(__xludf.DUMMYFUNCTION("""COMPUTED_VALUE"""),"ROW Master Carton Label (UPC)")</f>
        <v>ROW Master Carton Label (UPC)</v>
      </c>
      <c r="L7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7" s="182" t="str">
        <f>IFERROR(__xludf.DUMMYFUNCTION("""COMPUTED_VALUE"""),"G990-08499-21-02
G990-08499-21-A")</f>
        <v>G990-08499-21-02
G990-08499-21-A</v>
      </c>
      <c r="N7" s="182" t="str">
        <f>IFERROR(__xludf.DUMMYFUNCTION("""COMPUTED_VALUE"""),"N/A")</f>
        <v>N/A</v>
      </c>
      <c r="O7" s="182" t="str">
        <f>IFERROR(__xludf.DUMMYFUNCTION("""COMPUTED_VALUE"""),"G990-08493-00-01
G990-08493-00-A")</f>
        <v>G990-08493-00-01
G990-08493-00-A</v>
      </c>
      <c r="P7" s="182" t="str">
        <f>IFERROR(__xludf.DUMMYFUNCTION("""COMPUTED_VALUE"""),"BOB→A
Retail→A")</f>
        <v>BOB→A
Retail→A</v>
      </c>
      <c r="Q7" s="182" t="str">
        <f>IFERROR(__xludf.DUMMYFUNCTION("""COMPUTED_VALUE"""),"128GB")</f>
        <v>128GB</v>
      </c>
      <c r="R7" s="182" t="str">
        <f>IFERROR(__xludf.DUMMYFUNCTION("""COMPUTED_VALUE"""),"Porcelain")</f>
        <v>Porcelain</v>
      </c>
      <c r="S7" s="182" t="str">
        <f>IFERROR(__xludf.DUMMYFUNCTION("""COMPUTED_VALUE"""),"Light Porcelain")</f>
        <v>Light Porcelain</v>
      </c>
      <c r="T7" s="182" t="str">
        <f>IFERROR(__xludf.DUMMYFUNCTION("""COMPUTED_VALUE"""),"US GStore")</f>
        <v>US GStore</v>
      </c>
      <c r="U7" s="189" t="str">
        <f>IFERROR(__xludf.DUMMYFUNCTION("""COMPUTED_VALUE"""),"SKU,CLR2, GOOD, MMWAVE, GSTORE, US, BZ5")</f>
        <v>SKU,CLR2, GOOD, MMWAVE, GSTORE, US, BZ5</v>
      </c>
      <c r="V7" s="182"/>
      <c r="W7" s="183" t="str">
        <f>IFERROR(__xludf.DUMMYFUNCTION("""COMPUTED_VALUE"""),"#NUM!")</f>
        <v>#NUM!</v>
      </c>
      <c r="X7" s="186">
        <f>IFERROR(__xludf.DUMMYFUNCTION("""COMPUTED_VALUE"""),45831.0)</f>
        <v>45831</v>
      </c>
      <c r="Y7" s="187">
        <f>IFERROR(__xludf.DUMMYFUNCTION("""COMPUTED_VALUE"""),45780.0)</f>
        <v>45780</v>
      </c>
      <c r="Z7" s="182" t="b">
        <f>IFERROR(__xludf.DUMMYFUNCTION("""COMPUTED_VALUE"""),TRUE)</f>
        <v>1</v>
      </c>
      <c r="AA7" s="187">
        <f>IFERROR(__xludf.DUMMYFUNCTION("""COMPUTED_VALUE"""),45780.0)</f>
        <v>45780</v>
      </c>
      <c r="AB7" s="182" t="b">
        <f>IFERROR(__xludf.DUMMYFUNCTION("""COMPUTED_VALUE"""),FALSE)</f>
        <v>0</v>
      </c>
      <c r="AC7" s="187">
        <f>IFERROR(__xludf.DUMMYFUNCTION("""COMPUTED_VALUE"""),45787.0)</f>
        <v>45787</v>
      </c>
      <c r="AD7" s="187">
        <f>IFERROR(__xludf.DUMMYFUNCTION("""COMPUTED_VALUE"""),45787.0)</f>
        <v>45787</v>
      </c>
      <c r="AE7" s="182" t="str">
        <f>IFERROR(__xludf.DUMMYFUNCTION("""COMPUTED_VALUE"""),"GA10302-US
GA10302-US-RevA")</f>
        <v>GA10302-US
GA10302-US-RevA</v>
      </c>
      <c r="AF7" s="182"/>
      <c r="AG7" s="188" t="str">
        <f>IFERROR(__xludf.DUMMYFUNCTION("""COMPUTED_VALUE"""),"GA10302-US")</f>
        <v>GA10302-US</v>
      </c>
      <c r="AH7" s="182" t="str">
        <f>IFERROR(__xludf.DUMMYFUNCTION("""COMPUTED_VALUE"""),"GA10302-US
GA10302-US-RevA")</f>
        <v>GA10302-US
GA10302-US-RevA</v>
      </c>
      <c r="AI7" s="188" t="str">
        <f>IFERROR(__xludf.DUMMYFUNCTION("""COMPUTED_VALUE"""),"GA10302-US")</f>
        <v>GA10302-US</v>
      </c>
      <c r="AJ7" s="187">
        <f>IFERROR(__xludf.DUMMYFUNCTION("""COMPUTED_VALUE"""),45793.0)</f>
        <v>45793</v>
      </c>
      <c r="AK7" s="187">
        <f>IFERROR(__xludf.DUMMYFUNCTION("""COMPUTED_VALUE"""),45801.0)</f>
        <v>45801</v>
      </c>
      <c r="AL7" s="182" t="b">
        <f>IFERROR(__xludf.DUMMYFUNCTION("""COMPUTED_VALUE"""),TRUE)</f>
        <v>1</v>
      </c>
      <c r="AM7" s="182" t="b">
        <f>IFERROR(__xludf.DUMMYFUNCTION("""COMPUTED_VALUE"""),TRUE)</f>
        <v>1</v>
      </c>
      <c r="AN7" s="187">
        <f>IFERROR(__xludf.DUMMYFUNCTION("""COMPUTED_VALUE"""),45801.0)</f>
        <v>45801</v>
      </c>
      <c r="AO7" s="182" t="b">
        <f>IFERROR(__xludf.DUMMYFUNCTION("""COMPUTED_VALUE"""),TRUE)</f>
        <v>1</v>
      </c>
      <c r="AP7" s="182" t="str">
        <f>IFERROR(__xludf.DUMMYFUNCTION("""COMPUTED_VALUE"""),"N")</f>
        <v>N</v>
      </c>
      <c r="AQ7" s="182"/>
      <c r="AR7" s="187">
        <f>IFERROR(__xludf.DUMMYFUNCTION("""COMPUTED_VALUE"""),45801.0)</f>
        <v>45801</v>
      </c>
      <c r="AS7" s="182" t="b">
        <f>IFERROR(__xludf.DUMMYFUNCTION("""COMPUTED_VALUE"""),TRUE)</f>
        <v>1</v>
      </c>
      <c r="AT7" s="182" t="str">
        <f>IFERROR(__xludf.DUMMYFUNCTION("""COMPUTED_VALUE"""),"N")</f>
        <v>N</v>
      </c>
      <c r="AU7" s="182"/>
      <c r="AV7" s="187">
        <f>IFERROR(__xludf.DUMMYFUNCTION("""COMPUTED_VALUE"""),45801.0)</f>
        <v>45801</v>
      </c>
      <c r="AW7" s="182" t="b">
        <f>IFERROR(__xludf.DUMMYFUNCTION("""COMPUTED_VALUE"""),FALSE)</f>
        <v>0</v>
      </c>
      <c r="AX7" s="182"/>
      <c r="AY7" s="182"/>
      <c r="AZ7" s="187">
        <f>IFERROR(__xludf.DUMMYFUNCTION("""COMPUTED_VALUE"""),45827.0)</f>
        <v>45827</v>
      </c>
      <c r="BA7" s="182" t="b">
        <f>IFERROR(__xludf.DUMMYFUNCTION("""COMPUTED_VALUE"""),FALSE)</f>
        <v>0</v>
      </c>
      <c r="BB7" s="187">
        <f>IFERROR(__xludf.DUMMYFUNCTION("""COMPUTED_VALUE"""),45827.0)</f>
        <v>45827</v>
      </c>
    </row>
    <row r="8">
      <c r="A8" s="184" t="str">
        <f t="shared" si="1"/>
        <v>#VALUE!</v>
      </c>
      <c r="B8" s="69" t="str">
        <f t="shared" si="2"/>
        <v>G990-08493-00-A</v>
      </c>
      <c r="C8" s="182" t="str">
        <f>IFERROR(__xludf.DUMMYFUNCTION("""COMPUTED_VALUE"""),"GSTORE")</f>
        <v>GSTORE</v>
      </c>
      <c r="D8" s="182" t="str">
        <f>IFERROR(__xludf.DUMMYFUNCTION("""COMPUTED_VALUE"""),"MP")</f>
        <v>MP</v>
      </c>
      <c r="E8" s="182" t="str">
        <f>IFERROR(__xludf.DUMMYFUNCTION("""COMPUTED_VALUE"""),"Pristine")</f>
        <v>Pristine</v>
      </c>
      <c r="F8" s="182" t="str">
        <f>IFERROR(__xludf.DUMMYFUNCTION("""COMPUTED_VALUE"""),"GA10303-US")</f>
        <v>GA10303-US</v>
      </c>
      <c r="G8" s="182" t="str">
        <f>IFERROR(__xludf.DUMMYFUNCTION("""COMPUTED_VALUE"""),"G4QUR")</f>
        <v>G4QUR</v>
      </c>
      <c r="H8" s="182">
        <f>IFERROR(__xludf.DUMMYFUNCTION("""COMPUTED_VALUE"""),8.40353925847E11)</f>
        <v>840353925847</v>
      </c>
      <c r="I8" s="185" t="str">
        <f>IFERROR(__xludf.DUMMYFUNCTION("""COMPUTED_VALUE"""),"0840353925847")</f>
        <v>0840353925847</v>
      </c>
      <c r="J8" s="182"/>
      <c r="K8" s="182" t="str">
        <f>IFERROR(__xludf.DUMMYFUNCTION("""COMPUTED_VALUE"""),"ROW Master Carton Label (UPC)")</f>
        <v>ROW Master Carton Label (UPC)</v>
      </c>
      <c r="L8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8" s="182"/>
      <c r="N8" s="182" t="str">
        <f>IFERROR(__xludf.DUMMYFUNCTION("""COMPUTED_VALUE"""),"N/A")</f>
        <v>N/A</v>
      </c>
      <c r="O8" s="182" t="str">
        <f>IFERROR(__xludf.DUMMYFUNCTION("""COMPUTED_VALUE"""),"G990-08493-00-01
G990-08493-00-A")</f>
        <v>G990-08493-00-01
G990-08493-00-A</v>
      </c>
      <c r="P8" s="182" t="str">
        <f>IFERROR(__xludf.DUMMYFUNCTION("""COMPUTED_VALUE"""),"BOB→A
Retail→A")</f>
        <v>BOB→A
Retail→A</v>
      </c>
      <c r="Q8" s="182" t="str">
        <f>IFERROR(__xludf.DUMMYFUNCTION("""COMPUTED_VALUE"""),"128GB")</f>
        <v>128GB</v>
      </c>
      <c r="R8" s="182" t="str">
        <f>IFERROR(__xludf.DUMMYFUNCTION("""COMPUTED_VALUE"""),"Moonstone")</f>
        <v>Moonstone</v>
      </c>
      <c r="S8" s="182" t="str">
        <f>IFERROR(__xludf.DUMMYFUNCTION("""COMPUTED_VALUE"""),"Sterling")</f>
        <v>Sterling</v>
      </c>
      <c r="T8" s="182" t="str">
        <f>IFERROR(__xludf.DUMMYFUNCTION("""COMPUTED_VALUE"""),"US GStore")</f>
        <v>US GStore</v>
      </c>
      <c r="U8" s="182" t="str">
        <f>IFERROR(__xludf.DUMMYFUNCTION("""COMPUTED_VALUE"""),"SKU,CLR3, GOOD, MMWAVE, GSTORE, US, BZ5")</f>
        <v>SKU,CLR3, GOOD, MMWAVE, GSTORE, US, BZ5</v>
      </c>
      <c r="V8" s="182"/>
      <c r="W8" s="183" t="str">
        <f>IFERROR(__xludf.DUMMYFUNCTION("""COMPUTED_VALUE"""),"#NUM!")</f>
        <v>#NUM!</v>
      </c>
      <c r="X8" s="186">
        <f>IFERROR(__xludf.DUMMYFUNCTION("""COMPUTED_VALUE"""),45831.0)</f>
        <v>45831</v>
      </c>
      <c r="Y8" s="187">
        <f>IFERROR(__xludf.DUMMYFUNCTION("""COMPUTED_VALUE"""),45780.0)</f>
        <v>45780</v>
      </c>
      <c r="Z8" s="182" t="b">
        <f>IFERROR(__xludf.DUMMYFUNCTION("""COMPUTED_VALUE"""),TRUE)</f>
        <v>1</v>
      </c>
      <c r="AA8" s="187">
        <f>IFERROR(__xludf.DUMMYFUNCTION("""COMPUTED_VALUE"""),45780.0)</f>
        <v>45780</v>
      </c>
      <c r="AB8" s="182" t="b">
        <f>IFERROR(__xludf.DUMMYFUNCTION("""COMPUTED_VALUE"""),FALSE)</f>
        <v>0</v>
      </c>
      <c r="AC8" s="187">
        <f>IFERROR(__xludf.DUMMYFUNCTION("""COMPUTED_VALUE"""),45787.0)</f>
        <v>45787</v>
      </c>
      <c r="AD8" s="187">
        <f>IFERROR(__xludf.DUMMYFUNCTION("""COMPUTED_VALUE"""),45787.0)</f>
        <v>45787</v>
      </c>
      <c r="AE8" s="182" t="str">
        <f>IFERROR(__xludf.DUMMYFUNCTION("""COMPUTED_VALUE"""),"GA10303-US
GA10303-US-RevA")</f>
        <v>GA10303-US
GA10303-US-RevA</v>
      </c>
      <c r="AF8" s="182"/>
      <c r="AG8" s="188" t="str">
        <f>IFERROR(__xludf.DUMMYFUNCTION("""COMPUTED_VALUE"""),"GA10303-US")</f>
        <v>GA10303-US</v>
      </c>
      <c r="AH8" s="182" t="str">
        <f>IFERROR(__xludf.DUMMYFUNCTION("""COMPUTED_VALUE"""),"GA10303-US
GA10303-US-RevA")</f>
        <v>GA10303-US
GA10303-US-RevA</v>
      </c>
      <c r="AI8" s="188" t="str">
        <f>IFERROR(__xludf.DUMMYFUNCTION("""COMPUTED_VALUE"""),"GA10303-US")</f>
        <v>GA10303-US</v>
      </c>
      <c r="AJ8" s="187">
        <f>IFERROR(__xludf.DUMMYFUNCTION("""COMPUTED_VALUE"""),45793.0)</f>
        <v>45793</v>
      </c>
      <c r="AK8" s="187">
        <f>IFERROR(__xludf.DUMMYFUNCTION("""COMPUTED_VALUE"""),45801.0)</f>
        <v>45801</v>
      </c>
      <c r="AL8" s="182" t="b">
        <f>IFERROR(__xludf.DUMMYFUNCTION("""COMPUTED_VALUE"""),TRUE)</f>
        <v>1</v>
      </c>
      <c r="AM8" s="182" t="b">
        <f>IFERROR(__xludf.DUMMYFUNCTION("""COMPUTED_VALUE"""),TRUE)</f>
        <v>1</v>
      </c>
      <c r="AN8" s="187">
        <f>IFERROR(__xludf.DUMMYFUNCTION("""COMPUTED_VALUE"""),45801.0)</f>
        <v>45801</v>
      </c>
      <c r="AO8" s="182" t="b">
        <f>IFERROR(__xludf.DUMMYFUNCTION("""COMPUTED_VALUE"""),TRUE)</f>
        <v>1</v>
      </c>
      <c r="AP8" s="182" t="str">
        <f>IFERROR(__xludf.DUMMYFUNCTION("""COMPUTED_VALUE"""),"N")</f>
        <v>N</v>
      </c>
      <c r="AQ8" s="182"/>
      <c r="AR8" s="187">
        <f>IFERROR(__xludf.DUMMYFUNCTION("""COMPUTED_VALUE"""),45801.0)</f>
        <v>45801</v>
      </c>
      <c r="AS8" s="182" t="b">
        <f>IFERROR(__xludf.DUMMYFUNCTION("""COMPUTED_VALUE"""),TRUE)</f>
        <v>1</v>
      </c>
      <c r="AT8" s="182" t="str">
        <f>IFERROR(__xludf.DUMMYFUNCTION("""COMPUTED_VALUE"""),"N")</f>
        <v>N</v>
      </c>
      <c r="AU8" s="182"/>
      <c r="AV8" s="187">
        <f>IFERROR(__xludf.DUMMYFUNCTION("""COMPUTED_VALUE"""),45801.0)</f>
        <v>45801</v>
      </c>
      <c r="AW8" s="182" t="b">
        <f>IFERROR(__xludf.DUMMYFUNCTION("""COMPUTED_VALUE"""),FALSE)</f>
        <v>0</v>
      </c>
      <c r="AX8" s="182"/>
      <c r="AY8" s="182"/>
      <c r="AZ8" s="187">
        <f>IFERROR(__xludf.DUMMYFUNCTION("""COMPUTED_VALUE"""),45827.0)</f>
        <v>45827</v>
      </c>
      <c r="BA8" s="182" t="b">
        <f>IFERROR(__xludf.DUMMYFUNCTION("""COMPUTED_VALUE"""),FALSE)</f>
        <v>0</v>
      </c>
      <c r="BB8" s="187">
        <f>IFERROR(__xludf.DUMMYFUNCTION("""COMPUTED_VALUE"""),45827.0)</f>
        <v>45827</v>
      </c>
    </row>
    <row r="9">
      <c r="A9" s="184" t="str">
        <f t="shared" si="1"/>
        <v>G990-08499-12-A</v>
      </c>
      <c r="B9" s="69" t="str">
        <f t="shared" si="2"/>
        <v>G990-08493-00-A</v>
      </c>
      <c r="C9" s="182" t="str">
        <f>IFERROR(__xludf.DUMMYFUNCTION("""COMPUTED_VALUE"""),"GSTORE")</f>
        <v>GSTORE</v>
      </c>
      <c r="D9" s="182" t="str">
        <f>IFERROR(__xludf.DUMMYFUNCTION("""COMPUTED_VALUE"""),"MP")</f>
        <v>MP</v>
      </c>
      <c r="E9" s="182" t="str">
        <f>IFERROR(__xludf.DUMMYFUNCTION("""COMPUTED_VALUE"""),"Pristine")</f>
        <v>Pristine</v>
      </c>
      <c r="F9" s="182" t="str">
        <f>IFERROR(__xludf.DUMMYFUNCTION("""COMPUTED_VALUE"""),"GA09899-US")</f>
        <v>GA09899-US</v>
      </c>
      <c r="G9" s="182" t="str">
        <f>IFERROR(__xludf.DUMMYFUNCTION("""COMPUTED_VALUE"""),"G4QUR")</f>
        <v>G4QUR</v>
      </c>
      <c r="H9" s="182">
        <f>IFERROR(__xludf.DUMMYFUNCTION("""COMPUTED_VALUE"""),8.40353925854E11)</f>
        <v>840353925854</v>
      </c>
      <c r="I9" s="185" t="str">
        <f>IFERROR(__xludf.DUMMYFUNCTION("""COMPUTED_VALUE"""),"0840353925854")</f>
        <v>0840353925854</v>
      </c>
      <c r="J9" s="182"/>
      <c r="K9" s="182" t="str">
        <f>IFERROR(__xludf.DUMMYFUNCTION("""COMPUTED_VALUE"""),"ROW Master Carton Label (UPC)")</f>
        <v>ROW Master Carton Label (UPC)</v>
      </c>
      <c r="L9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9" s="182" t="str">
        <f>IFERROR(__xludf.DUMMYFUNCTION("""COMPUTED_VALUE"""),"G990-08499-12-02
G990-08499-12-A")</f>
        <v>G990-08499-12-02
G990-08499-12-A</v>
      </c>
      <c r="N9" s="182" t="str">
        <f>IFERROR(__xludf.DUMMYFUNCTION("""COMPUTED_VALUE"""),"N/A")</f>
        <v>N/A</v>
      </c>
      <c r="O9" s="182" t="str">
        <f>IFERROR(__xludf.DUMMYFUNCTION("""COMPUTED_VALUE"""),"G990-08493-00-01
G990-08493-00-A")</f>
        <v>G990-08493-00-01
G990-08493-00-A</v>
      </c>
      <c r="P9" s="182" t="str">
        <f>IFERROR(__xludf.DUMMYFUNCTION("""COMPUTED_VALUE"""),"BOB→A
Retail→A")</f>
        <v>BOB→A
Retail→A</v>
      </c>
      <c r="Q9" s="182" t="str">
        <f>IFERROR(__xludf.DUMMYFUNCTION("""COMPUTED_VALUE"""),"256GB")</f>
        <v>256GB</v>
      </c>
      <c r="R9" s="182" t="str">
        <f>IFERROR(__xludf.DUMMYFUNCTION("""COMPUTED_VALUE"""),"Obsidian")</f>
        <v>Obsidian</v>
      </c>
      <c r="S9" s="182" t="str">
        <f>IFERROR(__xludf.DUMMYFUNCTION("""COMPUTED_VALUE"""),"Midnight")</f>
        <v>Midnight</v>
      </c>
      <c r="T9" s="182" t="str">
        <f>IFERROR(__xludf.DUMMYFUNCTION("""COMPUTED_VALUE"""),"US GStore")</f>
        <v>US GStore</v>
      </c>
      <c r="U9" s="182" t="str">
        <f>IFERROR(__xludf.DUMMYFUNCTION("""COMPUTED_VALUE"""),"SKU,CLR1, BETTER, MMWAVE, US GSTORE, BZ5")</f>
        <v>SKU,CLR1, BETTER, MMWAVE, US GSTORE, BZ5</v>
      </c>
      <c r="V9" s="182"/>
      <c r="W9" s="183" t="str">
        <f>IFERROR(__xludf.DUMMYFUNCTION("""COMPUTED_VALUE"""),"#NUM!")</f>
        <v>#NUM!</v>
      </c>
      <c r="X9" s="186">
        <f>IFERROR(__xludf.DUMMYFUNCTION("""COMPUTED_VALUE"""),45831.0)</f>
        <v>45831</v>
      </c>
      <c r="Y9" s="187">
        <f>IFERROR(__xludf.DUMMYFUNCTION("""COMPUTED_VALUE"""),45780.0)</f>
        <v>45780</v>
      </c>
      <c r="Z9" s="182" t="b">
        <f>IFERROR(__xludf.DUMMYFUNCTION("""COMPUTED_VALUE"""),TRUE)</f>
        <v>1</v>
      </c>
      <c r="AA9" s="187">
        <f>IFERROR(__xludf.DUMMYFUNCTION("""COMPUTED_VALUE"""),45780.0)</f>
        <v>45780</v>
      </c>
      <c r="AB9" s="182" t="b">
        <f>IFERROR(__xludf.DUMMYFUNCTION("""COMPUTED_VALUE"""),FALSE)</f>
        <v>0</v>
      </c>
      <c r="AC9" s="187">
        <f>IFERROR(__xludf.DUMMYFUNCTION("""COMPUTED_VALUE"""),45787.0)</f>
        <v>45787</v>
      </c>
      <c r="AD9" s="187">
        <f>IFERROR(__xludf.DUMMYFUNCTION("""COMPUTED_VALUE"""),45787.0)</f>
        <v>45787</v>
      </c>
      <c r="AE9" s="182" t="str">
        <f>IFERROR(__xludf.DUMMYFUNCTION("""COMPUTED_VALUE"""),"GA09899-US
GA09899-US-RevA")</f>
        <v>GA09899-US
GA09899-US-RevA</v>
      </c>
      <c r="AF9" s="182"/>
      <c r="AG9" s="188" t="str">
        <f>IFERROR(__xludf.DUMMYFUNCTION("""COMPUTED_VALUE"""),"GA09899-US")</f>
        <v>GA09899-US</v>
      </c>
      <c r="AH9" s="182" t="str">
        <f>IFERROR(__xludf.DUMMYFUNCTION("""COMPUTED_VALUE"""),"GA09899-US
GA09899-US-RevA")</f>
        <v>GA09899-US
GA09899-US-RevA</v>
      </c>
      <c r="AI9" s="188" t="str">
        <f>IFERROR(__xludf.DUMMYFUNCTION("""COMPUTED_VALUE"""),"GA09899-US")</f>
        <v>GA09899-US</v>
      </c>
      <c r="AJ9" s="187">
        <f>IFERROR(__xludf.DUMMYFUNCTION("""COMPUTED_VALUE"""),45793.0)</f>
        <v>45793</v>
      </c>
      <c r="AK9" s="187">
        <f>IFERROR(__xludf.DUMMYFUNCTION("""COMPUTED_VALUE"""),45801.0)</f>
        <v>45801</v>
      </c>
      <c r="AL9" s="182" t="b">
        <f>IFERROR(__xludf.DUMMYFUNCTION("""COMPUTED_VALUE"""),TRUE)</f>
        <v>1</v>
      </c>
      <c r="AM9" s="182" t="b">
        <f>IFERROR(__xludf.DUMMYFUNCTION("""COMPUTED_VALUE"""),TRUE)</f>
        <v>1</v>
      </c>
      <c r="AN9" s="187">
        <f>IFERROR(__xludf.DUMMYFUNCTION("""COMPUTED_VALUE"""),45801.0)</f>
        <v>45801</v>
      </c>
      <c r="AO9" s="182" t="b">
        <f>IFERROR(__xludf.DUMMYFUNCTION("""COMPUTED_VALUE"""),TRUE)</f>
        <v>1</v>
      </c>
      <c r="AP9" s="182" t="str">
        <f>IFERROR(__xludf.DUMMYFUNCTION("""COMPUTED_VALUE"""),"Y")</f>
        <v>Y</v>
      </c>
      <c r="AQ9" s="182"/>
      <c r="AR9" s="187">
        <f>IFERROR(__xludf.DUMMYFUNCTION("""COMPUTED_VALUE"""),45801.0)</f>
        <v>45801</v>
      </c>
      <c r="AS9" s="182" t="b">
        <f>IFERROR(__xludf.DUMMYFUNCTION("""COMPUTED_VALUE"""),TRUE)</f>
        <v>1</v>
      </c>
      <c r="AT9" s="182" t="str">
        <f>IFERROR(__xludf.DUMMYFUNCTION("""COMPUTED_VALUE"""),"N")</f>
        <v>N</v>
      </c>
      <c r="AU9" s="182"/>
      <c r="AV9" s="187">
        <f>IFERROR(__xludf.DUMMYFUNCTION("""COMPUTED_VALUE"""),45801.0)</f>
        <v>45801</v>
      </c>
      <c r="AW9" s="182" t="b">
        <f>IFERROR(__xludf.DUMMYFUNCTION("""COMPUTED_VALUE"""),FALSE)</f>
        <v>0</v>
      </c>
      <c r="AX9" s="182"/>
      <c r="AY9" s="182"/>
      <c r="AZ9" s="187">
        <f>IFERROR(__xludf.DUMMYFUNCTION("""COMPUTED_VALUE"""),45827.0)</f>
        <v>45827</v>
      </c>
      <c r="BA9" s="182" t="b">
        <f>IFERROR(__xludf.DUMMYFUNCTION("""COMPUTED_VALUE"""),FALSE)</f>
        <v>0</v>
      </c>
      <c r="BB9" s="187">
        <f>IFERROR(__xludf.DUMMYFUNCTION("""COMPUTED_VALUE"""),45827.0)</f>
        <v>45827</v>
      </c>
    </row>
    <row r="10">
      <c r="A10" s="184" t="str">
        <f t="shared" si="1"/>
        <v>G990-08499-22-A</v>
      </c>
      <c r="B10" s="69" t="str">
        <f t="shared" si="2"/>
        <v>G990-08493-00-A</v>
      </c>
      <c r="C10" s="182" t="str">
        <f>IFERROR(__xludf.DUMMYFUNCTION("""COMPUTED_VALUE"""),"GSTORE")</f>
        <v>GSTORE</v>
      </c>
      <c r="D10" s="182" t="str">
        <f>IFERROR(__xludf.DUMMYFUNCTION("""COMPUTED_VALUE"""),"MP")</f>
        <v>MP</v>
      </c>
      <c r="E10" s="182" t="str">
        <f>IFERROR(__xludf.DUMMYFUNCTION("""COMPUTED_VALUE"""),"Pristine")</f>
        <v>Pristine</v>
      </c>
      <c r="F10" s="182" t="str">
        <f>IFERROR(__xludf.DUMMYFUNCTION("""COMPUTED_VALUE"""),"GA10304-US")</f>
        <v>GA10304-US</v>
      </c>
      <c r="G10" s="182" t="str">
        <f>IFERROR(__xludf.DUMMYFUNCTION("""COMPUTED_VALUE"""),"G4QUR")</f>
        <v>G4QUR</v>
      </c>
      <c r="H10" s="182">
        <f>IFERROR(__xludf.DUMMYFUNCTION("""COMPUTED_VALUE"""),8.40353925878E11)</f>
        <v>840353925878</v>
      </c>
      <c r="I10" s="185" t="str">
        <f>IFERROR(__xludf.DUMMYFUNCTION("""COMPUTED_VALUE"""),"0840353925878")</f>
        <v>0840353925878</v>
      </c>
      <c r="J10" s="182"/>
      <c r="K10" s="182" t="str">
        <f>IFERROR(__xludf.DUMMYFUNCTION("""COMPUTED_VALUE"""),"ROW Master Carton Label (UPC)")</f>
        <v>ROW Master Carton Label (UPC)</v>
      </c>
      <c r="L10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0" s="182" t="str">
        <f>IFERROR(__xludf.DUMMYFUNCTION("""COMPUTED_VALUE"""),"G990-08499-22-02
G990-08499-22-A")</f>
        <v>G990-08499-22-02
G990-08499-22-A</v>
      </c>
      <c r="N10" s="182" t="str">
        <f>IFERROR(__xludf.DUMMYFUNCTION("""COMPUTED_VALUE"""),"N/A")</f>
        <v>N/A</v>
      </c>
      <c r="O10" s="182" t="str">
        <f>IFERROR(__xludf.DUMMYFUNCTION("""COMPUTED_VALUE"""),"G990-08493-00-01
G990-08493-00-A")</f>
        <v>G990-08493-00-01
G990-08493-00-A</v>
      </c>
      <c r="P10" s="182" t="str">
        <f>IFERROR(__xludf.DUMMYFUNCTION("""COMPUTED_VALUE"""),"BOB→A
Retail→A")</f>
        <v>BOB→A
Retail→A</v>
      </c>
      <c r="Q10" s="182" t="str">
        <f>IFERROR(__xludf.DUMMYFUNCTION("""COMPUTED_VALUE"""),"256GB")</f>
        <v>256GB</v>
      </c>
      <c r="R10" s="182" t="str">
        <f>IFERROR(__xludf.DUMMYFUNCTION("""COMPUTED_VALUE"""),"Porcelain")</f>
        <v>Porcelain</v>
      </c>
      <c r="S10" s="182" t="str">
        <f>IFERROR(__xludf.DUMMYFUNCTION("""COMPUTED_VALUE"""),"Light Porcelain")</f>
        <v>Light Porcelain</v>
      </c>
      <c r="T10" s="182" t="str">
        <f>IFERROR(__xludf.DUMMYFUNCTION("""COMPUTED_VALUE"""),"US GStore")</f>
        <v>US GStore</v>
      </c>
      <c r="U10" s="182" t="str">
        <f>IFERROR(__xludf.DUMMYFUNCTION("""COMPUTED_VALUE"""),"SKU,CLR2, BETTER, MMWAVE, GSTORE, US, BZ5")</f>
        <v>SKU,CLR2, BETTER, MMWAVE, GSTORE, US, BZ5</v>
      </c>
      <c r="V10" s="182"/>
      <c r="W10" s="183" t="str">
        <f>IFERROR(__xludf.DUMMYFUNCTION("""COMPUTED_VALUE"""),"#NUM!")</f>
        <v>#NUM!</v>
      </c>
      <c r="X10" s="186">
        <f>IFERROR(__xludf.DUMMYFUNCTION("""COMPUTED_VALUE"""),45831.0)</f>
        <v>45831</v>
      </c>
      <c r="Y10" s="187">
        <f>IFERROR(__xludf.DUMMYFUNCTION("""COMPUTED_VALUE"""),45780.0)</f>
        <v>45780</v>
      </c>
      <c r="Z10" s="182" t="b">
        <f>IFERROR(__xludf.DUMMYFUNCTION("""COMPUTED_VALUE"""),TRUE)</f>
        <v>1</v>
      </c>
      <c r="AA10" s="187">
        <f>IFERROR(__xludf.DUMMYFUNCTION("""COMPUTED_VALUE"""),45780.0)</f>
        <v>45780</v>
      </c>
      <c r="AB10" s="182" t="b">
        <f>IFERROR(__xludf.DUMMYFUNCTION("""COMPUTED_VALUE"""),FALSE)</f>
        <v>0</v>
      </c>
      <c r="AC10" s="187">
        <f>IFERROR(__xludf.DUMMYFUNCTION("""COMPUTED_VALUE"""),45787.0)</f>
        <v>45787</v>
      </c>
      <c r="AD10" s="187">
        <f>IFERROR(__xludf.DUMMYFUNCTION("""COMPUTED_VALUE"""),45787.0)</f>
        <v>45787</v>
      </c>
      <c r="AE10" s="182" t="str">
        <f>IFERROR(__xludf.DUMMYFUNCTION("""COMPUTED_VALUE"""),"GA10304-US
GA10304-US-RevA")</f>
        <v>GA10304-US
GA10304-US-RevA</v>
      </c>
      <c r="AF10" s="182"/>
      <c r="AG10" s="188" t="str">
        <f>IFERROR(__xludf.DUMMYFUNCTION("""COMPUTED_VALUE"""),"GA10304-US")</f>
        <v>GA10304-US</v>
      </c>
      <c r="AH10" s="182" t="str">
        <f>IFERROR(__xludf.DUMMYFUNCTION("""COMPUTED_VALUE"""),"GA10304-US
GA10304-US-RevA")</f>
        <v>GA10304-US
GA10304-US-RevA</v>
      </c>
      <c r="AI10" s="188" t="str">
        <f>IFERROR(__xludf.DUMMYFUNCTION("""COMPUTED_VALUE"""),"GA10304-US")</f>
        <v>GA10304-US</v>
      </c>
      <c r="AJ10" s="187">
        <f>IFERROR(__xludf.DUMMYFUNCTION("""COMPUTED_VALUE"""),45793.0)</f>
        <v>45793</v>
      </c>
      <c r="AK10" s="187">
        <f>IFERROR(__xludf.DUMMYFUNCTION("""COMPUTED_VALUE"""),45801.0)</f>
        <v>45801</v>
      </c>
      <c r="AL10" s="182" t="b">
        <f>IFERROR(__xludf.DUMMYFUNCTION("""COMPUTED_VALUE"""),TRUE)</f>
        <v>1</v>
      </c>
      <c r="AM10" s="182" t="b">
        <f>IFERROR(__xludf.DUMMYFUNCTION("""COMPUTED_VALUE"""),TRUE)</f>
        <v>1</v>
      </c>
      <c r="AN10" s="187">
        <f>IFERROR(__xludf.DUMMYFUNCTION("""COMPUTED_VALUE"""),45801.0)</f>
        <v>45801</v>
      </c>
      <c r="AO10" s="182" t="b">
        <f>IFERROR(__xludf.DUMMYFUNCTION("""COMPUTED_VALUE"""),TRUE)</f>
        <v>1</v>
      </c>
      <c r="AP10" s="182" t="str">
        <f>IFERROR(__xludf.DUMMYFUNCTION("""COMPUTED_VALUE"""),"N")</f>
        <v>N</v>
      </c>
      <c r="AQ10" s="182"/>
      <c r="AR10" s="187">
        <f>IFERROR(__xludf.DUMMYFUNCTION("""COMPUTED_VALUE"""),45801.0)</f>
        <v>45801</v>
      </c>
      <c r="AS10" s="182" t="b">
        <f>IFERROR(__xludf.DUMMYFUNCTION("""COMPUTED_VALUE"""),TRUE)</f>
        <v>1</v>
      </c>
      <c r="AT10" s="182" t="str">
        <f>IFERROR(__xludf.DUMMYFUNCTION("""COMPUTED_VALUE"""),"N")</f>
        <v>N</v>
      </c>
      <c r="AU10" s="182"/>
      <c r="AV10" s="187">
        <f>IFERROR(__xludf.DUMMYFUNCTION("""COMPUTED_VALUE"""),45801.0)</f>
        <v>45801</v>
      </c>
      <c r="AW10" s="182" t="b">
        <f>IFERROR(__xludf.DUMMYFUNCTION("""COMPUTED_VALUE"""),FALSE)</f>
        <v>0</v>
      </c>
      <c r="AX10" s="182"/>
      <c r="AY10" s="182"/>
      <c r="AZ10" s="187">
        <f>IFERROR(__xludf.DUMMYFUNCTION("""COMPUTED_VALUE"""),45827.0)</f>
        <v>45827</v>
      </c>
      <c r="BA10" s="182" t="b">
        <f>IFERROR(__xludf.DUMMYFUNCTION("""COMPUTED_VALUE"""),FALSE)</f>
        <v>0</v>
      </c>
      <c r="BB10" s="187">
        <f>IFERROR(__xludf.DUMMYFUNCTION("""COMPUTED_VALUE"""),45827.0)</f>
        <v>45827</v>
      </c>
    </row>
    <row r="11">
      <c r="A11" s="184" t="str">
        <f t="shared" si="1"/>
        <v>G990-08499-32-A</v>
      </c>
      <c r="B11" s="69" t="str">
        <f t="shared" si="2"/>
        <v>G990-08493-00-A</v>
      </c>
      <c r="C11" s="182" t="str">
        <f>IFERROR(__xludf.DUMMYFUNCTION("""COMPUTED_VALUE"""),"GSTORE")</f>
        <v>GSTORE</v>
      </c>
      <c r="D11" s="182" t="str">
        <f>IFERROR(__xludf.DUMMYFUNCTION("""COMPUTED_VALUE"""),"MP")</f>
        <v>MP</v>
      </c>
      <c r="E11" s="182" t="str">
        <f>IFERROR(__xludf.DUMMYFUNCTION("""COMPUTED_VALUE"""),"Pristine")</f>
        <v>Pristine</v>
      </c>
      <c r="F11" s="182" t="str">
        <f>IFERROR(__xludf.DUMMYFUNCTION("""COMPUTED_VALUE"""),"GA10305-US")</f>
        <v>GA10305-US</v>
      </c>
      <c r="G11" s="182" t="str">
        <f>IFERROR(__xludf.DUMMYFUNCTION("""COMPUTED_VALUE"""),"G4QUR")</f>
        <v>G4QUR</v>
      </c>
      <c r="H11" s="182">
        <f>IFERROR(__xludf.DUMMYFUNCTION("""COMPUTED_VALUE"""),8.40353925861E11)</f>
        <v>840353925861</v>
      </c>
      <c r="I11" s="185" t="str">
        <f>IFERROR(__xludf.DUMMYFUNCTION("""COMPUTED_VALUE"""),"0840353925861")</f>
        <v>0840353925861</v>
      </c>
      <c r="J11" s="182"/>
      <c r="K11" s="182" t="str">
        <f>IFERROR(__xludf.DUMMYFUNCTION("""COMPUTED_VALUE"""),"ROW Master Carton Label (UPC)")</f>
        <v>ROW Master Carton Label (UPC)</v>
      </c>
      <c r="L11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1" s="182" t="str">
        <f>IFERROR(__xludf.DUMMYFUNCTION("""COMPUTED_VALUE"""),"G990-08499-32-02
G990-08499-32-A")</f>
        <v>G990-08499-32-02
G990-08499-32-A</v>
      </c>
      <c r="N11" s="182" t="str">
        <f>IFERROR(__xludf.DUMMYFUNCTION("""COMPUTED_VALUE"""),"N/A")</f>
        <v>N/A</v>
      </c>
      <c r="O11" s="182" t="str">
        <f>IFERROR(__xludf.DUMMYFUNCTION("""COMPUTED_VALUE"""),"G990-08493-00-01
G990-08493-00-A")</f>
        <v>G990-08493-00-01
G990-08493-00-A</v>
      </c>
      <c r="P11" s="182" t="str">
        <f>IFERROR(__xludf.DUMMYFUNCTION("""COMPUTED_VALUE"""),"BOB→A
Retail→A")</f>
        <v>BOB→A
Retail→A</v>
      </c>
      <c r="Q11" s="182" t="str">
        <f>IFERROR(__xludf.DUMMYFUNCTION("""COMPUTED_VALUE"""),"256GB")</f>
        <v>256GB</v>
      </c>
      <c r="R11" s="182" t="str">
        <f>IFERROR(__xludf.DUMMYFUNCTION("""COMPUTED_VALUE"""),"Moonstone")</f>
        <v>Moonstone</v>
      </c>
      <c r="S11" s="182" t="str">
        <f>IFERROR(__xludf.DUMMYFUNCTION("""COMPUTED_VALUE"""),"Sterling")</f>
        <v>Sterling</v>
      </c>
      <c r="T11" s="182" t="str">
        <f>IFERROR(__xludf.DUMMYFUNCTION("""COMPUTED_VALUE"""),"US GStore")</f>
        <v>US GStore</v>
      </c>
      <c r="U11" s="182" t="str">
        <f>IFERROR(__xludf.DUMMYFUNCTION("""COMPUTED_VALUE"""),"SKU,CLR3, BETTER, MMWAVE, GSTORE, US, BZ5")</f>
        <v>SKU,CLR3, BETTER, MMWAVE, GSTORE, US, BZ5</v>
      </c>
      <c r="V11" s="182"/>
      <c r="W11" s="183" t="str">
        <f>IFERROR(__xludf.DUMMYFUNCTION("""COMPUTED_VALUE"""),"#NUM!")</f>
        <v>#NUM!</v>
      </c>
      <c r="X11" s="186">
        <f>IFERROR(__xludf.DUMMYFUNCTION("""COMPUTED_VALUE"""),45831.0)</f>
        <v>45831</v>
      </c>
      <c r="Y11" s="187">
        <f>IFERROR(__xludf.DUMMYFUNCTION("""COMPUTED_VALUE"""),45780.0)</f>
        <v>45780</v>
      </c>
      <c r="Z11" s="182" t="b">
        <f>IFERROR(__xludf.DUMMYFUNCTION("""COMPUTED_VALUE"""),TRUE)</f>
        <v>1</v>
      </c>
      <c r="AA11" s="187">
        <f>IFERROR(__xludf.DUMMYFUNCTION("""COMPUTED_VALUE"""),45780.0)</f>
        <v>45780</v>
      </c>
      <c r="AB11" s="182" t="b">
        <f>IFERROR(__xludf.DUMMYFUNCTION("""COMPUTED_VALUE"""),FALSE)</f>
        <v>0</v>
      </c>
      <c r="AC11" s="187">
        <f>IFERROR(__xludf.DUMMYFUNCTION("""COMPUTED_VALUE"""),45787.0)</f>
        <v>45787</v>
      </c>
      <c r="AD11" s="187">
        <f>IFERROR(__xludf.DUMMYFUNCTION("""COMPUTED_VALUE"""),45787.0)</f>
        <v>45787</v>
      </c>
      <c r="AE11" s="182" t="str">
        <f>IFERROR(__xludf.DUMMYFUNCTION("""COMPUTED_VALUE"""),"GA10305-US
GA10305-US-RevA")</f>
        <v>GA10305-US
GA10305-US-RevA</v>
      </c>
      <c r="AF11" s="182"/>
      <c r="AG11" s="188" t="str">
        <f>IFERROR(__xludf.DUMMYFUNCTION("""COMPUTED_VALUE"""),"GA10305-US")</f>
        <v>GA10305-US</v>
      </c>
      <c r="AH11" s="182" t="str">
        <f>IFERROR(__xludf.DUMMYFUNCTION("""COMPUTED_VALUE"""),"GA10305-US
GA10305-US-RevA")</f>
        <v>GA10305-US
GA10305-US-RevA</v>
      </c>
      <c r="AI11" s="188" t="str">
        <f>IFERROR(__xludf.DUMMYFUNCTION("""COMPUTED_VALUE"""),"GA10305-US")</f>
        <v>GA10305-US</v>
      </c>
      <c r="AJ11" s="187">
        <f>IFERROR(__xludf.DUMMYFUNCTION("""COMPUTED_VALUE"""),45793.0)</f>
        <v>45793</v>
      </c>
      <c r="AK11" s="187">
        <f>IFERROR(__xludf.DUMMYFUNCTION("""COMPUTED_VALUE"""),45801.0)</f>
        <v>45801</v>
      </c>
      <c r="AL11" s="182" t="b">
        <f>IFERROR(__xludf.DUMMYFUNCTION("""COMPUTED_VALUE"""),TRUE)</f>
        <v>1</v>
      </c>
      <c r="AM11" s="182" t="b">
        <f>IFERROR(__xludf.DUMMYFUNCTION("""COMPUTED_VALUE"""),TRUE)</f>
        <v>1</v>
      </c>
      <c r="AN11" s="187">
        <f>IFERROR(__xludf.DUMMYFUNCTION("""COMPUTED_VALUE"""),45801.0)</f>
        <v>45801</v>
      </c>
      <c r="AO11" s="182" t="b">
        <f>IFERROR(__xludf.DUMMYFUNCTION("""COMPUTED_VALUE"""),TRUE)</f>
        <v>1</v>
      </c>
      <c r="AP11" s="182" t="str">
        <f>IFERROR(__xludf.DUMMYFUNCTION("""COMPUTED_VALUE"""),"N")</f>
        <v>N</v>
      </c>
      <c r="AQ11" s="182"/>
      <c r="AR11" s="187">
        <f>IFERROR(__xludf.DUMMYFUNCTION("""COMPUTED_VALUE"""),45801.0)</f>
        <v>45801</v>
      </c>
      <c r="AS11" s="182" t="b">
        <f>IFERROR(__xludf.DUMMYFUNCTION("""COMPUTED_VALUE"""),TRUE)</f>
        <v>1</v>
      </c>
      <c r="AT11" s="182" t="str">
        <f>IFERROR(__xludf.DUMMYFUNCTION("""COMPUTED_VALUE"""),"N")</f>
        <v>N</v>
      </c>
      <c r="AU11" s="182"/>
      <c r="AV11" s="187">
        <f>IFERROR(__xludf.DUMMYFUNCTION("""COMPUTED_VALUE"""),45801.0)</f>
        <v>45801</v>
      </c>
      <c r="AW11" s="182" t="b">
        <f>IFERROR(__xludf.DUMMYFUNCTION("""COMPUTED_VALUE"""),FALSE)</f>
        <v>0</v>
      </c>
      <c r="AX11" s="182"/>
      <c r="AY11" s="182"/>
      <c r="AZ11" s="187">
        <f>IFERROR(__xludf.DUMMYFUNCTION("""COMPUTED_VALUE"""),45827.0)</f>
        <v>45827</v>
      </c>
      <c r="BA11" s="182" t="b">
        <f>IFERROR(__xludf.DUMMYFUNCTION("""COMPUTED_VALUE"""),FALSE)</f>
        <v>0</v>
      </c>
      <c r="BB11" s="187">
        <f>IFERROR(__xludf.DUMMYFUNCTION("""COMPUTED_VALUE"""),45827.0)</f>
        <v>45827</v>
      </c>
    </row>
    <row r="12">
      <c r="A12" s="184" t="str">
        <f t="shared" si="1"/>
        <v>G990-08499-42-A</v>
      </c>
      <c r="B12" s="69" t="str">
        <f t="shared" si="2"/>
        <v>G990-08493-00-A</v>
      </c>
      <c r="C12" s="182" t="str">
        <f>IFERROR(__xludf.DUMMYFUNCTION("""COMPUTED_VALUE"""),"GSTORE")</f>
        <v>GSTORE</v>
      </c>
      <c r="D12" s="182" t="str">
        <f>IFERROR(__xludf.DUMMYFUNCTION("""COMPUTED_VALUE"""),"MP")</f>
        <v>MP</v>
      </c>
      <c r="E12" s="182" t="str">
        <f>IFERROR(__xludf.DUMMYFUNCTION("""COMPUTED_VALUE"""),"Pristine")</f>
        <v>Pristine</v>
      </c>
      <c r="F12" s="182" t="str">
        <f>IFERROR(__xludf.DUMMYFUNCTION("""COMPUTED_VALUE"""),"GA10306-US")</f>
        <v>GA10306-US</v>
      </c>
      <c r="G12" s="182" t="str">
        <f>IFERROR(__xludf.DUMMYFUNCTION("""COMPUTED_VALUE"""),"G4QUR")</f>
        <v>G4QUR</v>
      </c>
      <c r="H12" s="182">
        <f>IFERROR(__xludf.DUMMYFUNCTION("""COMPUTED_VALUE"""),8.40353925885E11)</f>
        <v>840353925885</v>
      </c>
      <c r="I12" s="185" t="str">
        <f>IFERROR(__xludf.DUMMYFUNCTION("""COMPUTED_VALUE"""),"0840353925885")</f>
        <v>0840353925885</v>
      </c>
      <c r="J12" s="182"/>
      <c r="K12" s="182" t="str">
        <f>IFERROR(__xludf.DUMMYFUNCTION("""COMPUTED_VALUE"""),"ROW Master Carton Label (UPC)")</f>
        <v>ROW Master Carton Label (UPC)</v>
      </c>
      <c r="L12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2" s="182" t="str">
        <f>IFERROR(__xludf.DUMMYFUNCTION("""COMPUTED_VALUE"""),"G990-08499-42-02
G990-08499-42-A")</f>
        <v>G990-08499-42-02
G990-08499-42-A</v>
      </c>
      <c r="N12" s="182" t="str">
        <f>IFERROR(__xludf.DUMMYFUNCTION("""COMPUTED_VALUE"""),"N/A")</f>
        <v>N/A</v>
      </c>
      <c r="O12" s="182" t="str">
        <f>IFERROR(__xludf.DUMMYFUNCTION("""COMPUTED_VALUE"""),"G990-08493-00-01
G990-08493-00-A")</f>
        <v>G990-08493-00-01
G990-08493-00-A</v>
      </c>
      <c r="P12" s="182" t="str">
        <f>IFERROR(__xludf.DUMMYFUNCTION("""COMPUTED_VALUE"""),"BOB→A
Retail→A")</f>
        <v>BOB→A
Retail→A</v>
      </c>
      <c r="Q12" s="182" t="str">
        <f>IFERROR(__xludf.DUMMYFUNCTION("""COMPUTED_VALUE"""),"256GB")</f>
        <v>256GB</v>
      </c>
      <c r="R12" s="182" t="str">
        <f>IFERROR(__xludf.DUMMYFUNCTION("""COMPUTED_VALUE"""),"Jade")</f>
        <v>Jade</v>
      </c>
      <c r="S12" s="182" t="str">
        <f>IFERROR(__xludf.DUMMYFUNCTION("""COMPUTED_VALUE"""),"Smokey Green")</f>
        <v>Smokey Green</v>
      </c>
      <c r="T12" s="182" t="str">
        <f>IFERROR(__xludf.DUMMYFUNCTION("""COMPUTED_VALUE"""),"US GStore")</f>
        <v>US GStore</v>
      </c>
      <c r="U12" s="182" t="str">
        <f>IFERROR(__xludf.DUMMYFUNCTION("""COMPUTED_VALUE"""),"SKU,CLR4, BETTER, MMWAVE, GSTORE, US, BZ5")</f>
        <v>SKU,CLR4, BETTER, MMWAVE, GSTORE, US, BZ5</v>
      </c>
      <c r="V12" s="182"/>
      <c r="W12" s="183" t="str">
        <f>IFERROR(__xludf.DUMMYFUNCTION("""COMPUTED_VALUE"""),"#NUM!")</f>
        <v>#NUM!</v>
      </c>
      <c r="X12" s="186">
        <f>IFERROR(__xludf.DUMMYFUNCTION("""COMPUTED_VALUE"""),45831.0)</f>
        <v>45831</v>
      </c>
      <c r="Y12" s="187">
        <f>IFERROR(__xludf.DUMMYFUNCTION("""COMPUTED_VALUE"""),45780.0)</f>
        <v>45780</v>
      </c>
      <c r="Z12" s="182" t="b">
        <f>IFERROR(__xludf.DUMMYFUNCTION("""COMPUTED_VALUE"""),TRUE)</f>
        <v>1</v>
      </c>
      <c r="AA12" s="187">
        <f>IFERROR(__xludf.DUMMYFUNCTION("""COMPUTED_VALUE"""),45780.0)</f>
        <v>45780</v>
      </c>
      <c r="AB12" s="182" t="b">
        <f>IFERROR(__xludf.DUMMYFUNCTION("""COMPUTED_VALUE"""),FALSE)</f>
        <v>0</v>
      </c>
      <c r="AC12" s="187">
        <f>IFERROR(__xludf.DUMMYFUNCTION("""COMPUTED_VALUE"""),45787.0)</f>
        <v>45787</v>
      </c>
      <c r="AD12" s="187">
        <f>IFERROR(__xludf.DUMMYFUNCTION("""COMPUTED_VALUE"""),45787.0)</f>
        <v>45787</v>
      </c>
      <c r="AE12" s="182" t="str">
        <f>IFERROR(__xludf.DUMMYFUNCTION("""COMPUTED_VALUE"""),"GA10306-US
GA10306-US-RevA")</f>
        <v>GA10306-US
GA10306-US-RevA</v>
      </c>
      <c r="AF12" s="182"/>
      <c r="AG12" s="188" t="str">
        <f>IFERROR(__xludf.DUMMYFUNCTION("""COMPUTED_VALUE"""),"GA10306-US")</f>
        <v>GA10306-US</v>
      </c>
      <c r="AH12" s="182" t="str">
        <f>IFERROR(__xludf.DUMMYFUNCTION("""COMPUTED_VALUE"""),"GA10306-US
GA10306-US-RevA")</f>
        <v>GA10306-US
GA10306-US-RevA</v>
      </c>
      <c r="AI12" s="188" t="str">
        <f>IFERROR(__xludf.DUMMYFUNCTION("""COMPUTED_VALUE"""),"GA10306-US")</f>
        <v>GA10306-US</v>
      </c>
      <c r="AJ12" s="187">
        <f>IFERROR(__xludf.DUMMYFUNCTION("""COMPUTED_VALUE"""),45793.0)</f>
        <v>45793</v>
      </c>
      <c r="AK12" s="187">
        <f>IFERROR(__xludf.DUMMYFUNCTION("""COMPUTED_VALUE"""),45801.0)</f>
        <v>45801</v>
      </c>
      <c r="AL12" s="182" t="b">
        <f>IFERROR(__xludf.DUMMYFUNCTION("""COMPUTED_VALUE"""),TRUE)</f>
        <v>1</v>
      </c>
      <c r="AM12" s="182" t="b">
        <f>IFERROR(__xludf.DUMMYFUNCTION("""COMPUTED_VALUE"""),TRUE)</f>
        <v>1</v>
      </c>
      <c r="AN12" s="187">
        <f>IFERROR(__xludf.DUMMYFUNCTION("""COMPUTED_VALUE"""),45801.0)</f>
        <v>45801</v>
      </c>
      <c r="AO12" s="182" t="b">
        <f>IFERROR(__xludf.DUMMYFUNCTION("""COMPUTED_VALUE"""),TRUE)</f>
        <v>1</v>
      </c>
      <c r="AP12" s="182" t="str">
        <f>IFERROR(__xludf.DUMMYFUNCTION("""COMPUTED_VALUE"""),"N")</f>
        <v>N</v>
      </c>
      <c r="AQ12" s="182"/>
      <c r="AR12" s="187">
        <f>IFERROR(__xludf.DUMMYFUNCTION("""COMPUTED_VALUE"""),45801.0)</f>
        <v>45801</v>
      </c>
      <c r="AS12" s="182" t="b">
        <f>IFERROR(__xludf.DUMMYFUNCTION("""COMPUTED_VALUE"""),TRUE)</f>
        <v>1</v>
      </c>
      <c r="AT12" s="182" t="str">
        <f>IFERROR(__xludf.DUMMYFUNCTION("""COMPUTED_VALUE"""),"N")</f>
        <v>N</v>
      </c>
      <c r="AU12" s="182"/>
      <c r="AV12" s="187">
        <f>IFERROR(__xludf.DUMMYFUNCTION("""COMPUTED_VALUE"""),45801.0)</f>
        <v>45801</v>
      </c>
      <c r="AW12" s="182" t="b">
        <f>IFERROR(__xludf.DUMMYFUNCTION("""COMPUTED_VALUE"""),FALSE)</f>
        <v>0</v>
      </c>
      <c r="AX12" s="182"/>
      <c r="AY12" s="182"/>
      <c r="AZ12" s="187">
        <f>IFERROR(__xludf.DUMMYFUNCTION("""COMPUTED_VALUE"""),45827.0)</f>
        <v>45827</v>
      </c>
      <c r="BA12" s="182" t="b">
        <f>IFERROR(__xludf.DUMMYFUNCTION("""COMPUTED_VALUE"""),FALSE)</f>
        <v>0</v>
      </c>
      <c r="BB12" s="187">
        <f>IFERROR(__xludf.DUMMYFUNCTION("""COMPUTED_VALUE"""),45827.0)</f>
        <v>45827</v>
      </c>
    </row>
    <row r="13">
      <c r="A13" s="184" t="str">
        <f t="shared" si="1"/>
        <v>G990-08499-13-A</v>
      </c>
      <c r="B13" s="69" t="str">
        <f t="shared" si="2"/>
        <v>G990-08493-00-A</v>
      </c>
      <c r="C13" s="182" t="str">
        <f>IFERROR(__xludf.DUMMYFUNCTION("""COMPUTED_VALUE"""),"GSTORE")</f>
        <v>GSTORE</v>
      </c>
      <c r="D13" s="182" t="str">
        <f>IFERROR(__xludf.DUMMYFUNCTION("""COMPUTED_VALUE"""),"MP")</f>
        <v>MP</v>
      </c>
      <c r="E13" s="182" t="str">
        <f>IFERROR(__xludf.DUMMYFUNCTION("""COMPUTED_VALUE"""),"Pristine")</f>
        <v>Pristine</v>
      </c>
      <c r="F13" s="182" t="str">
        <f>IFERROR(__xludf.DUMMYFUNCTION("""COMPUTED_VALUE"""),"GA09908-US")</f>
        <v>GA09908-US</v>
      </c>
      <c r="G13" s="182" t="str">
        <f>IFERROR(__xludf.DUMMYFUNCTION("""COMPUTED_VALUE"""),"G4QUR")</f>
        <v>G4QUR</v>
      </c>
      <c r="H13" s="182">
        <f>IFERROR(__xludf.DUMMYFUNCTION("""COMPUTED_VALUE"""),8.40353925892E11)</f>
        <v>840353925892</v>
      </c>
      <c r="I13" s="185" t="str">
        <f>IFERROR(__xludf.DUMMYFUNCTION("""COMPUTED_VALUE"""),"0840353925892")</f>
        <v>0840353925892</v>
      </c>
      <c r="J13" s="182"/>
      <c r="K13" s="182" t="str">
        <f>IFERROR(__xludf.DUMMYFUNCTION("""COMPUTED_VALUE"""),"ROW Master Carton Label (UPC)")</f>
        <v>ROW Master Carton Label (UPC)</v>
      </c>
      <c r="L13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3" s="182" t="str">
        <f>IFERROR(__xludf.DUMMYFUNCTION("""COMPUTED_VALUE"""),"G990-08499-13-02
G990-08499-13-A")</f>
        <v>G990-08499-13-02
G990-08499-13-A</v>
      </c>
      <c r="N13" s="182" t="str">
        <f>IFERROR(__xludf.DUMMYFUNCTION("""COMPUTED_VALUE"""),"N/A")</f>
        <v>N/A</v>
      </c>
      <c r="O13" s="182" t="str">
        <f>IFERROR(__xludf.DUMMYFUNCTION("""COMPUTED_VALUE"""),"G990-08493-00-01
G990-08493-00-A")</f>
        <v>G990-08493-00-01
G990-08493-00-A</v>
      </c>
      <c r="P13" s="182" t="str">
        <f>IFERROR(__xludf.DUMMYFUNCTION("""COMPUTED_VALUE"""),"BOB→A
Retail→A")</f>
        <v>BOB→A
Retail→A</v>
      </c>
      <c r="Q13" s="182" t="str">
        <f>IFERROR(__xludf.DUMMYFUNCTION("""COMPUTED_VALUE"""),"512GB")</f>
        <v>512GB</v>
      </c>
      <c r="R13" s="182" t="str">
        <f>IFERROR(__xludf.DUMMYFUNCTION("""COMPUTED_VALUE"""),"Obsidian")</f>
        <v>Obsidian</v>
      </c>
      <c r="S13" s="182" t="str">
        <f>IFERROR(__xludf.DUMMYFUNCTION("""COMPUTED_VALUE"""),"Midnight")</f>
        <v>Midnight</v>
      </c>
      <c r="T13" s="182" t="str">
        <f>IFERROR(__xludf.DUMMYFUNCTION("""COMPUTED_VALUE"""),"US GStore")</f>
        <v>US GStore</v>
      </c>
      <c r="U13" s="182" t="str">
        <f>IFERROR(__xludf.DUMMYFUNCTION("""COMPUTED_VALUE"""),"SKU,CLR1, BEST, MMWAVE, US GSTORE, BZ5")</f>
        <v>SKU,CLR1, BEST, MMWAVE, US GSTORE, BZ5</v>
      </c>
      <c r="V13" s="182"/>
      <c r="W13" s="183" t="str">
        <f>IFERROR(__xludf.DUMMYFUNCTION("""COMPUTED_VALUE"""),"#NUM!")</f>
        <v>#NUM!</v>
      </c>
      <c r="X13" s="186">
        <f>IFERROR(__xludf.DUMMYFUNCTION("""COMPUTED_VALUE"""),45831.0)</f>
        <v>45831</v>
      </c>
      <c r="Y13" s="187">
        <f>IFERROR(__xludf.DUMMYFUNCTION("""COMPUTED_VALUE"""),45780.0)</f>
        <v>45780</v>
      </c>
      <c r="Z13" s="182" t="b">
        <f>IFERROR(__xludf.DUMMYFUNCTION("""COMPUTED_VALUE"""),TRUE)</f>
        <v>1</v>
      </c>
      <c r="AA13" s="187">
        <f>IFERROR(__xludf.DUMMYFUNCTION("""COMPUTED_VALUE"""),45780.0)</f>
        <v>45780</v>
      </c>
      <c r="AB13" s="182" t="b">
        <f>IFERROR(__xludf.DUMMYFUNCTION("""COMPUTED_VALUE"""),FALSE)</f>
        <v>0</v>
      </c>
      <c r="AC13" s="187">
        <f>IFERROR(__xludf.DUMMYFUNCTION("""COMPUTED_VALUE"""),45787.0)</f>
        <v>45787</v>
      </c>
      <c r="AD13" s="187">
        <f>IFERROR(__xludf.DUMMYFUNCTION("""COMPUTED_VALUE"""),45787.0)</f>
        <v>45787</v>
      </c>
      <c r="AE13" s="182" t="str">
        <f>IFERROR(__xludf.DUMMYFUNCTION("""COMPUTED_VALUE"""),"GA09908-US
GA09908-US-RevA")</f>
        <v>GA09908-US
GA09908-US-RevA</v>
      </c>
      <c r="AF13" s="182"/>
      <c r="AG13" s="188" t="str">
        <f>IFERROR(__xludf.DUMMYFUNCTION("""COMPUTED_VALUE"""),"GA09908-US")</f>
        <v>GA09908-US</v>
      </c>
      <c r="AH13" s="182" t="str">
        <f>IFERROR(__xludf.DUMMYFUNCTION("""COMPUTED_VALUE"""),"GA09908-US
GA09908-US-RevA")</f>
        <v>GA09908-US
GA09908-US-RevA</v>
      </c>
      <c r="AI13" s="188" t="str">
        <f>IFERROR(__xludf.DUMMYFUNCTION("""COMPUTED_VALUE"""),"GA09908-US")</f>
        <v>GA09908-US</v>
      </c>
      <c r="AJ13" s="187">
        <f>IFERROR(__xludf.DUMMYFUNCTION("""COMPUTED_VALUE"""),45793.0)</f>
        <v>45793</v>
      </c>
      <c r="AK13" s="187">
        <f>IFERROR(__xludf.DUMMYFUNCTION("""COMPUTED_VALUE"""),45801.0)</f>
        <v>45801</v>
      </c>
      <c r="AL13" s="182" t="b">
        <f>IFERROR(__xludf.DUMMYFUNCTION("""COMPUTED_VALUE"""),TRUE)</f>
        <v>1</v>
      </c>
      <c r="AM13" s="182" t="b">
        <f>IFERROR(__xludf.DUMMYFUNCTION("""COMPUTED_VALUE"""),TRUE)</f>
        <v>1</v>
      </c>
      <c r="AN13" s="187">
        <f>IFERROR(__xludf.DUMMYFUNCTION("""COMPUTED_VALUE"""),45801.0)</f>
        <v>45801</v>
      </c>
      <c r="AO13" s="182" t="b">
        <f>IFERROR(__xludf.DUMMYFUNCTION("""COMPUTED_VALUE"""),TRUE)</f>
        <v>1</v>
      </c>
      <c r="AP13" s="182" t="str">
        <f>IFERROR(__xludf.DUMMYFUNCTION("""COMPUTED_VALUE"""),"N")</f>
        <v>N</v>
      </c>
      <c r="AQ13" s="182"/>
      <c r="AR13" s="187">
        <f>IFERROR(__xludf.DUMMYFUNCTION("""COMPUTED_VALUE"""),45801.0)</f>
        <v>45801</v>
      </c>
      <c r="AS13" s="182" t="b">
        <f>IFERROR(__xludf.DUMMYFUNCTION("""COMPUTED_VALUE"""),TRUE)</f>
        <v>1</v>
      </c>
      <c r="AT13" s="182" t="str">
        <f>IFERROR(__xludf.DUMMYFUNCTION("""COMPUTED_VALUE"""),"N")</f>
        <v>N</v>
      </c>
      <c r="AU13" s="182"/>
      <c r="AV13" s="187">
        <f>IFERROR(__xludf.DUMMYFUNCTION("""COMPUTED_VALUE"""),45801.0)</f>
        <v>45801</v>
      </c>
      <c r="AW13" s="182" t="b">
        <f>IFERROR(__xludf.DUMMYFUNCTION("""COMPUTED_VALUE"""),FALSE)</f>
        <v>0</v>
      </c>
      <c r="AX13" s="182"/>
      <c r="AY13" s="182"/>
      <c r="AZ13" s="187">
        <f>IFERROR(__xludf.DUMMYFUNCTION("""COMPUTED_VALUE"""),45827.0)</f>
        <v>45827</v>
      </c>
      <c r="BA13" s="182" t="b">
        <f>IFERROR(__xludf.DUMMYFUNCTION("""COMPUTED_VALUE"""),FALSE)</f>
        <v>0</v>
      </c>
      <c r="BB13" s="187">
        <f>IFERROR(__xludf.DUMMYFUNCTION("""COMPUTED_VALUE"""),45827.0)</f>
        <v>45827</v>
      </c>
    </row>
    <row r="14">
      <c r="A14" s="184" t="str">
        <f t="shared" si="1"/>
        <v>G990-08499-23-A</v>
      </c>
      <c r="B14" s="69" t="str">
        <f t="shared" si="2"/>
        <v>G990-08493-00-A</v>
      </c>
      <c r="C14" s="182" t="str">
        <f>IFERROR(__xludf.DUMMYFUNCTION("""COMPUTED_VALUE"""),"GSTORE")</f>
        <v>GSTORE</v>
      </c>
      <c r="D14" s="182" t="str">
        <f>IFERROR(__xludf.DUMMYFUNCTION("""COMPUTED_VALUE"""),"MP")</f>
        <v>MP</v>
      </c>
      <c r="E14" s="182" t="str">
        <f>IFERROR(__xludf.DUMMYFUNCTION("""COMPUTED_VALUE"""),"Pristine")</f>
        <v>Pristine</v>
      </c>
      <c r="F14" s="182" t="str">
        <f>IFERROR(__xludf.DUMMYFUNCTION("""COMPUTED_VALUE"""),"GA10307-US")</f>
        <v>GA10307-US</v>
      </c>
      <c r="G14" s="182" t="str">
        <f>IFERROR(__xludf.DUMMYFUNCTION("""COMPUTED_VALUE"""),"G4QUR")</f>
        <v>G4QUR</v>
      </c>
      <c r="H14" s="182">
        <f>IFERROR(__xludf.DUMMYFUNCTION("""COMPUTED_VALUE"""),8.40353925922E11)</f>
        <v>840353925922</v>
      </c>
      <c r="I14" s="185" t="str">
        <f>IFERROR(__xludf.DUMMYFUNCTION("""COMPUTED_VALUE"""),"0840353925922")</f>
        <v>0840353925922</v>
      </c>
      <c r="J14" s="182"/>
      <c r="K14" s="182" t="str">
        <f>IFERROR(__xludf.DUMMYFUNCTION("""COMPUTED_VALUE"""),"ROW Master Carton Label (UPC)")</f>
        <v>ROW Master Carton Label (UPC)</v>
      </c>
      <c r="L14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4" s="182" t="str">
        <f>IFERROR(__xludf.DUMMYFUNCTION("""COMPUTED_VALUE"""),"G990-08499-23-02
G990-08499-23-A")</f>
        <v>G990-08499-23-02
G990-08499-23-A</v>
      </c>
      <c r="N14" s="182" t="str">
        <f>IFERROR(__xludf.DUMMYFUNCTION("""COMPUTED_VALUE"""),"N/A")</f>
        <v>N/A</v>
      </c>
      <c r="O14" s="182" t="str">
        <f>IFERROR(__xludf.DUMMYFUNCTION("""COMPUTED_VALUE"""),"G990-08493-00-01
G990-08493-00-A")</f>
        <v>G990-08493-00-01
G990-08493-00-A</v>
      </c>
      <c r="P14" s="182" t="str">
        <f>IFERROR(__xludf.DUMMYFUNCTION("""COMPUTED_VALUE"""),"BOB→A
Retail→A")</f>
        <v>BOB→A
Retail→A</v>
      </c>
      <c r="Q14" s="182" t="str">
        <f>IFERROR(__xludf.DUMMYFUNCTION("""COMPUTED_VALUE"""),"512GB")</f>
        <v>512GB</v>
      </c>
      <c r="R14" s="182" t="str">
        <f>IFERROR(__xludf.DUMMYFUNCTION("""COMPUTED_VALUE"""),"Porcelain")</f>
        <v>Porcelain</v>
      </c>
      <c r="S14" s="182" t="str">
        <f>IFERROR(__xludf.DUMMYFUNCTION("""COMPUTED_VALUE"""),"Light Porcelain")</f>
        <v>Light Porcelain</v>
      </c>
      <c r="T14" s="182" t="str">
        <f>IFERROR(__xludf.DUMMYFUNCTION("""COMPUTED_VALUE"""),"US GStore")</f>
        <v>US GStore</v>
      </c>
      <c r="U14" s="182" t="str">
        <f>IFERROR(__xludf.DUMMYFUNCTION("""COMPUTED_VALUE"""),"SKU,CLR2, BEST, MMWAVE, GSTORE, US, BZ5")</f>
        <v>SKU,CLR2, BEST, MMWAVE, GSTORE, US, BZ5</v>
      </c>
      <c r="V14" s="182"/>
      <c r="W14" s="183" t="str">
        <f>IFERROR(__xludf.DUMMYFUNCTION("""COMPUTED_VALUE"""),"#NUM!")</f>
        <v>#NUM!</v>
      </c>
      <c r="X14" s="186">
        <f>IFERROR(__xludf.DUMMYFUNCTION("""COMPUTED_VALUE"""),45831.0)</f>
        <v>45831</v>
      </c>
      <c r="Y14" s="187">
        <f>IFERROR(__xludf.DUMMYFUNCTION("""COMPUTED_VALUE"""),45780.0)</f>
        <v>45780</v>
      </c>
      <c r="Z14" s="182" t="b">
        <f>IFERROR(__xludf.DUMMYFUNCTION("""COMPUTED_VALUE"""),TRUE)</f>
        <v>1</v>
      </c>
      <c r="AA14" s="187">
        <f>IFERROR(__xludf.DUMMYFUNCTION("""COMPUTED_VALUE"""),45780.0)</f>
        <v>45780</v>
      </c>
      <c r="AB14" s="182" t="b">
        <f>IFERROR(__xludf.DUMMYFUNCTION("""COMPUTED_VALUE"""),FALSE)</f>
        <v>0</v>
      </c>
      <c r="AC14" s="187">
        <f>IFERROR(__xludf.DUMMYFUNCTION("""COMPUTED_VALUE"""),45787.0)</f>
        <v>45787</v>
      </c>
      <c r="AD14" s="187">
        <f>IFERROR(__xludf.DUMMYFUNCTION("""COMPUTED_VALUE"""),45787.0)</f>
        <v>45787</v>
      </c>
      <c r="AE14" s="182" t="str">
        <f>IFERROR(__xludf.DUMMYFUNCTION("""COMPUTED_VALUE"""),"GA10307-US
GA10307-US-RevA")</f>
        <v>GA10307-US
GA10307-US-RevA</v>
      </c>
      <c r="AF14" s="182"/>
      <c r="AG14" s="188" t="str">
        <f>IFERROR(__xludf.DUMMYFUNCTION("""COMPUTED_VALUE"""),"GA10307-US")</f>
        <v>GA10307-US</v>
      </c>
      <c r="AH14" s="182" t="str">
        <f>IFERROR(__xludf.DUMMYFUNCTION("""COMPUTED_VALUE"""),"GA10307-US
GA10307-US-RevA")</f>
        <v>GA10307-US
GA10307-US-RevA</v>
      </c>
      <c r="AI14" s="188" t="str">
        <f>IFERROR(__xludf.DUMMYFUNCTION("""COMPUTED_VALUE"""),"GA10307-US")</f>
        <v>GA10307-US</v>
      </c>
      <c r="AJ14" s="187">
        <f>IFERROR(__xludf.DUMMYFUNCTION("""COMPUTED_VALUE"""),45793.0)</f>
        <v>45793</v>
      </c>
      <c r="AK14" s="187">
        <f>IFERROR(__xludf.DUMMYFUNCTION("""COMPUTED_VALUE"""),45801.0)</f>
        <v>45801</v>
      </c>
      <c r="AL14" s="182" t="b">
        <f>IFERROR(__xludf.DUMMYFUNCTION("""COMPUTED_VALUE"""),TRUE)</f>
        <v>1</v>
      </c>
      <c r="AM14" s="182" t="b">
        <f>IFERROR(__xludf.DUMMYFUNCTION("""COMPUTED_VALUE"""),TRUE)</f>
        <v>1</v>
      </c>
      <c r="AN14" s="187">
        <f>IFERROR(__xludf.DUMMYFUNCTION("""COMPUTED_VALUE"""),45801.0)</f>
        <v>45801</v>
      </c>
      <c r="AO14" s="182" t="b">
        <f>IFERROR(__xludf.DUMMYFUNCTION("""COMPUTED_VALUE"""),TRUE)</f>
        <v>1</v>
      </c>
      <c r="AP14" s="182" t="str">
        <f>IFERROR(__xludf.DUMMYFUNCTION("""COMPUTED_VALUE"""),"N")</f>
        <v>N</v>
      </c>
      <c r="AQ14" s="182"/>
      <c r="AR14" s="187">
        <f>IFERROR(__xludf.DUMMYFUNCTION("""COMPUTED_VALUE"""),45801.0)</f>
        <v>45801</v>
      </c>
      <c r="AS14" s="182" t="b">
        <f>IFERROR(__xludf.DUMMYFUNCTION("""COMPUTED_VALUE"""),TRUE)</f>
        <v>1</v>
      </c>
      <c r="AT14" s="182" t="str">
        <f>IFERROR(__xludf.DUMMYFUNCTION("""COMPUTED_VALUE"""),"N")</f>
        <v>N</v>
      </c>
      <c r="AU14" s="182"/>
      <c r="AV14" s="187">
        <f>IFERROR(__xludf.DUMMYFUNCTION("""COMPUTED_VALUE"""),45801.0)</f>
        <v>45801</v>
      </c>
      <c r="AW14" s="182" t="b">
        <f>IFERROR(__xludf.DUMMYFUNCTION("""COMPUTED_VALUE"""),FALSE)</f>
        <v>0</v>
      </c>
      <c r="AX14" s="182"/>
      <c r="AY14" s="182"/>
      <c r="AZ14" s="187">
        <f>IFERROR(__xludf.DUMMYFUNCTION("""COMPUTED_VALUE"""),45827.0)</f>
        <v>45827</v>
      </c>
      <c r="BA14" s="182" t="b">
        <f>IFERROR(__xludf.DUMMYFUNCTION("""COMPUTED_VALUE"""),FALSE)</f>
        <v>0</v>
      </c>
      <c r="BB14" s="187">
        <f>IFERROR(__xludf.DUMMYFUNCTION("""COMPUTED_VALUE"""),45827.0)</f>
        <v>45827</v>
      </c>
    </row>
    <row r="15">
      <c r="A15" s="184" t="str">
        <f t="shared" si="1"/>
        <v>G990-08499-33-A</v>
      </c>
      <c r="B15" s="69" t="str">
        <f t="shared" si="2"/>
        <v>G990-08493-00-A</v>
      </c>
      <c r="C15" s="182" t="str">
        <f>IFERROR(__xludf.DUMMYFUNCTION("""COMPUTED_VALUE"""),"GSTORE")</f>
        <v>GSTORE</v>
      </c>
      <c r="D15" s="182" t="str">
        <f>IFERROR(__xludf.DUMMYFUNCTION("""COMPUTED_VALUE"""),"MP")</f>
        <v>MP</v>
      </c>
      <c r="E15" s="182" t="str">
        <f>IFERROR(__xludf.DUMMYFUNCTION("""COMPUTED_VALUE"""),"Pristine")</f>
        <v>Pristine</v>
      </c>
      <c r="F15" s="182" t="str">
        <f>IFERROR(__xludf.DUMMYFUNCTION("""COMPUTED_VALUE"""),"GA10308-US")</f>
        <v>GA10308-US</v>
      </c>
      <c r="G15" s="182" t="str">
        <f>IFERROR(__xludf.DUMMYFUNCTION("""COMPUTED_VALUE"""),"G4QUR")</f>
        <v>G4QUR</v>
      </c>
      <c r="H15" s="182">
        <f>IFERROR(__xludf.DUMMYFUNCTION("""COMPUTED_VALUE"""),8.40353925908E11)</f>
        <v>840353925908</v>
      </c>
      <c r="I15" s="185" t="str">
        <f>IFERROR(__xludf.DUMMYFUNCTION("""COMPUTED_VALUE"""),"0840353925908")</f>
        <v>0840353925908</v>
      </c>
      <c r="J15" s="182"/>
      <c r="K15" s="182" t="str">
        <f>IFERROR(__xludf.DUMMYFUNCTION("""COMPUTED_VALUE"""),"ROW Master Carton Label (UPC)")</f>
        <v>ROW Master Carton Label (UPC)</v>
      </c>
      <c r="L15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5" s="182" t="str">
        <f>IFERROR(__xludf.DUMMYFUNCTION("""COMPUTED_VALUE"""),"G990-08499-33-02
G990-08499-33-A")</f>
        <v>G990-08499-33-02
G990-08499-33-A</v>
      </c>
      <c r="N15" s="182" t="str">
        <f>IFERROR(__xludf.DUMMYFUNCTION("""COMPUTED_VALUE"""),"N/A")</f>
        <v>N/A</v>
      </c>
      <c r="O15" s="182" t="str">
        <f>IFERROR(__xludf.DUMMYFUNCTION("""COMPUTED_VALUE"""),"G990-08493-00-01
G990-08493-00-A")</f>
        <v>G990-08493-00-01
G990-08493-00-A</v>
      </c>
      <c r="P15" s="182" t="str">
        <f>IFERROR(__xludf.DUMMYFUNCTION("""COMPUTED_VALUE"""),"BOB→A
Retail→A")</f>
        <v>BOB→A
Retail→A</v>
      </c>
      <c r="Q15" s="182" t="str">
        <f>IFERROR(__xludf.DUMMYFUNCTION("""COMPUTED_VALUE"""),"512GB")</f>
        <v>512GB</v>
      </c>
      <c r="R15" s="182" t="str">
        <f>IFERROR(__xludf.DUMMYFUNCTION("""COMPUTED_VALUE"""),"Moonstone")</f>
        <v>Moonstone</v>
      </c>
      <c r="S15" s="182" t="str">
        <f>IFERROR(__xludf.DUMMYFUNCTION("""COMPUTED_VALUE"""),"Sterling")</f>
        <v>Sterling</v>
      </c>
      <c r="T15" s="182" t="str">
        <f>IFERROR(__xludf.DUMMYFUNCTION("""COMPUTED_VALUE"""),"US GStore")</f>
        <v>US GStore</v>
      </c>
      <c r="U15" s="182" t="str">
        <f>IFERROR(__xludf.DUMMYFUNCTION("""COMPUTED_VALUE"""),"SKU,CLR3, BEST, MMWAVE, GSTORE, US, BZ5")</f>
        <v>SKU,CLR3, BEST, MMWAVE, GSTORE, US, BZ5</v>
      </c>
      <c r="V15" s="182"/>
      <c r="W15" s="183" t="str">
        <f>IFERROR(__xludf.DUMMYFUNCTION("""COMPUTED_VALUE"""),"#NUM!")</f>
        <v>#NUM!</v>
      </c>
      <c r="X15" s="186">
        <f>IFERROR(__xludf.DUMMYFUNCTION("""COMPUTED_VALUE"""),45831.0)</f>
        <v>45831</v>
      </c>
      <c r="Y15" s="187">
        <f>IFERROR(__xludf.DUMMYFUNCTION("""COMPUTED_VALUE"""),45780.0)</f>
        <v>45780</v>
      </c>
      <c r="Z15" s="182" t="b">
        <f>IFERROR(__xludf.DUMMYFUNCTION("""COMPUTED_VALUE"""),TRUE)</f>
        <v>1</v>
      </c>
      <c r="AA15" s="187">
        <f>IFERROR(__xludf.DUMMYFUNCTION("""COMPUTED_VALUE"""),45780.0)</f>
        <v>45780</v>
      </c>
      <c r="AB15" s="182" t="b">
        <f>IFERROR(__xludf.DUMMYFUNCTION("""COMPUTED_VALUE"""),FALSE)</f>
        <v>0</v>
      </c>
      <c r="AC15" s="187">
        <f>IFERROR(__xludf.DUMMYFUNCTION("""COMPUTED_VALUE"""),45787.0)</f>
        <v>45787</v>
      </c>
      <c r="AD15" s="187">
        <f>IFERROR(__xludf.DUMMYFUNCTION("""COMPUTED_VALUE"""),45787.0)</f>
        <v>45787</v>
      </c>
      <c r="AE15" s="182" t="str">
        <f>IFERROR(__xludf.DUMMYFUNCTION("""COMPUTED_VALUE"""),"GA10308-US
GA10308-US-RevA")</f>
        <v>GA10308-US
GA10308-US-RevA</v>
      </c>
      <c r="AF15" s="182"/>
      <c r="AG15" s="188" t="str">
        <f>IFERROR(__xludf.DUMMYFUNCTION("""COMPUTED_VALUE"""),"GA10308-US")</f>
        <v>GA10308-US</v>
      </c>
      <c r="AH15" s="182" t="str">
        <f>IFERROR(__xludf.DUMMYFUNCTION("""COMPUTED_VALUE"""),"GA10308-US
GA10308-US-RevA")</f>
        <v>GA10308-US
GA10308-US-RevA</v>
      </c>
      <c r="AI15" s="188" t="str">
        <f>IFERROR(__xludf.DUMMYFUNCTION("""COMPUTED_VALUE"""),"GA10308-US")</f>
        <v>GA10308-US</v>
      </c>
      <c r="AJ15" s="187">
        <f>IFERROR(__xludf.DUMMYFUNCTION("""COMPUTED_VALUE"""),45793.0)</f>
        <v>45793</v>
      </c>
      <c r="AK15" s="187">
        <f>IFERROR(__xludf.DUMMYFUNCTION("""COMPUTED_VALUE"""),45801.0)</f>
        <v>45801</v>
      </c>
      <c r="AL15" s="182" t="b">
        <f>IFERROR(__xludf.DUMMYFUNCTION("""COMPUTED_VALUE"""),TRUE)</f>
        <v>1</v>
      </c>
      <c r="AM15" s="182" t="b">
        <f>IFERROR(__xludf.DUMMYFUNCTION("""COMPUTED_VALUE"""),TRUE)</f>
        <v>1</v>
      </c>
      <c r="AN15" s="187">
        <f>IFERROR(__xludf.DUMMYFUNCTION("""COMPUTED_VALUE"""),45801.0)</f>
        <v>45801</v>
      </c>
      <c r="AO15" s="182" t="b">
        <f>IFERROR(__xludf.DUMMYFUNCTION("""COMPUTED_VALUE"""),TRUE)</f>
        <v>1</v>
      </c>
      <c r="AP15" s="182" t="str">
        <f>IFERROR(__xludf.DUMMYFUNCTION("""COMPUTED_VALUE"""),"N")</f>
        <v>N</v>
      </c>
      <c r="AQ15" s="182"/>
      <c r="AR15" s="187">
        <f>IFERROR(__xludf.DUMMYFUNCTION("""COMPUTED_VALUE"""),45801.0)</f>
        <v>45801</v>
      </c>
      <c r="AS15" s="182" t="b">
        <f>IFERROR(__xludf.DUMMYFUNCTION("""COMPUTED_VALUE"""),TRUE)</f>
        <v>1</v>
      </c>
      <c r="AT15" s="182" t="str">
        <f>IFERROR(__xludf.DUMMYFUNCTION("""COMPUTED_VALUE"""),"N")</f>
        <v>N</v>
      </c>
      <c r="AU15" s="182"/>
      <c r="AV15" s="187">
        <f>IFERROR(__xludf.DUMMYFUNCTION("""COMPUTED_VALUE"""),45801.0)</f>
        <v>45801</v>
      </c>
      <c r="AW15" s="182" t="b">
        <f>IFERROR(__xludf.DUMMYFUNCTION("""COMPUTED_VALUE"""),FALSE)</f>
        <v>0</v>
      </c>
      <c r="AX15" s="182"/>
      <c r="AY15" s="182"/>
      <c r="AZ15" s="187">
        <f>IFERROR(__xludf.DUMMYFUNCTION("""COMPUTED_VALUE"""),45827.0)</f>
        <v>45827</v>
      </c>
      <c r="BA15" s="182" t="b">
        <f>IFERROR(__xludf.DUMMYFUNCTION("""COMPUTED_VALUE"""),FALSE)</f>
        <v>0</v>
      </c>
      <c r="BB15" s="187">
        <f>IFERROR(__xludf.DUMMYFUNCTION("""COMPUTED_VALUE"""),45827.0)</f>
        <v>45827</v>
      </c>
    </row>
    <row r="16">
      <c r="A16" s="184" t="str">
        <f t="shared" si="1"/>
        <v>#VALUE!</v>
      </c>
      <c r="B16" s="69" t="str">
        <f t="shared" si="2"/>
        <v>G990-08493-00-A</v>
      </c>
      <c r="C16" s="182" t="str">
        <f>IFERROR(__xludf.DUMMYFUNCTION("""COMPUTED_VALUE"""),"GSTORE")</f>
        <v>GSTORE</v>
      </c>
      <c r="D16" s="182" t="str">
        <f>IFERROR(__xludf.DUMMYFUNCTION("""COMPUTED_VALUE"""),"MP")</f>
        <v>MP</v>
      </c>
      <c r="E16" s="182" t="str">
        <f>IFERROR(__xludf.DUMMYFUNCTION("""COMPUTED_VALUE"""),"Pristine")</f>
        <v>Pristine</v>
      </c>
      <c r="F16" s="182" t="str">
        <f>IFERROR(__xludf.DUMMYFUNCTION("""COMPUTED_VALUE"""),"GA10309-US")</f>
        <v>GA10309-US</v>
      </c>
      <c r="G16" s="182" t="str">
        <f>IFERROR(__xludf.DUMMYFUNCTION("""COMPUTED_VALUE"""),"G4QUR")</f>
        <v>G4QUR</v>
      </c>
      <c r="H16" s="182">
        <f>IFERROR(__xludf.DUMMYFUNCTION("""COMPUTED_VALUE"""),8.40353925915E11)</f>
        <v>840353925915</v>
      </c>
      <c r="I16" s="185" t="str">
        <f>IFERROR(__xludf.DUMMYFUNCTION("""COMPUTED_VALUE"""),"0840353925915")</f>
        <v>0840353925915</v>
      </c>
      <c r="J16" s="182"/>
      <c r="K16" s="182"/>
      <c r="L16" s="182"/>
      <c r="M16" s="188" t="str">
        <f>IFERROR(__xludf.DUMMYFUNCTION("""COMPUTED_VALUE"""),"G990-08499-43-02")</f>
        <v>G990-08499-43-02</v>
      </c>
      <c r="N16" s="182" t="str">
        <f>IFERROR(__xludf.DUMMYFUNCTION("""COMPUTED_VALUE"""),"N/A")</f>
        <v>N/A</v>
      </c>
      <c r="O16" s="182" t="str">
        <f>IFERROR(__xludf.DUMMYFUNCTION("""COMPUTED_VALUE"""),"G990-08493-00-01
G990-08493-00-A")</f>
        <v>G990-08493-00-01
G990-08493-00-A</v>
      </c>
      <c r="P16" s="182" t="str">
        <f>IFERROR(__xludf.DUMMYFUNCTION("""COMPUTED_VALUE"""),"BOB→A
Retail→A")</f>
        <v>BOB→A
Retail→A</v>
      </c>
      <c r="Q16" s="182" t="str">
        <f>IFERROR(__xludf.DUMMYFUNCTION("""COMPUTED_VALUE"""),"512GB")</f>
        <v>512GB</v>
      </c>
      <c r="R16" s="182" t="str">
        <f>IFERROR(__xludf.DUMMYFUNCTION("""COMPUTED_VALUE"""),"Jade")</f>
        <v>Jade</v>
      </c>
      <c r="S16" s="182" t="str">
        <f>IFERROR(__xludf.DUMMYFUNCTION("""COMPUTED_VALUE"""),"Smokey Green")</f>
        <v>Smokey Green</v>
      </c>
      <c r="T16" s="182" t="str">
        <f>IFERROR(__xludf.DUMMYFUNCTION("""COMPUTED_VALUE"""),"US GStore")</f>
        <v>US GStore</v>
      </c>
      <c r="U16" s="182" t="str">
        <f>IFERROR(__xludf.DUMMYFUNCTION("""COMPUTED_VALUE"""),"SKU,CLR4, BEST, MMWAVE, GSTORE, US, BZ5")</f>
        <v>SKU,CLR4, BEST, MMWAVE, GSTORE, US, BZ5</v>
      </c>
      <c r="V16" s="182"/>
      <c r="W16" s="183" t="str">
        <f>IFERROR(__xludf.DUMMYFUNCTION("""COMPUTED_VALUE"""),"#NUM!")</f>
        <v>#NUM!</v>
      </c>
      <c r="X16" s="186">
        <f>IFERROR(__xludf.DUMMYFUNCTION("""COMPUTED_VALUE"""),45831.0)</f>
        <v>45831</v>
      </c>
      <c r="Y16" s="187">
        <f>IFERROR(__xludf.DUMMYFUNCTION("""COMPUTED_VALUE"""),45780.0)</f>
        <v>45780</v>
      </c>
      <c r="Z16" s="182" t="b">
        <f>IFERROR(__xludf.DUMMYFUNCTION("""COMPUTED_VALUE"""),FALSE)</f>
        <v>0</v>
      </c>
      <c r="AA16" s="187">
        <f>IFERROR(__xludf.DUMMYFUNCTION("""COMPUTED_VALUE"""),45780.0)</f>
        <v>45780</v>
      </c>
      <c r="AB16" s="182" t="b">
        <f>IFERROR(__xludf.DUMMYFUNCTION("""COMPUTED_VALUE"""),FALSE)</f>
        <v>0</v>
      </c>
      <c r="AC16" s="187">
        <f>IFERROR(__xludf.DUMMYFUNCTION("""COMPUTED_VALUE"""),45787.0)</f>
        <v>45787</v>
      </c>
      <c r="AD16" s="187">
        <f>IFERROR(__xludf.DUMMYFUNCTION("""COMPUTED_VALUE"""),45787.0)</f>
        <v>45787</v>
      </c>
      <c r="AE16" s="182"/>
      <c r="AF16" s="182"/>
      <c r="AG16" s="182"/>
      <c r="AH16" s="182"/>
      <c r="AI16" s="188" t="str">
        <f>IFERROR(__xludf.DUMMYFUNCTION("""COMPUTED_VALUE"""),"GA10309-US")</f>
        <v>GA10309-US</v>
      </c>
      <c r="AJ16" s="187">
        <f>IFERROR(__xludf.DUMMYFUNCTION("""COMPUTED_VALUE"""),45793.0)</f>
        <v>45793</v>
      </c>
      <c r="AK16" s="187">
        <f>IFERROR(__xludf.DUMMYFUNCTION("""COMPUTED_VALUE"""),45801.0)</f>
        <v>45801</v>
      </c>
      <c r="AL16" s="182" t="b">
        <f>IFERROR(__xludf.DUMMYFUNCTION("""COMPUTED_VALUE"""),FALSE)</f>
        <v>0</v>
      </c>
      <c r="AM16" s="182" t="b">
        <f>IFERROR(__xludf.DUMMYFUNCTION("""COMPUTED_VALUE"""),FALSE)</f>
        <v>0</v>
      </c>
      <c r="AN16" s="187">
        <f>IFERROR(__xludf.DUMMYFUNCTION("""COMPUTED_VALUE"""),45801.0)</f>
        <v>45801</v>
      </c>
      <c r="AO16" s="182" t="b">
        <f>IFERROR(__xludf.DUMMYFUNCTION("""COMPUTED_VALUE"""),FALSE)</f>
        <v>0</v>
      </c>
      <c r="AP16" s="182"/>
      <c r="AQ16" s="182"/>
      <c r="AR16" s="187">
        <f>IFERROR(__xludf.DUMMYFUNCTION("""COMPUTED_VALUE"""),45801.0)</f>
        <v>45801</v>
      </c>
      <c r="AS16" s="182"/>
      <c r="AT16" s="182" t="str">
        <f>IFERROR(__xludf.DUMMYFUNCTION("""COMPUTED_VALUE"""),"N")</f>
        <v>N</v>
      </c>
      <c r="AU16" s="182"/>
      <c r="AV16" s="187">
        <f>IFERROR(__xludf.DUMMYFUNCTION("""COMPUTED_VALUE"""),45801.0)</f>
        <v>45801</v>
      </c>
      <c r="AW16" s="182" t="b">
        <f>IFERROR(__xludf.DUMMYFUNCTION("""COMPUTED_VALUE"""),FALSE)</f>
        <v>0</v>
      </c>
      <c r="AX16" s="182"/>
      <c r="AY16" s="182"/>
      <c r="AZ16" s="187">
        <f>IFERROR(__xludf.DUMMYFUNCTION("""COMPUTED_VALUE"""),45827.0)</f>
        <v>45827</v>
      </c>
      <c r="BA16" s="182" t="b">
        <f>IFERROR(__xludf.DUMMYFUNCTION("""COMPUTED_VALUE"""),FALSE)</f>
        <v>0</v>
      </c>
      <c r="BB16" s="187">
        <f>IFERROR(__xludf.DUMMYFUNCTION("""COMPUTED_VALUE"""),45827.0)</f>
        <v>45827</v>
      </c>
    </row>
    <row r="17">
      <c r="A17" s="184" t="str">
        <f t="shared" si="1"/>
        <v>G990-08499-14-A</v>
      </c>
      <c r="B17" s="69" t="str">
        <f t="shared" si="2"/>
        <v>G990-08493-00-A</v>
      </c>
      <c r="C17" s="182" t="str">
        <f>IFERROR(__xludf.DUMMYFUNCTION("""COMPUTED_VALUE"""),"GSTORE")</f>
        <v>GSTORE</v>
      </c>
      <c r="D17" s="182" t="str">
        <f>IFERROR(__xludf.DUMMYFUNCTION("""COMPUTED_VALUE"""),"MP")</f>
        <v>MP</v>
      </c>
      <c r="E17" s="182" t="str">
        <f>IFERROR(__xludf.DUMMYFUNCTION("""COMPUTED_VALUE"""),"Pristine")</f>
        <v>Pristine</v>
      </c>
      <c r="F17" s="182" t="str">
        <f>IFERROR(__xludf.DUMMYFUNCTION("""COMPUTED_VALUE"""),"GA09933-US")</f>
        <v>GA09933-US</v>
      </c>
      <c r="G17" s="182" t="str">
        <f>IFERROR(__xludf.DUMMYFUNCTION("""COMPUTED_VALUE"""),"G4QUR")</f>
        <v>G4QUR</v>
      </c>
      <c r="H17" s="182">
        <f>IFERROR(__xludf.DUMMYFUNCTION("""COMPUTED_VALUE"""),8.40353925939E11)</f>
        <v>840353925939</v>
      </c>
      <c r="I17" s="185" t="str">
        <f>IFERROR(__xludf.DUMMYFUNCTION("""COMPUTED_VALUE"""),"0840353925939")</f>
        <v>0840353925939</v>
      </c>
      <c r="J17" s="182"/>
      <c r="K17" s="182" t="str">
        <f>IFERROR(__xludf.DUMMYFUNCTION("""COMPUTED_VALUE"""),"ROW Master Carton Label (UPC)")</f>
        <v>ROW Master Carton Label (UPC)</v>
      </c>
      <c r="L17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7" s="182" t="str">
        <f>IFERROR(__xludf.DUMMYFUNCTION("""COMPUTED_VALUE"""),"G990-08499-14-02
G990-08499-14-A")</f>
        <v>G990-08499-14-02
G990-08499-14-A</v>
      </c>
      <c r="N17" s="182" t="str">
        <f>IFERROR(__xludf.DUMMYFUNCTION("""COMPUTED_VALUE"""),"N/A")</f>
        <v>N/A</v>
      </c>
      <c r="O17" s="182" t="str">
        <f>IFERROR(__xludf.DUMMYFUNCTION("""COMPUTED_VALUE"""),"G990-08493-00-01
G990-08493-00-A")</f>
        <v>G990-08493-00-01
G990-08493-00-A</v>
      </c>
      <c r="P17" s="182" t="str">
        <f>IFERROR(__xludf.DUMMYFUNCTION("""COMPUTED_VALUE"""),"BOB→A
Retail→A")</f>
        <v>BOB→A
Retail→A</v>
      </c>
      <c r="Q17" s="182" t="str">
        <f>IFERROR(__xludf.DUMMYFUNCTION("""COMPUTED_VALUE"""),"1TB")</f>
        <v>1TB</v>
      </c>
      <c r="R17" s="182" t="str">
        <f>IFERROR(__xludf.DUMMYFUNCTION("""COMPUTED_VALUE"""),"Obsidian")</f>
        <v>Obsidian</v>
      </c>
      <c r="S17" s="182" t="str">
        <f>IFERROR(__xludf.DUMMYFUNCTION("""COMPUTED_VALUE"""),"Midnight")</f>
        <v>Midnight</v>
      </c>
      <c r="T17" s="182" t="str">
        <f>IFERROR(__xludf.DUMMYFUNCTION("""COMPUTED_VALUE"""),"US GStore")</f>
        <v>US GStore</v>
      </c>
      <c r="U17" s="182" t="str">
        <f>IFERROR(__xludf.DUMMYFUNCTION("""COMPUTED_VALUE"""),"SKU,CLR1, ULTRA, MMWAVE, US GSTORE, BZ5")</f>
        <v>SKU,CLR1, ULTRA, MMWAVE, US GSTORE, BZ5</v>
      </c>
      <c r="V17" s="182"/>
      <c r="W17" s="183" t="str">
        <f>IFERROR(__xludf.DUMMYFUNCTION("""COMPUTED_VALUE"""),"#NUM!")</f>
        <v>#NUM!</v>
      </c>
      <c r="X17" s="186">
        <f>IFERROR(__xludf.DUMMYFUNCTION("""COMPUTED_VALUE"""),45831.0)</f>
        <v>45831</v>
      </c>
      <c r="Y17" s="187">
        <f>IFERROR(__xludf.DUMMYFUNCTION("""COMPUTED_VALUE"""),45780.0)</f>
        <v>45780</v>
      </c>
      <c r="Z17" s="182" t="b">
        <f>IFERROR(__xludf.DUMMYFUNCTION("""COMPUTED_VALUE"""),TRUE)</f>
        <v>1</v>
      </c>
      <c r="AA17" s="187">
        <f>IFERROR(__xludf.DUMMYFUNCTION("""COMPUTED_VALUE"""),45780.0)</f>
        <v>45780</v>
      </c>
      <c r="AB17" s="182" t="b">
        <f>IFERROR(__xludf.DUMMYFUNCTION("""COMPUTED_VALUE"""),FALSE)</f>
        <v>0</v>
      </c>
      <c r="AC17" s="187">
        <f>IFERROR(__xludf.DUMMYFUNCTION("""COMPUTED_VALUE"""),45787.0)</f>
        <v>45787</v>
      </c>
      <c r="AD17" s="187">
        <f>IFERROR(__xludf.DUMMYFUNCTION("""COMPUTED_VALUE"""),45787.0)</f>
        <v>45787</v>
      </c>
      <c r="AE17" s="182" t="str">
        <f>IFERROR(__xludf.DUMMYFUNCTION("""COMPUTED_VALUE"""),"GA09933-US
GA09933-US-RevA")</f>
        <v>GA09933-US
GA09933-US-RevA</v>
      </c>
      <c r="AF17" s="182"/>
      <c r="AG17" s="188" t="str">
        <f>IFERROR(__xludf.DUMMYFUNCTION("""COMPUTED_VALUE"""),"GA09933-US")</f>
        <v>GA09933-US</v>
      </c>
      <c r="AH17" s="182" t="str">
        <f>IFERROR(__xludf.DUMMYFUNCTION("""COMPUTED_VALUE"""),"GA09933-US
GA09933-US-RevA")</f>
        <v>GA09933-US
GA09933-US-RevA</v>
      </c>
      <c r="AI17" s="188" t="str">
        <f>IFERROR(__xludf.DUMMYFUNCTION("""COMPUTED_VALUE"""),"GA09933-US")</f>
        <v>GA09933-US</v>
      </c>
      <c r="AJ17" s="187">
        <f>IFERROR(__xludf.DUMMYFUNCTION("""COMPUTED_VALUE"""),45793.0)</f>
        <v>45793</v>
      </c>
      <c r="AK17" s="187">
        <f>IFERROR(__xludf.DUMMYFUNCTION("""COMPUTED_VALUE"""),45801.0)</f>
        <v>45801</v>
      </c>
      <c r="AL17" s="182" t="b">
        <f>IFERROR(__xludf.DUMMYFUNCTION("""COMPUTED_VALUE"""),TRUE)</f>
        <v>1</v>
      </c>
      <c r="AM17" s="182" t="b">
        <f>IFERROR(__xludf.DUMMYFUNCTION("""COMPUTED_VALUE"""),TRUE)</f>
        <v>1</v>
      </c>
      <c r="AN17" s="187">
        <f>IFERROR(__xludf.DUMMYFUNCTION("""COMPUTED_VALUE"""),45801.0)</f>
        <v>45801</v>
      </c>
      <c r="AO17" s="182" t="b">
        <f>IFERROR(__xludf.DUMMYFUNCTION("""COMPUTED_VALUE"""),TRUE)</f>
        <v>1</v>
      </c>
      <c r="AP17" s="182" t="str">
        <f>IFERROR(__xludf.DUMMYFUNCTION("""COMPUTED_VALUE"""),"N")</f>
        <v>N</v>
      </c>
      <c r="AQ17" s="182"/>
      <c r="AR17" s="187">
        <f>IFERROR(__xludf.DUMMYFUNCTION("""COMPUTED_VALUE"""),45801.0)</f>
        <v>45801</v>
      </c>
      <c r="AS17" s="182" t="b">
        <f>IFERROR(__xludf.DUMMYFUNCTION("""COMPUTED_VALUE"""),TRUE)</f>
        <v>1</v>
      </c>
      <c r="AT17" s="182" t="str">
        <f>IFERROR(__xludf.DUMMYFUNCTION("""COMPUTED_VALUE"""),"N")</f>
        <v>N</v>
      </c>
      <c r="AU17" s="182"/>
      <c r="AV17" s="187">
        <f>IFERROR(__xludf.DUMMYFUNCTION("""COMPUTED_VALUE"""),45801.0)</f>
        <v>45801</v>
      </c>
      <c r="AW17" s="182" t="b">
        <f>IFERROR(__xludf.DUMMYFUNCTION("""COMPUTED_VALUE"""),FALSE)</f>
        <v>0</v>
      </c>
      <c r="AX17" s="182"/>
      <c r="AY17" s="182"/>
      <c r="AZ17" s="187">
        <f>IFERROR(__xludf.DUMMYFUNCTION("""COMPUTED_VALUE"""),45827.0)</f>
        <v>45827</v>
      </c>
      <c r="BA17" s="182" t="b">
        <f>IFERROR(__xludf.DUMMYFUNCTION("""COMPUTED_VALUE"""),FALSE)</f>
        <v>0</v>
      </c>
      <c r="BB17" s="187">
        <f>IFERROR(__xludf.DUMMYFUNCTION("""COMPUTED_VALUE"""),45827.0)</f>
        <v>45827</v>
      </c>
    </row>
    <row r="18">
      <c r="A18" s="184" t="str">
        <f t="shared" si="1"/>
        <v>#VALUE!</v>
      </c>
      <c r="B18" s="69" t="str">
        <f t="shared" si="2"/>
        <v>#VALUE!</v>
      </c>
      <c r="C18" s="182" t="str">
        <f>IFERROR(__xludf.DUMMYFUNCTION("""COMPUTED_VALUE"""),"GSTORE")</f>
        <v>GSTORE</v>
      </c>
      <c r="D18" s="182" t="str">
        <f>IFERROR(__xludf.DUMMYFUNCTION("""COMPUTED_VALUE"""),"MP")</f>
        <v>MP</v>
      </c>
      <c r="E18" s="182" t="str">
        <f>IFERROR(__xludf.DUMMYFUNCTION("""COMPUTED_VALUE"""),"Pristine")</f>
        <v>Pristine</v>
      </c>
      <c r="F18" s="182" t="str">
        <f>IFERROR(__xludf.DUMMYFUNCTION("""COMPUTED_VALUE"""),"GA10310-US")</f>
        <v>GA10310-US</v>
      </c>
      <c r="G18" s="182" t="str">
        <f>IFERROR(__xludf.DUMMYFUNCTION("""COMPUTED_VALUE"""),"G4QUR")</f>
        <v>G4QUR</v>
      </c>
      <c r="H18" s="182">
        <f>IFERROR(__xludf.DUMMYFUNCTION("""COMPUTED_VALUE"""),8.40353925946E11)</f>
        <v>840353925946</v>
      </c>
      <c r="I18" s="185" t="str">
        <f>IFERROR(__xludf.DUMMYFUNCTION("""COMPUTED_VALUE"""),"0840353925946")</f>
        <v>0840353925946</v>
      </c>
      <c r="J18" s="182"/>
      <c r="K18" s="182"/>
      <c r="L18" s="182"/>
      <c r="M18" s="188" t="str">
        <f>IFERROR(__xludf.DUMMYFUNCTION("""COMPUTED_VALUE"""),"G990-08499-34-02")</f>
        <v>G990-08499-34-02</v>
      </c>
      <c r="N18" s="182" t="str">
        <f>IFERROR(__xludf.DUMMYFUNCTION("""COMPUTED_VALUE"""),"N/A")</f>
        <v>N/A</v>
      </c>
      <c r="O18" s="188" t="str">
        <f>IFERROR(__xludf.DUMMYFUNCTION("""COMPUTED_VALUE"""),"G990-08493-00-01")</f>
        <v>G990-08493-00-01</v>
      </c>
      <c r="P18" s="182" t="str">
        <f>IFERROR(__xludf.DUMMYFUNCTION("""COMPUTED_VALUE"""),"BOB→A
Retail→A")</f>
        <v>BOB→A
Retail→A</v>
      </c>
      <c r="Q18" s="182" t="str">
        <f>IFERROR(__xludf.DUMMYFUNCTION("""COMPUTED_VALUE"""),"1TB")</f>
        <v>1TB</v>
      </c>
      <c r="R18" s="182" t="str">
        <f>IFERROR(__xludf.DUMMYFUNCTION("""COMPUTED_VALUE"""),"Moonstone")</f>
        <v>Moonstone</v>
      </c>
      <c r="S18" s="182" t="str">
        <f>IFERROR(__xludf.DUMMYFUNCTION("""COMPUTED_VALUE"""),"Sterling")</f>
        <v>Sterling</v>
      </c>
      <c r="T18" s="182" t="str">
        <f>IFERROR(__xludf.DUMMYFUNCTION("""COMPUTED_VALUE"""),"US GStore")</f>
        <v>US GStore</v>
      </c>
      <c r="U18" s="182" t="str">
        <f>IFERROR(__xludf.DUMMYFUNCTION("""COMPUTED_VALUE"""),"SKU,CLR3, ULTRA, MMWAVE, GSTORE, US, BZ5")</f>
        <v>SKU,CLR3, ULTRA, MMWAVE, GSTORE, US, BZ5</v>
      </c>
      <c r="V18" s="182"/>
      <c r="W18" s="183" t="str">
        <f>IFERROR(__xludf.DUMMYFUNCTION("""COMPUTED_VALUE"""),"#NUM!")</f>
        <v>#NUM!</v>
      </c>
      <c r="X18" s="186">
        <f>IFERROR(__xludf.DUMMYFUNCTION("""COMPUTED_VALUE"""),45831.0)</f>
        <v>45831</v>
      </c>
      <c r="Y18" s="187">
        <f>IFERROR(__xludf.DUMMYFUNCTION("""COMPUTED_VALUE"""),45780.0)</f>
        <v>45780</v>
      </c>
      <c r="Z18" s="182" t="b">
        <f>IFERROR(__xludf.DUMMYFUNCTION("""COMPUTED_VALUE"""),FALSE)</f>
        <v>0</v>
      </c>
      <c r="AA18" s="187">
        <f>IFERROR(__xludf.DUMMYFUNCTION("""COMPUTED_VALUE"""),45780.0)</f>
        <v>45780</v>
      </c>
      <c r="AB18" s="182" t="b">
        <f>IFERROR(__xludf.DUMMYFUNCTION("""COMPUTED_VALUE"""),FALSE)</f>
        <v>0</v>
      </c>
      <c r="AC18" s="187">
        <f>IFERROR(__xludf.DUMMYFUNCTION("""COMPUTED_VALUE"""),45787.0)</f>
        <v>45787</v>
      </c>
      <c r="AD18" s="187">
        <f>IFERROR(__xludf.DUMMYFUNCTION("""COMPUTED_VALUE"""),45787.0)</f>
        <v>45787</v>
      </c>
      <c r="AE18" s="182"/>
      <c r="AF18" s="182"/>
      <c r="AG18" s="182"/>
      <c r="AH18" s="182"/>
      <c r="AI18" s="188" t="str">
        <f>IFERROR(__xludf.DUMMYFUNCTION("""COMPUTED_VALUE"""),"GA10310-US")</f>
        <v>GA10310-US</v>
      </c>
      <c r="AJ18" s="187">
        <f>IFERROR(__xludf.DUMMYFUNCTION("""COMPUTED_VALUE"""),45793.0)</f>
        <v>45793</v>
      </c>
      <c r="AK18" s="187">
        <f>IFERROR(__xludf.DUMMYFUNCTION("""COMPUTED_VALUE"""),45801.0)</f>
        <v>45801</v>
      </c>
      <c r="AL18" s="182" t="b">
        <f>IFERROR(__xludf.DUMMYFUNCTION("""COMPUTED_VALUE"""),FALSE)</f>
        <v>0</v>
      </c>
      <c r="AM18" s="182" t="b">
        <f>IFERROR(__xludf.DUMMYFUNCTION("""COMPUTED_VALUE"""),FALSE)</f>
        <v>0</v>
      </c>
      <c r="AN18" s="187">
        <f>IFERROR(__xludf.DUMMYFUNCTION("""COMPUTED_VALUE"""),45801.0)</f>
        <v>45801</v>
      </c>
      <c r="AO18" s="182" t="b">
        <f>IFERROR(__xludf.DUMMYFUNCTION("""COMPUTED_VALUE"""),FALSE)</f>
        <v>0</v>
      </c>
      <c r="AP18" s="182"/>
      <c r="AQ18" s="182"/>
      <c r="AR18" s="187">
        <f>IFERROR(__xludf.DUMMYFUNCTION("""COMPUTED_VALUE"""),45801.0)</f>
        <v>45801</v>
      </c>
      <c r="AS18" s="182"/>
      <c r="AT18" s="182"/>
      <c r="AU18" s="182"/>
      <c r="AV18" s="187">
        <f>IFERROR(__xludf.DUMMYFUNCTION("""COMPUTED_VALUE"""),45801.0)</f>
        <v>45801</v>
      </c>
      <c r="AW18" s="182" t="b">
        <f>IFERROR(__xludf.DUMMYFUNCTION("""COMPUTED_VALUE"""),FALSE)</f>
        <v>0</v>
      </c>
      <c r="AX18" s="182"/>
      <c r="AY18" s="182"/>
      <c r="AZ18" s="187">
        <f>IFERROR(__xludf.DUMMYFUNCTION("""COMPUTED_VALUE"""),45827.0)</f>
        <v>45827</v>
      </c>
      <c r="BA18" s="182" t="b">
        <f>IFERROR(__xludf.DUMMYFUNCTION("""COMPUTED_VALUE"""),FALSE)</f>
        <v>0</v>
      </c>
      <c r="BB18" s="187">
        <f>IFERROR(__xludf.DUMMYFUNCTION("""COMPUTED_VALUE"""),45827.0)</f>
        <v>45827</v>
      </c>
    </row>
    <row r="19">
      <c r="A19" s="184" t="str">
        <f t="shared" si="1"/>
        <v>#VALUE!</v>
      </c>
      <c r="B19" s="69" t="str">
        <f t="shared" si="2"/>
        <v>#VALUE!</v>
      </c>
      <c r="C19" s="182" t="str">
        <f>IFERROR(__xludf.DUMMYFUNCTION("""COMPUTED_VALUE"""),"JP")</f>
        <v>JP</v>
      </c>
      <c r="D19" s="182" t="str">
        <f>IFERROR(__xludf.DUMMYFUNCTION("""COMPUTED_VALUE"""),"MP")</f>
        <v>MP</v>
      </c>
      <c r="E19" s="182" t="str">
        <f>IFERROR(__xludf.DUMMYFUNCTION("""COMPUTED_VALUE"""),"Pristine")</f>
        <v>Pristine</v>
      </c>
      <c r="F19" s="182" t="str">
        <f>IFERROR(__xludf.DUMMYFUNCTION("""COMPUTED_VALUE"""),"GA09601-JP")</f>
        <v>GA09601-JP</v>
      </c>
      <c r="G19" s="182" t="str">
        <f>IFERROR(__xludf.DUMMYFUNCTION("""COMPUTED_VALUE"""),"GN4F5")</f>
        <v>GN4F5</v>
      </c>
      <c r="H19" s="182">
        <f>IFERROR(__xludf.DUMMYFUNCTION("""COMPUTED_VALUE"""),8.4035392596E11)</f>
        <v>840353925960</v>
      </c>
      <c r="I19" s="185" t="str">
        <f>IFERROR(__xludf.DUMMYFUNCTION("""COMPUTED_VALUE"""),"0840353925960")</f>
        <v>0840353925960</v>
      </c>
      <c r="J19" s="182"/>
      <c r="K19" s="182"/>
      <c r="L19" s="182"/>
      <c r="M19" s="188" t="str">
        <f>IFERROR(__xludf.DUMMYFUNCTION("""COMPUTED_VALUE"""),"G990-08529-11-02")</f>
        <v>G990-08529-11-02</v>
      </c>
      <c r="N19" s="182" t="str">
        <f>IFERROR(__xludf.DUMMYFUNCTION("""COMPUTED_VALUE"""),"N/A")</f>
        <v>N/A</v>
      </c>
      <c r="O19" s="188" t="str">
        <f>IFERROR(__xludf.DUMMYFUNCTION("""COMPUTED_VALUE"""),"G990-08495-00-01")</f>
        <v>G990-08495-00-01</v>
      </c>
      <c r="P19" s="182" t="str">
        <f>IFERROR(__xludf.DUMMYFUNCTION("""COMPUTED_VALUE"""),"BOB→A
Retail→A")</f>
        <v>BOB→A
Retail→A</v>
      </c>
      <c r="Q19" s="182" t="str">
        <f>IFERROR(__xludf.DUMMYFUNCTION("""COMPUTED_VALUE"""),"128GB")</f>
        <v>128GB</v>
      </c>
      <c r="R19" s="182" t="str">
        <f>IFERROR(__xludf.DUMMYFUNCTION("""COMPUTED_VALUE"""),"Obsidian")</f>
        <v>Obsidian</v>
      </c>
      <c r="S19" s="182" t="str">
        <f>IFERROR(__xludf.DUMMYFUNCTION("""COMPUTED_VALUE"""),"Midnight")</f>
        <v>Midnight</v>
      </c>
      <c r="T19" s="182" t="str">
        <f>IFERROR(__xludf.DUMMYFUNCTION("""COMPUTED_VALUE"""),"JP")</f>
        <v>JP</v>
      </c>
      <c r="U19" s="182" t="str">
        <f>IFERROR(__xludf.DUMMYFUNCTION("""COMPUTED_VALUE"""),"SKU,CLR1, GOOD, SUB6, JP, BZ5")</f>
        <v>SKU,CLR1, GOOD, SUB6, JP, BZ5</v>
      </c>
      <c r="V19" s="182"/>
      <c r="W19" s="183" t="str">
        <f>IFERROR(__xludf.DUMMYFUNCTION("""COMPUTED_VALUE"""),"#NUM!")</f>
        <v>#NUM!</v>
      </c>
      <c r="X19" s="186">
        <f>IFERROR(__xludf.DUMMYFUNCTION("""COMPUTED_VALUE"""),45831.0)</f>
        <v>45831</v>
      </c>
      <c r="Y19" s="187">
        <f>IFERROR(__xludf.DUMMYFUNCTION("""COMPUTED_VALUE"""),45780.0)</f>
        <v>45780</v>
      </c>
      <c r="Z19" s="182" t="b">
        <f>IFERROR(__xludf.DUMMYFUNCTION("""COMPUTED_VALUE"""),FALSE)</f>
        <v>0</v>
      </c>
      <c r="AA19" s="187">
        <f>IFERROR(__xludf.DUMMYFUNCTION("""COMPUTED_VALUE"""),45780.0)</f>
        <v>45780</v>
      </c>
      <c r="AB19" s="182" t="b">
        <f>IFERROR(__xludf.DUMMYFUNCTION("""COMPUTED_VALUE"""),FALSE)</f>
        <v>0</v>
      </c>
      <c r="AC19" s="187">
        <f>IFERROR(__xludf.DUMMYFUNCTION("""COMPUTED_VALUE"""),45787.0)</f>
        <v>45787</v>
      </c>
      <c r="AD19" s="187">
        <f>IFERROR(__xludf.DUMMYFUNCTION("""COMPUTED_VALUE"""),45787.0)</f>
        <v>45787</v>
      </c>
      <c r="AE19" s="182"/>
      <c r="AF19" s="182"/>
      <c r="AG19" s="182"/>
      <c r="AH19" s="182"/>
      <c r="AI19" s="188" t="str">
        <f>IFERROR(__xludf.DUMMYFUNCTION("""COMPUTED_VALUE"""),"GA09601-JP")</f>
        <v>GA09601-JP</v>
      </c>
      <c r="AJ19" s="187">
        <f>IFERROR(__xludf.DUMMYFUNCTION("""COMPUTED_VALUE"""),45793.0)</f>
        <v>45793</v>
      </c>
      <c r="AK19" s="187">
        <f>IFERROR(__xludf.DUMMYFUNCTION("""COMPUTED_VALUE"""),45801.0)</f>
        <v>45801</v>
      </c>
      <c r="AL19" s="182" t="b">
        <f>IFERROR(__xludf.DUMMYFUNCTION("""COMPUTED_VALUE"""),FALSE)</f>
        <v>0</v>
      </c>
      <c r="AM19" s="182" t="b">
        <f>IFERROR(__xludf.DUMMYFUNCTION("""COMPUTED_VALUE"""),FALSE)</f>
        <v>0</v>
      </c>
      <c r="AN19" s="187">
        <f>IFERROR(__xludf.DUMMYFUNCTION("""COMPUTED_VALUE"""),45801.0)</f>
        <v>45801</v>
      </c>
      <c r="AO19" s="182" t="b">
        <f>IFERROR(__xludf.DUMMYFUNCTION("""COMPUTED_VALUE"""),FALSE)</f>
        <v>0</v>
      </c>
      <c r="AP19" s="182"/>
      <c r="AQ19" s="182"/>
      <c r="AR19" s="187">
        <f>IFERROR(__xludf.DUMMYFUNCTION("""COMPUTED_VALUE"""),45801.0)</f>
        <v>45801</v>
      </c>
      <c r="AS19" s="182"/>
      <c r="AT19" s="182"/>
      <c r="AU19" s="182"/>
      <c r="AV19" s="187">
        <f>IFERROR(__xludf.DUMMYFUNCTION("""COMPUTED_VALUE"""),45801.0)</f>
        <v>45801</v>
      </c>
      <c r="AW19" s="182" t="b">
        <f>IFERROR(__xludf.DUMMYFUNCTION("""COMPUTED_VALUE"""),FALSE)</f>
        <v>0</v>
      </c>
      <c r="AX19" s="182"/>
      <c r="AY19" s="182"/>
      <c r="AZ19" s="187">
        <f>IFERROR(__xludf.DUMMYFUNCTION("""COMPUTED_VALUE"""),45827.0)</f>
        <v>45827</v>
      </c>
      <c r="BA19" s="182" t="b">
        <f>IFERROR(__xludf.DUMMYFUNCTION("""COMPUTED_VALUE"""),FALSE)</f>
        <v>0</v>
      </c>
      <c r="BB19" s="187">
        <f>IFERROR(__xludf.DUMMYFUNCTION("""COMPUTED_VALUE"""),45827.0)</f>
        <v>45827</v>
      </c>
    </row>
    <row r="20">
      <c r="A20" s="184" t="str">
        <f t="shared" si="1"/>
        <v>#VALUE!</v>
      </c>
      <c r="B20" s="69" t="str">
        <f t="shared" si="2"/>
        <v>#VALUE!</v>
      </c>
      <c r="C20" s="182" t="str">
        <f>IFERROR(__xludf.DUMMYFUNCTION("""COMPUTED_VALUE"""),"JP")</f>
        <v>JP</v>
      </c>
      <c r="D20" s="182" t="str">
        <f>IFERROR(__xludf.DUMMYFUNCTION("""COMPUTED_VALUE"""),"MP")</f>
        <v>MP</v>
      </c>
      <c r="E20" s="182" t="str">
        <f>IFERROR(__xludf.DUMMYFUNCTION("""COMPUTED_VALUE"""),"Pristine")</f>
        <v>Pristine</v>
      </c>
      <c r="F20" s="182" t="str">
        <f>IFERROR(__xludf.DUMMYFUNCTION("""COMPUTED_VALUE"""),"GA10312-JP")</f>
        <v>GA10312-JP</v>
      </c>
      <c r="G20" s="182" t="str">
        <f>IFERROR(__xludf.DUMMYFUNCTION("""COMPUTED_VALUE"""),"GN4F5")</f>
        <v>GN4F5</v>
      </c>
      <c r="H20" s="182">
        <f>IFERROR(__xludf.DUMMYFUNCTION("""COMPUTED_VALUE"""),8.40353925984E11)</f>
        <v>840353925984</v>
      </c>
      <c r="I20" s="185" t="str">
        <f>IFERROR(__xludf.DUMMYFUNCTION("""COMPUTED_VALUE"""),"0840353925984")</f>
        <v>0840353925984</v>
      </c>
      <c r="J20" s="182"/>
      <c r="K20" s="182"/>
      <c r="L20" s="182"/>
      <c r="M20" s="188" t="str">
        <f>IFERROR(__xludf.DUMMYFUNCTION("""COMPUTED_VALUE"""),"G990-08529-21-02")</f>
        <v>G990-08529-21-02</v>
      </c>
      <c r="N20" s="182" t="str">
        <f>IFERROR(__xludf.DUMMYFUNCTION("""COMPUTED_VALUE"""),"N/A")</f>
        <v>N/A</v>
      </c>
      <c r="O20" s="188" t="str">
        <f>IFERROR(__xludf.DUMMYFUNCTION("""COMPUTED_VALUE"""),"G990-08495-00-01")</f>
        <v>G990-08495-00-01</v>
      </c>
      <c r="P20" s="182" t="str">
        <f>IFERROR(__xludf.DUMMYFUNCTION("""COMPUTED_VALUE"""),"BOB→A
Retail→A")</f>
        <v>BOB→A
Retail→A</v>
      </c>
      <c r="Q20" s="182" t="str">
        <f>IFERROR(__xludf.DUMMYFUNCTION("""COMPUTED_VALUE"""),"128GB")</f>
        <v>128GB</v>
      </c>
      <c r="R20" s="182" t="str">
        <f>IFERROR(__xludf.DUMMYFUNCTION("""COMPUTED_VALUE"""),"Porcelain")</f>
        <v>Porcelain</v>
      </c>
      <c r="S20" s="182" t="str">
        <f>IFERROR(__xludf.DUMMYFUNCTION("""COMPUTED_VALUE"""),"Light Porcelain")</f>
        <v>Light Porcelain</v>
      </c>
      <c r="T20" s="182" t="str">
        <f>IFERROR(__xludf.DUMMYFUNCTION("""COMPUTED_VALUE"""),"JP")</f>
        <v>JP</v>
      </c>
      <c r="U20" s="182" t="str">
        <f>IFERROR(__xludf.DUMMYFUNCTION("""COMPUTED_VALUE"""),"SKU,CLR2, GOOD, SUB6, JP, BZ5")</f>
        <v>SKU,CLR2, GOOD, SUB6, JP, BZ5</v>
      </c>
      <c r="V20" s="182"/>
      <c r="W20" s="183" t="str">
        <f>IFERROR(__xludf.DUMMYFUNCTION("""COMPUTED_VALUE"""),"#NUM!")</f>
        <v>#NUM!</v>
      </c>
      <c r="X20" s="186">
        <f>IFERROR(__xludf.DUMMYFUNCTION("""COMPUTED_VALUE"""),45831.0)</f>
        <v>45831</v>
      </c>
      <c r="Y20" s="187">
        <f>IFERROR(__xludf.DUMMYFUNCTION("""COMPUTED_VALUE"""),45780.0)</f>
        <v>45780</v>
      </c>
      <c r="Z20" s="182" t="b">
        <f>IFERROR(__xludf.DUMMYFUNCTION("""COMPUTED_VALUE"""),FALSE)</f>
        <v>0</v>
      </c>
      <c r="AA20" s="187">
        <f>IFERROR(__xludf.DUMMYFUNCTION("""COMPUTED_VALUE"""),45780.0)</f>
        <v>45780</v>
      </c>
      <c r="AB20" s="182" t="b">
        <f>IFERROR(__xludf.DUMMYFUNCTION("""COMPUTED_VALUE"""),FALSE)</f>
        <v>0</v>
      </c>
      <c r="AC20" s="187">
        <f>IFERROR(__xludf.DUMMYFUNCTION("""COMPUTED_VALUE"""),45787.0)</f>
        <v>45787</v>
      </c>
      <c r="AD20" s="187">
        <f>IFERROR(__xludf.DUMMYFUNCTION("""COMPUTED_VALUE"""),45787.0)</f>
        <v>45787</v>
      </c>
      <c r="AE20" s="182"/>
      <c r="AF20" s="182"/>
      <c r="AG20" s="182"/>
      <c r="AH20" s="182"/>
      <c r="AI20" s="188" t="str">
        <f>IFERROR(__xludf.DUMMYFUNCTION("""COMPUTED_VALUE"""),"GA10312-JP")</f>
        <v>GA10312-JP</v>
      </c>
      <c r="AJ20" s="187">
        <f>IFERROR(__xludf.DUMMYFUNCTION("""COMPUTED_VALUE"""),45793.0)</f>
        <v>45793</v>
      </c>
      <c r="AK20" s="187">
        <f>IFERROR(__xludf.DUMMYFUNCTION("""COMPUTED_VALUE"""),45801.0)</f>
        <v>45801</v>
      </c>
      <c r="AL20" s="182" t="b">
        <f>IFERROR(__xludf.DUMMYFUNCTION("""COMPUTED_VALUE"""),FALSE)</f>
        <v>0</v>
      </c>
      <c r="AM20" s="182" t="b">
        <f>IFERROR(__xludf.DUMMYFUNCTION("""COMPUTED_VALUE"""),FALSE)</f>
        <v>0</v>
      </c>
      <c r="AN20" s="187">
        <f>IFERROR(__xludf.DUMMYFUNCTION("""COMPUTED_VALUE"""),45801.0)</f>
        <v>45801</v>
      </c>
      <c r="AO20" s="182" t="b">
        <f>IFERROR(__xludf.DUMMYFUNCTION("""COMPUTED_VALUE"""),FALSE)</f>
        <v>0</v>
      </c>
      <c r="AP20" s="182"/>
      <c r="AQ20" s="182"/>
      <c r="AR20" s="187">
        <f>IFERROR(__xludf.DUMMYFUNCTION("""COMPUTED_VALUE"""),45801.0)</f>
        <v>45801</v>
      </c>
      <c r="AS20" s="182"/>
      <c r="AT20" s="182"/>
      <c r="AU20" s="182"/>
      <c r="AV20" s="187">
        <f>IFERROR(__xludf.DUMMYFUNCTION("""COMPUTED_VALUE"""),45801.0)</f>
        <v>45801</v>
      </c>
      <c r="AW20" s="182" t="b">
        <f>IFERROR(__xludf.DUMMYFUNCTION("""COMPUTED_VALUE"""),FALSE)</f>
        <v>0</v>
      </c>
      <c r="AX20" s="182"/>
      <c r="AY20" s="182"/>
      <c r="AZ20" s="187">
        <f>IFERROR(__xludf.DUMMYFUNCTION("""COMPUTED_VALUE"""),45827.0)</f>
        <v>45827</v>
      </c>
      <c r="BA20" s="182" t="b">
        <f>IFERROR(__xludf.DUMMYFUNCTION("""COMPUTED_VALUE"""),FALSE)</f>
        <v>0</v>
      </c>
      <c r="BB20" s="187">
        <f>IFERROR(__xludf.DUMMYFUNCTION("""COMPUTED_VALUE"""),45827.0)</f>
        <v>45827</v>
      </c>
    </row>
    <row r="21">
      <c r="A21" s="184" t="str">
        <f t="shared" si="1"/>
        <v>#VALUE!</v>
      </c>
      <c r="B21" s="69" t="str">
        <f t="shared" si="2"/>
        <v>#VALUE!</v>
      </c>
      <c r="C21" s="182" t="str">
        <f>IFERROR(__xludf.DUMMYFUNCTION("""COMPUTED_VALUE"""),"JP")</f>
        <v>JP</v>
      </c>
      <c r="D21" s="182" t="str">
        <f>IFERROR(__xludf.DUMMYFUNCTION("""COMPUTED_VALUE"""),"MP")</f>
        <v>MP</v>
      </c>
      <c r="E21" s="182" t="str">
        <f>IFERROR(__xludf.DUMMYFUNCTION("""COMPUTED_VALUE"""),"Pristine")</f>
        <v>Pristine</v>
      </c>
      <c r="F21" s="182" t="str">
        <f>IFERROR(__xludf.DUMMYFUNCTION("""COMPUTED_VALUE"""),"GA10313-JP")</f>
        <v>GA10313-JP</v>
      </c>
      <c r="G21" s="182" t="str">
        <f>IFERROR(__xludf.DUMMYFUNCTION("""COMPUTED_VALUE"""),"GN4F5")</f>
        <v>GN4F5</v>
      </c>
      <c r="H21" s="182">
        <f>IFERROR(__xludf.DUMMYFUNCTION("""COMPUTED_VALUE"""),8.40353926004E11)</f>
        <v>840353926004</v>
      </c>
      <c r="I21" s="185" t="str">
        <f>IFERROR(__xludf.DUMMYFUNCTION("""COMPUTED_VALUE"""),"0840353926004")</f>
        <v>0840353926004</v>
      </c>
      <c r="J21" s="182"/>
      <c r="K21" s="182"/>
      <c r="L21" s="182"/>
      <c r="M21" s="188" t="str">
        <f>IFERROR(__xludf.DUMMYFUNCTION("""COMPUTED_VALUE"""),"G990-08529-31-02")</f>
        <v>G990-08529-31-02</v>
      </c>
      <c r="N21" s="182" t="str">
        <f>IFERROR(__xludf.DUMMYFUNCTION("""COMPUTED_VALUE"""),"N/A")</f>
        <v>N/A</v>
      </c>
      <c r="O21" s="188" t="str">
        <f>IFERROR(__xludf.DUMMYFUNCTION("""COMPUTED_VALUE"""),"G990-08495-00-01")</f>
        <v>G990-08495-00-01</v>
      </c>
      <c r="P21" s="182" t="str">
        <f>IFERROR(__xludf.DUMMYFUNCTION("""COMPUTED_VALUE"""),"BOB→A
Retail→A")</f>
        <v>BOB→A
Retail→A</v>
      </c>
      <c r="Q21" s="182" t="str">
        <f>IFERROR(__xludf.DUMMYFUNCTION("""COMPUTED_VALUE"""),"128GB")</f>
        <v>128GB</v>
      </c>
      <c r="R21" s="182" t="str">
        <f>IFERROR(__xludf.DUMMYFUNCTION("""COMPUTED_VALUE"""),"Moonstone")</f>
        <v>Moonstone</v>
      </c>
      <c r="S21" s="182" t="str">
        <f>IFERROR(__xludf.DUMMYFUNCTION("""COMPUTED_VALUE"""),"Sterling")</f>
        <v>Sterling</v>
      </c>
      <c r="T21" s="182" t="str">
        <f>IFERROR(__xludf.DUMMYFUNCTION("""COMPUTED_VALUE"""),"JP")</f>
        <v>JP</v>
      </c>
      <c r="U21" s="182" t="str">
        <f>IFERROR(__xludf.DUMMYFUNCTION("""COMPUTED_VALUE"""),"SKU,CLR3, GOOD, SUB6, JP, BZ5")</f>
        <v>SKU,CLR3, GOOD, SUB6, JP, BZ5</v>
      </c>
      <c r="V21" s="182"/>
      <c r="W21" s="183" t="str">
        <f>IFERROR(__xludf.DUMMYFUNCTION("""COMPUTED_VALUE"""),"#NUM!")</f>
        <v>#NUM!</v>
      </c>
      <c r="X21" s="186">
        <f>IFERROR(__xludf.DUMMYFUNCTION("""COMPUTED_VALUE"""),45831.0)</f>
        <v>45831</v>
      </c>
      <c r="Y21" s="187">
        <f>IFERROR(__xludf.DUMMYFUNCTION("""COMPUTED_VALUE"""),45780.0)</f>
        <v>45780</v>
      </c>
      <c r="Z21" s="182" t="b">
        <f>IFERROR(__xludf.DUMMYFUNCTION("""COMPUTED_VALUE"""),FALSE)</f>
        <v>0</v>
      </c>
      <c r="AA21" s="187">
        <f>IFERROR(__xludf.DUMMYFUNCTION("""COMPUTED_VALUE"""),45780.0)</f>
        <v>45780</v>
      </c>
      <c r="AB21" s="182" t="b">
        <f>IFERROR(__xludf.DUMMYFUNCTION("""COMPUTED_VALUE"""),FALSE)</f>
        <v>0</v>
      </c>
      <c r="AC21" s="187">
        <f>IFERROR(__xludf.DUMMYFUNCTION("""COMPUTED_VALUE"""),45787.0)</f>
        <v>45787</v>
      </c>
      <c r="AD21" s="187">
        <f>IFERROR(__xludf.DUMMYFUNCTION("""COMPUTED_VALUE"""),45787.0)</f>
        <v>45787</v>
      </c>
      <c r="AE21" s="182"/>
      <c r="AF21" s="182"/>
      <c r="AG21" s="182"/>
      <c r="AH21" s="182"/>
      <c r="AI21" s="188" t="str">
        <f>IFERROR(__xludf.DUMMYFUNCTION("""COMPUTED_VALUE"""),"GA10313-JP")</f>
        <v>GA10313-JP</v>
      </c>
      <c r="AJ21" s="187">
        <f>IFERROR(__xludf.DUMMYFUNCTION("""COMPUTED_VALUE"""),45793.0)</f>
        <v>45793</v>
      </c>
      <c r="AK21" s="187">
        <f>IFERROR(__xludf.DUMMYFUNCTION("""COMPUTED_VALUE"""),45801.0)</f>
        <v>45801</v>
      </c>
      <c r="AL21" s="182" t="b">
        <f>IFERROR(__xludf.DUMMYFUNCTION("""COMPUTED_VALUE"""),FALSE)</f>
        <v>0</v>
      </c>
      <c r="AM21" s="182" t="b">
        <f>IFERROR(__xludf.DUMMYFUNCTION("""COMPUTED_VALUE"""),FALSE)</f>
        <v>0</v>
      </c>
      <c r="AN21" s="187">
        <f>IFERROR(__xludf.DUMMYFUNCTION("""COMPUTED_VALUE"""),45801.0)</f>
        <v>45801</v>
      </c>
      <c r="AO21" s="182" t="b">
        <f>IFERROR(__xludf.DUMMYFUNCTION("""COMPUTED_VALUE"""),FALSE)</f>
        <v>0</v>
      </c>
      <c r="AP21" s="182"/>
      <c r="AQ21" s="182"/>
      <c r="AR21" s="187">
        <f>IFERROR(__xludf.DUMMYFUNCTION("""COMPUTED_VALUE"""),45801.0)</f>
        <v>45801</v>
      </c>
      <c r="AS21" s="182"/>
      <c r="AT21" s="182"/>
      <c r="AU21" s="182"/>
      <c r="AV21" s="187">
        <f>IFERROR(__xludf.DUMMYFUNCTION("""COMPUTED_VALUE"""),45801.0)</f>
        <v>45801</v>
      </c>
      <c r="AW21" s="182" t="b">
        <f>IFERROR(__xludf.DUMMYFUNCTION("""COMPUTED_VALUE"""),FALSE)</f>
        <v>0</v>
      </c>
      <c r="AX21" s="182"/>
      <c r="AY21" s="182"/>
      <c r="AZ21" s="187">
        <f>IFERROR(__xludf.DUMMYFUNCTION("""COMPUTED_VALUE"""),45827.0)</f>
        <v>45827</v>
      </c>
      <c r="BA21" s="182" t="b">
        <f>IFERROR(__xludf.DUMMYFUNCTION("""COMPUTED_VALUE"""),FALSE)</f>
        <v>0</v>
      </c>
      <c r="BB21" s="187">
        <f>IFERROR(__xludf.DUMMYFUNCTION("""COMPUTED_VALUE"""),45827.0)</f>
        <v>45827</v>
      </c>
    </row>
    <row r="22">
      <c r="A22" s="184" t="str">
        <f t="shared" si="1"/>
        <v>G990-08529-12-B</v>
      </c>
      <c r="B22" s="69" t="str">
        <f t="shared" si="2"/>
        <v>G990-08495-00-A</v>
      </c>
      <c r="C22" s="182" t="str">
        <f>IFERROR(__xludf.DUMMYFUNCTION("""COMPUTED_VALUE"""),"JP")</f>
        <v>JP</v>
      </c>
      <c r="D22" s="182" t="str">
        <f>IFERROR(__xludf.DUMMYFUNCTION("""COMPUTED_VALUE"""),"MP")</f>
        <v>MP</v>
      </c>
      <c r="E22" s="182" t="str">
        <f>IFERROR(__xludf.DUMMYFUNCTION("""COMPUTED_VALUE"""),"Pristine")</f>
        <v>Pristine</v>
      </c>
      <c r="F22" s="182" t="str">
        <f>IFERROR(__xludf.DUMMYFUNCTION("""COMPUTED_VALUE"""),"GA09900-JP")</f>
        <v>GA09900-JP</v>
      </c>
      <c r="G22" s="182" t="str">
        <f>IFERROR(__xludf.DUMMYFUNCTION("""COMPUTED_VALUE"""),"GN4F5")</f>
        <v>GN4F5</v>
      </c>
      <c r="H22" s="182">
        <f>IFERROR(__xludf.DUMMYFUNCTION("""COMPUTED_VALUE"""),8.4035392541E11)</f>
        <v>840353925410</v>
      </c>
      <c r="I22" s="185" t="str">
        <f>IFERROR(__xludf.DUMMYFUNCTION("""COMPUTED_VALUE"""),"0840353925410")</f>
        <v>0840353925410</v>
      </c>
      <c r="J22" s="182"/>
      <c r="K22" s="182" t="str">
        <f>IFERROR(__xludf.DUMMYFUNCTION("""COMPUTED_VALUE"""),"ROW Master Carton Label (UPC)")</f>
        <v>ROW Master Carton Label (UPC)</v>
      </c>
      <c r="L22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22" s="182" t="str">
        <f>IFERROR(__xludf.DUMMYFUNCTION("""COMPUTED_VALUE"""),"G990-08529-12-02
G990-08529-12-B")</f>
        <v>G990-08529-12-02
G990-08529-12-B</v>
      </c>
      <c r="N22" s="182" t="str">
        <f>IFERROR(__xludf.DUMMYFUNCTION("""COMPUTED_VALUE"""),"N/A")</f>
        <v>N/A</v>
      </c>
      <c r="O22" s="182" t="str">
        <f>IFERROR(__xludf.DUMMYFUNCTION("""COMPUTED_VALUE"""),"G990-08495-00-01
G990-08495-00-A")</f>
        <v>G990-08495-00-01
G990-08495-00-A</v>
      </c>
      <c r="P22" s="182" t="str">
        <f>IFERROR(__xludf.DUMMYFUNCTION("""COMPUTED_VALUE"""),"BOB→B
Retail→A")</f>
        <v>BOB→B
Retail→A</v>
      </c>
      <c r="Q22" s="182" t="str">
        <f>IFERROR(__xludf.DUMMYFUNCTION("""COMPUTED_VALUE"""),"256GB")</f>
        <v>256GB</v>
      </c>
      <c r="R22" s="182" t="str">
        <f>IFERROR(__xludf.DUMMYFUNCTION("""COMPUTED_VALUE"""),"Obsidian")</f>
        <v>Obsidian</v>
      </c>
      <c r="S22" s="182" t="str">
        <f>IFERROR(__xludf.DUMMYFUNCTION("""COMPUTED_VALUE"""),"Midnight")</f>
        <v>Midnight</v>
      </c>
      <c r="T22" s="182" t="str">
        <f>IFERROR(__xludf.DUMMYFUNCTION("""COMPUTED_VALUE"""),"JP")</f>
        <v>JP</v>
      </c>
      <c r="U22" s="182" t="str">
        <f>IFERROR(__xludf.DUMMYFUNCTION("""COMPUTED_VALUE"""),"SKU,CLR1, BETTER, SUB6, JP, BZ5")</f>
        <v>SKU,CLR1, BETTER, SUB6, JP, BZ5</v>
      </c>
      <c r="V22" s="182"/>
      <c r="W22" s="183" t="str">
        <f>IFERROR(__xludf.DUMMYFUNCTION("""COMPUTED_VALUE"""),"#NUM!")</f>
        <v>#NUM!</v>
      </c>
      <c r="X22" s="186">
        <f>IFERROR(__xludf.DUMMYFUNCTION("""COMPUTED_VALUE"""),45831.0)</f>
        <v>45831</v>
      </c>
      <c r="Y22" s="187">
        <f>IFERROR(__xludf.DUMMYFUNCTION("""COMPUTED_VALUE"""),45780.0)</f>
        <v>45780</v>
      </c>
      <c r="Z22" s="182" t="b">
        <f>IFERROR(__xludf.DUMMYFUNCTION("""COMPUTED_VALUE"""),TRUE)</f>
        <v>1</v>
      </c>
      <c r="AA22" s="187">
        <f>IFERROR(__xludf.DUMMYFUNCTION("""COMPUTED_VALUE"""),45780.0)</f>
        <v>45780</v>
      </c>
      <c r="AB22" s="182" t="b">
        <f>IFERROR(__xludf.DUMMYFUNCTION("""COMPUTED_VALUE"""),FALSE)</f>
        <v>0</v>
      </c>
      <c r="AC22" s="187">
        <f>IFERROR(__xludf.DUMMYFUNCTION("""COMPUTED_VALUE"""),45787.0)</f>
        <v>45787</v>
      </c>
      <c r="AD22" s="187">
        <f>IFERROR(__xludf.DUMMYFUNCTION("""COMPUTED_VALUE"""),45787.0)</f>
        <v>45787</v>
      </c>
      <c r="AE22" s="182" t="str">
        <f>IFERROR(__xludf.DUMMYFUNCTION("""COMPUTED_VALUE"""),"GA09900-JP
GA09900-JP RevA")</f>
        <v>GA09900-JP
GA09900-JP RevA</v>
      </c>
      <c r="AF22" s="182"/>
      <c r="AG22" s="188" t="str">
        <f>IFERROR(__xludf.DUMMYFUNCTION("""COMPUTED_VALUE"""),"GA09900-JP")</f>
        <v>GA09900-JP</v>
      </c>
      <c r="AH22" s="182" t="str">
        <f>IFERROR(__xludf.DUMMYFUNCTION("""COMPUTED_VALUE"""),"GA09900-JP
GA09900-JP RevA")</f>
        <v>GA09900-JP
GA09900-JP RevA</v>
      </c>
      <c r="AI22" s="188" t="str">
        <f>IFERROR(__xludf.DUMMYFUNCTION("""COMPUTED_VALUE"""),"GA09900-JP")</f>
        <v>GA09900-JP</v>
      </c>
      <c r="AJ22" s="187">
        <f>IFERROR(__xludf.DUMMYFUNCTION("""COMPUTED_VALUE"""),45793.0)</f>
        <v>45793</v>
      </c>
      <c r="AK22" s="187">
        <f>IFERROR(__xludf.DUMMYFUNCTION("""COMPUTED_VALUE"""),45801.0)</f>
        <v>45801</v>
      </c>
      <c r="AL22" s="182" t="b">
        <f>IFERROR(__xludf.DUMMYFUNCTION("""COMPUTED_VALUE"""),TRUE)</f>
        <v>1</v>
      </c>
      <c r="AM22" s="182" t="b">
        <f>IFERROR(__xludf.DUMMYFUNCTION("""COMPUTED_VALUE"""),TRUE)</f>
        <v>1</v>
      </c>
      <c r="AN22" s="187">
        <f>IFERROR(__xludf.DUMMYFUNCTION("""COMPUTED_VALUE"""),45801.0)</f>
        <v>45801</v>
      </c>
      <c r="AO22" s="182" t="b">
        <f>IFERROR(__xludf.DUMMYFUNCTION("""COMPUTED_VALUE"""),TRUE)</f>
        <v>1</v>
      </c>
      <c r="AP22" s="182" t="str">
        <f>IFERROR(__xludf.DUMMYFUNCTION("""COMPUTED_VALUE"""),"N")</f>
        <v>N</v>
      </c>
      <c r="AQ22" s="182"/>
      <c r="AR22" s="187">
        <f>IFERROR(__xludf.DUMMYFUNCTION("""COMPUTED_VALUE"""),45801.0)</f>
        <v>45801</v>
      </c>
      <c r="AS22" s="182" t="b">
        <f>IFERROR(__xludf.DUMMYFUNCTION("""COMPUTED_VALUE"""),FALSE)</f>
        <v>0</v>
      </c>
      <c r="AT22" s="182"/>
      <c r="AU22" s="182"/>
      <c r="AV22" s="187">
        <f>IFERROR(__xludf.DUMMYFUNCTION("""COMPUTED_VALUE"""),45801.0)</f>
        <v>45801</v>
      </c>
      <c r="AW22" s="182" t="b">
        <f>IFERROR(__xludf.DUMMYFUNCTION("""COMPUTED_VALUE"""),TRUE)</f>
        <v>1</v>
      </c>
      <c r="AX22" s="182" t="str">
        <f>IFERROR(__xludf.DUMMYFUNCTION("""COMPUTED_VALUE"""),"N")</f>
        <v>N</v>
      </c>
      <c r="AY22" s="182"/>
      <c r="AZ22" s="187">
        <f>IFERROR(__xludf.DUMMYFUNCTION("""COMPUTED_VALUE"""),45827.0)</f>
        <v>45827</v>
      </c>
      <c r="BA22" s="182" t="b">
        <f>IFERROR(__xludf.DUMMYFUNCTION("""COMPUTED_VALUE"""),FALSE)</f>
        <v>0</v>
      </c>
      <c r="BB22" s="187">
        <f>IFERROR(__xludf.DUMMYFUNCTION("""COMPUTED_VALUE"""),45827.0)</f>
        <v>45827</v>
      </c>
    </row>
    <row r="23">
      <c r="A23" s="184" t="str">
        <f t="shared" si="1"/>
        <v>G990-08529-22-B</v>
      </c>
      <c r="B23" s="69" t="str">
        <f t="shared" si="2"/>
        <v>G990-08495-00-A</v>
      </c>
      <c r="C23" s="182" t="str">
        <f>IFERROR(__xludf.DUMMYFUNCTION("""COMPUTED_VALUE"""),"JP")</f>
        <v>JP</v>
      </c>
      <c r="D23" s="182" t="str">
        <f>IFERROR(__xludf.DUMMYFUNCTION("""COMPUTED_VALUE"""),"MP")</f>
        <v>MP</v>
      </c>
      <c r="E23" s="182" t="str">
        <f>IFERROR(__xludf.DUMMYFUNCTION("""COMPUTED_VALUE"""),"Pristine")</f>
        <v>Pristine</v>
      </c>
      <c r="F23" s="182" t="str">
        <f>IFERROR(__xludf.DUMMYFUNCTION("""COMPUTED_VALUE"""),"GA10314-JP")</f>
        <v>GA10314-JP</v>
      </c>
      <c r="G23" s="182" t="str">
        <f>IFERROR(__xludf.DUMMYFUNCTION("""COMPUTED_VALUE"""),"GN4F5")</f>
        <v>GN4F5</v>
      </c>
      <c r="H23" s="182">
        <f>IFERROR(__xludf.DUMMYFUNCTION("""COMPUTED_VALUE"""),8.40353925489E11)</f>
        <v>840353925489</v>
      </c>
      <c r="I23" s="185" t="str">
        <f>IFERROR(__xludf.DUMMYFUNCTION("""COMPUTED_VALUE"""),"0840353925489")</f>
        <v>0840353925489</v>
      </c>
      <c r="J23" s="182"/>
      <c r="K23" s="182" t="str">
        <f>IFERROR(__xludf.DUMMYFUNCTION("""COMPUTED_VALUE"""),"ROW Master Carton Label (UPC)")</f>
        <v>ROW Master Carton Label (UPC)</v>
      </c>
      <c r="L23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23" s="182" t="str">
        <f>IFERROR(__xludf.DUMMYFUNCTION("""COMPUTED_VALUE"""),"G990-08529-22-02
G990-08529-22-B")</f>
        <v>G990-08529-22-02
G990-08529-22-B</v>
      </c>
      <c r="N23" s="182" t="str">
        <f>IFERROR(__xludf.DUMMYFUNCTION("""COMPUTED_VALUE"""),"N/A")</f>
        <v>N/A</v>
      </c>
      <c r="O23" s="182" t="str">
        <f>IFERROR(__xludf.DUMMYFUNCTION("""COMPUTED_VALUE"""),"G990-08495-00-01
G990-08495-00-A")</f>
        <v>G990-08495-00-01
G990-08495-00-A</v>
      </c>
      <c r="P23" s="182" t="str">
        <f>IFERROR(__xludf.DUMMYFUNCTION("""COMPUTED_VALUE"""),"BOB→B
Retail→A")</f>
        <v>BOB→B
Retail→A</v>
      </c>
      <c r="Q23" s="182" t="str">
        <f>IFERROR(__xludf.DUMMYFUNCTION("""COMPUTED_VALUE"""),"256GB")</f>
        <v>256GB</v>
      </c>
      <c r="R23" s="182" t="str">
        <f>IFERROR(__xludf.DUMMYFUNCTION("""COMPUTED_VALUE"""),"Porcelain")</f>
        <v>Porcelain</v>
      </c>
      <c r="S23" s="182" t="str">
        <f>IFERROR(__xludf.DUMMYFUNCTION("""COMPUTED_VALUE"""),"Light Porcelain")</f>
        <v>Light Porcelain</v>
      </c>
      <c r="T23" s="182" t="str">
        <f>IFERROR(__xludf.DUMMYFUNCTION("""COMPUTED_VALUE"""),"JP")</f>
        <v>JP</v>
      </c>
      <c r="U23" s="182" t="str">
        <f>IFERROR(__xludf.DUMMYFUNCTION("""COMPUTED_VALUE"""),"SKU,CLR2, BETTER, SUB6, JP, BZ5")</f>
        <v>SKU,CLR2, BETTER, SUB6, JP, BZ5</v>
      </c>
      <c r="V23" s="182"/>
      <c r="W23" s="183" t="str">
        <f>IFERROR(__xludf.DUMMYFUNCTION("""COMPUTED_VALUE"""),"#NUM!")</f>
        <v>#NUM!</v>
      </c>
      <c r="X23" s="186">
        <f>IFERROR(__xludf.DUMMYFUNCTION("""COMPUTED_VALUE"""),45831.0)</f>
        <v>45831</v>
      </c>
      <c r="Y23" s="187">
        <f>IFERROR(__xludf.DUMMYFUNCTION("""COMPUTED_VALUE"""),45780.0)</f>
        <v>45780</v>
      </c>
      <c r="Z23" s="182" t="b">
        <f>IFERROR(__xludf.DUMMYFUNCTION("""COMPUTED_VALUE"""),TRUE)</f>
        <v>1</v>
      </c>
      <c r="AA23" s="187">
        <f>IFERROR(__xludf.DUMMYFUNCTION("""COMPUTED_VALUE"""),45780.0)</f>
        <v>45780</v>
      </c>
      <c r="AB23" s="182" t="b">
        <f>IFERROR(__xludf.DUMMYFUNCTION("""COMPUTED_VALUE"""),FALSE)</f>
        <v>0</v>
      </c>
      <c r="AC23" s="187">
        <f>IFERROR(__xludf.DUMMYFUNCTION("""COMPUTED_VALUE"""),45787.0)</f>
        <v>45787</v>
      </c>
      <c r="AD23" s="187">
        <f>IFERROR(__xludf.DUMMYFUNCTION("""COMPUTED_VALUE"""),45787.0)</f>
        <v>45787</v>
      </c>
      <c r="AE23" s="182" t="str">
        <f>IFERROR(__xludf.DUMMYFUNCTION("""COMPUTED_VALUE"""),"GA10314-JP
GA10314-JP RevA")</f>
        <v>GA10314-JP
GA10314-JP RevA</v>
      </c>
      <c r="AF23" s="182"/>
      <c r="AG23" s="188" t="str">
        <f>IFERROR(__xludf.DUMMYFUNCTION("""COMPUTED_VALUE"""),"GA10314-JP")</f>
        <v>GA10314-JP</v>
      </c>
      <c r="AH23" s="182" t="str">
        <f>IFERROR(__xludf.DUMMYFUNCTION("""COMPUTED_VALUE"""),"GA10314-JP
GA10314-JP RevB")</f>
        <v>GA10314-JP
GA10314-JP RevB</v>
      </c>
      <c r="AI23" s="188" t="str">
        <f>IFERROR(__xludf.DUMMYFUNCTION("""COMPUTED_VALUE"""),"GA10314-JP")</f>
        <v>GA10314-JP</v>
      </c>
      <c r="AJ23" s="187">
        <f>IFERROR(__xludf.DUMMYFUNCTION("""COMPUTED_VALUE"""),45793.0)</f>
        <v>45793</v>
      </c>
      <c r="AK23" s="187">
        <f>IFERROR(__xludf.DUMMYFUNCTION("""COMPUTED_VALUE"""),45801.0)</f>
        <v>45801</v>
      </c>
      <c r="AL23" s="182" t="b">
        <f>IFERROR(__xludf.DUMMYFUNCTION("""COMPUTED_VALUE"""),TRUE)</f>
        <v>1</v>
      </c>
      <c r="AM23" s="182" t="b">
        <f>IFERROR(__xludf.DUMMYFUNCTION("""COMPUTED_VALUE"""),TRUE)</f>
        <v>1</v>
      </c>
      <c r="AN23" s="187">
        <f>IFERROR(__xludf.DUMMYFUNCTION("""COMPUTED_VALUE"""),45801.0)</f>
        <v>45801</v>
      </c>
      <c r="AO23" s="182" t="b">
        <f>IFERROR(__xludf.DUMMYFUNCTION("""COMPUTED_VALUE"""),TRUE)</f>
        <v>1</v>
      </c>
      <c r="AP23" s="182" t="str">
        <f>IFERROR(__xludf.DUMMYFUNCTION("""COMPUTED_VALUE"""),"N")</f>
        <v>N</v>
      </c>
      <c r="AQ23" s="182"/>
      <c r="AR23" s="187">
        <f>IFERROR(__xludf.DUMMYFUNCTION("""COMPUTED_VALUE"""),45801.0)</f>
        <v>45801</v>
      </c>
      <c r="AS23" s="182" t="b">
        <f>IFERROR(__xludf.DUMMYFUNCTION("""COMPUTED_VALUE"""),FALSE)</f>
        <v>0</v>
      </c>
      <c r="AT23" s="182"/>
      <c r="AU23" s="182"/>
      <c r="AV23" s="187">
        <f>IFERROR(__xludf.DUMMYFUNCTION("""COMPUTED_VALUE"""),45801.0)</f>
        <v>45801</v>
      </c>
      <c r="AW23" s="182" t="b">
        <f>IFERROR(__xludf.DUMMYFUNCTION("""COMPUTED_VALUE"""),TRUE)</f>
        <v>1</v>
      </c>
      <c r="AX23" s="182" t="str">
        <f>IFERROR(__xludf.DUMMYFUNCTION("""COMPUTED_VALUE"""),"N")</f>
        <v>N</v>
      </c>
      <c r="AY23" s="182"/>
      <c r="AZ23" s="187">
        <f>IFERROR(__xludf.DUMMYFUNCTION("""COMPUTED_VALUE"""),45827.0)</f>
        <v>45827</v>
      </c>
      <c r="BA23" s="182" t="b">
        <f>IFERROR(__xludf.DUMMYFUNCTION("""COMPUTED_VALUE"""),FALSE)</f>
        <v>0</v>
      </c>
      <c r="BB23" s="187">
        <f>IFERROR(__xludf.DUMMYFUNCTION("""COMPUTED_VALUE"""),45827.0)</f>
        <v>45827</v>
      </c>
    </row>
    <row r="24">
      <c r="A24" s="184" t="str">
        <f t="shared" si="1"/>
        <v>G990-08529-32-B</v>
      </c>
      <c r="B24" s="69" t="str">
        <f t="shared" si="2"/>
        <v>G990-08495-00-A</v>
      </c>
      <c r="C24" s="182" t="str">
        <f>IFERROR(__xludf.DUMMYFUNCTION("""COMPUTED_VALUE"""),"JP")</f>
        <v>JP</v>
      </c>
      <c r="D24" s="182" t="str">
        <f>IFERROR(__xludf.DUMMYFUNCTION("""COMPUTED_VALUE"""),"MP")</f>
        <v>MP</v>
      </c>
      <c r="E24" s="182" t="str">
        <f>IFERROR(__xludf.DUMMYFUNCTION("""COMPUTED_VALUE"""),"Pristine")</f>
        <v>Pristine</v>
      </c>
      <c r="F24" s="182" t="str">
        <f>IFERROR(__xludf.DUMMYFUNCTION("""COMPUTED_VALUE"""),"GA10315-JP")</f>
        <v>GA10315-JP</v>
      </c>
      <c r="G24" s="182" t="str">
        <f>IFERROR(__xludf.DUMMYFUNCTION("""COMPUTED_VALUE"""),"GN4F5")</f>
        <v>GN4F5</v>
      </c>
      <c r="H24" s="182">
        <f>IFERROR(__xludf.DUMMYFUNCTION("""COMPUTED_VALUE"""),8.40353925519E11)</f>
        <v>840353925519</v>
      </c>
      <c r="I24" s="185" t="str">
        <f>IFERROR(__xludf.DUMMYFUNCTION("""COMPUTED_VALUE"""),"0840353925519")</f>
        <v>0840353925519</v>
      </c>
      <c r="J24" s="182"/>
      <c r="K24" s="182" t="str">
        <f>IFERROR(__xludf.DUMMYFUNCTION("""COMPUTED_VALUE"""),"ROW Master Carton Label (UPC)")</f>
        <v>ROW Master Carton Label (UPC)</v>
      </c>
      <c r="L24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24" s="182" t="str">
        <f>IFERROR(__xludf.DUMMYFUNCTION("""COMPUTED_VALUE"""),"G990-08529-32-02
G990-08529-32-B")</f>
        <v>G990-08529-32-02
G990-08529-32-B</v>
      </c>
      <c r="N24" s="182" t="str">
        <f>IFERROR(__xludf.DUMMYFUNCTION("""COMPUTED_VALUE"""),"N/A")</f>
        <v>N/A</v>
      </c>
      <c r="O24" s="182" t="str">
        <f>IFERROR(__xludf.DUMMYFUNCTION("""COMPUTED_VALUE"""),"G990-08495-00-01
G990-08495-00-A")</f>
        <v>G990-08495-00-01
G990-08495-00-A</v>
      </c>
      <c r="P24" s="182" t="str">
        <f>IFERROR(__xludf.DUMMYFUNCTION("""COMPUTED_VALUE"""),"BOB→B
Retail→A")</f>
        <v>BOB→B
Retail→A</v>
      </c>
      <c r="Q24" s="182" t="str">
        <f>IFERROR(__xludf.DUMMYFUNCTION("""COMPUTED_VALUE"""),"256GB")</f>
        <v>256GB</v>
      </c>
      <c r="R24" s="182" t="str">
        <f>IFERROR(__xludf.DUMMYFUNCTION("""COMPUTED_VALUE"""),"Moonstone")</f>
        <v>Moonstone</v>
      </c>
      <c r="S24" s="182" t="str">
        <f>IFERROR(__xludf.DUMMYFUNCTION("""COMPUTED_VALUE"""),"Sterling")</f>
        <v>Sterling</v>
      </c>
      <c r="T24" s="182" t="str">
        <f>IFERROR(__xludf.DUMMYFUNCTION("""COMPUTED_VALUE"""),"JP")</f>
        <v>JP</v>
      </c>
      <c r="U24" s="182" t="str">
        <f>IFERROR(__xludf.DUMMYFUNCTION("""COMPUTED_VALUE"""),"SKU,CLR3, BETTER, SUB6, JP, BZ5")</f>
        <v>SKU,CLR3, BETTER, SUB6, JP, BZ5</v>
      </c>
      <c r="V24" s="182"/>
      <c r="W24" s="183" t="str">
        <f>IFERROR(__xludf.DUMMYFUNCTION("""COMPUTED_VALUE"""),"#NUM!")</f>
        <v>#NUM!</v>
      </c>
      <c r="X24" s="186">
        <f>IFERROR(__xludf.DUMMYFUNCTION("""COMPUTED_VALUE"""),45831.0)</f>
        <v>45831</v>
      </c>
      <c r="Y24" s="187">
        <f>IFERROR(__xludf.DUMMYFUNCTION("""COMPUTED_VALUE"""),45780.0)</f>
        <v>45780</v>
      </c>
      <c r="Z24" s="182" t="b">
        <f>IFERROR(__xludf.DUMMYFUNCTION("""COMPUTED_VALUE"""),TRUE)</f>
        <v>1</v>
      </c>
      <c r="AA24" s="187">
        <f>IFERROR(__xludf.DUMMYFUNCTION("""COMPUTED_VALUE"""),45780.0)</f>
        <v>45780</v>
      </c>
      <c r="AB24" s="182" t="b">
        <f>IFERROR(__xludf.DUMMYFUNCTION("""COMPUTED_VALUE"""),FALSE)</f>
        <v>0</v>
      </c>
      <c r="AC24" s="187">
        <f>IFERROR(__xludf.DUMMYFUNCTION("""COMPUTED_VALUE"""),45787.0)</f>
        <v>45787</v>
      </c>
      <c r="AD24" s="187">
        <f>IFERROR(__xludf.DUMMYFUNCTION("""COMPUTED_VALUE"""),45787.0)</f>
        <v>45787</v>
      </c>
      <c r="AE24" s="182" t="str">
        <f>IFERROR(__xludf.DUMMYFUNCTION("""COMPUTED_VALUE"""),"GA10315-JP
GA10315-JP RevA")</f>
        <v>GA10315-JP
GA10315-JP RevA</v>
      </c>
      <c r="AF24" s="182"/>
      <c r="AG24" s="188" t="str">
        <f>IFERROR(__xludf.DUMMYFUNCTION("""COMPUTED_VALUE"""),"GA10315-JP")</f>
        <v>GA10315-JP</v>
      </c>
      <c r="AH24" s="182" t="str">
        <f>IFERROR(__xludf.DUMMYFUNCTION("""COMPUTED_VALUE"""),"GA10315-JP
GA10315-JP RevB")</f>
        <v>GA10315-JP
GA10315-JP RevB</v>
      </c>
      <c r="AI24" s="188" t="str">
        <f>IFERROR(__xludf.DUMMYFUNCTION("""COMPUTED_VALUE"""),"GA10315-JP")</f>
        <v>GA10315-JP</v>
      </c>
      <c r="AJ24" s="187">
        <f>IFERROR(__xludf.DUMMYFUNCTION("""COMPUTED_VALUE"""),45793.0)</f>
        <v>45793</v>
      </c>
      <c r="AK24" s="187">
        <f>IFERROR(__xludf.DUMMYFUNCTION("""COMPUTED_VALUE"""),45801.0)</f>
        <v>45801</v>
      </c>
      <c r="AL24" s="182" t="b">
        <f>IFERROR(__xludf.DUMMYFUNCTION("""COMPUTED_VALUE"""),TRUE)</f>
        <v>1</v>
      </c>
      <c r="AM24" s="182" t="b">
        <f>IFERROR(__xludf.DUMMYFUNCTION("""COMPUTED_VALUE"""),TRUE)</f>
        <v>1</v>
      </c>
      <c r="AN24" s="187">
        <f>IFERROR(__xludf.DUMMYFUNCTION("""COMPUTED_VALUE"""),45801.0)</f>
        <v>45801</v>
      </c>
      <c r="AO24" s="182" t="b">
        <f>IFERROR(__xludf.DUMMYFUNCTION("""COMPUTED_VALUE"""),TRUE)</f>
        <v>1</v>
      </c>
      <c r="AP24" s="182" t="str">
        <f>IFERROR(__xludf.DUMMYFUNCTION("""COMPUTED_VALUE"""),"N")</f>
        <v>N</v>
      </c>
      <c r="AQ24" s="182"/>
      <c r="AR24" s="187">
        <f>IFERROR(__xludf.DUMMYFUNCTION("""COMPUTED_VALUE"""),45801.0)</f>
        <v>45801</v>
      </c>
      <c r="AS24" s="182" t="b">
        <f>IFERROR(__xludf.DUMMYFUNCTION("""COMPUTED_VALUE"""),FALSE)</f>
        <v>0</v>
      </c>
      <c r="AT24" s="182"/>
      <c r="AU24" s="182"/>
      <c r="AV24" s="187">
        <f>IFERROR(__xludf.DUMMYFUNCTION("""COMPUTED_VALUE"""),45801.0)</f>
        <v>45801</v>
      </c>
      <c r="AW24" s="182" t="b">
        <f>IFERROR(__xludf.DUMMYFUNCTION("""COMPUTED_VALUE"""),TRUE)</f>
        <v>1</v>
      </c>
      <c r="AX24" s="182" t="str">
        <f>IFERROR(__xludf.DUMMYFUNCTION("""COMPUTED_VALUE"""),"N")</f>
        <v>N</v>
      </c>
      <c r="AY24" s="182"/>
      <c r="AZ24" s="187">
        <f>IFERROR(__xludf.DUMMYFUNCTION("""COMPUTED_VALUE"""),45827.0)</f>
        <v>45827</v>
      </c>
      <c r="BA24" s="182" t="b">
        <f>IFERROR(__xludf.DUMMYFUNCTION("""COMPUTED_VALUE"""),FALSE)</f>
        <v>0</v>
      </c>
      <c r="BB24" s="187">
        <f>IFERROR(__xludf.DUMMYFUNCTION("""COMPUTED_VALUE"""),45827.0)</f>
        <v>45827</v>
      </c>
    </row>
    <row r="25">
      <c r="A25" s="184" t="str">
        <f t="shared" si="1"/>
        <v>G990-08529-42-B</v>
      </c>
      <c r="B25" s="69" t="str">
        <f t="shared" si="2"/>
        <v>G990-08495-00-A</v>
      </c>
      <c r="C25" s="182" t="str">
        <f>IFERROR(__xludf.DUMMYFUNCTION("""COMPUTED_VALUE"""),"JP")</f>
        <v>JP</v>
      </c>
      <c r="D25" s="182" t="str">
        <f>IFERROR(__xludf.DUMMYFUNCTION("""COMPUTED_VALUE"""),"MP")</f>
        <v>MP</v>
      </c>
      <c r="E25" s="182" t="str">
        <f>IFERROR(__xludf.DUMMYFUNCTION("""COMPUTED_VALUE"""),"Pristine")</f>
        <v>Pristine</v>
      </c>
      <c r="F25" s="182" t="str">
        <f>IFERROR(__xludf.DUMMYFUNCTION("""COMPUTED_VALUE"""),"GA10316-JP")</f>
        <v>GA10316-JP</v>
      </c>
      <c r="G25" s="182" t="str">
        <f>IFERROR(__xludf.DUMMYFUNCTION("""COMPUTED_VALUE"""),"GN4F5")</f>
        <v>GN4F5</v>
      </c>
      <c r="H25" s="182">
        <f>IFERROR(__xludf.DUMMYFUNCTION("""COMPUTED_VALUE"""),8.40353925465E11)</f>
        <v>840353925465</v>
      </c>
      <c r="I25" s="185" t="str">
        <f>IFERROR(__xludf.DUMMYFUNCTION("""COMPUTED_VALUE"""),"0840353925465")</f>
        <v>0840353925465</v>
      </c>
      <c r="J25" s="182"/>
      <c r="K25" s="182" t="str">
        <f>IFERROR(__xludf.DUMMYFUNCTION("""COMPUTED_VALUE"""),"ROW Master Carton Label (UPC)")</f>
        <v>ROW Master Carton Label (UPC)</v>
      </c>
      <c r="L25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25" s="182" t="str">
        <f>IFERROR(__xludf.DUMMYFUNCTION("""COMPUTED_VALUE"""),"G990-08529-42-02
G990-08529-42-B")</f>
        <v>G990-08529-42-02
G990-08529-42-B</v>
      </c>
      <c r="N25" s="182" t="str">
        <f>IFERROR(__xludf.DUMMYFUNCTION("""COMPUTED_VALUE"""),"N/A")</f>
        <v>N/A</v>
      </c>
      <c r="O25" s="182" t="str">
        <f>IFERROR(__xludf.DUMMYFUNCTION("""COMPUTED_VALUE"""),"G990-08495-00-01
G990-08495-00-A")</f>
        <v>G990-08495-00-01
G990-08495-00-A</v>
      </c>
      <c r="P25" s="182" t="str">
        <f>IFERROR(__xludf.DUMMYFUNCTION("""COMPUTED_VALUE"""),"BOB→B
Retail→A")</f>
        <v>BOB→B
Retail→A</v>
      </c>
      <c r="Q25" s="182" t="str">
        <f>IFERROR(__xludf.DUMMYFUNCTION("""COMPUTED_VALUE"""),"256GB")</f>
        <v>256GB</v>
      </c>
      <c r="R25" s="182" t="str">
        <f>IFERROR(__xludf.DUMMYFUNCTION("""COMPUTED_VALUE"""),"Jade")</f>
        <v>Jade</v>
      </c>
      <c r="S25" s="182" t="str">
        <f>IFERROR(__xludf.DUMMYFUNCTION("""COMPUTED_VALUE"""),"Smokey Green")</f>
        <v>Smokey Green</v>
      </c>
      <c r="T25" s="182" t="str">
        <f>IFERROR(__xludf.DUMMYFUNCTION("""COMPUTED_VALUE"""),"JP")</f>
        <v>JP</v>
      </c>
      <c r="U25" s="182" t="str">
        <f>IFERROR(__xludf.DUMMYFUNCTION("""COMPUTED_VALUE"""),"SKU,CLR4, BETTER, SUB6, JP, BZ5")</f>
        <v>SKU,CLR4, BETTER, SUB6, JP, BZ5</v>
      </c>
      <c r="V25" s="182"/>
      <c r="W25" s="183" t="str">
        <f>IFERROR(__xludf.DUMMYFUNCTION("""COMPUTED_VALUE"""),"#NUM!")</f>
        <v>#NUM!</v>
      </c>
      <c r="X25" s="186">
        <f>IFERROR(__xludf.DUMMYFUNCTION("""COMPUTED_VALUE"""),45831.0)</f>
        <v>45831</v>
      </c>
      <c r="Y25" s="187">
        <f>IFERROR(__xludf.DUMMYFUNCTION("""COMPUTED_VALUE"""),45780.0)</f>
        <v>45780</v>
      </c>
      <c r="Z25" s="182" t="b">
        <f>IFERROR(__xludf.DUMMYFUNCTION("""COMPUTED_VALUE"""),TRUE)</f>
        <v>1</v>
      </c>
      <c r="AA25" s="187">
        <f>IFERROR(__xludf.DUMMYFUNCTION("""COMPUTED_VALUE"""),45780.0)</f>
        <v>45780</v>
      </c>
      <c r="AB25" s="182" t="b">
        <f>IFERROR(__xludf.DUMMYFUNCTION("""COMPUTED_VALUE"""),FALSE)</f>
        <v>0</v>
      </c>
      <c r="AC25" s="187">
        <f>IFERROR(__xludf.DUMMYFUNCTION("""COMPUTED_VALUE"""),45787.0)</f>
        <v>45787</v>
      </c>
      <c r="AD25" s="187">
        <f>IFERROR(__xludf.DUMMYFUNCTION("""COMPUTED_VALUE"""),45787.0)</f>
        <v>45787</v>
      </c>
      <c r="AE25" s="182" t="str">
        <f>IFERROR(__xludf.DUMMYFUNCTION("""COMPUTED_VALUE"""),"GA10316-JP
GA10316-JP RevA")</f>
        <v>GA10316-JP
GA10316-JP RevA</v>
      </c>
      <c r="AF25" s="182"/>
      <c r="AG25" s="188" t="str">
        <f>IFERROR(__xludf.DUMMYFUNCTION("""COMPUTED_VALUE"""),"GA10316-JP")</f>
        <v>GA10316-JP</v>
      </c>
      <c r="AH25" s="182" t="str">
        <f>IFERROR(__xludf.DUMMYFUNCTION("""COMPUTED_VALUE"""),"GA10316-JP
GA10316-JP RevB")</f>
        <v>GA10316-JP
GA10316-JP RevB</v>
      </c>
      <c r="AI25" s="188" t="str">
        <f>IFERROR(__xludf.DUMMYFUNCTION("""COMPUTED_VALUE"""),"GA10316-JP")</f>
        <v>GA10316-JP</v>
      </c>
      <c r="AJ25" s="187">
        <f>IFERROR(__xludf.DUMMYFUNCTION("""COMPUTED_VALUE"""),45793.0)</f>
        <v>45793</v>
      </c>
      <c r="AK25" s="187">
        <f>IFERROR(__xludf.DUMMYFUNCTION("""COMPUTED_VALUE"""),45801.0)</f>
        <v>45801</v>
      </c>
      <c r="AL25" s="182" t="b">
        <f>IFERROR(__xludf.DUMMYFUNCTION("""COMPUTED_VALUE"""),TRUE)</f>
        <v>1</v>
      </c>
      <c r="AM25" s="182" t="b">
        <f>IFERROR(__xludf.DUMMYFUNCTION("""COMPUTED_VALUE"""),TRUE)</f>
        <v>1</v>
      </c>
      <c r="AN25" s="187">
        <f>IFERROR(__xludf.DUMMYFUNCTION("""COMPUTED_VALUE"""),45801.0)</f>
        <v>45801</v>
      </c>
      <c r="AO25" s="182" t="b">
        <f>IFERROR(__xludf.DUMMYFUNCTION("""COMPUTED_VALUE"""),TRUE)</f>
        <v>1</v>
      </c>
      <c r="AP25" s="182" t="str">
        <f>IFERROR(__xludf.DUMMYFUNCTION("""COMPUTED_VALUE"""),"Y")</f>
        <v>Y</v>
      </c>
      <c r="AQ25" s="182"/>
      <c r="AR25" s="187">
        <f>IFERROR(__xludf.DUMMYFUNCTION("""COMPUTED_VALUE"""),45801.0)</f>
        <v>45801</v>
      </c>
      <c r="AS25" s="182" t="b">
        <f>IFERROR(__xludf.DUMMYFUNCTION("""COMPUTED_VALUE"""),FALSE)</f>
        <v>0</v>
      </c>
      <c r="AT25" s="182"/>
      <c r="AU25" s="182"/>
      <c r="AV25" s="187">
        <f>IFERROR(__xludf.DUMMYFUNCTION("""COMPUTED_VALUE"""),45801.0)</f>
        <v>45801</v>
      </c>
      <c r="AW25" s="182" t="b">
        <f>IFERROR(__xludf.DUMMYFUNCTION("""COMPUTED_VALUE"""),TRUE)</f>
        <v>1</v>
      </c>
      <c r="AX25" s="182" t="str">
        <f>IFERROR(__xludf.DUMMYFUNCTION("""COMPUTED_VALUE"""),"N")</f>
        <v>N</v>
      </c>
      <c r="AY25" s="182"/>
      <c r="AZ25" s="187">
        <f>IFERROR(__xludf.DUMMYFUNCTION("""COMPUTED_VALUE"""),45827.0)</f>
        <v>45827</v>
      </c>
      <c r="BA25" s="182" t="b">
        <f>IFERROR(__xludf.DUMMYFUNCTION("""COMPUTED_VALUE"""),FALSE)</f>
        <v>0</v>
      </c>
      <c r="BB25" s="187">
        <f>IFERROR(__xludf.DUMMYFUNCTION("""COMPUTED_VALUE"""),45827.0)</f>
        <v>45827</v>
      </c>
    </row>
    <row r="26">
      <c r="A26" s="184" t="str">
        <f t="shared" si="1"/>
        <v>G990-08529-13-B</v>
      </c>
      <c r="B26" s="69" t="str">
        <f t="shared" si="2"/>
        <v>G990-08495-00-A</v>
      </c>
      <c r="C26" s="182" t="str">
        <f>IFERROR(__xludf.DUMMYFUNCTION("""COMPUTED_VALUE"""),"JP")</f>
        <v>JP</v>
      </c>
      <c r="D26" s="182" t="str">
        <f>IFERROR(__xludf.DUMMYFUNCTION("""COMPUTED_VALUE"""),"MP")</f>
        <v>MP</v>
      </c>
      <c r="E26" s="182" t="str">
        <f>IFERROR(__xludf.DUMMYFUNCTION("""COMPUTED_VALUE"""),"Pristine")</f>
        <v>Pristine</v>
      </c>
      <c r="F26" s="182" t="str">
        <f>IFERROR(__xludf.DUMMYFUNCTION("""COMPUTED_VALUE"""),"GA09909-JP")</f>
        <v>GA09909-JP</v>
      </c>
      <c r="G26" s="182" t="str">
        <f>IFERROR(__xludf.DUMMYFUNCTION("""COMPUTED_VALUE"""),"GN4F5")</f>
        <v>GN4F5</v>
      </c>
      <c r="H26" s="182">
        <f>IFERROR(__xludf.DUMMYFUNCTION("""COMPUTED_VALUE"""),8.40353925557E11)</f>
        <v>840353925557</v>
      </c>
      <c r="I26" s="185" t="str">
        <f>IFERROR(__xludf.DUMMYFUNCTION("""COMPUTED_VALUE"""),"0840353925557")</f>
        <v>0840353925557</v>
      </c>
      <c r="J26" s="182"/>
      <c r="K26" s="182" t="str">
        <f>IFERROR(__xludf.DUMMYFUNCTION("""COMPUTED_VALUE"""),"ROW Master Carton Label (UPC)")</f>
        <v>ROW Master Carton Label (UPC)</v>
      </c>
      <c r="L26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26" s="182" t="str">
        <f>IFERROR(__xludf.DUMMYFUNCTION("""COMPUTED_VALUE"""),"G990-08529-13-02
G990-08529-13-B")</f>
        <v>G990-08529-13-02
G990-08529-13-B</v>
      </c>
      <c r="N26" s="182" t="str">
        <f>IFERROR(__xludf.DUMMYFUNCTION("""COMPUTED_VALUE"""),"N/A")</f>
        <v>N/A</v>
      </c>
      <c r="O26" s="182" t="str">
        <f>IFERROR(__xludf.DUMMYFUNCTION("""COMPUTED_VALUE"""),"G990-08495-00-01
G990-08495-00-A")</f>
        <v>G990-08495-00-01
G990-08495-00-A</v>
      </c>
      <c r="P26" s="182" t="str">
        <f>IFERROR(__xludf.DUMMYFUNCTION("""COMPUTED_VALUE"""),"BOB→B
Retail→A")</f>
        <v>BOB→B
Retail→A</v>
      </c>
      <c r="Q26" s="182" t="str">
        <f>IFERROR(__xludf.DUMMYFUNCTION("""COMPUTED_VALUE"""),"512GB")</f>
        <v>512GB</v>
      </c>
      <c r="R26" s="182" t="str">
        <f>IFERROR(__xludf.DUMMYFUNCTION("""COMPUTED_VALUE"""),"Obsidian")</f>
        <v>Obsidian</v>
      </c>
      <c r="S26" s="182" t="str">
        <f>IFERROR(__xludf.DUMMYFUNCTION("""COMPUTED_VALUE"""),"Midnight")</f>
        <v>Midnight</v>
      </c>
      <c r="T26" s="182" t="str">
        <f>IFERROR(__xludf.DUMMYFUNCTION("""COMPUTED_VALUE"""),"JP")</f>
        <v>JP</v>
      </c>
      <c r="U26" s="182" t="str">
        <f>IFERROR(__xludf.DUMMYFUNCTION("""COMPUTED_VALUE"""),"SKU,CLR1, BEST, SUB6, JP, BZ5")</f>
        <v>SKU,CLR1, BEST, SUB6, JP, BZ5</v>
      </c>
      <c r="V26" s="182"/>
      <c r="W26" s="183" t="str">
        <f>IFERROR(__xludf.DUMMYFUNCTION("""COMPUTED_VALUE"""),"#NUM!")</f>
        <v>#NUM!</v>
      </c>
      <c r="X26" s="186">
        <f>IFERROR(__xludf.DUMMYFUNCTION("""COMPUTED_VALUE"""),45831.0)</f>
        <v>45831</v>
      </c>
      <c r="Y26" s="187">
        <f>IFERROR(__xludf.DUMMYFUNCTION("""COMPUTED_VALUE"""),45780.0)</f>
        <v>45780</v>
      </c>
      <c r="Z26" s="182" t="b">
        <f>IFERROR(__xludf.DUMMYFUNCTION("""COMPUTED_VALUE"""),TRUE)</f>
        <v>1</v>
      </c>
      <c r="AA26" s="187">
        <f>IFERROR(__xludf.DUMMYFUNCTION("""COMPUTED_VALUE"""),45780.0)</f>
        <v>45780</v>
      </c>
      <c r="AB26" s="182" t="b">
        <f>IFERROR(__xludf.DUMMYFUNCTION("""COMPUTED_VALUE"""),FALSE)</f>
        <v>0</v>
      </c>
      <c r="AC26" s="187">
        <f>IFERROR(__xludf.DUMMYFUNCTION("""COMPUTED_VALUE"""),45787.0)</f>
        <v>45787</v>
      </c>
      <c r="AD26" s="187">
        <f>IFERROR(__xludf.DUMMYFUNCTION("""COMPUTED_VALUE"""),45787.0)</f>
        <v>45787</v>
      </c>
      <c r="AE26" s="182" t="str">
        <f>IFERROR(__xludf.DUMMYFUNCTION("""COMPUTED_VALUE"""),"GA09909-JP
GA09909-JP RevA")</f>
        <v>GA09909-JP
GA09909-JP RevA</v>
      </c>
      <c r="AF26" s="182"/>
      <c r="AG26" s="188" t="str">
        <f>IFERROR(__xludf.DUMMYFUNCTION("""COMPUTED_VALUE"""),"GA09909-JP")</f>
        <v>GA09909-JP</v>
      </c>
      <c r="AH26" s="182" t="str">
        <f>IFERROR(__xludf.DUMMYFUNCTION("""COMPUTED_VALUE"""),"GA09909-JP
GA09909-JP RevB")</f>
        <v>GA09909-JP
GA09909-JP RevB</v>
      </c>
      <c r="AI26" s="188" t="str">
        <f>IFERROR(__xludf.DUMMYFUNCTION("""COMPUTED_VALUE"""),"GA09909-JP")</f>
        <v>GA09909-JP</v>
      </c>
      <c r="AJ26" s="187">
        <f>IFERROR(__xludf.DUMMYFUNCTION("""COMPUTED_VALUE"""),45793.0)</f>
        <v>45793</v>
      </c>
      <c r="AK26" s="187">
        <f>IFERROR(__xludf.DUMMYFUNCTION("""COMPUTED_VALUE"""),45801.0)</f>
        <v>45801</v>
      </c>
      <c r="AL26" s="182" t="b">
        <f>IFERROR(__xludf.DUMMYFUNCTION("""COMPUTED_VALUE"""),TRUE)</f>
        <v>1</v>
      </c>
      <c r="AM26" s="182" t="b">
        <f>IFERROR(__xludf.DUMMYFUNCTION("""COMPUTED_VALUE"""),TRUE)</f>
        <v>1</v>
      </c>
      <c r="AN26" s="187">
        <f>IFERROR(__xludf.DUMMYFUNCTION("""COMPUTED_VALUE"""),45801.0)</f>
        <v>45801</v>
      </c>
      <c r="AO26" s="182" t="b">
        <f>IFERROR(__xludf.DUMMYFUNCTION("""COMPUTED_VALUE"""),TRUE)</f>
        <v>1</v>
      </c>
      <c r="AP26" s="182" t="str">
        <f>IFERROR(__xludf.DUMMYFUNCTION("""COMPUTED_VALUE"""),"N")</f>
        <v>N</v>
      </c>
      <c r="AQ26" s="182"/>
      <c r="AR26" s="187">
        <f>IFERROR(__xludf.DUMMYFUNCTION("""COMPUTED_VALUE"""),45801.0)</f>
        <v>45801</v>
      </c>
      <c r="AS26" s="182" t="b">
        <f>IFERROR(__xludf.DUMMYFUNCTION("""COMPUTED_VALUE"""),FALSE)</f>
        <v>0</v>
      </c>
      <c r="AT26" s="182"/>
      <c r="AU26" s="182"/>
      <c r="AV26" s="187">
        <f>IFERROR(__xludf.DUMMYFUNCTION("""COMPUTED_VALUE"""),45801.0)</f>
        <v>45801</v>
      </c>
      <c r="AW26" s="182" t="b">
        <f>IFERROR(__xludf.DUMMYFUNCTION("""COMPUTED_VALUE"""),TRUE)</f>
        <v>1</v>
      </c>
      <c r="AX26" s="182" t="str">
        <f>IFERROR(__xludf.DUMMYFUNCTION("""COMPUTED_VALUE"""),"N")</f>
        <v>N</v>
      </c>
      <c r="AY26" s="182"/>
      <c r="AZ26" s="187">
        <f>IFERROR(__xludf.DUMMYFUNCTION("""COMPUTED_VALUE"""),45827.0)</f>
        <v>45827</v>
      </c>
      <c r="BA26" s="182" t="b">
        <f>IFERROR(__xludf.DUMMYFUNCTION("""COMPUTED_VALUE"""),FALSE)</f>
        <v>0</v>
      </c>
      <c r="BB26" s="187">
        <f>IFERROR(__xludf.DUMMYFUNCTION("""COMPUTED_VALUE"""),45827.0)</f>
        <v>45827</v>
      </c>
    </row>
    <row r="27">
      <c r="A27" s="184" t="str">
        <f t="shared" si="1"/>
        <v>#VALUE!</v>
      </c>
      <c r="B27" s="69" t="str">
        <f t="shared" si="2"/>
        <v>#VALUE!</v>
      </c>
      <c r="C27" s="182" t="str">
        <f>IFERROR(__xludf.DUMMYFUNCTION("""COMPUTED_VALUE"""),"JP")</f>
        <v>JP</v>
      </c>
      <c r="D27" s="182" t="str">
        <f>IFERROR(__xludf.DUMMYFUNCTION("""COMPUTED_VALUE"""),"MP")</f>
        <v>MP</v>
      </c>
      <c r="E27" s="182" t="str">
        <f>IFERROR(__xludf.DUMMYFUNCTION("""COMPUTED_VALUE"""),"Pristine")</f>
        <v>Pristine</v>
      </c>
      <c r="F27" s="182" t="str">
        <f>IFERROR(__xludf.DUMMYFUNCTION("""COMPUTED_VALUE"""),"GA10317-JP")</f>
        <v>GA10317-JP</v>
      </c>
      <c r="G27" s="182" t="str">
        <f>IFERROR(__xludf.DUMMYFUNCTION("""COMPUTED_VALUE"""),"GN4F5")</f>
        <v>GN4F5</v>
      </c>
      <c r="H27" s="182">
        <f>IFERROR(__xludf.DUMMYFUNCTION("""COMPUTED_VALUE"""),8.40353925649E11)</f>
        <v>840353925649</v>
      </c>
      <c r="I27" s="185" t="str">
        <f>IFERROR(__xludf.DUMMYFUNCTION("""COMPUTED_VALUE"""),"0840353925649")</f>
        <v>0840353925649</v>
      </c>
      <c r="J27" s="182"/>
      <c r="K27" s="182"/>
      <c r="L27" s="182"/>
      <c r="M27" s="188" t="str">
        <f>IFERROR(__xludf.DUMMYFUNCTION("""COMPUTED_VALUE"""),"G990-08529-23-02")</f>
        <v>G990-08529-23-02</v>
      </c>
      <c r="N27" s="182" t="str">
        <f>IFERROR(__xludf.DUMMYFUNCTION("""COMPUTED_VALUE"""),"N/A")</f>
        <v>N/A</v>
      </c>
      <c r="O27" s="188" t="str">
        <f>IFERROR(__xludf.DUMMYFUNCTION("""COMPUTED_VALUE"""),"G990-08495-00-01")</f>
        <v>G990-08495-00-01</v>
      </c>
      <c r="P27" s="182" t="str">
        <f>IFERROR(__xludf.DUMMYFUNCTION("""COMPUTED_VALUE"""),"BOB→B
Retail→A")</f>
        <v>BOB→B
Retail→A</v>
      </c>
      <c r="Q27" s="182" t="str">
        <f>IFERROR(__xludf.DUMMYFUNCTION("""COMPUTED_VALUE"""),"512GB")</f>
        <v>512GB</v>
      </c>
      <c r="R27" s="182" t="str">
        <f>IFERROR(__xludf.DUMMYFUNCTION("""COMPUTED_VALUE"""),"Porcelain")</f>
        <v>Porcelain</v>
      </c>
      <c r="S27" s="182" t="str">
        <f>IFERROR(__xludf.DUMMYFUNCTION("""COMPUTED_VALUE"""),"Light Porcelain")</f>
        <v>Light Porcelain</v>
      </c>
      <c r="T27" s="182" t="str">
        <f>IFERROR(__xludf.DUMMYFUNCTION("""COMPUTED_VALUE"""),"JP")</f>
        <v>JP</v>
      </c>
      <c r="U27" s="182" t="str">
        <f>IFERROR(__xludf.DUMMYFUNCTION("""COMPUTED_VALUE"""),"SKU,CLR2, BEST, SUB6, JP, BZ5")</f>
        <v>SKU,CLR2, BEST, SUB6, JP, BZ5</v>
      </c>
      <c r="V27" s="182"/>
      <c r="W27" s="183" t="str">
        <f>IFERROR(__xludf.DUMMYFUNCTION("""COMPUTED_VALUE"""),"#NUM!")</f>
        <v>#NUM!</v>
      </c>
      <c r="X27" s="186">
        <f>IFERROR(__xludf.DUMMYFUNCTION("""COMPUTED_VALUE"""),45831.0)</f>
        <v>45831</v>
      </c>
      <c r="Y27" s="187">
        <f>IFERROR(__xludf.DUMMYFUNCTION("""COMPUTED_VALUE"""),45780.0)</f>
        <v>45780</v>
      </c>
      <c r="Z27" s="182" t="b">
        <f>IFERROR(__xludf.DUMMYFUNCTION("""COMPUTED_VALUE"""),FALSE)</f>
        <v>0</v>
      </c>
      <c r="AA27" s="187">
        <f>IFERROR(__xludf.DUMMYFUNCTION("""COMPUTED_VALUE"""),45780.0)</f>
        <v>45780</v>
      </c>
      <c r="AB27" s="182" t="b">
        <f>IFERROR(__xludf.DUMMYFUNCTION("""COMPUTED_VALUE"""),FALSE)</f>
        <v>0</v>
      </c>
      <c r="AC27" s="187">
        <f>IFERROR(__xludf.DUMMYFUNCTION("""COMPUTED_VALUE"""),45787.0)</f>
        <v>45787</v>
      </c>
      <c r="AD27" s="187">
        <f>IFERROR(__xludf.DUMMYFUNCTION("""COMPUTED_VALUE"""),45787.0)</f>
        <v>45787</v>
      </c>
      <c r="AE27" s="182"/>
      <c r="AF27" s="182"/>
      <c r="AG27" s="182"/>
      <c r="AH27" s="182"/>
      <c r="AI27" s="188" t="str">
        <f>IFERROR(__xludf.DUMMYFUNCTION("""COMPUTED_VALUE"""),"GA10317-JP")</f>
        <v>GA10317-JP</v>
      </c>
      <c r="AJ27" s="187">
        <f>IFERROR(__xludf.DUMMYFUNCTION("""COMPUTED_VALUE"""),45793.0)</f>
        <v>45793</v>
      </c>
      <c r="AK27" s="187">
        <f>IFERROR(__xludf.DUMMYFUNCTION("""COMPUTED_VALUE"""),45801.0)</f>
        <v>45801</v>
      </c>
      <c r="AL27" s="182" t="b">
        <f>IFERROR(__xludf.DUMMYFUNCTION("""COMPUTED_VALUE"""),FALSE)</f>
        <v>0</v>
      </c>
      <c r="AM27" s="182" t="b">
        <f>IFERROR(__xludf.DUMMYFUNCTION("""COMPUTED_VALUE"""),FALSE)</f>
        <v>0</v>
      </c>
      <c r="AN27" s="187">
        <f>IFERROR(__xludf.DUMMYFUNCTION("""COMPUTED_VALUE"""),45801.0)</f>
        <v>45801</v>
      </c>
      <c r="AO27" s="182" t="b">
        <f>IFERROR(__xludf.DUMMYFUNCTION("""COMPUTED_VALUE"""),FALSE)</f>
        <v>0</v>
      </c>
      <c r="AP27" s="182"/>
      <c r="AQ27" s="182"/>
      <c r="AR27" s="187">
        <f>IFERROR(__xludf.DUMMYFUNCTION("""COMPUTED_VALUE"""),45801.0)</f>
        <v>45801</v>
      </c>
      <c r="AS27" s="182"/>
      <c r="AT27" s="182"/>
      <c r="AU27" s="182"/>
      <c r="AV27" s="187">
        <f>IFERROR(__xludf.DUMMYFUNCTION("""COMPUTED_VALUE"""),45801.0)</f>
        <v>45801</v>
      </c>
      <c r="AW27" s="182" t="b">
        <f>IFERROR(__xludf.DUMMYFUNCTION("""COMPUTED_VALUE"""),FALSE)</f>
        <v>0</v>
      </c>
      <c r="AX27" s="182"/>
      <c r="AY27" s="182"/>
      <c r="AZ27" s="187">
        <f>IFERROR(__xludf.DUMMYFUNCTION("""COMPUTED_VALUE"""),45827.0)</f>
        <v>45827</v>
      </c>
      <c r="BA27" s="182" t="b">
        <f>IFERROR(__xludf.DUMMYFUNCTION("""COMPUTED_VALUE"""),FALSE)</f>
        <v>0</v>
      </c>
      <c r="BB27" s="187">
        <f>IFERROR(__xludf.DUMMYFUNCTION("""COMPUTED_VALUE"""),45827.0)</f>
        <v>45827</v>
      </c>
    </row>
    <row r="28">
      <c r="A28" s="184" t="str">
        <f t="shared" si="1"/>
        <v>#VALUE!</v>
      </c>
      <c r="B28" s="69" t="str">
        <f t="shared" si="2"/>
        <v>#VALUE!</v>
      </c>
      <c r="C28" s="182" t="str">
        <f>IFERROR(__xludf.DUMMYFUNCTION("""COMPUTED_VALUE"""),"JP")</f>
        <v>JP</v>
      </c>
      <c r="D28" s="182" t="str">
        <f>IFERROR(__xludf.DUMMYFUNCTION("""COMPUTED_VALUE"""),"MP")</f>
        <v>MP</v>
      </c>
      <c r="E28" s="182" t="str">
        <f>IFERROR(__xludf.DUMMYFUNCTION("""COMPUTED_VALUE"""),"Pristine")</f>
        <v>Pristine</v>
      </c>
      <c r="F28" s="182" t="str">
        <f>IFERROR(__xludf.DUMMYFUNCTION("""COMPUTED_VALUE"""),"GA10318-JP")</f>
        <v>GA10318-JP</v>
      </c>
      <c r="G28" s="182" t="str">
        <f>IFERROR(__xludf.DUMMYFUNCTION("""COMPUTED_VALUE"""),"GN4F5")</f>
        <v>GN4F5</v>
      </c>
      <c r="H28" s="182">
        <f>IFERROR(__xludf.DUMMYFUNCTION("""COMPUTED_VALUE"""),8.40353925632E11)</f>
        <v>840353925632</v>
      </c>
      <c r="I28" s="185" t="str">
        <f>IFERROR(__xludf.DUMMYFUNCTION("""COMPUTED_VALUE"""),"0840353925632")</f>
        <v>0840353925632</v>
      </c>
      <c r="J28" s="182"/>
      <c r="K28" s="182"/>
      <c r="L28" s="182"/>
      <c r="M28" s="188" t="str">
        <f>IFERROR(__xludf.DUMMYFUNCTION("""COMPUTED_VALUE"""),"G990-08529-33-02")</f>
        <v>G990-08529-33-02</v>
      </c>
      <c r="N28" s="182" t="str">
        <f>IFERROR(__xludf.DUMMYFUNCTION("""COMPUTED_VALUE"""),"N/A")</f>
        <v>N/A</v>
      </c>
      <c r="O28" s="188" t="str">
        <f>IFERROR(__xludf.DUMMYFUNCTION("""COMPUTED_VALUE"""),"G990-08495-00-01")</f>
        <v>G990-08495-00-01</v>
      </c>
      <c r="P28" s="182" t="str">
        <f>IFERROR(__xludf.DUMMYFUNCTION("""COMPUTED_VALUE"""),"BOB→B
Retail→A")</f>
        <v>BOB→B
Retail→A</v>
      </c>
      <c r="Q28" s="182" t="str">
        <f>IFERROR(__xludf.DUMMYFUNCTION("""COMPUTED_VALUE"""),"512GB")</f>
        <v>512GB</v>
      </c>
      <c r="R28" s="182" t="str">
        <f>IFERROR(__xludf.DUMMYFUNCTION("""COMPUTED_VALUE"""),"Moonstone")</f>
        <v>Moonstone</v>
      </c>
      <c r="S28" s="182" t="str">
        <f>IFERROR(__xludf.DUMMYFUNCTION("""COMPUTED_VALUE"""),"Sterling")</f>
        <v>Sterling</v>
      </c>
      <c r="T28" s="182" t="str">
        <f>IFERROR(__xludf.DUMMYFUNCTION("""COMPUTED_VALUE"""),"JP")</f>
        <v>JP</v>
      </c>
      <c r="U28" s="182" t="str">
        <f>IFERROR(__xludf.DUMMYFUNCTION("""COMPUTED_VALUE"""),"SKU,CLR3, BEST, SUB6, JP, BZ5")</f>
        <v>SKU,CLR3, BEST, SUB6, JP, BZ5</v>
      </c>
      <c r="V28" s="182"/>
      <c r="W28" s="183" t="str">
        <f>IFERROR(__xludf.DUMMYFUNCTION("""COMPUTED_VALUE"""),"#NUM!")</f>
        <v>#NUM!</v>
      </c>
      <c r="X28" s="186">
        <f>IFERROR(__xludf.DUMMYFUNCTION("""COMPUTED_VALUE"""),45831.0)</f>
        <v>45831</v>
      </c>
      <c r="Y28" s="187">
        <f>IFERROR(__xludf.DUMMYFUNCTION("""COMPUTED_VALUE"""),45780.0)</f>
        <v>45780</v>
      </c>
      <c r="Z28" s="182" t="b">
        <f>IFERROR(__xludf.DUMMYFUNCTION("""COMPUTED_VALUE"""),FALSE)</f>
        <v>0</v>
      </c>
      <c r="AA28" s="187">
        <f>IFERROR(__xludf.DUMMYFUNCTION("""COMPUTED_VALUE"""),45780.0)</f>
        <v>45780</v>
      </c>
      <c r="AB28" s="182" t="b">
        <f>IFERROR(__xludf.DUMMYFUNCTION("""COMPUTED_VALUE"""),FALSE)</f>
        <v>0</v>
      </c>
      <c r="AC28" s="187">
        <f>IFERROR(__xludf.DUMMYFUNCTION("""COMPUTED_VALUE"""),45787.0)</f>
        <v>45787</v>
      </c>
      <c r="AD28" s="187">
        <f>IFERROR(__xludf.DUMMYFUNCTION("""COMPUTED_VALUE"""),45787.0)</f>
        <v>45787</v>
      </c>
      <c r="AE28" s="182"/>
      <c r="AF28" s="182"/>
      <c r="AG28" s="182"/>
      <c r="AH28" s="182"/>
      <c r="AI28" s="188" t="str">
        <f>IFERROR(__xludf.DUMMYFUNCTION("""COMPUTED_VALUE"""),"GA10318-JP")</f>
        <v>GA10318-JP</v>
      </c>
      <c r="AJ28" s="187">
        <f>IFERROR(__xludf.DUMMYFUNCTION("""COMPUTED_VALUE"""),45793.0)</f>
        <v>45793</v>
      </c>
      <c r="AK28" s="187">
        <f>IFERROR(__xludf.DUMMYFUNCTION("""COMPUTED_VALUE"""),45801.0)</f>
        <v>45801</v>
      </c>
      <c r="AL28" s="182" t="b">
        <f>IFERROR(__xludf.DUMMYFUNCTION("""COMPUTED_VALUE"""),FALSE)</f>
        <v>0</v>
      </c>
      <c r="AM28" s="182" t="b">
        <f>IFERROR(__xludf.DUMMYFUNCTION("""COMPUTED_VALUE"""),FALSE)</f>
        <v>0</v>
      </c>
      <c r="AN28" s="187">
        <f>IFERROR(__xludf.DUMMYFUNCTION("""COMPUTED_VALUE"""),45801.0)</f>
        <v>45801</v>
      </c>
      <c r="AO28" s="182" t="b">
        <f>IFERROR(__xludf.DUMMYFUNCTION("""COMPUTED_VALUE"""),FALSE)</f>
        <v>0</v>
      </c>
      <c r="AP28" s="182"/>
      <c r="AQ28" s="182"/>
      <c r="AR28" s="187">
        <f>IFERROR(__xludf.DUMMYFUNCTION("""COMPUTED_VALUE"""),45801.0)</f>
        <v>45801</v>
      </c>
      <c r="AS28" s="182"/>
      <c r="AT28" s="182"/>
      <c r="AU28" s="182"/>
      <c r="AV28" s="187">
        <f>IFERROR(__xludf.DUMMYFUNCTION("""COMPUTED_VALUE"""),45801.0)</f>
        <v>45801</v>
      </c>
      <c r="AW28" s="182" t="b">
        <f>IFERROR(__xludf.DUMMYFUNCTION("""COMPUTED_VALUE"""),FALSE)</f>
        <v>0</v>
      </c>
      <c r="AX28" s="182"/>
      <c r="AY28" s="182"/>
      <c r="AZ28" s="187">
        <f>IFERROR(__xludf.DUMMYFUNCTION("""COMPUTED_VALUE"""),45827.0)</f>
        <v>45827</v>
      </c>
      <c r="BA28" s="182" t="b">
        <f>IFERROR(__xludf.DUMMYFUNCTION("""COMPUTED_VALUE"""),FALSE)</f>
        <v>0</v>
      </c>
      <c r="BB28" s="187">
        <f>IFERROR(__xludf.DUMMYFUNCTION("""COMPUTED_VALUE"""),45827.0)</f>
        <v>45827</v>
      </c>
    </row>
    <row r="29">
      <c r="A29" s="184" t="str">
        <f t="shared" si="1"/>
        <v>#VALUE!</v>
      </c>
      <c r="B29" s="69" t="str">
        <f t="shared" si="2"/>
        <v>#VALUE!</v>
      </c>
      <c r="C29" s="182" t="str">
        <f>IFERROR(__xludf.DUMMYFUNCTION("""COMPUTED_VALUE"""),"JP")</f>
        <v>JP</v>
      </c>
      <c r="D29" s="182" t="str">
        <f>IFERROR(__xludf.DUMMYFUNCTION("""COMPUTED_VALUE"""),"MP")</f>
        <v>MP</v>
      </c>
      <c r="E29" s="182" t="str">
        <f>IFERROR(__xludf.DUMMYFUNCTION("""COMPUTED_VALUE"""),"Pristine")</f>
        <v>Pristine</v>
      </c>
      <c r="F29" s="182" t="str">
        <f>IFERROR(__xludf.DUMMYFUNCTION("""COMPUTED_VALUE"""),"GA10319-JP")</f>
        <v>GA10319-JP</v>
      </c>
      <c r="G29" s="182" t="str">
        <f>IFERROR(__xludf.DUMMYFUNCTION("""COMPUTED_VALUE"""),"GN4F5")</f>
        <v>GN4F5</v>
      </c>
      <c r="H29" s="182">
        <f>IFERROR(__xludf.DUMMYFUNCTION("""COMPUTED_VALUE"""),8.40353925687E11)</f>
        <v>840353925687</v>
      </c>
      <c r="I29" s="185" t="str">
        <f>IFERROR(__xludf.DUMMYFUNCTION("""COMPUTED_VALUE"""),"0840353925687")</f>
        <v>0840353925687</v>
      </c>
      <c r="J29" s="182"/>
      <c r="K29" s="182"/>
      <c r="L29" s="182"/>
      <c r="M29" s="188" t="str">
        <f>IFERROR(__xludf.DUMMYFUNCTION("""COMPUTED_VALUE"""),"G990-08529-43-02")</f>
        <v>G990-08529-43-02</v>
      </c>
      <c r="N29" s="182" t="str">
        <f>IFERROR(__xludf.DUMMYFUNCTION("""COMPUTED_VALUE"""),"N/A")</f>
        <v>N/A</v>
      </c>
      <c r="O29" s="188" t="str">
        <f>IFERROR(__xludf.DUMMYFUNCTION("""COMPUTED_VALUE"""),"G990-08495-00-01")</f>
        <v>G990-08495-00-01</v>
      </c>
      <c r="P29" s="182" t="str">
        <f>IFERROR(__xludf.DUMMYFUNCTION("""COMPUTED_VALUE"""),"BOB→B
Retail→A")</f>
        <v>BOB→B
Retail→A</v>
      </c>
      <c r="Q29" s="182" t="str">
        <f>IFERROR(__xludf.DUMMYFUNCTION("""COMPUTED_VALUE"""),"512GB")</f>
        <v>512GB</v>
      </c>
      <c r="R29" s="182" t="str">
        <f>IFERROR(__xludf.DUMMYFUNCTION("""COMPUTED_VALUE"""),"Jade")</f>
        <v>Jade</v>
      </c>
      <c r="S29" s="182" t="str">
        <f>IFERROR(__xludf.DUMMYFUNCTION("""COMPUTED_VALUE"""),"Smokey Green")</f>
        <v>Smokey Green</v>
      </c>
      <c r="T29" s="182" t="str">
        <f>IFERROR(__xludf.DUMMYFUNCTION("""COMPUTED_VALUE"""),"JP")</f>
        <v>JP</v>
      </c>
      <c r="U29" s="182" t="str">
        <f>IFERROR(__xludf.DUMMYFUNCTION("""COMPUTED_VALUE"""),"SKU,CLR4, BEST, SUB6, JP, BZ5")</f>
        <v>SKU,CLR4, BEST, SUB6, JP, BZ5</v>
      </c>
      <c r="V29" s="182"/>
      <c r="W29" s="183" t="str">
        <f>IFERROR(__xludf.DUMMYFUNCTION("""COMPUTED_VALUE"""),"#NUM!")</f>
        <v>#NUM!</v>
      </c>
      <c r="X29" s="186">
        <f>IFERROR(__xludf.DUMMYFUNCTION("""COMPUTED_VALUE"""),45831.0)</f>
        <v>45831</v>
      </c>
      <c r="Y29" s="187">
        <f>IFERROR(__xludf.DUMMYFUNCTION("""COMPUTED_VALUE"""),45780.0)</f>
        <v>45780</v>
      </c>
      <c r="Z29" s="182" t="b">
        <f>IFERROR(__xludf.DUMMYFUNCTION("""COMPUTED_VALUE"""),FALSE)</f>
        <v>0</v>
      </c>
      <c r="AA29" s="187">
        <f>IFERROR(__xludf.DUMMYFUNCTION("""COMPUTED_VALUE"""),45780.0)</f>
        <v>45780</v>
      </c>
      <c r="AB29" s="182" t="b">
        <f>IFERROR(__xludf.DUMMYFUNCTION("""COMPUTED_VALUE"""),FALSE)</f>
        <v>0</v>
      </c>
      <c r="AC29" s="187">
        <f>IFERROR(__xludf.DUMMYFUNCTION("""COMPUTED_VALUE"""),45787.0)</f>
        <v>45787</v>
      </c>
      <c r="AD29" s="187">
        <f>IFERROR(__xludf.DUMMYFUNCTION("""COMPUTED_VALUE"""),45787.0)</f>
        <v>45787</v>
      </c>
      <c r="AE29" s="182"/>
      <c r="AF29" s="182"/>
      <c r="AG29" s="182"/>
      <c r="AH29" s="182"/>
      <c r="AI29" s="188" t="str">
        <f>IFERROR(__xludf.DUMMYFUNCTION("""COMPUTED_VALUE"""),"GA10319-JP")</f>
        <v>GA10319-JP</v>
      </c>
      <c r="AJ29" s="187">
        <f>IFERROR(__xludf.DUMMYFUNCTION("""COMPUTED_VALUE"""),45793.0)</f>
        <v>45793</v>
      </c>
      <c r="AK29" s="187">
        <f>IFERROR(__xludf.DUMMYFUNCTION("""COMPUTED_VALUE"""),45801.0)</f>
        <v>45801</v>
      </c>
      <c r="AL29" s="182" t="b">
        <f>IFERROR(__xludf.DUMMYFUNCTION("""COMPUTED_VALUE"""),FALSE)</f>
        <v>0</v>
      </c>
      <c r="AM29" s="182" t="b">
        <f>IFERROR(__xludf.DUMMYFUNCTION("""COMPUTED_VALUE"""),FALSE)</f>
        <v>0</v>
      </c>
      <c r="AN29" s="187">
        <f>IFERROR(__xludf.DUMMYFUNCTION("""COMPUTED_VALUE"""),45801.0)</f>
        <v>45801</v>
      </c>
      <c r="AO29" s="182" t="b">
        <f>IFERROR(__xludf.DUMMYFUNCTION("""COMPUTED_VALUE"""),FALSE)</f>
        <v>0</v>
      </c>
      <c r="AP29" s="182"/>
      <c r="AQ29" s="182"/>
      <c r="AR29" s="187">
        <f>IFERROR(__xludf.DUMMYFUNCTION("""COMPUTED_VALUE"""),45801.0)</f>
        <v>45801</v>
      </c>
      <c r="AS29" s="182"/>
      <c r="AT29" s="182"/>
      <c r="AU29" s="182"/>
      <c r="AV29" s="187">
        <f>IFERROR(__xludf.DUMMYFUNCTION("""COMPUTED_VALUE"""),45801.0)</f>
        <v>45801</v>
      </c>
      <c r="AW29" s="182" t="b">
        <f>IFERROR(__xludf.DUMMYFUNCTION("""COMPUTED_VALUE"""),FALSE)</f>
        <v>0</v>
      </c>
      <c r="AX29" s="182"/>
      <c r="AY29" s="182"/>
      <c r="AZ29" s="187">
        <f>IFERROR(__xludf.DUMMYFUNCTION("""COMPUTED_VALUE"""),45827.0)</f>
        <v>45827</v>
      </c>
      <c r="BA29" s="182" t="b">
        <f>IFERROR(__xludf.DUMMYFUNCTION("""COMPUTED_VALUE"""),FALSE)</f>
        <v>0</v>
      </c>
      <c r="BB29" s="187">
        <f>IFERROR(__xludf.DUMMYFUNCTION("""COMPUTED_VALUE"""),45827.0)</f>
        <v>45827</v>
      </c>
    </row>
    <row r="30">
      <c r="A30" s="184" t="str">
        <f t="shared" si="1"/>
        <v>#VALUE!</v>
      </c>
      <c r="B30" s="69" t="str">
        <f t="shared" si="2"/>
        <v>#VALUE!</v>
      </c>
      <c r="C30" s="182" t="str">
        <f>IFERROR(__xludf.DUMMYFUNCTION("""COMPUTED_VALUE"""),"JP")</f>
        <v>JP</v>
      </c>
      <c r="D30" s="182" t="str">
        <f>IFERROR(__xludf.DUMMYFUNCTION("""COMPUTED_VALUE"""),"MP")</f>
        <v>MP</v>
      </c>
      <c r="E30" s="182" t="str">
        <f>IFERROR(__xludf.DUMMYFUNCTION("""COMPUTED_VALUE"""),"Pristine")</f>
        <v>Pristine</v>
      </c>
      <c r="F30" s="182" t="str">
        <f>IFERROR(__xludf.DUMMYFUNCTION("""COMPUTED_VALUE"""),"GA09934-JP")</f>
        <v>GA09934-JP</v>
      </c>
      <c r="G30" s="182" t="str">
        <f>IFERROR(__xludf.DUMMYFUNCTION("""COMPUTED_VALUE"""),"GN4F5")</f>
        <v>GN4F5</v>
      </c>
      <c r="H30" s="182">
        <f>IFERROR(__xludf.DUMMYFUNCTION("""COMPUTED_VALUE"""),8.40353925748E11)</f>
        <v>840353925748</v>
      </c>
      <c r="I30" s="185" t="str">
        <f>IFERROR(__xludf.DUMMYFUNCTION("""COMPUTED_VALUE"""),"0840353925748")</f>
        <v>0840353925748</v>
      </c>
      <c r="J30" s="182"/>
      <c r="K30" s="182"/>
      <c r="L30" s="182"/>
      <c r="M30" s="188" t="str">
        <f>IFERROR(__xludf.DUMMYFUNCTION("""COMPUTED_VALUE"""),"G990-08529-14-02")</f>
        <v>G990-08529-14-02</v>
      </c>
      <c r="N30" s="182" t="str">
        <f>IFERROR(__xludf.DUMMYFUNCTION("""COMPUTED_VALUE"""),"N/A")</f>
        <v>N/A</v>
      </c>
      <c r="O30" s="188" t="str">
        <f>IFERROR(__xludf.DUMMYFUNCTION("""COMPUTED_VALUE"""),"G990-08495-00-01")</f>
        <v>G990-08495-00-01</v>
      </c>
      <c r="P30" s="182" t="str">
        <f>IFERROR(__xludf.DUMMYFUNCTION("""COMPUTED_VALUE"""),"BOB→B
Retail→A")</f>
        <v>BOB→B
Retail→A</v>
      </c>
      <c r="Q30" s="182" t="str">
        <f>IFERROR(__xludf.DUMMYFUNCTION("""COMPUTED_VALUE"""),"1TB")</f>
        <v>1TB</v>
      </c>
      <c r="R30" s="182" t="str">
        <f>IFERROR(__xludf.DUMMYFUNCTION("""COMPUTED_VALUE"""),"Obsidian")</f>
        <v>Obsidian</v>
      </c>
      <c r="S30" s="182" t="str">
        <f>IFERROR(__xludf.DUMMYFUNCTION("""COMPUTED_VALUE"""),"Midnight")</f>
        <v>Midnight</v>
      </c>
      <c r="T30" s="182" t="str">
        <f>IFERROR(__xludf.DUMMYFUNCTION("""COMPUTED_VALUE"""),"JP")</f>
        <v>JP</v>
      </c>
      <c r="U30" s="182" t="str">
        <f>IFERROR(__xludf.DUMMYFUNCTION("""COMPUTED_VALUE"""),"SKU,CLR1, ULTRA, SUB6, JP, BZ5")</f>
        <v>SKU,CLR1, ULTRA, SUB6, JP, BZ5</v>
      </c>
      <c r="V30" s="182"/>
      <c r="W30" s="183" t="str">
        <f>IFERROR(__xludf.DUMMYFUNCTION("""COMPUTED_VALUE"""),"#NUM!")</f>
        <v>#NUM!</v>
      </c>
      <c r="X30" s="186">
        <f>IFERROR(__xludf.DUMMYFUNCTION("""COMPUTED_VALUE"""),45831.0)</f>
        <v>45831</v>
      </c>
      <c r="Y30" s="187">
        <f>IFERROR(__xludf.DUMMYFUNCTION("""COMPUTED_VALUE"""),45780.0)</f>
        <v>45780</v>
      </c>
      <c r="Z30" s="182" t="b">
        <f>IFERROR(__xludf.DUMMYFUNCTION("""COMPUTED_VALUE"""),FALSE)</f>
        <v>0</v>
      </c>
      <c r="AA30" s="187">
        <f>IFERROR(__xludf.DUMMYFUNCTION("""COMPUTED_VALUE"""),45780.0)</f>
        <v>45780</v>
      </c>
      <c r="AB30" s="182" t="b">
        <f>IFERROR(__xludf.DUMMYFUNCTION("""COMPUTED_VALUE"""),FALSE)</f>
        <v>0</v>
      </c>
      <c r="AC30" s="187">
        <f>IFERROR(__xludf.DUMMYFUNCTION("""COMPUTED_VALUE"""),45787.0)</f>
        <v>45787</v>
      </c>
      <c r="AD30" s="187">
        <f>IFERROR(__xludf.DUMMYFUNCTION("""COMPUTED_VALUE"""),45787.0)</f>
        <v>45787</v>
      </c>
      <c r="AE30" s="182"/>
      <c r="AF30" s="182"/>
      <c r="AG30" s="182"/>
      <c r="AH30" s="182"/>
      <c r="AI30" s="188" t="str">
        <f>IFERROR(__xludf.DUMMYFUNCTION("""COMPUTED_VALUE"""),"GA09934-JP")</f>
        <v>GA09934-JP</v>
      </c>
      <c r="AJ30" s="187">
        <f>IFERROR(__xludf.DUMMYFUNCTION("""COMPUTED_VALUE"""),45793.0)</f>
        <v>45793</v>
      </c>
      <c r="AK30" s="187">
        <f>IFERROR(__xludf.DUMMYFUNCTION("""COMPUTED_VALUE"""),45801.0)</f>
        <v>45801</v>
      </c>
      <c r="AL30" s="182" t="b">
        <f>IFERROR(__xludf.DUMMYFUNCTION("""COMPUTED_VALUE"""),FALSE)</f>
        <v>0</v>
      </c>
      <c r="AM30" s="182" t="b">
        <f>IFERROR(__xludf.DUMMYFUNCTION("""COMPUTED_VALUE"""),FALSE)</f>
        <v>0</v>
      </c>
      <c r="AN30" s="187">
        <f>IFERROR(__xludf.DUMMYFUNCTION("""COMPUTED_VALUE"""),45801.0)</f>
        <v>45801</v>
      </c>
      <c r="AO30" s="182" t="b">
        <f>IFERROR(__xludf.DUMMYFUNCTION("""COMPUTED_VALUE"""),FALSE)</f>
        <v>0</v>
      </c>
      <c r="AP30" s="182"/>
      <c r="AQ30" s="182"/>
      <c r="AR30" s="187">
        <f>IFERROR(__xludf.DUMMYFUNCTION("""COMPUTED_VALUE"""),45801.0)</f>
        <v>45801</v>
      </c>
      <c r="AS30" s="182"/>
      <c r="AT30" s="182"/>
      <c r="AU30" s="182"/>
      <c r="AV30" s="187">
        <f>IFERROR(__xludf.DUMMYFUNCTION("""COMPUTED_VALUE"""),45801.0)</f>
        <v>45801</v>
      </c>
      <c r="AW30" s="182" t="b">
        <f>IFERROR(__xludf.DUMMYFUNCTION("""COMPUTED_VALUE"""),FALSE)</f>
        <v>0</v>
      </c>
      <c r="AX30" s="182"/>
      <c r="AY30" s="182"/>
      <c r="AZ30" s="187">
        <f>IFERROR(__xludf.DUMMYFUNCTION("""COMPUTED_VALUE"""),45827.0)</f>
        <v>45827</v>
      </c>
      <c r="BA30" s="182" t="b">
        <f>IFERROR(__xludf.DUMMYFUNCTION("""COMPUTED_VALUE"""),FALSE)</f>
        <v>0</v>
      </c>
      <c r="BB30" s="187">
        <f>IFERROR(__xludf.DUMMYFUNCTION("""COMPUTED_VALUE"""),45827.0)</f>
        <v>45827</v>
      </c>
    </row>
    <row r="31">
      <c r="A31" s="184" t="str">
        <f t="shared" si="1"/>
        <v>#VALUE!</v>
      </c>
      <c r="B31" s="69" t="str">
        <f t="shared" si="2"/>
        <v>#VALUE!</v>
      </c>
      <c r="C31" s="182" t="str">
        <f>IFERROR(__xludf.DUMMYFUNCTION("""COMPUTED_VALUE"""),"JP")</f>
        <v>JP</v>
      </c>
      <c r="D31" s="182" t="str">
        <f>IFERROR(__xludf.DUMMYFUNCTION("""COMPUTED_VALUE"""),"MP")</f>
        <v>MP</v>
      </c>
      <c r="E31" s="182" t="str">
        <f>IFERROR(__xludf.DUMMYFUNCTION("""COMPUTED_VALUE"""),"Pristine")</f>
        <v>Pristine</v>
      </c>
      <c r="F31" s="182" t="str">
        <f>IFERROR(__xludf.DUMMYFUNCTION("""COMPUTED_VALUE"""),"GA10320-JP")</f>
        <v>GA10320-JP</v>
      </c>
      <c r="G31" s="182" t="str">
        <f>IFERROR(__xludf.DUMMYFUNCTION("""COMPUTED_VALUE"""),"GN4F5")</f>
        <v>GN4F5</v>
      </c>
      <c r="H31" s="182">
        <f>IFERROR(__xludf.DUMMYFUNCTION("""COMPUTED_VALUE"""),8.40353925793E11)</f>
        <v>840353925793</v>
      </c>
      <c r="I31" s="185" t="str">
        <f>IFERROR(__xludf.DUMMYFUNCTION("""COMPUTED_VALUE"""),"0840353925793")</f>
        <v>0840353925793</v>
      </c>
      <c r="J31" s="182"/>
      <c r="K31" s="182"/>
      <c r="L31" s="182"/>
      <c r="M31" s="188" t="str">
        <f>IFERROR(__xludf.DUMMYFUNCTION("""COMPUTED_VALUE"""),"G990-08529-34-02")</f>
        <v>G990-08529-34-02</v>
      </c>
      <c r="N31" s="182" t="str">
        <f>IFERROR(__xludf.DUMMYFUNCTION("""COMPUTED_VALUE"""),"N/A")</f>
        <v>N/A</v>
      </c>
      <c r="O31" s="188" t="str">
        <f>IFERROR(__xludf.DUMMYFUNCTION("""COMPUTED_VALUE"""),"G990-08495-00-01")</f>
        <v>G990-08495-00-01</v>
      </c>
      <c r="P31" s="182" t="str">
        <f>IFERROR(__xludf.DUMMYFUNCTION("""COMPUTED_VALUE"""),"BOB→B
Retail→A")</f>
        <v>BOB→B
Retail→A</v>
      </c>
      <c r="Q31" s="182" t="str">
        <f>IFERROR(__xludf.DUMMYFUNCTION("""COMPUTED_VALUE"""),"1TB")</f>
        <v>1TB</v>
      </c>
      <c r="R31" s="182" t="str">
        <f>IFERROR(__xludf.DUMMYFUNCTION("""COMPUTED_VALUE"""),"Moonstone")</f>
        <v>Moonstone</v>
      </c>
      <c r="S31" s="182" t="str">
        <f>IFERROR(__xludf.DUMMYFUNCTION("""COMPUTED_VALUE"""),"Sterling")</f>
        <v>Sterling</v>
      </c>
      <c r="T31" s="182" t="str">
        <f>IFERROR(__xludf.DUMMYFUNCTION("""COMPUTED_VALUE"""),"JP")</f>
        <v>JP</v>
      </c>
      <c r="U31" s="182" t="str">
        <f>IFERROR(__xludf.DUMMYFUNCTION("""COMPUTED_VALUE"""),"SKU,CLR3, ULTRA, SUB6, JP, BZ5")</f>
        <v>SKU,CLR3, ULTRA, SUB6, JP, BZ5</v>
      </c>
      <c r="V31" s="182"/>
      <c r="W31" s="183" t="str">
        <f>IFERROR(__xludf.DUMMYFUNCTION("""COMPUTED_VALUE"""),"#NUM!")</f>
        <v>#NUM!</v>
      </c>
      <c r="X31" s="186">
        <f>IFERROR(__xludf.DUMMYFUNCTION("""COMPUTED_VALUE"""),45831.0)</f>
        <v>45831</v>
      </c>
      <c r="Y31" s="187">
        <f>IFERROR(__xludf.DUMMYFUNCTION("""COMPUTED_VALUE"""),45780.0)</f>
        <v>45780</v>
      </c>
      <c r="Z31" s="182" t="b">
        <f>IFERROR(__xludf.DUMMYFUNCTION("""COMPUTED_VALUE"""),FALSE)</f>
        <v>0</v>
      </c>
      <c r="AA31" s="187">
        <f>IFERROR(__xludf.DUMMYFUNCTION("""COMPUTED_VALUE"""),45780.0)</f>
        <v>45780</v>
      </c>
      <c r="AB31" s="182" t="b">
        <f>IFERROR(__xludf.DUMMYFUNCTION("""COMPUTED_VALUE"""),FALSE)</f>
        <v>0</v>
      </c>
      <c r="AC31" s="187">
        <f>IFERROR(__xludf.DUMMYFUNCTION("""COMPUTED_VALUE"""),45787.0)</f>
        <v>45787</v>
      </c>
      <c r="AD31" s="187">
        <f>IFERROR(__xludf.DUMMYFUNCTION("""COMPUTED_VALUE"""),45787.0)</f>
        <v>45787</v>
      </c>
      <c r="AE31" s="182"/>
      <c r="AF31" s="182"/>
      <c r="AG31" s="182"/>
      <c r="AH31" s="182"/>
      <c r="AI31" s="188" t="str">
        <f>IFERROR(__xludf.DUMMYFUNCTION("""COMPUTED_VALUE"""),"GA10320-JP")</f>
        <v>GA10320-JP</v>
      </c>
      <c r="AJ31" s="187">
        <f>IFERROR(__xludf.DUMMYFUNCTION("""COMPUTED_VALUE"""),45793.0)</f>
        <v>45793</v>
      </c>
      <c r="AK31" s="187">
        <f>IFERROR(__xludf.DUMMYFUNCTION("""COMPUTED_VALUE"""),45801.0)</f>
        <v>45801</v>
      </c>
      <c r="AL31" s="182" t="b">
        <f>IFERROR(__xludf.DUMMYFUNCTION("""COMPUTED_VALUE"""),FALSE)</f>
        <v>0</v>
      </c>
      <c r="AM31" s="182" t="b">
        <f>IFERROR(__xludf.DUMMYFUNCTION("""COMPUTED_VALUE"""),FALSE)</f>
        <v>0</v>
      </c>
      <c r="AN31" s="187">
        <f>IFERROR(__xludf.DUMMYFUNCTION("""COMPUTED_VALUE"""),45801.0)</f>
        <v>45801</v>
      </c>
      <c r="AO31" s="182" t="b">
        <f>IFERROR(__xludf.DUMMYFUNCTION("""COMPUTED_VALUE"""),FALSE)</f>
        <v>0</v>
      </c>
      <c r="AP31" s="182"/>
      <c r="AQ31" s="182"/>
      <c r="AR31" s="187">
        <f>IFERROR(__xludf.DUMMYFUNCTION("""COMPUTED_VALUE"""),45801.0)</f>
        <v>45801</v>
      </c>
      <c r="AS31" s="182"/>
      <c r="AT31" s="182"/>
      <c r="AU31" s="182"/>
      <c r="AV31" s="187">
        <f>IFERROR(__xludf.DUMMYFUNCTION("""COMPUTED_VALUE"""),45801.0)</f>
        <v>45801</v>
      </c>
      <c r="AW31" s="182" t="b">
        <f>IFERROR(__xludf.DUMMYFUNCTION("""COMPUTED_VALUE"""),FALSE)</f>
        <v>0</v>
      </c>
      <c r="AX31" s="182"/>
      <c r="AY31" s="182"/>
      <c r="AZ31" s="187">
        <f>IFERROR(__xludf.DUMMYFUNCTION("""COMPUTED_VALUE"""),45827.0)</f>
        <v>45827</v>
      </c>
      <c r="BA31" s="182" t="b">
        <f>IFERROR(__xludf.DUMMYFUNCTION("""COMPUTED_VALUE"""),FALSE)</f>
        <v>0</v>
      </c>
      <c r="BB31" s="187">
        <f>IFERROR(__xludf.DUMMYFUNCTION("""COMPUTED_VALUE"""),45827.0)</f>
        <v>45827</v>
      </c>
    </row>
    <row r="32">
      <c r="A32" s="184" t="str">
        <f t="shared" si="1"/>
        <v>G990-08528-11-B</v>
      </c>
      <c r="B32" s="69" t="str">
        <f t="shared" si="2"/>
        <v>G990-08494-00-A</v>
      </c>
      <c r="C32" s="182" t="str">
        <f>IFERROR(__xludf.DUMMYFUNCTION("""COMPUTED_VALUE"""),"CA/TW/SG/AU/MY/MX")</f>
        <v>CA/TW/SG/AU/MY/MX</v>
      </c>
      <c r="D32" s="182" t="str">
        <f>IFERROR(__xludf.DUMMYFUNCTION("""COMPUTED_VALUE"""),"MP")</f>
        <v>MP</v>
      </c>
      <c r="E32" s="182" t="str">
        <f>IFERROR(__xludf.DUMMYFUNCTION("""COMPUTED_VALUE"""),"Pristine")</f>
        <v>Pristine</v>
      </c>
      <c r="F32" s="182" t="str">
        <f>IFERROR(__xludf.DUMMYFUNCTION("""COMPUTED_VALUE"""),"GA09601-CA")</f>
        <v>GA09601-CA</v>
      </c>
      <c r="G32" s="182" t="str">
        <f>IFERROR(__xludf.DUMMYFUNCTION("""COMPUTED_VALUE"""),"GEHN3")</f>
        <v>GEHN3</v>
      </c>
      <c r="H32" s="182">
        <f>IFERROR(__xludf.DUMMYFUNCTION("""COMPUTED_VALUE"""),8.40353925953E11)</f>
        <v>840353925953</v>
      </c>
      <c r="I32" s="185" t="str">
        <f>IFERROR(__xludf.DUMMYFUNCTION("""COMPUTED_VALUE"""),"0840353925953")</f>
        <v>0840353925953</v>
      </c>
      <c r="J32" s="182"/>
      <c r="K32" s="182" t="str">
        <f>IFERROR(__xludf.DUMMYFUNCTION("""COMPUTED_VALUE"""),"ROW Master Carton Label (UPC)")</f>
        <v>ROW Master Carton Label (UPC)</v>
      </c>
      <c r="L32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32" s="182" t="str">
        <f>IFERROR(__xludf.DUMMYFUNCTION("""COMPUTED_VALUE"""),"G990-08528-11-02
G990-08528-11-B")</f>
        <v>G990-08528-11-02
G990-08528-11-B</v>
      </c>
      <c r="N32" s="182" t="str">
        <f>IFERROR(__xludf.DUMMYFUNCTION("""COMPUTED_VALUE"""),"N/A")</f>
        <v>N/A</v>
      </c>
      <c r="O32" s="182" t="str">
        <f>IFERROR(__xludf.DUMMYFUNCTION("""COMPUTED_VALUE"""),"G990-08494-00-01
G990-08494-00-A")</f>
        <v>G990-08494-00-01
G990-08494-00-A</v>
      </c>
      <c r="P32" s="182" t="str">
        <f>IFERROR(__xludf.DUMMYFUNCTION("""COMPUTED_VALUE"""),"BOB→B
Retail→A")</f>
        <v>BOB→B
Retail→A</v>
      </c>
      <c r="Q32" s="182" t="str">
        <f>IFERROR(__xludf.DUMMYFUNCTION("""COMPUTED_VALUE"""),"128GB")</f>
        <v>128GB</v>
      </c>
      <c r="R32" s="182" t="str">
        <f>IFERROR(__xludf.DUMMYFUNCTION("""COMPUTED_VALUE"""),"Obsidian")</f>
        <v>Obsidian</v>
      </c>
      <c r="S32" s="182" t="str">
        <f>IFERROR(__xludf.DUMMYFUNCTION("""COMPUTED_VALUE"""),"Midnight")</f>
        <v>Midnight</v>
      </c>
      <c r="T32" s="182" t="str">
        <f>IFERROR(__xludf.DUMMYFUNCTION("""COMPUTED_VALUE"""),"CA/TW/SG/AU/MY/MX")</f>
        <v>CA/TW/SG/AU/MY/MX</v>
      </c>
      <c r="U32" s="182" t="str">
        <f>IFERROR(__xludf.DUMMYFUNCTION("""COMPUTED_VALUE"""),"SKU,CLR1, GOOD, SUB6, CA/TW/SG/AU/MY/MX, BZ5")</f>
        <v>SKU,CLR1, GOOD, SUB6, CA/TW/SG/AU/MY/MX, BZ5</v>
      </c>
      <c r="V32" s="182"/>
      <c r="W32" s="183" t="str">
        <f>IFERROR(__xludf.DUMMYFUNCTION("""COMPUTED_VALUE"""),"#NUM!")</f>
        <v>#NUM!</v>
      </c>
      <c r="X32" s="186">
        <f>IFERROR(__xludf.DUMMYFUNCTION("""COMPUTED_VALUE"""),45831.0)</f>
        <v>45831</v>
      </c>
      <c r="Y32" s="187">
        <f>IFERROR(__xludf.DUMMYFUNCTION("""COMPUTED_VALUE"""),45780.0)</f>
        <v>45780</v>
      </c>
      <c r="Z32" s="182" t="b">
        <f>IFERROR(__xludf.DUMMYFUNCTION("""COMPUTED_VALUE"""),TRUE)</f>
        <v>1</v>
      </c>
      <c r="AA32" s="187">
        <f>IFERROR(__xludf.DUMMYFUNCTION("""COMPUTED_VALUE"""),45780.0)</f>
        <v>45780</v>
      </c>
      <c r="AB32" s="182" t="b">
        <f>IFERROR(__xludf.DUMMYFUNCTION("""COMPUTED_VALUE"""),FALSE)</f>
        <v>0</v>
      </c>
      <c r="AC32" s="187">
        <f>IFERROR(__xludf.DUMMYFUNCTION("""COMPUTED_VALUE"""),45787.0)</f>
        <v>45787</v>
      </c>
      <c r="AD32" s="187">
        <f>IFERROR(__xludf.DUMMYFUNCTION("""COMPUTED_VALUE"""),45787.0)</f>
        <v>45787</v>
      </c>
      <c r="AE32" s="182" t="str">
        <f>IFERROR(__xludf.DUMMYFUNCTION("""COMPUTED_VALUE"""),"GA09601-CA
GA09601-CA RevA")</f>
        <v>GA09601-CA
GA09601-CA RevA</v>
      </c>
      <c r="AF32" s="182"/>
      <c r="AG32" s="188" t="str">
        <f>IFERROR(__xludf.DUMMYFUNCTION("""COMPUTED_VALUE"""),"GA09601-CA")</f>
        <v>GA09601-CA</v>
      </c>
      <c r="AH32" s="182" t="str">
        <f>IFERROR(__xludf.DUMMYFUNCTION("""COMPUTED_VALUE"""),"GA09601-CA
GA09601-CA RevB")</f>
        <v>GA09601-CA
GA09601-CA RevB</v>
      </c>
      <c r="AI32" s="188" t="str">
        <f>IFERROR(__xludf.DUMMYFUNCTION("""COMPUTED_VALUE"""),"GA09601-CA")</f>
        <v>GA09601-CA</v>
      </c>
      <c r="AJ32" s="187">
        <f>IFERROR(__xludf.DUMMYFUNCTION("""COMPUTED_VALUE"""),45793.0)</f>
        <v>45793</v>
      </c>
      <c r="AK32" s="187">
        <f>IFERROR(__xludf.DUMMYFUNCTION("""COMPUTED_VALUE"""),45801.0)</f>
        <v>45801</v>
      </c>
      <c r="AL32" s="182" t="b">
        <f>IFERROR(__xludf.DUMMYFUNCTION("""COMPUTED_VALUE"""),TRUE)</f>
        <v>1</v>
      </c>
      <c r="AM32" s="182" t="b">
        <f>IFERROR(__xludf.DUMMYFUNCTION("""COMPUTED_VALUE"""),TRUE)</f>
        <v>1</v>
      </c>
      <c r="AN32" s="187">
        <f>IFERROR(__xludf.DUMMYFUNCTION("""COMPUTED_VALUE"""),45801.0)</f>
        <v>45801</v>
      </c>
      <c r="AO32" s="182" t="b">
        <f>IFERROR(__xludf.DUMMYFUNCTION("""COMPUTED_VALUE"""),TRUE)</f>
        <v>1</v>
      </c>
      <c r="AP32" s="182" t="str">
        <f>IFERROR(__xludf.DUMMYFUNCTION("""COMPUTED_VALUE"""),"N")</f>
        <v>N</v>
      </c>
      <c r="AQ32" s="182"/>
      <c r="AR32" s="187">
        <f>IFERROR(__xludf.DUMMYFUNCTION("""COMPUTED_VALUE"""),45801.0)</f>
        <v>45801</v>
      </c>
      <c r="AS32" s="182" t="b">
        <f>IFERROR(__xludf.DUMMYFUNCTION("""COMPUTED_VALUE"""),FALSE)</f>
        <v>0</v>
      </c>
      <c r="AT32" s="182"/>
      <c r="AU32" s="182"/>
      <c r="AV32" s="187">
        <f>IFERROR(__xludf.DUMMYFUNCTION("""COMPUTED_VALUE"""),45801.0)</f>
        <v>45801</v>
      </c>
      <c r="AW32" s="182" t="b">
        <f>IFERROR(__xludf.DUMMYFUNCTION("""COMPUTED_VALUE"""),TRUE)</f>
        <v>1</v>
      </c>
      <c r="AX32" s="182" t="str">
        <f>IFERROR(__xludf.DUMMYFUNCTION("""COMPUTED_VALUE"""),"N")</f>
        <v>N</v>
      </c>
      <c r="AY32" s="182"/>
      <c r="AZ32" s="187">
        <f>IFERROR(__xludf.DUMMYFUNCTION("""COMPUTED_VALUE"""),45827.0)</f>
        <v>45827</v>
      </c>
      <c r="BA32" s="182" t="b">
        <f>IFERROR(__xludf.DUMMYFUNCTION("""COMPUTED_VALUE"""),FALSE)</f>
        <v>0</v>
      </c>
      <c r="BB32" s="187">
        <f>IFERROR(__xludf.DUMMYFUNCTION("""COMPUTED_VALUE"""),45827.0)</f>
        <v>45827</v>
      </c>
    </row>
    <row r="33">
      <c r="A33" s="184" t="str">
        <f t="shared" si="1"/>
        <v>G990-08528-21-B</v>
      </c>
      <c r="B33" s="69" t="str">
        <f t="shared" si="2"/>
        <v>G990-08494-00-A</v>
      </c>
      <c r="C33" s="182" t="str">
        <f>IFERROR(__xludf.DUMMYFUNCTION("""COMPUTED_VALUE"""),"CA/TW/SG/AU/MY/MX")</f>
        <v>CA/TW/SG/AU/MY/MX</v>
      </c>
      <c r="D33" s="182" t="str">
        <f>IFERROR(__xludf.DUMMYFUNCTION("""COMPUTED_VALUE"""),"MP")</f>
        <v>MP</v>
      </c>
      <c r="E33" s="182" t="str">
        <f>IFERROR(__xludf.DUMMYFUNCTION("""COMPUTED_VALUE"""),"Pristine")</f>
        <v>Pristine</v>
      </c>
      <c r="F33" s="182" t="str">
        <f>IFERROR(__xludf.DUMMYFUNCTION("""COMPUTED_VALUE"""),"GA10312-CA")</f>
        <v>GA10312-CA</v>
      </c>
      <c r="G33" s="182" t="str">
        <f>IFERROR(__xludf.DUMMYFUNCTION("""COMPUTED_VALUE"""),"GEHN3")</f>
        <v>GEHN3</v>
      </c>
      <c r="H33" s="182">
        <f>IFERROR(__xludf.DUMMYFUNCTION("""COMPUTED_VALUE"""),8.40353926028E11)</f>
        <v>840353926028</v>
      </c>
      <c r="I33" s="185" t="str">
        <f>IFERROR(__xludf.DUMMYFUNCTION("""COMPUTED_VALUE"""),"0840353926028")</f>
        <v>0840353926028</v>
      </c>
      <c r="J33" s="182"/>
      <c r="K33" s="182" t="str">
        <f>IFERROR(__xludf.DUMMYFUNCTION("""COMPUTED_VALUE"""),"ROW Master Carton Label (UPC)")</f>
        <v>ROW Master Carton Label (UPC)</v>
      </c>
      <c r="L33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33" s="182" t="str">
        <f>IFERROR(__xludf.DUMMYFUNCTION("""COMPUTED_VALUE"""),"G990-08528-21-02
G990-08528-21-B")</f>
        <v>G990-08528-21-02
G990-08528-21-B</v>
      </c>
      <c r="N33" s="182" t="str">
        <f>IFERROR(__xludf.DUMMYFUNCTION("""COMPUTED_VALUE"""),"N/A")</f>
        <v>N/A</v>
      </c>
      <c r="O33" s="182" t="str">
        <f>IFERROR(__xludf.DUMMYFUNCTION("""COMPUTED_VALUE"""),"G990-08494-00-01
G990-08494-00-A")</f>
        <v>G990-08494-00-01
G990-08494-00-A</v>
      </c>
      <c r="P33" s="182" t="str">
        <f>IFERROR(__xludf.DUMMYFUNCTION("""COMPUTED_VALUE"""),"BOB→B
Retail→A")</f>
        <v>BOB→B
Retail→A</v>
      </c>
      <c r="Q33" s="182" t="str">
        <f>IFERROR(__xludf.DUMMYFUNCTION("""COMPUTED_VALUE"""),"128GB")</f>
        <v>128GB</v>
      </c>
      <c r="R33" s="182" t="str">
        <f>IFERROR(__xludf.DUMMYFUNCTION("""COMPUTED_VALUE"""),"Porcelain")</f>
        <v>Porcelain</v>
      </c>
      <c r="S33" s="182" t="str">
        <f>IFERROR(__xludf.DUMMYFUNCTION("""COMPUTED_VALUE"""),"Light Porcelain")</f>
        <v>Light Porcelain</v>
      </c>
      <c r="T33" s="182" t="str">
        <f>IFERROR(__xludf.DUMMYFUNCTION("""COMPUTED_VALUE"""),"CA/TW/SG/AU/MY/MX")</f>
        <v>CA/TW/SG/AU/MY/MX</v>
      </c>
      <c r="U33" s="182" t="str">
        <f>IFERROR(__xludf.DUMMYFUNCTION("""COMPUTED_VALUE"""),"SKU,CLR2, GOOD, SUB6, CA/TW/SG/AU/MY/MX, BZ5")</f>
        <v>SKU,CLR2, GOOD, SUB6, CA/TW/SG/AU/MY/MX, BZ5</v>
      </c>
      <c r="V33" s="182"/>
      <c r="W33" s="183" t="str">
        <f>IFERROR(__xludf.DUMMYFUNCTION("""COMPUTED_VALUE"""),"#NUM!")</f>
        <v>#NUM!</v>
      </c>
      <c r="X33" s="186">
        <f>IFERROR(__xludf.DUMMYFUNCTION("""COMPUTED_VALUE"""),45831.0)</f>
        <v>45831</v>
      </c>
      <c r="Y33" s="187">
        <f>IFERROR(__xludf.DUMMYFUNCTION("""COMPUTED_VALUE"""),45780.0)</f>
        <v>45780</v>
      </c>
      <c r="Z33" s="182" t="b">
        <f>IFERROR(__xludf.DUMMYFUNCTION("""COMPUTED_VALUE"""),TRUE)</f>
        <v>1</v>
      </c>
      <c r="AA33" s="187">
        <f>IFERROR(__xludf.DUMMYFUNCTION("""COMPUTED_VALUE"""),45780.0)</f>
        <v>45780</v>
      </c>
      <c r="AB33" s="182" t="b">
        <f>IFERROR(__xludf.DUMMYFUNCTION("""COMPUTED_VALUE"""),FALSE)</f>
        <v>0</v>
      </c>
      <c r="AC33" s="187">
        <f>IFERROR(__xludf.DUMMYFUNCTION("""COMPUTED_VALUE"""),45787.0)</f>
        <v>45787</v>
      </c>
      <c r="AD33" s="187">
        <f>IFERROR(__xludf.DUMMYFUNCTION("""COMPUTED_VALUE"""),45787.0)</f>
        <v>45787</v>
      </c>
      <c r="AE33" s="182" t="str">
        <f>IFERROR(__xludf.DUMMYFUNCTION("""COMPUTED_VALUE"""),"GA10312-CA
GA10312-CA RevA")</f>
        <v>GA10312-CA
GA10312-CA RevA</v>
      </c>
      <c r="AF33" s="182"/>
      <c r="AG33" s="188" t="str">
        <f>IFERROR(__xludf.DUMMYFUNCTION("""COMPUTED_VALUE"""),"GA10312-CA")</f>
        <v>GA10312-CA</v>
      </c>
      <c r="AH33" s="182" t="str">
        <f>IFERROR(__xludf.DUMMYFUNCTION("""COMPUTED_VALUE"""),"GA10312-CA
GA10312-CA RevB")</f>
        <v>GA10312-CA
GA10312-CA RevB</v>
      </c>
      <c r="AI33" s="188" t="str">
        <f>IFERROR(__xludf.DUMMYFUNCTION("""COMPUTED_VALUE"""),"GA10312-CA")</f>
        <v>GA10312-CA</v>
      </c>
      <c r="AJ33" s="187">
        <f>IFERROR(__xludf.DUMMYFUNCTION("""COMPUTED_VALUE"""),45793.0)</f>
        <v>45793</v>
      </c>
      <c r="AK33" s="187">
        <f>IFERROR(__xludf.DUMMYFUNCTION("""COMPUTED_VALUE"""),45801.0)</f>
        <v>45801</v>
      </c>
      <c r="AL33" s="182" t="b">
        <f>IFERROR(__xludf.DUMMYFUNCTION("""COMPUTED_VALUE"""),TRUE)</f>
        <v>1</v>
      </c>
      <c r="AM33" s="182" t="b">
        <f>IFERROR(__xludf.DUMMYFUNCTION("""COMPUTED_VALUE"""),TRUE)</f>
        <v>1</v>
      </c>
      <c r="AN33" s="187">
        <f>IFERROR(__xludf.DUMMYFUNCTION("""COMPUTED_VALUE"""),45801.0)</f>
        <v>45801</v>
      </c>
      <c r="AO33" s="182" t="b">
        <f>IFERROR(__xludf.DUMMYFUNCTION("""COMPUTED_VALUE"""),TRUE)</f>
        <v>1</v>
      </c>
      <c r="AP33" s="182" t="str">
        <f>IFERROR(__xludf.DUMMYFUNCTION("""COMPUTED_VALUE"""),"N")</f>
        <v>N</v>
      </c>
      <c r="AQ33" s="182"/>
      <c r="AR33" s="187">
        <f>IFERROR(__xludf.DUMMYFUNCTION("""COMPUTED_VALUE"""),45801.0)</f>
        <v>45801</v>
      </c>
      <c r="AS33" s="182" t="b">
        <f>IFERROR(__xludf.DUMMYFUNCTION("""COMPUTED_VALUE"""),FALSE)</f>
        <v>0</v>
      </c>
      <c r="AT33" s="182"/>
      <c r="AU33" s="182"/>
      <c r="AV33" s="187">
        <f>IFERROR(__xludf.DUMMYFUNCTION("""COMPUTED_VALUE"""),45801.0)</f>
        <v>45801</v>
      </c>
      <c r="AW33" s="182" t="b">
        <f>IFERROR(__xludf.DUMMYFUNCTION("""COMPUTED_VALUE"""),TRUE)</f>
        <v>1</v>
      </c>
      <c r="AX33" s="182" t="str">
        <f>IFERROR(__xludf.DUMMYFUNCTION("""COMPUTED_VALUE"""),"N")</f>
        <v>N</v>
      </c>
      <c r="AY33" s="182"/>
      <c r="AZ33" s="187">
        <f>IFERROR(__xludf.DUMMYFUNCTION("""COMPUTED_VALUE"""),45827.0)</f>
        <v>45827</v>
      </c>
      <c r="BA33" s="182" t="b">
        <f>IFERROR(__xludf.DUMMYFUNCTION("""COMPUTED_VALUE"""),FALSE)</f>
        <v>0</v>
      </c>
      <c r="BB33" s="187">
        <f>IFERROR(__xludf.DUMMYFUNCTION("""COMPUTED_VALUE"""),45827.0)</f>
        <v>45827</v>
      </c>
    </row>
    <row r="34">
      <c r="A34" s="184" t="str">
        <f t="shared" si="1"/>
        <v>G990-08528-31-B</v>
      </c>
      <c r="B34" s="69" t="str">
        <f t="shared" si="2"/>
        <v>G990-08494-00-A</v>
      </c>
      <c r="C34" s="182" t="str">
        <f>IFERROR(__xludf.DUMMYFUNCTION("""COMPUTED_VALUE"""),"CA/TW/SG/AU/MY/MX")</f>
        <v>CA/TW/SG/AU/MY/MX</v>
      </c>
      <c r="D34" s="182" t="str">
        <f>IFERROR(__xludf.DUMMYFUNCTION("""COMPUTED_VALUE"""),"MP")</f>
        <v>MP</v>
      </c>
      <c r="E34" s="182" t="str">
        <f>IFERROR(__xludf.DUMMYFUNCTION("""COMPUTED_VALUE"""),"Pristine")</f>
        <v>Pristine</v>
      </c>
      <c r="F34" s="182" t="str">
        <f>IFERROR(__xludf.DUMMYFUNCTION("""COMPUTED_VALUE"""),"GA10313-CA")</f>
        <v>GA10313-CA</v>
      </c>
      <c r="G34" s="182" t="str">
        <f>IFERROR(__xludf.DUMMYFUNCTION("""COMPUTED_VALUE"""),"GEHN3")</f>
        <v>GEHN3</v>
      </c>
      <c r="H34" s="182">
        <f>IFERROR(__xludf.DUMMYFUNCTION("""COMPUTED_VALUE"""),8.40353925991E11)</f>
        <v>840353925991</v>
      </c>
      <c r="I34" s="185" t="str">
        <f>IFERROR(__xludf.DUMMYFUNCTION("""COMPUTED_VALUE"""),"0840353925991")</f>
        <v>0840353925991</v>
      </c>
      <c r="J34" s="182"/>
      <c r="K34" s="182" t="str">
        <f>IFERROR(__xludf.DUMMYFUNCTION("""COMPUTED_VALUE"""),"ROW Master Carton Label (UPC)")</f>
        <v>ROW Master Carton Label (UPC)</v>
      </c>
      <c r="L34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34" s="182" t="str">
        <f>IFERROR(__xludf.DUMMYFUNCTION("""COMPUTED_VALUE"""),"G990-08528-31-02
G990-08528-31-B")</f>
        <v>G990-08528-31-02
G990-08528-31-B</v>
      </c>
      <c r="N34" s="182" t="str">
        <f>IFERROR(__xludf.DUMMYFUNCTION("""COMPUTED_VALUE"""),"N/A")</f>
        <v>N/A</v>
      </c>
      <c r="O34" s="182" t="str">
        <f>IFERROR(__xludf.DUMMYFUNCTION("""COMPUTED_VALUE"""),"G990-08494-00-01
G990-08494-00-A")</f>
        <v>G990-08494-00-01
G990-08494-00-A</v>
      </c>
      <c r="P34" s="182" t="str">
        <f>IFERROR(__xludf.DUMMYFUNCTION("""COMPUTED_VALUE"""),"BOB→B
Retail→A")</f>
        <v>BOB→B
Retail→A</v>
      </c>
      <c r="Q34" s="182" t="str">
        <f>IFERROR(__xludf.DUMMYFUNCTION("""COMPUTED_VALUE"""),"128GB")</f>
        <v>128GB</v>
      </c>
      <c r="R34" s="182" t="str">
        <f>IFERROR(__xludf.DUMMYFUNCTION("""COMPUTED_VALUE"""),"Moonstone")</f>
        <v>Moonstone</v>
      </c>
      <c r="S34" s="182" t="str">
        <f>IFERROR(__xludf.DUMMYFUNCTION("""COMPUTED_VALUE"""),"Sterling")</f>
        <v>Sterling</v>
      </c>
      <c r="T34" s="182" t="str">
        <f>IFERROR(__xludf.DUMMYFUNCTION("""COMPUTED_VALUE"""),"CA/TW/SG/AU/MY/MX")</f>
        <v>CA/TW/SG/AU/MY/MX</v>
      </c>
      <c r="U34" s="182" t="str">
        <f>IFERROR(__xludf.DUMMYFUNCTION("""COMPUTED_VALUE"""),"SKU,CLR3, GOOD, SUB6, CA/TW/SG/AU/MY/MX, BZ5")</f>
        <v>SKU,CLR3, GOOD, SUB6, CA/TW/SG/AU/MY/MX, BZ5</v>
      </c>
      <c r="V34" s="182"/>
      <c r="W34" s="183" t="str">
        <f>IFERROR(__xludf.DUMMYFUNCTION("""COMPUTED_VALUE"""),"#NUM!")</f>
        <v>#NUM!</v>
      </c>
      <c r="X34" s="186">
        <f>IFERROR(__xludf.DUMMYFUNCTION("""COMPUTED_VALUE"""),45831.0)</f>
        <v>45831</v>
      </c>
      <c r="Y34" s="187">
        <f>IFERROR(__xludf.DUMMYFUNCTION("""COMPUTED_VALUE"""),45780.0)</f>
        <v>45780</v>
      </c>
      <c r="Z34" s="182" t="b">
        <f>IFERROR(__xludf.DUMMYFUNCTION("""COMPUTED_VALUE"""),TRUE)</f>
        <v>1</v>
      </c>
      <c r="AA34" s="187">
        <f>IFERROR(__xludf.DUMMYFUNCTION("""COMPUTED_VALUE"""),45780.0)</f>
        <v>45780</v>
      </c>
      <c r="AB34" s="182" t="b">
        <f>IFERROR(__xludf.DUMMYFUNCTION("""COMPUTED_VALUE"""),FALSE)</f>
        <v>0</v>
      </c>
      <c r="AC34" s="187">
        <f>IFERROR(__xludf.DUMMYFUNCTION("""COMPUTED_VALUE"""),45787.0)</f>
        <v>45787</v>
      </c>
      <c r="AD34" s="187">
        <f>IFERROR(__xludf.DUMMYFUNCTION("""COMPUTED_VALUE"""),45787.0)</f>
        <v>45787</v>
      </c>
      <c r="AE34" s="182" t="str">
        <f>IFERROR(__xludf.DUMMYFUNCTION("""COMPUTED_VALUE"""),"GA10313-CA
GA10313-CA RevA")</f>
        <v>GA10313-CA
GA10313-CA RevA</v>
      </c>
      <c r="AF34" s="182"/>
      <c r="AG34" s="188" t="str">
        <f>IFERROR(__xludf.DUMMYFUNCTION("""COMPUTED_VALUE"""),"GA10313-CA")</f>
        <v>GA10313-CA</v>
      </c>
      <c r="AH34" s="182" t="str">
        <f>IFERROR(__xludf.DUMMYFUNCTION("""COMPUTED_VALUE"""),"GA10313-CA
GA10313-CA RevB")</f>
        <v>GA10313-CA
GA10313-CA RevB</v>
      </c>
      <c r="AI34" s="188" t="str">
        <f>IFERROR(__xludf.DUMMYFUNCTION("""COMPUTED_VALUE"""),"GA10313-CA")</f>
        <v>GA10313-CA</v>
      </c>
      <c r="AJ34" s="187">
        <f>IFERROR(__xludf.DUMMYFUNCTION("""COMPUTED_VALUE"""),45793.0)</f>
        <v>45793</v>
      </c>
      <c r="AK34" s="187">
        <f>IFERROR(__xludf.DUMMYFUNCTION("""COMPUTED_VALUE"""),45801.0)</f>
        <v>45801</v>
      </c>
      <c r="AL34" s="182" t="b">
        <f>IFERROR(__xludf.DUMMYFUNCTION("""COMPUTED_VALUE"""),TRUE)</f>
        <v>1</v>
      </c>
      <c r="AM34" s="182" t="b">
        <f>IFERROR(__xludf.DUMMYFUNCTION("""COMPUTED_VALUE"""),TRUE)</f>
        <v>1</v>
      </c>
      <c r="AN34" s="187">
        <f>IFERROR(__xludf.DUMMYFUNCTION("""COMPUTED_VALUE"""),45801.0)</f>
        <v>45801</v>
      </c>
      <c r="AO34" s="182" t="b">
        <f>IFERROR(__xludf.DUMMYFUNCTION("""COMPUTED_VALUE"""),TRUE)</f>
        <v>1</v>
      </c>
      <c r="AP34" s="182" t="str">
        <f>IFERROR(__xludf.DUMMYFUNCTION("""COMPUTED_VALUE"""),"Y")</f>
        <v>Y</v>
      </c>
      <c r="AQ34" s="182"/>
      <c r="AR34" s="187">
        <f>IFERROR(__xludf.DUMMYFUNCTION("""COMPUTED_VALUE"""),45801.0)</f>
        <v>45801</v>
      </c>
      <c r="AS34" s="182" t="b">
        <f>IFERROR(__xludf.DUMMYFUNCTION("""COMPUTED_VALUE"""),FALSE)</f>
        <v>0</v>
      </c>
      <c r="AT34" s="182"/>
      <c r="AU34" s="182"/>
      <c r="AV34" s="187">
        <f>IFERROR(__xludf.DUMMYFUNCTION("""COMPUTED_VALUE"""),45801.0)</f>
        <v>45801</v>
      </c>
      <c r="AW34" s="182" t="b">
        <f>IFERROR(__xludf.DUMMYFUNCTION("""COMPUTED_VALUE"""),TRUE)</f>
        <v>1</v>
      </c>
      <c r="AX34" s="182" t="str">
        <f>IFERROR(__xludf.DUMMYFUNCTION("""COMPUTED_VALUE"""),"N")</f>
        <v>N</v>
      </c>
      <c r="AY34" s="182"/>
      <c r="AZ34" s="187">
        <f>IFERROR(__xludf.DUMMYFUNCTION("""COMPUTED_VALUE"""),45827.0)</f>
        <v>45827</v>
      </c>
      <c r="BA34" s="182" t="b">
        <f>IFERROR(__xludf.DUMMYFUNCTION("""COMPUTED_VALUE"""),FALSE)</f>
        <v>0</v>
      </c>
      <c r="BB34" s="187">
        <f>IFERROR(__xludf.DUMMYFUNCTION("""COMPUTED_VALUE"""),45827.0)</f>
        <v>45827</v>
      </c>
    </row>
    <row r="35">
      <c r="A35" s="184" t="str">
        <f t="shared" si="1"/>
        <v>G990-08528-12-B</v>
      </c>
      <c r="B35" s="69" t="str">
        <f t="shared" si="2"/>
        <v>G990-08494-00-A</v>
      </c>
      <c r="C35" s="182" t="str">
        <f>IFERROR(__xludf.DUMMYFUNCTION("""COMPUTED_VALUE"""),"CA/TW/SG/AU/MY/MX")</f>
        <v>CA/TW/SG/AU/MY/MX</v>
      </c>
      <c r="D35" s="182" t="str">
        <f>IFERROR(__xludf.DUMMYFUNCTION("""COMPUTED_VALUE"""),"MP")</f>
        <v>MP</v>
      </c>
      <c r="E35" s="182" t="str">
        <f>IFERROR(__xludf.DUMMYFUNCTION("""COMPUTED_VALUE"""),"Pristine")</f>
        <v>Pristine</v>
      </c>
      <c r="F35" s="182" t="str">
        <f>IFERROR(__xludf.DUMMYFUNCTION("""COMPUTED_VALUE"""),"GA09900-CA")</f>
        <v>GA09900-CA</v>
      </c>
      <c r="G35" s="182" t="str">
        <f>IFERROR(__xludf.DUMMYFUNCTION("""COMPUTED_VALUE"""),"GEHN3")</f>
        <v>GEHN3</v>
      </c>
      <c r="H35" s="182">
        <f>IFERROR(__xludf.DUMMYFUNCTION("""COMPUTED_VALUE"""),8.40353925397E11)</f>
        <v>840353925397</v>
      </c>
      <c r="I35" s="185" t="str">
        <f>IFERROR(__xludf.DUMMYFUNCTION("""COMPUTED_VALUE"""),"0840353925397")</f>
        <v>0840353925397</v>
      </c>
      <c r="J35" s="182"/>
      <c r="K35" s="182" t="str">
        <f>IFERROR(__xludf.DUMMYFUNCTION("""COMPUTED_VALUE"""),"ROW Master Carton Label (UPC)")</f>
        <v>ROW Master Carton Label (UPC)</v>
      </c>
      <c r="L35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35" s="182" t="str">
        <f>IFERROR(__xludf.DUMMYFUNCTION("""COMPUTED_VALUE"""),"G990-08528-12-02
G990-08528-12-B")</f>
        <v>G990-08528-12-02
G990-08528-12-B</v>
      </c>
      <c r="N35" s="182" t="str">
        <f>IFERROR(__xludf.DUMMYFUNCTION("""COMPUTED_VALUE"""),"N/A")</f>
        <v>N/A</v>
      </c>
      <c r="O35" s="182" t="str">
        <f>IFERROR(__xludf.DUMMYFUNCTION("""COMPUTED_VALUE"""),"G990-08494-00-01
G990-08494-00-A")</f>
        <v>G990-08494-00-01
G990-08494-00-A</v>
      </c>
      <c r="P35" s="182" t="str">
        <f>IFERROR(__xludf.DUMMYFUNCTION("""COMPUTED_VALUE"""),"BOB→B
Retail→A")</f>
        <v>BOB→B
Retail→A</v>
      </c>
      <c r="Q35" s="182" t="str">
        <f>IFERROR(__xludf.DUMMYFUNCTION("""COMPUTED_VALUE"""),"256GB")</f>
        <v>256GB</v>
      </c>
      <c r="R35" s="182" t="str">
        <f>IFERROR(__xludf.DUMMYFUNCTION("""COMPUTED_VALUE"""),"Obsidian")</f>
        <v>Obsidian</v>
      </c>
      <c r="S35" s="182" t="str">
        <f>IFERROR(__xludf.DUMMYFUNCTION("""COMPUTED_VALUE"""),"Midnight")</f>
        <v>Midnight</v>
      </c>
      <c r="T35" s="182" t="str">
        <f>IFERROR(__xludf.DUMMYFUNCTION("""COMPUTED_VALUE"""),"CA/TW/SG/AU/MY/MX")</f>
        <v>CA/TW/SG/AU/MY/MX</v>
      </c>
      <c r="U35" s="182" t="str">
        <f>IFERROR(__xludf.DUMMYFUNCTION("""COMPUTED_VALUE"""),"SKU,CLR1, BETTER, SUB6, CA/TW/SG/AU/MY/MX, BZ5")</f>
        <v>SKU,CLR1, BETTER, SUB6, CA/TW/SG/AU/MY/MX, BZ5</v>
      </c>
      <c r="V35" s="182"/>
      <c r="W35" s="183" t="str">
        <f>IFERROR(__xludf.DUMMYFUNCTION("""COMPUTED_VALUE"""),"#NUM!")</f>
        <v>#NUM!</v>
      </c>
      <c r="X35" s="186">
        <f>IFERROR(__xludf.DUMMYFUNCTION("""COMPUTED_VALUE"""),45831.0)</f>
        <v>45831</v>
      </c>
      <c r="Y35" s="187">
        <f>IFERROR(__xludf.DUMMYFUNCTION("""COMPUTED_VALUE"""),45780.0)</f>
        <v>45780</v>
      </c>
      <c r="Z35" s="182" t="b">
        <f>IFERROR(__xludf.DUMMYFUNCTION("""COMPUTED_VALUE"""),TRUE)</f>
        <v>1</v>
      </c>
      <c r="AA35" s="187">
        <f>IFERROR(__xludf.DUMMYFUNCTION("""COMPUTED_VALUE"""),45780.0)</f>
        <v>45780</v>
      </c>
      <c r="AB35" s="182" t="b">
        <f>IFERROR(__xludf.DUMMYFUNCTION("""COMPUTED_VALUE"""),FALSE)</f>
        <v>0</v>
      </c>
      <c r="AC35" s="187">
        <f>IFERROR(__xludf.DUMMYFUNCTION("""COMPUTED_VALUE"""),45787.0)</f>
        <v>45787</v>
      </c>
      <c r="AD35" s="187">
        <f>IFERROR(__xludf.DUMMYFUNCTION("""COMPUTED_VALUE"""),45787.0)</f>
        <v>45787</v>
      </c>
      <c r="AE35" s="182" t="str">
        <f>IFERROR(__xludf.DUMMYFUNCTION("""COMPUTED_VALUE"""),"GA09900-CA
GA09900-CA RevA")</f>
        <v>GA09900-CA
GA09900-CA RevA</v>
      </c>
      <c r="AF35" s="182"/>
      <c r="AG35" s="188" t="str">
        <f>IFERROR(__xludf.DUMMYFUNCTION("""COMPUTED_VALUE"""),"GA09900-CA")</f>
        <v>GA09900-CA</v>
      </c>
      <c r="AH35" s="182" t="str">
        <f>IFERROR(__xludf.DUMMYFUNCTION("""COMPUTED_VALUE"""),"GA09900-CA
GA09900-CA RevB")</f>
        <v>GA09900-CA
GA09900-CA RevB</v>
      </c>
      <c r="AI35" s="188" t="str">
        <f>IFERROR(__xludf.DUMMYFUNCTION("""COMPUTED_VALUE"""),"GA09900-CA")</f>
        <v>GA09900-CA</v>
      </c>
      <c r="AJ35" s="187">
        <f>IFERROR(__xludf.DUMMYFUNCTION("""COMPUTED_VALUE"""),45793.0)</f>
        <v>45793</v>
      </c>
      <c r="AK35" s="187">
        <f>IFERROR(__xludf.DUMMYFUNCTION("""COMPUTED_VALUE"""),45801.0)</f>
        <v>45801</v>
      </c>
      <c r="AL35" s="182" t="b">
        <f>IFERROR(__xludf.DUMMYFUNCTION("""COMPUTED_VALUE"""),TRUE)</f>
        <v>1</v>
      </c>
      <c r="AM35" s="182" t="b">
        <f>IFERROR(__xludf.DUMMYFUNCTION("""COMPUTED_VALUE"""),TRUE)</f>
        <v>1</v>
      </c>
      <c r="AN35" s="187">
        <f>IFERROR(__xludf.DUMMYFUNCTION("""COMPUTED_VALUE"""),45801.0)</f>
        <v>45801</v>
      </c>
      <c r="AO35" s="182" t="b">
        <f>IFERROR(__xludf.DUMMYFUNCTION("""COMPUTED_VALUE"""),TRUE)</f>
        <v>1</v>
      </c>
      <c r="AP35" s="182" t="str">
        <f>IFERROR(__xludf.DUMMYFUNCTION("""COMPUTED_VALUE"""),"N")</f>
        <v>N</v>
      </c>
      <c r="AQ35" s="182"/>
      <c r="AR35" s="187">
        <f>IFERROR(__xludf.DUMMYFUNCTION("""COMPUTED_VALUE"""),45801.0)</f>
        <v>45801</v>
      </c>
      <c r="AS35" s="182" t="b">
        <f>IFERROR(__xludf.DUMMYFUNCTION("""COMPUTED_VALUE"""),FALSE)</f>
        <v>0</v>
      </c>
      <c r="AT35" s="182"/>
      <c r="AU35" s="182"/>
      <c r="AV35" s="187">
        <f>IFERROR(__xludf.DUMMYFUNCTION("""COMPUTED_VALUE"""),45801.0)</f>
        <v>45801</v>
      </c>
      <c r="AW35" s="182" t="b">
        <f>IFERROR(__xludf.DUMMYFUNCTION("""COMPUTED_VALUE"""),TRUE)</f>
        <v>1</v>
      </c>
      <c r="AX35" s="182" t="str">
        <f>IFERROR(__xludf.DUMMYFUNCTION("""COMPUTED_VALUE"""),"N")</f>
        <v>N</v>
      </c>
      <c r="AY35" s="182"/>
      <c r="AZ35" s="187">
        <f>IFERROR(__xludf.DUMMYFUNCTION("""COMPUTED_VALUE"""),45827.0)</f>
        <v>45827</v>
      </c>
      <c r="BA35" s="182" t="b">
        <f>IFERROR(__xludf.DUMMYFUNCTION("""COMPUTED_VALUE"""),FALSE)</f>
        <v>0</v>
      </c>
      <c r="BB35" s="187">
        <f>IFERROR(__xludf.DUMMYFUNCTION("""COMPUTED_VALUE"""),45827.0)</f>
        <v>45827</v>
      </c>
    </row>
    <row r="36">
      <c r="A36" s="184" t="str">
        <f t="shared" si="1"/>
        <v>G990-08528-22-B</v>
      </c>
      <c r="B36" s="69" t="str">
        <f t="shared" si="2"/>
        <v>G990-08494-00-A</v>
      </c>
      <c r="C36" s="182" t="str">
        <f>IFERROR(__xludf.DUMMYFUNCTION("""COMPUTED_VALUE"""),"CA/TW/SG/AU/MY/MX")</f>
        <v>CA/TW/SG/AU/MY/MX</v>
      </c>
      <c r="D36" s="182" t="str">
        <f>IFERROR(__xludf.DUMMYFUNCTION("""COMPUTED_VALUE"""),"MP")</f>
        <v>MP</v>
      </c>
      <c r="E36" s="182" t="str">
        <f>IFERROR(__xludf.DUMMYFUNCTION("""COMPUTED_VALUE"""),"Pristine")</f>
        <v>Pristine</v>
      </c>
      <c r="F36" s="182" t="str">
        <f>IFERROR(__xludf.DUMMYFUNCTION("""COMPUTED_VALUE"""),"GA10314-CA")</f>
        <v>GA10314-CA</v>
      </c>
      <c r="G36" s="182" t="str">
        <f>IFERROR(__xludf.DUMMYFUNCTION("""COMPUTED_VALUE"""),"GEHN3")</f>
        <v>GEHN3</v>
      </c>
      <c r="H36" s="182">
        <f>IFERROR(__xludf.DUMMYFUNCTION("""COMPUTED_VALUE"""),8.40353925427E11)</f>
        <v>840353925427</v>
      </c>
      <c r="I36" s="185" t="str">
        <f>IFERROR(__xludf.DUMMYFUNCTION("""COMPUTED_VALUE"""),"0840353925427")</f>
        <v>0840353925427</v>
      </c>
      <c r="J36" s="182"/>
      <c r="K36" s="182" t="str">
        <f>IFERROR(__xludf.DUMMYFUNCTION("""COMPUTED_VALUE"""),"ROW Master Carton Label (UPC)")</f>
        <v>ROW Master Carton Label (UPC)</v>
      </c>
      <c r="L36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36" s="182" t="str">
        <f>IFERROR(__xludf.DUMMYFUNCTION("""COMPUTED_VALUE"""),"G990-08528-22-02
G990-08528-22-B")</f>
        <v>G990-08528-22-02
G990-08528-22-B</v>
      </c>
      <c r="N36" s="182" t="str">
        <f>IFERROR(__xludf.DUMMYFUNCTION("""COMPUTED_VALUE"""),"N/A")</f>
        <v>N/A</v>
      </c>
      <c r="O36" s="182" t="str">
        <f>IFERROR(__xludf.DUMMYFUNCTION("""COMPUTED_VALUE"""),"G990-08494-00-01
G990-08494-00-A")</f>
        <v>G990-08494-00-01
G990-08494-00-A</v>
      </c>
      <c r="P36" s="182" t="str">
        <f>IFERROR(__xludf.DUMMYFUNCTION("""COMPUTED_VALUE"""),"BOB→B
Retail→A")</f>
        <v>BOB→B
Retail→A</v>
      </c>
      <c r="Q36" s="182" t="str">
        <f>IFERROR(__xludf.DUMMYFUNCTION("""COMPUTED_VALUE"""),"256GB")</f>
        <v>256GB</v>
      </c>
      <c r="R36" s="182" t="str">
        <f>IFERROR(__xludf.DUMMYFUNCTION("""COMPUTED_VALUE"""),"Porcelain")</f>
        <v>Porcelain</v>
      </c>
      <c r="S36" s="182" t="str">
        <f>IFERROR(__xludf.DUMMYFUNCTION("""COMPUTED_VALUE"""),"Light Porcelain")</f>
        <v>Light Porcelain</v>
      </c>
      <c r="T36" s="182" t="str">
        <f>IFERROR(__xludf.DUMMYFUNCTION("""COMPUTED_VALUE"""),"CA/TW/SG/AU/MY/MX")</f>
        <v>CA/TW/SG/AU/MY/MX</v>
      </c>
      <c r="U36" s="182" t="str">
        <f>IFERROR(__xludf.DUMMYFUNCTION("""COMPUTED_VALUE"""),"SKU,CLR2, BETTER, SUB6, CA/TW/SG/AU/MY/MX, BZ5")</f>
        <v>SKU,CLR2, BETTER, SUB6, CA/TW/SG/AU/MY/MX, BZ5</v>
      </c>
      <c r="V36" s="182"/>
      <c r="W36" s="183" t="str">
        <f>IFERROR(__xludf.DUMMYFUNCTION("""COMPUTED_VALUE"""),"#NUM!")</f>
        <v>#NUM!</v>
      </c>
      <c r="X36" s="186">
        <f>IFERROR(__xludf.DUMMYFUNCTION("""COMPUTED_VALUE"""),45831.0)</f>
        <v>45831</v>
      </c>
      <c r="Y36" s="187">
        <f>IFERROR(__xludf.DUMMYFUNCTION("""COMPUTED_VALUE"""),45780.0)</f>
        <v>45780</v>
      </c>
      <c r="Z36" s="182" t="b">
        <f>IFERROR(__xludf.DUMMYFUNCTION("""COMPUTED_VALUE"""),TRUE)</f>
        <v>1</v>
      </c>
      <c r="AA36" s="187">
        <f>IFERROR(__xludf.DUMMYFUNCTION("""COMPUTED_VALUE"""),45780.0)</f>
        <v>45780</v>
      </c>
      <c r="AB36" s="182" t="b">
        <f>IFERROR(__xludf.DUMMYFUNCTION("""COMPUTED_VALUE"""),FALSE)</f>
        <v>0</v>
      </c>
      <c r="AC36" s="187">
        <f>IFERROR(__xludf.DUMMYFUNCTION("""COMPUTED_VALUE"""),45787.0)</f>
        <v>45787</v>
      </c>
      <c r="AD36" s="187">
        <f>IFERROR(__xludf.DUMMYFUNCTION("""COMPUTED_VALUE"""),45787.0)</f>
        <v>45787</v>
      </c>
      <c r="AE36" s="182" t="str">
        <f>IFERROR(__xludf.DUMMYFUNCTION("""COMPUTED_VALUE"""),"GA101314-CA
GA10314-CA RevA")</f>
        <v>GA101314-CA
GA10314-CA RevA</v>
      </c>
      <c r="AF36" s="182"/>
      <c r="AG36" s="188" t="str">
        <f>IFERROR(__xludf.DUMMYFUNCTION("""COMPUTED_VALUE"""),"GA10314-CA")</f>
        <v>GA10314-CA</v>
      </c>
      <c r="AH36" s="182" t="str">
        <f>IFERROR(__xludf.DUMMYFUNCTION("""COMPUTED_VALUE"""),"GA10314-CA
GA10314-CA RevB")</f>
        <v>GA10314-CA
GA10314-CA RevB</v>
      </c>
      <c r="AI36" s="188" t="str">
        <f>IFERROR(__xludf.DUMMYFUNCTION("""COMPUTED_VALUE"""),"GA10314-CA")</f>
        <v>GA10314-CA</v>
      </c>
      <c r="AJ36" s="187">
        <f>IFERROR(__xludf.DUMMYFUNCTION("""COMPUTED_VALUE"""),45793.0)</f>
        <v>45793</v>
      </c>
      <c r="AK36" s="187">
        <f>IFERROR(__xludf.DUMMYFUNCTION("""COMPUTED_VALUE"""),45801.0)</f>
        <v>45801</v>
      </c>
      <c r="AL36" s="182" t="b">
        <f>IFERROR(__xludf.DUMMYFUNCTION("""COMPUTED_VALUE"""),TRUE)</f>
        <v>1</v>
      </c>
      <c r="AM36" s="182" t="b">
        <f>IFERROR(__xludf.DUMMYFUNCTION("""COMPUTED_VALUE"""),TRUE)</f>
        <v>1</v>
      </c>
      <c r="AN36" s="187">
        <f>IFERROR(__xludf.DUMMYFUNCTION("""COMPUTED_VALUE"""),45801.0)</f>
        <v>45801</v>
      </c>
      <c r="AO36" s="182" t="b">
        <f>IFERROR(__xludf.DUMMYFUNCTION("""COMPUTED_VALUE"""),TRUE)</f>
        <v>1</v>
      </c>
      <c r="AP36" s="182" t="str">
        <f>IFERROR(__xludf.DUMMYFUNCTION("""COMPUTED_VALUE"""),"N")</f>
        <v>N</v>
      </c>
      <c r="AQ36" s="182"/>
      <c r="AR36" s="187">
        <f>IFERROR(__xludf.DUMMYFUNCTION("""COMPUTED_VALUE"""),45801.0)</f>
        <v>45801</v>
      </c>
      <c r="AS36" s="182" t="b">
        <f>IFERROR(__xludf.DUMMYFUNCTION("""COMPUTED_VALUE"""),FALSE)</f>
        <v>0</v>
      </c>
      <c r="AT36" s="182"/>
      <c r="AU36" s="182"/>
      <c r="AV36" s="187">
        <f>IFERROR(__xludf.DUMMYFUNCTION("""COMPUTED_VALUE"""),45801.0)</f>
        <v>45801</v>
      </c>
      <c r="AW36" s="182" t="b">
        <f>IFERROR(__xludf.DUMMYFUNCTION("""COMPUTED_VALUE"""),TRUE)</f>
        <v>1</v>
      </c>
      <c r="AX36" s="182" t="str">
        <f>IFERROR(__xludf.DUMMYFUNCTION("""COMPUTED_VALUE"""),"N")</f>
        <v>N</v>
      </c>
      <c r="AY36" s="182"/>
      <c r="AZ36" s="187">
        <f>IFERROR(__xludf.DUMMYFUNCTION("""COMPUTED_VALUE"""),45827.0)</f>
        <v>45827</v>
      </c>
      <c r="BA36" s="182" t="b">
        <f>IFERROR(__xludf.DUMMYFUNCTION("""COMPUTED_VALUE"""),FALSE)</f>
        <v>0</v>
      </c>
      <c r="BB36" s="187">
        <f>IFERROR(__xludf.DUMMYFUNCTION("""COMPUTED_VALUE"""),45827.0)</f>
        <v>45827</v>
      </c>
    </row>
    <row r="37">
      <c r="A37" s="184" t="str">
        <f t="shared" si="1"/>
        <v>G990-08528-32-B</v>
      </c>
      <c r="B37" s="69" t="str">
        <f t="shared" si="2"/>
        <v>G990-08494-00-A</v>
      </c>
      <c r="C37" s="182" t="str">
        <f>IFERROR(__xludf.DUMMYFUNCTION("""COMPUTED_VALUE"""),"CA/TW/SG/AU/MY/MX")</f>
        <v>CA/TW/SG/AU/MY/MX</v>
      </c>
      <c r="D37" s="182" t="str">
        <f>IFERROR(__xludf.DUMMYFUNCTION("""COMPUTED_VALUE"""),"MP")</f>
        <v>MP</v>
      </c>
      <c r="E37" s="182" t="str">
        <f>IFERROR(__xludf.DUMMYFUNCTION("""COMPUTED_VALUE"""),"Pristine")</f>
        <v>Pristine</v>
      </c>
      <c r="F37" s="182" t="str">
        <f>IFERROR(__xludf.DUMMYFUNCTION("""COMPUTED_VALUE"""),"GA10315-CA")</f>
        <v>GA10315-CA</v>
      </c>
      <c r="G37" s="182" t="str">
        <f>IFERROR(__xludf.DUMMYFUNCTION("""COMPUTED_VALUE"""),"GEHN3")</f>
        <v>GEHN3</v>
      </c>
      <c r="H37" s="182">
        <f>IFERROR(__xludf.DUMMYFUNCTION("""COMPUTED_VALUE"""),8.40353925458E11)</f>
        <v>840353925458</v>
      </c>
      <c r="I37" s="185" t="str">
        <f>IFERROR(__xludf.DUMMYFUNCTION("""COMPUTED_VALUE"""),"0840353925458")</f>
        <v>0840353925458</v>
      </c>
      <c r="J37" s="182"/>
      <c r="K37" s="182" t="str">
        <f>IFERROR(__xludf.DUMMYFUNCTION("""COMPUTED_VALUE"""),"ROW Master Carton Label (UPC)")</f>
        <v>ROW Master Carton Label (UPC)</v>
      </c>
      <c r="L37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37" s="182" t="str">
        <f>IFERROR(__xludf.DUMMYFUNCTION("""COMPUTED_VALUE"""),"G990-08528-32-02
G990-08528-32-B")</f>
        <v>G990-08528-32-02
G990-08528-32-B</v>
      </c>
      <c r="N37" s="182" t="str">
        <f>IFERROR(__xludf.DUMMYFUNCTION("""COMPUTED_VALUE"""),"N/A")</f>
        <v>N/A</v>
      </c>
      <c r="O37" s="182" t="str">
        <f>IFERROR(__xludf.DUMMYFUNCTION("""COMPUTED_VALUE"""),"G990-08494-00-01
G990-08494-00-A")</f>
        <v>G990-08494-00-01
G990-08494-00-A</v>
      </c>
      <c r="P37" s="182" t="str">
        <f>IFERROR(__xludf.DUMMYFUNCTION("""COMPUTED_VALUE"""),"BOB→B
Retail→A")</f>
        <v>BOB→B
Retail→A</v>
      </c>
      <c r="Q37" s="182" t="str">
        <f>IFERROR(__xludf.DUMMYFUNCTION("""COMPUTED_VALUE"""),"256GB")</f>
        <v>256GB</v>
      </c>
      <c r="R37" s="182" t="str">
        <f>IFERROR(__xludf.DUMMYFUNCTION("""COMPUTED_VALUE"""),"Moonstone")</f>
        <v>Moonstone</v>
      </c>
      <c r="S37" s="182" t="str">
        <f>IFERROR(__xludf.DUMMYFUNCTION("""COMPUTED_VALUE"""),"Sterling")</f>
        <v>Sterling</v>
      </c>
      <c r="T37" s="182" t="str">
        <f>IFERROR(__xludf.DUMMYFUNCTION("""COMPUTED_VALUE"""),"CA/TW/SG/AU/MY/MX")</f>
        <v>CA/TW/SG/AU/MY/MX</v>
      </c>
      <c r="U37" s="182" t="str">
        <f>IFERROR(__xludf.DUMMYFUNCTION("""COMPUTED_VALUE"""),"SKU,CLR3, BETTER, SUB6, CA/TW/SG/AU/MY/MX, BZ5")</f>
        <v>SKU,CLR3, BETTER, SUB6, CA/TW/SG/AU/MY/MX, BZ5</v>
      </c>
      <c r="V37" s="182"/>
      <c r="W37" s="183" t="str">
        <f>IFERROR(__xludf.DUMMYFUNCTION("""COMPUTED_VALUE"""),"#NUM!")</f>
        <v>#NUM!</v>
      </c>
      <c r="X37" s="186">
        <f>IFERROR(__xludf.DUMMYFUNCTION("""COMPUTED_VALUE"""),45831.0)</f>
        <v>45831</v>
      </c>
      <c r="Y37" s="187">
        <f>IFERROR(__xludf.DUMMYFUNCTION("""COMPUTED_VALUE"""),45780.0)</f>
        <v>45780</v>
      </c>
      <c r="Z37" s="182" t="b">
        <f>IFERROR(__xludf.DUMMYFUNCTION("""COMPUTED_VALUE"""),TRUE)</f>
        <v>1</v>
      </c>
      <c r="AA37" s="187">
        <f>IFERROR(__xludf.DUMMYFUNCTION("""COMPUTED_VALUE"""),45780.0)</f>
        <v>45780</v>
      </c>
      <c r="AB37" s="182" t="b">
        <f>IFERROR(__xludf.DUMMYFUNCTION("""COMPUTED_VALUE"""),FALSE)</f>
        <v>0</v>
      </c>
      <c r="AC37" s="187">
        <f>IFERROR(__xludf.DUMMYFUNCTION("""COMPUTED_VALUE"""),45787.0)</f>
        <v>45787</v>
      </c>
      <c r="AD37" s="187">
        <f>IFERROR(__xludf.DUMMYFUNCTION("""COMPUTED_VALUE"""),45787.0)</f>
        <v>45787</v>
      </c>
      <c r="AE37" s="182" t="str">
        <f>IFERROR(__xludf.DUMMYFUNCTION("""COMPUTED_VALUE"""),"GA10315-CA
GA10315-CA RevA")</f>
        <v>GA10315-CA
GA10315-CA RevA</v>
      </c>
      <c r="AF37" s="182"/>
      <c r="AG37" s="188" t="str">
        <f>IFERROR(__xludf.DUMMYFUNCTION("""COMPUTED_VALUE"""),"GA10315-CA")</f>
        <v>GA10315-CA</v>
      </c>
      <c r="AH37" s="182" t="str">
        <f>IFERROR(__xludf.DUMMYFUNCTION("""COMPUTED_VALUE"""),"GA10315-CA
GA10315-CA RevB")</f>
        <v>GA10315-CA
GA10315-CA RevB</v>
      </c>
      <c r="AI37" s="188" t="str">
        <f>IFERROR(__xludf.DUMMYFUNCTION("""COMPUTED_VALUE"""),"GA10315-CA")</f>
        <v>GA10315-CA</v>
      </c>
      <c r="AJ37" s="187">
        <f>IFERROR(__xludf.DUMMYFUNCTION("""COMPUTED_VALUE"""),45793.0)</f>
        <v>45793</v>
      </c>
      <c r="AK37" s="187">
        <f>IFERROR(__xludf.DUMMYFUNCTION("""COMPUTED_VALUE"""),45801.0)</f>
        <v>45801</v>
      </c>
      <c r="AL37" s="182" t="b">
        <f>IFERROR(__xludf.DUMMYFUNCTION("""COMPUTED_VALUE"""),TRUE)</f>
        <v>1</v>
      </c>
      <c r="AM37" s="182" t="b">
        <f>IFERROR(__xludf.DUMMYFUNCTION("""COMPUTED_VALUE"""),TRUE)</f>
        <v>1</v>
      </c>
      <c r="AN37" s="187">
        <f>IFERROR(__xludf.DUMMYFUNCTION("""COMPUTED_VALUE"""),45801.0)</f>
        <v>45801</v>
      </c>
      <c r="AO37" s="182" t="b">
        <f>IFERROR(__xludf.DUMMYFUNCTION("""COMPUTED_VALUE"""),TRUE)</f>
        <v>1</v>
      </c>
      <c r="AP37" s="182" t="str">
        <f>IFERROR(__xludf.DUMMYFUNCTION("""COMPUTED_VALUE"""),"N")</f>
        <v>N</v>
      </c>
      <c r="AQ37" s="182"/>
      <c r="AR37" s="187">
        <f>IFERROR(__xludf.DUMMYFUNCTION("""COMPUTED_VALUE"""),45801.0)</f>
        <v>45801</v>
      </c>
      <c r="AS37" s="182" t="b">
        <f>IFERROR(__xludf.DUMMYFUNCTION("""COMPUTED_VALUE"""),FALSE)</f>
        <v>0</v>
      </c>
      <c r="AT37" s="182"/>
      <c r="AU37" s="182"/>
      <c r="AV37" s="187">
        <f>IFERROR(__xludf.DUMMYFUNCTION("""COMPUTED_VALUE"""),45801.0)</f>
        <v>45801</v>
      </c>
      <c r="AW37" s="182" t="b">
        <f>IFERROR(__xludf.DUMMYFUNCTION("""COMPUTED_VALUE"""),TRUE)</f>
        <v>1</v>
      </c>
      <c r="AX37" s="182" t="str">
        <f>IFERROR(__xludf.DUMMYFUNCTION("""COMPUTED_VALUE"""),"N")</f>
        <v>N</v>
      </c>
      <c r="AY37" s="182"/>
      <c r="AZ37" s="187">
        <f>IFERROR(__xludf.DUMMYFUNCTION("""COMPUTED_VALUE"""),45827.0)</f>
        <v>45827</v>
      </c>
      <c r="BA37" s="182" t="b">
        <f>IFERROR(__xludf.DUMMYFUNCTION("""COMPUTED_VALUE"""),FALSE)</f>
        <v>0</v>
      </c>
      <c r="BB37" s="187">
        <f>IFERROR(__xludf.DUMMYFUNCTION("""COMPUTED_VALUE"""),45827.0)</f>
        <v>45827</v>
      </c>
    </row>
    <row r="38">
      <c r="A38" s="184" t="str">
        <f t="shared" si="1"/>
        <v>G990-08528-42-B</v>
      </c>
      <c r="B38" s="69" t="str">
        <f t="shared" si="2"/>
        <v>G990-08494-00-A</v>
      </c>
      <c r="C38" s="182" t="str">
        <f>IFERROR(__xludf.DUMMYFUNCTION("""COMPUTED_VALUE"""),"CA/TW/SG/AU/MY/MX")</f>
        <v>CA/TW/SG/AU/MY/MX</v>
      </c>
      <c r="D38" s="182" t="str">
        <f>IFERROR(__xludf.DUMMYFUNCTION("""COMPUTED_VALUE"""),"MP")</f>
        <v>MP</v>
      </c>
      <c r="E38" s="182" t="str">
        <f>IFERROR(__xludf.DUMMYFUNCTION("""COMPUTED_VALUE"""),"Pristine")</f>
        <v>Pristine</v>
      </c>
      <c r="F38" s="182" t="str">
        <f>IFERROR(__xludf.DUMMYFUNCTION("""COMPUTED_VALUE"""),"GA10316-CA")</f>
        <v>GA10316-CA</v>
      </c>
      <c r="G38" s="182" t="str">
        <f>IFERROR(__xludf.DUMMYFUNCTION("""COMPUTED_VALUE"""),"GEHN3")</f>
        <v>GEHN3</v>
      </c>
      <c r="H38" s="182">
        <f>IFERROR(__xludf.DUMMYFUNCTION("""COMPUTED_VALUE"""),8.40353925496E11)</f>
        <v>840353925496</v>
      </c>
      <c r="I38" s="185" t="str">
        <f>IFERROR(__xludf.DUMMYFUNCTION("""COMPUTED_VALUE"""),"0840353925496")</f>
        <v>0840353925496</v>
      </c>
      <c r="J38" s="182"/>
      <c r="K38" s="182" t="str">
        <f>IFERROR(__xludf.DUMMYFUNCTION("""COMPUTED_VALUE"""),"ROW Master Carton Label (UPC)")</f>
        <v>ROW Master Carton Label (UPC)</v>
      </c>
      <c r="L38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38" s="182" t="str">
        <f>IFERROR(__xludf.DUMMYFUNCTION("""COMPUTED_VALUE"""),"G990-08528-42-02
G990-08528-42-B")</f>
        <v>G990-08528-42-02
G990-08528-42-B</v>
      </c>
      <c r="N38" s="182" t="str">
        <f>IFERROR(__xludf.DUMMYFUNCTION("""COMPUTED_VALUE"""),"N/A")</f>
        <v>N/A</v>
      </c>
      <c r="O38" s="182" t="str">
        <f>IFERROR(__xludf.DUMMYFUNCTION("""COMPUTED_VALUE"""),"G990-08494-00-01
G990-08494-00-A")</f>
        <v>G990-08494-00-01
G990-08494-00-A</v>
      </c>
      <c r="P38" s="182" t="str">
        <f>IFERROR(__xludf.DUMMYFUNCTION("""COMPUTED_VALUE"""),"BOB→B
Retail→A")</f>
        <v>BOB→B
Retail→A</v>
      </c>
      <c r="Q38" s="182" t="str">
        <f>IFERROR(__xludf.DUMMYFUNCTION("""COMPUTED_VALUE"""),"256GB")</f>
        <v>256GB</v>
      </c>
      <c r="R38" s="182" t="str">
        <f>IFERROR(__xludf.DUMMYFUNCTION("""COMPUTED_VALUE"""),"Jade")</f>
        <v>Jade</v>
      </c>
      <c r="S38" s="182" t="str">
        <f>IFERROR(__xludf.DUMMYFUNCTION("""COMPUTED_VALUE"""),"Smokey Green")</f>
        <v>Smokey Green</v>
      </c>
      <c r="T38" s="182" t="str">
        <f>IFERROR(__xludf.DUMMYFUNCTION("""COMPUTED_VALUE"""),"CA/TW/SG/AU/MY/MX")</f>
        <v>CA/TW/SG/AU/MY/MX</v>
      </c>
      <c r="U38" s="182" t="str">
        <f>IFERROR(__xludf.DUMMYFUNCTION("""COMPUTED_VALUE"""),"SKU,CLR4, BETTER, SUB6, CA/TW/SG/AU/MY/MX, BZ5")</f>
        <v>SKU,CLR4, BETTER, SUB6, CA/TW/SG/AU/MY/MX, BZ5</v>
      </c>
      <c r="V38" s="182"/>
      <c r="W38" s="183" t="str">
        <f>IFERROR(__xludf.DUMMYFUNCTION("""COMPUTED_VALUE"""),"#NUM!")</f>
        <v>#NUM!</v>
      </c>
      <c r="X38" s="186">
        <f>IFERROR(__xludf.DUMMYFUNCTION("""COMPUTED_VALUE"""),45831.0)</f>
        <v>45831</v>
      </c>
      <c r="Y38" s="187">
        <f>IFERROR(__xludf.DUMMYFUNCTION("""COMPUTED_VALUE"""),45780.0)</f>
        <v>45780</v>
      </c>
      <c r="Z38" s="182" t="b">
        <f>IFERROR(__xludf.DUMMYFUNCTION("""COMPUTED_VALUE"""),TRUE)</f>
        <v>1</v>
      </c>
      <c r="AA38" s="187">
        <f>IFERROR(__xludf.DUMMYFUNCTION("""COMPUTED_VALUE"""),45780.0)</f>
        <v>45780</v>
      </c>
      <c r="AB38" s="182" t="b">
        <f>IFERROR(__xludf.DUMMYFUNCTION("""COMPUTED_VALUE"""),FALSE)</f>
        <v>0</v>
      </c>
      <c r="AC38" s="187">
        <f>IFERROR(__xludf.DUMMYFUNCTION("""COMPUTED_VALUE"""),45787.0)</f>
        <v>45787</v>
      </c>
      <c r="AD38" s="187">
        <f>IFERROR(__xludf.DUMMYFUNCTION("""COMPUTED_VALUE"""),45787.0)</f>
        <v>45787</v>
      </c>
      <c r="AE38" s="182" t="str">
        <f>IFERROR(__xludf.DUMMYFUNCTION("""COMPUTED_VALUE"""),"GA10316-CA
GA10316-CA RevA")</f>
        <v>GA10316-CA
GA10316-CA RevA</v>
      </c>
      <c r="AF38" s="182"/>
      <c r="AG38" s="188" t="str">
        <f>IFERROR(__xludf.DUMMYFUNCTION("""COMPUTED_VALUE"""),"GA10316-CA")</f>
        <v>GA10316-CA</v>
      </c>
      <c r="AH38" s="182" t="str">
        <f>IFERROR(__xludf.DUMMYFUNCTION("""COMPUTED_VALUE"""),"GA10316-CA
GA10316-CA RevB")</f>
        <v>GA10316-CA
GA10316-CA RevB</v>
      </c>
      <c r="AI38" s="188" t="str">
        <f>IFERROR(__xludf.DUMMYFUNCTION("""COMPUTED_VALUE"""),"GA10316-CA")</f>
        <v>GA10316-CA</v>
      </c>
      <c r="AJ38" s="187">
        <f>IFERROR(__xludf.DUMMYFUNCTION("""COMPUTED_VALUE"""),45793.0)</f>
        <v>45793</v>
      </c>
      <c r="AK38" s="187">
        <f>IFERROR(__xludf.DUMMYFUNCTION("""COMPUTED_VALUE"""),45801.0)</f>
        <v>45801</v>
      </c>
      <c r="AL38" s="182" t="b">
        <f>IFERROR(__xludf.DUMMYFUNCTION("""COMPUTED_VALUE"""),TRUE)</f>
        <v>1</v>
      </c>
      <c r="AM38" s="182" t="b">
        <f>IFERROR(__xludf.DUMMYFUNCTION("""COMPUTED_VALUE"""),TRUE)</f>
        <v>1</v>
      </c>
      <c r="AN38" s="187">
        <f>IFERROR(__xludf.DUMMYFUNCTION("""COMPUTED_VALUE"""),45801.0)</f>
        <v>45801</v>
      </c>
      <c r="AO38" s="182" t="b">
        <f>IFERROR(__xludf.DUMMYFUNCTION("""COMPUTED_VALUE"""),TRUE)</f>
        <v>1</v>
      </c>
      <c r="AP38" s="182" t="str">
        <f>IFERROR(__xludf.DUMMYFUNCTION("""COMPUTED_VALUE"""),"N")</f>
        <v>N</v>
      </c>
      <c r="AQ38" s="182"/>
      <c r="AR38" s="187">
        <f>IFERROR(__xludf.DUMMYFUNCTION("""COMPUTED_VALUE"""),45801.0)</f>
        <v>45801</v>
      </c>
      <c r="AS38" s="182" t="b">
        <f>IFERROR(__xludf.DUMMYFUNCTION("""COMPUTED_VALUE"""),FALSE)</f>
        <v>0</v>
      </c>
      <c r="AT38" s="182"/>
      <c r="AU38" s="182"/>
      <c r="AV38" s="187">
        <f>IFERROR(__xludf.DUMMYFUNCTION("""COMPUTED_VALUE"""),45801.0)</f>
        <v>45801</v>
      </c>
      <c r="AW38" s="182" t="b">
        <f>IFERROR(__xludf.DUMMYFUNCTION("""COMPUTED_VALUE"""),TRUE)</f>
        <v>1</v>
      </c>
      <c r="AX38" s="182" t="str">
        <f>IFERROR(__xludf.DUMMYFUNCTION("""COMPUTED_VALUE"""),"N")</f>
        <v>N</v>
      </c>
      <c r="AY38" s="182"/>
      <c r="AZ38" s="187">
        <f>IFERROR(__xludf.DUMMYFUNCTION("""COMPUTED_VALUE"""),45827.0)</f>
        <v>45827</v>
      </c>
      <c r="BA38" s="182" t="b">
        <f>IFERROR(__xludf.DUMMYFUNCTION("""COMPUTED_VALUE"""),FALSE)</f>
        <v>0</v>
      </c>
      <c r="BB38" s="187">
        <f>IFERROR(__xludf.DUMMYFUNCTION("""COMPUTED_VALUE"""),45827.0)</f>
        <v>45827</v>
      </c>
    </row>
    <row r="39">
      <c r="A39" s="184" t="str">
        <f t="shared" si="1"/>
        <v>G990-08528-13-B</v>
      </c>
      <c r="B39" s="69" t="str">
        <f t="shared" si="2"/>
        <v>G990-08494-00-A</v>
      </c>
      <c r="C39" s="182" t="str">
        <f>IFERROR(__xludf.DUMMYFUNCTION("""COMPUTED_VALUE"""),"CA/TW/SG/AU/MY/MX")</f>
        <v>CA/TW/SG/AU/MY/MX</v>
      </c>
      <c r="D39" s="182" t="str">
        <f>IFERROR(__xludf.DUMMYFUNCTION("""COMPUTED_VALUE"""),"MP")</f>
        <v>MP</v>
      </c>
      <c r="E39" s="182" t="str">
        <f>IFERROR(__xludf.DUMMYFUNCTION("""COMPUTED_VALUE"""),"Pristine")</f>
        <v>Pristine</v>
      </c>
      <c r="F39" s="182" t="str">
        <f>IFERROR(__xludf.DUMMYFUNCTION("""COMPUTED_VALUE"""),"GA09909-CA")</f>
        <v>GA09909-CA</v>
      </c>
      <c r="G39" s="182" t="str">
        <f>IFERROR(__xludf.DUMMYFUNCTION("""COMPUTED_VALUE"""),"GEHN3")</f>
        <v>GEHN3</v>
      </c>
      <c r="H39" s="182">
        <f>IFERROR(__xludf.DUMMYFUNCTION("""COMPUTED_VALUE"""),8.40353925564E11)</f>
        <v>840353925564</v>
      </c>
      <c r="I39" s="185" t="str">
        <f>IFERROR(__xludf.DUMMYFUNCTION("""COMPUTED_VALUE"""),"0840353925564")</f>
        <v>0840353925564</v>
      </c>
      <c r="J39" s="182"/>
      <c r="K39" s="182" t="str">
        <f>IFERROR(__xludf.DUMMYFUNCTION("""COMPUTED_VALUE"""),"ROW Master Carton Label (UPC)")</f>
        <v>ROW Master Carton Label (UPC)</v>
      </c>
      <c r="L39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39" s="182" t="str">
        <f>IFERROR(__xludf.DUMMYFUNCTION("""COMPUTED_VALUE"""),"G990-08528-13-02
G990-08528-13-B")</f>
        <v>G990-08528-13-02
G990-08528-13-B</v>
      </c>
      <c r="N39" s="182" t="str">
        <f>IFERROR(__xludf.DUMMYFUNCTION("""COMPUTED_VALUE"""),"N/A")</f>
        <v>N/A</v>
      </c>
      <c r="O39" s="182" t="str">
        <f>IFERROR(__xludf.DUMMYFUNCTION("""COMPUTED_VALUE"""),"G990-08494-00-01
G990-08494-00-A")</f>
        <v>G990-08494-00-01
G990-08494-00-A</v>
      </c>
      <c r="P39" s="182" t="str">
        <f>IFERROR(__xludf.DUMMYFUNCTION("""COMPUTED_VALUE"""),"BOB→B
Retail→A")</f>
        <v>BOB→B
Retail→A</v>
      </c>
      <c r="Q39" s="182" t="str">
        <f>IFERROR(__xludf.DUMMYFUNCTION("""COMPUTED_VALUE"""),"512GB")</f>
        <v>512GB</v>
      </c>
      <c r="R39" s="182" t="str">
        <f>IFERROR(__xludf.DUMMYFUNCTION("""COMPUTED_VALUE"""),"Obsidian")</f>
        <v>Obsidian</v>
      </c>
      <c r="S39" s="182" t="str">
        <f>IFERROR(__xludf.DUMMYFUNCTION("""COMPUTED_VALUE"""),"Midnight")</f>
        <v>Midnight</v>
      </c>
      <c r="T39" s="182" t="str">
        <f>IFERROR(__xludf.DUMMYFUNCTION("""COMPUTED_VALUE"""),"CA/TW/SG/AU/MY/MX")</f>
        <v>CA/TW/SG/AU/MY/MX</v>
      </c>
      <c r="U39" s="182" t="str">
        <f>IFERROR(__xludf.DUMMYFUNCTION("""COMPUTED_VALUE"""),"SKU,CLR1, BEST, SUB6, CA/TW/SG/AU/MY/MX, BZ5")</f>
        <v>SKU,CLR1, BEST, SUB6, CA/TW/SG/AU/MY/MX, BZ5</v>
      </c>
      <c r="V39" s="182"/>
      <c r="W39" s="183" t="str">
        <f>IFERROR(__xludf.DUMMYFUNCTION("""COMPUTED_VALUE"""),"#NUM!")</f>
        <v>#NUM!</v>
      </c>
      <c r="X39" s="186">
        <f>IFERROR(__xludf.DUMMYFUNCTION("""COMPUTED_VALUE"""),45831.0)</f>
        <v>45831</v>
      </c>
      <c r="Y39" s="187">
        <f>IFERROR(__xludf.DUMMYFUNCTION("""COMPUTED_VALUE"""),45780.0)</f>
        <v>45780</v>
      </c>
      <c r="Z39" s="182" t="b">
        <f>IFERROR(__xludf.DUMMYFUNCTION("""COMPUTED_VALUE"""),TRUE)</f>
        <v>1</v>
      </c>
      <c r="AA39" s="187">
        <f>IFERROR(__xludf.DUMMYFUNCTION("""COMPUTED_VALUE"""),45780.0)</f>
        <v>45780</v>
      </c>
      <c r="AB39" s="182" t="b">
        <f>IFERROR(__xludf.DUMMYFUNCTION("""COMPUTED_VALUE"""),FALSE)</f>
        <v>0</v>
      </c>
      <c r="AC39" s="187">
        <f>IFERROR(__xludf.DUMMYFUNCTION("""COMPUTED_VALUE"""),45787.0)</f>
        <v>45787</v>
      </c>
      <c r="AD39" s="187">
        <f>IFERROR(__xludf.DUMMYFUNCTION("""COMPUTED_VALUE"""),45787.0)</f>
        <v>45787</v>
      </c>
      <c r="AE39" s="182" t="str">
        <f>IFERROR(__xludf.DUMMYFUNCTION("""COMPUTED_VALUE"""),"GA09909-CA
GA09909-CA RevA")</f>
        <v>GA09909-CA
GA09909-CA RevA</v>
      </c>
      <c r="AF39" s="182"/>
      <c r="AG39" s="188" t="str">
        <f>IFERROR(__xludf.DUMMYFUNCTION("""COMPUTED_VALUE"""),"GA09909-CA")</f>
        <v>GA09909-CA</v>
      </c>
      <c r="AH39" s="182" t="str">
        <f>IFERROR(__xludf.DUMMYFUNCTION("""COMPUTED_VALUE"""),"GA09909-CA
GA09909-CA RevB")</f>
        <v>GA09909-CA
GA09909-CA RevB</v>
      </c>
      <c r="AI39" s="188" t="str">
        <f>IFERROR(__xludf.DUMMYFUNCTION("""COMPUTED_VALUE"""),"GA09909-CA")</f>
        <v>GA09909-CA</v>
      </c>
      <c r="AJ39" s="187">
        <f>IFERROR(__xludf.DUMMYFUNCTION("""COMPUTED_VALUE"""),45793.0)</f>
        <v>45793</v>
      </c>
      <c r="AK39" s="187">
        <f>IFERROR(__xludf.DUMMYFUNCTION("""COMPUTED_VALUE"""),45801.0)</f>
        <v>45801</v>
      </c>
      <c r="AL39" s="182" t="b">
        <f>IFERROR(__xludf.DUMMYFUNCTION("""COMPUTED_VALUE"""),TRUE)</f>
        <v>1</v>
      </c>
      <c r="AM39" s="182" t="b">
        <f>IFERROR(__xludf.DUMMYFUNCTION("""COMPUTED_VALUE"""),TRUE)</f>
        <v>1</v>
      </c>
      <c r="AN39" s="187">
        <f>IFERROR(__xludf.DUMMYFUNCTION("""COMPUTED_VALUE"""),45801.0)</f>
        <v>45801</v>
      </c>
      <c r="AO39" s="182" t="b">
        <f>IFERROR(__xludf.DUMMYFUNCTION("""COMPUTED_VALUE"""),TRUE)</f>
        <v>1</v>
      </c>
      <c r="AP39" s="182" t="str">
        <f>IFERROR(__xludf.DUMMYFUNCTION("""COMPUTED_VALUE"""),"N")</f>
        <v>N</v>
      </c>
      <c r="AQ39" s="182"/>
      <c r="AR39" s="187">
        <f>IFERROR(__xludf.DUMMYFUNCTION("""COMPUTED_VALUE"""),45801.0)</f>
        <v>45801</v>
      </c>
      <c r="AS39" s="182" t="b">
        <f>IFERROR(__xludf.DUMMYFUNCTION("""COMPUTED_VALUE"""),FALSE)</f>
        <v>0</v>
      </c>
      <c r="AT39" s="182"/>
      <c r="AU39" s="182"/>
      <c r="AV39" s="187">
        <f>IFERROR(__xludf.DUMMYFUNCTION("""COMPUTED_VALUE"""),45801.0)</f>
        <v>45801</v>
      </c>
      <c r="AW39" s="182" t="b">
        <f>IFERROR(__xludf.DUMMYFUNCTION("""COMPUTED_VALUE"""),TRUE)</f>
        <v>1</v>
      </c>
      <c r="AX39" s="182" t="str">
        <f>IFERROR(__xludf.DUMMYFUNCTION("""COMPUTED_VALUE"""),"N")</f>
        <v>N</v>
      </c>
      <c r="AY39" s="182"/>
      <c r="AZ39" s="187">
        <f>IFERROR(__xludf.DUMMYFUNCTION("""COMPUTED_VALUE"""),45827.0)</f>
        <v>45827</v>
      </c>
      <c r="BA39" s="182" t="b">
        <f>IFERROR(__xludf.DUMMYFUNCTION("""COMPUTED_VALUE"""),FALSE)</f>
        <v>0</v>
      </c>
      <c r="BB39" s="187">
        <f>IFERROR(__xludf.DUMMYFUNCTION("""COMPUTED_VALUE"""),45827.0)</f>
        <v>45827</v>
      </c>
    </row>
    <row r="40">
      <c r="A40" s="184" t="str">
        <f t="shared" si="1"/>
        <v>#VALUE!</v>
      </c>
      <c r="B40" s="69" t="str">
        <f t="shared" si="2"/>
        <v>G990-08494-00-A</v>
      </c>
      <c r="C40" s="182" t="str">
        <f>IFERROR(__xludf.DUMMYFUNCTION("""COMPUTED_VALUE"""),"CA/TW/SG/AU/MY/MX")</f>
        <v>CA/TW/SG/AU/MY/MX</v>
      </c>
      <c r="D40" s="182" t="str">
        <f>IFERROR(__xludf.DUMMYFUNCTION("""COMPUTED_VALUE"""),"MP")</f>
        <v>MP</v>
      </c>
      <c r="E40" s="182" t="str">
        <f>IFERROR(__xludf.DUMMYFUNCTION("""COMPUTED_VALUE"""),"Pristine")</f>
        <v>Pristine</v>
      </c>
      <c r="F40" s="182" t="str">
        <f>IFERROR(__xludf.DUMMYFUNCTION("""COMPUTED_VALUE"""),"GA10317-CA")</f>
        <v>GA10317-CA</v>
      </c>
      <c r="G40" s="182" t="str">
        <f>IFERROR(__xludf.DUMMYFUNCTION("""COMPUTED_VALUE"""),"GEHN3")</f>
        <v>GEHN3</v>
      </c>
      <c r="H40" s="182">
        <f>IFERROR(__xludf.DUMMYFUNCTION("""COMPUTED_VALUE"""),8.40353925595E11)</f>
        <v>840353925595</v>
      </c>
      <c r="I40" s="185" t="str">
        <f>IFERROR(__xludf.DUMMYFUNCTION("""COMPUTED_VALUE"""),"0840353925595")</f>
        <v>0840353925595</v>
      </c>
      <c r="J40" s="182"/>
      <c r="K40" s="182"/>
      <c r="L40" s="182"/>
      <c r="M40" s="188" t="str">
        <f>IFERROR(__xludf.DUMMYFUNCTION("""COMPUTED_VALUE"""),"G990-08528-23-02")</f>
        <v>G990-08528-23-02</v>
      </c>
      <c r="N40" s="182" t="str">
        <f>IFERROR(__xludf.DUMMYFUNCTION("""COMPUTED_VALUE"""),"N/A")</f>
        <v>N/A</v>
      </c>
      <c r="O40" s="182" t="str">
        <f>IFERROR(__xludf.DUMMYFUNCTION("""COMPUTED_VALUE"""),"G990-08494-00-01
G990-08494-00-A")</f>
        <v>G990-08494-00-01
G990-08494-00-A</v>
      </c>
      <c r="P40" s="182" t="str">
        <f>IFERROR(__xludf.DUMMYFUNCTION("""COMPUTED_VALUE"""),"BOB→B
Retail→A")</f>
        <v>BOB→B
Retail→A</v>
      </c>
      <c r="Q40" s="182" t="str">
        <f>IFERROR(__xludf.DUMMYFUNCTION("""COMPUTED_VALUE"""),"512GB")</f>
        <v>512GB</v>
      </c>
      <c r="R40" s="182" t="str">
        <f>IFERROR(__xludf.DUMMYFUNCTION("""COMPUTED_VALUE"""),"Porcelain")</f>
        <v>Porcelain</v>
      </c>
      <c r="S40" s="182" t="str">
        <f>IFERROR(__xludf.DUMMYFUNCTION("""COMPUTED_VALUE"""),"Light Porcelain")</f>
        <v>Light Porcelain</v>
      </c>
      <c r="T40" s="182" t="str">
        <f>IFERROR(__xludf.DUMMYFUNCTION("""COMPUTED_VALUE"""),"CA/TW/SG/AU/MY/MX")</f>
        <v>CA/TW/SG/AU/MY/MX</v>
      </c>
      <c r="U40" s="182" t="str">
        <f>IFERROR(__xludf.DUMMYFUNCTION("""COMPUTED_VALUE"""),"SKU,CLR2, BEST, SUB6, CA/TW/SG/AU/MY/MX, BZ5")</f>
        <v>SKU,CLR2, BEST, SUB6, CA/TW/SG/AU/MY/MX, BZ5</v>
      </c>
      <c r="V40" s="182"/>
      <c r="W40" s="183" t="str">
        <f>IFERROR(__xludf.DUMMYFUNCTION("""COMPUTED_VALUE"""),"#NUM!")</f>
        <v>#NUM!</v>
      </c>
      <c r="X40" s="186">
        <f>IFERROR(__xludf.DUMMYFUNCTION("""COMPUTED_VALUE"""),45831.0)</f>
        <v>45831</v>
      </c>
      <c r="Y40" s="187">
        <f>IFERROR(__xludf.DUMMYFUNCTION("""COMPUTED_VALUE"""),45780.0)</f>
        <v>45780</v>
      </c>
      <c r="Z40" s="182" t="b">
        <f>IFERROR(__xludf.DUMMYFUNCTION("""COMPUTED_VALUE"""),FALSE)</f>
        <v>0</v>
      </c>
      <c r="AA40" s="187">
        <f>IFERROR(__xludf.DUMMYFUNCTION("""COMPUTED_VALUE"""),45780.0)</f>
        <v>45780</v>
      </c>
      <c r="AB40" s="182" t="b">
        <f>IFERROR(__xludf.DUMMYFUNCTION("""COMPUTED_VALUE"""),FALSE)</f>
        <v>0</v>
      </c>
      <c r="AC40" s="187">
        <f>IFERROR(__xludf.DUMMYFUNCTION("""COMPUTED_VALUE"""),45787.0)</f>
        <v>45787</v>
      </c>
      <c r="AD40" s="187">
        <f>IFERROR(__xludf.DUMMYFUNCTION("""COMPUTED_VALUE"""),45787.0)</f>
        <v>45787</v>
      </c>
      <c r="AE40" s="182"/>
      <c r="AF40" s="182"/>
      <c r="AG40" s="182"/>
      <c r="AH40" s="182"/>
      <c r="AI40" s="188" t="str">
        <f>IFERROR(__xludf.DUMMYFUNCTION("""COMPUTED_VALUE"""),"GA10317-CA")</f>
        <v>GA10317-CA</v>
      </c>
      <c r="AJ40" s="187">
        <f>IFERROR(__xludf.DUMMYFUNCTION("""COMPUTED_VALUE"""),45793.0)</f>
        <v>45793</v>
      </c>
      <c r="AK40" s="187">
        <f>IFERROR(__xludf.DUMMYFUNCTION("""COMPUTED_VALUE"""),45801.0)</f>
        <v>45801</v>
      </c>
      <c r="AL40" s="182" t="b">
        <f>IFERROR(__xludf.DUMMYFUNCTION("""COMPUTED_VALUE"""),FALSE)</f>
        <v>0</v>
      </c>
      <c r="AM40" s="182" t="b">
        <f>IFERROR(__xludf.DUMMYFUNCTION("""COMPUTED_VALUE"""),FALSE)</f>
        <v>0</v>
      </c>
      <c r="AN40" s="187">
        <f>IFERROR(__xludf.DUMMYFUNCTION("""COMPUTED_VALUE"""),45801.0)</f>
        <v>45801</v>
      </c>
      <c r="AO40" s="182" t="b">
        <f>IFERROR(__xludf.DUMMYFUNCTION("""COMPUTED_VALUE"""),FALSE)</f>
        <v>0</v>
      </c>
      <c r="AP40" s="182"/>
      <c r="AQ40" s="182"/>
      <c r="AR40" s="187">
        <f>IFERROR(__xludf.DUMMYFUNCTION("""COMPUTED_VALUE"""),45801.0)</f>
        <v>45801</v>
      </c>
      <c r="AS40" s="182"/>
      <c r="AT40" s="182"/>
      <c r="AU40" s="182"/>
      <c r="AV40" s="187">
        <f>IFERROR(__xludf.DUMMYFUNCTION("""COMPUTED_VALUE"""),45801.0)</f>
        <v>45801</v>
      </c>
      <c r="AW40" s="182" t="b">
        <f>IFERROR(__xludf.DUMMYFUNCTION("""COMPUTED_VALUE"""),FALSE)</f>
        <v>0</v>
      </c>
      <c r="AX40" s="182"/>
      <c r="AY40" s="182"/>
      <c r="AZ40" s="187">
        <f>IFERROR(__xludf.DUMMYFUNCTION("""COMPUTED_VALUE"""),45827.0)</f>
        <v>45827</v>
      </c>
      <c r="BA40" s="182" t="b">
        <f>IFERROR(__xludf.DUMMYFUNCTION("""COMPUTED_VALUE"""),FALSE)</f>
        <v>0</v>
      </c>
      <c r="BB40" s="187">
        <f>IFERROR(__xludf.DUMMYFUNCTION("""COMPUTED_VALUE"""),45827.0)</f>
        <v>45827</v>
      </c>
    </row>
    <row r="41">
      <c r="A41" s="184" t="str">
        <f t="shared" si="1"/>
        <v>G990-08528-33-B</v>
      </c>
      <c r="B41" s="69" t="str">
        <f t="shared" si="2"/>
        <v>G990-08494-00-A</v>
      </c>
      <c r="C41" s="182" t="str">
        <f>IFERROR(__xludf.DUMMYFUNCTION("""COMPUTED_VALUE"""),"CA/TW/SG/AU/MY/MX")</f>
        <v>CA/TW/SG/AU/MY/MX</v>
      </c>
      <c r="D41" s="182" t="str">
        <f>IFERROR(__xludf.DUMMYFUNCTION("""COMPUTED_VALUE"""),"MP")</f>
        <v>MP</v>
      </c>
      <c r="E41" s="182" t="str">
        <f>IFERROR(__xludf.DUMMYFUNCTION("""COMPUTED_VALUE"""),"Pristine")</f>
        <v>Pristine</v>
      </c>
      <c r="F41" s="182" t="str">
        <f>IFERROR(__xludf.DUMMYFUNCTION("""COMPUTED_VALUE"""),"GA10318-CA")</f>
        <v>GA10318-CA</v>
      </c>
      <c r="G41" s="182" t="str">
        <f>IFERROR(__xludf.DUMMYFUNCTION("""COMPUTED_VALUE"""),"GEHN3")</f>
        <v>GEHN3</v>
      </c>
      <c r="H41" s="182">
        <f>IFERROR(__xludf.DUMMYFUNCTION("""COMPUTED_VALUE"""),8.40353925663E11)</f>
        <v>840353925663</v>
      </c>
      <c r="I41" s="185" t="str">
        <f>IFERROR(__xludf.DUMMYFUNCTION("""COMPUTED_VALUE"""),"0840353925663")</f>
        <v>0840353925663</v>
      </c>
      <c r="J41" s="182"/>
      <c r="K41" s="182" t="str">
        <f>IFERROR(__xludf.DUMMYFUNCTION("""COMPUTED_VALUE"""),"ROW Master Carton Label (UPC)")</f>
        <v>ROW Master Carton Label (UPC)</v>
      </c>
      <c r="L41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41" s="182" t="str">
        <f>IFERROR(__xludf.DUMMYFUNCTION("""COMPUTED_VALUE"""),"G990-08528-33-02
G990-08528-33-B")</f>
        <v>G990-08528-33-02
G990-08528-33-B</v>
      </c>
      <c r="N41" s="182" t="str">
        <f>IFERROR(__xludf.DUMMYFUNCTION("""COMPUTED_VALUE"""),"N/A")</f>
        <v>N/A</v>
      </c>
      <c r="O41" s="182" t="str">
        <f>IFERROR(__xludf.DUMMYFUNCTION("""COMPUTED_VALUE"""),"G990-08494-00-01
G990-08494-00-A")</f>
        <v>G990-08494-00-01
G990-08494-00-A</v>
      </c>
      <c r="P41" s="182" t="str">
        <f>IFERROR(__xludf.DUMMYFUNCTION("""COMPUTED_VALUE"""),"BOB→B
Retail→A")</f>
        <v>BOB→B
Retail→A</v>
      </c>
      <c r="Q41" s="182" t="str">
        <f>IFERROR(__xludf.DUMMYFUNCTION("""COMPUTED_VALUE"""),"512GB")</f>
        <v>512GB</v>
      </c>
      <c r="R41" s="182" t="str">
        <f>IFERROR(__xludf.DUMMYFUNCTION("""COMPUTED_VALUE"""),"Moonstone")</f>
        <v>Moonstone</v>
      </c>
      <c r="S41" s="182" t="str">
        <f>IFERROR(__xludf.DUMMYFUNCTION("""COMPUTED_VALUE"""),"Sterling")</f>
        <v>Sterling</v>
      </c>
      <c r="T41" s="182" t="str">
        <f>IFERROR(__xludf.DUMMYFUNCTION("""COMPUTED_VALUE"""),"CA/TW/SG/AU/MY/MX")</f>
        <v>CA/TW/SG/AU/MY/MX</v>
      </c>
      <c r="U41" s="182" t="str">
        <f>IFERROR(__xludf.DUMMYFUNCTION("""COMPUTED_VALUE"""),"SKU,CLR3, BEST, SUB6, CA/TW/SG/AU/MY/MX, BZ5")</f>
        <v>SKU,CLR3, BEST, SUB6, CA/TW/SG/AU/MY/MX, BZ5</v>
      </c>
      <c r="V41" s="182"/>
      <c r="W41" s="183" t="str">
        <f>IFERROR(__xludf.DUMMYFUNCTION("""COMPUTED_VALUE"""),"#NUM!")</f>
        <v>#NUM!</v>
      </c>
      <c r="X41" s="186">
        <f>IFERROR(__xludf.DUMMYFUNCTION("""COMPUTED_VALUE"""),45831.0)</f>
        <v>45831</v>
      </c>
      <c r="Y41" s="187">
        <f>IFERROR(__xludf.DUMMYFUNCTION("""COMPUTED_VALUE"""),45780.0)</f>
        <v>45780</v>
      </c>
      <c r="Z41" s="182" t="b">
        <f>IFERROR(__xludf.DUMMYFUNCTION("""COMPUTED_VALUE"""),TRUE)</f>
        <v>1</v>
      </c>
      <c r="AA41" s="187">
        <f>IFERROR(__xludf.DUMMYFUNCTION("""COMPUTED_VALUE"""),45780.0)</f>
        <v>45780</v>
      </c>
      <c r="AB41" s="182" t="b">
        <f>IFERROR(__xludf.DUMMYFUNCTION("""COMPUTED_VALUE"""),FALSE)</f>
        <v>0</v>
      </c>
      <c r="AC41" s="187">
        <f>IFERROR(__xludf.DUMMYFUNCTION("""COMPUTED_VALUE"""),45787.0)</f>
        <v>45787</v>
      </c>
      <c r="AD41" s="187">
        <f>IFERROR(__xludf.DUMMYFUNCTION("""COMPUTED_VALUE"""),45787.0)</f>
        <v>45787</v>
      </c>
      <c r="AE41" s="182" t="str">
        <f>IFERROR(__xludf.DUMMYFUNCTION("""COMPUTED_VALUE"""),"GA10318-CA
GA10318-CA RevA")</f>
        <v>GA10318-CA
GA10318-CA RevA</v>
      </c>
      <c r="AF41" s="182"/>
      <c r="AG41" s="188" t="str">
        <f>IFERROR(__xludf.DUMMYFUNCTION("""COMPUTED_VALUE"""),"GA10318-CA")</f>
        <v>GA10318-CA</v>
      </c>
      <c r="AH41" s="182" t="str">
        <f>IFERROR(__xludf.DUMMYFUNCTION("""COMPUTED_VALUE"""),"GA10318-CA
GA10318-CA RevB")</f>
        <v>GA10318-CA
GA10318-CA RevB</v>
      </c>
      <c r="AI41" s="188" t="str">
        <f>IFERROR(__xludf.DUMMYFUNCTION("""COMPUTED_VALUE"""),"GA10318-CA")</f>
        <v>GA10318-CA</v>
      </c>
      <c r="AJ41" s="187">
        <f>IFERROR(__xludf.DUMMYFUNCTION("""COMPUTED_VALUE"""),45793.0)</f>
        <v>45793</v>
      </c>
      <c r="AK41" s="187">
        <f>IFERROR(__xludf.DUMMYFUNCTION("""COMPUTED_VALUE"""),45801.0)</f>
        <v>45801</v>
      </c>
      <c r="AL41" s="182" t="b">
        <f>IFERROR(__xludf.DUMMYFUNCTION("""COMPUTED_VALUE"""),TRUE)</f>
        <v>1</v>
      </c>
      <c r="AM41" s="182" t="b">
        <f>IFERROR(__xludf.DUMMYFUNCTION("""COMPUTED_VALUE"""),TRUE)</f>
        <v>1</v>
      </c>
      <c r="AN41" s="187">
        <f>IFERROR(__xludf.DUMMYFUNCTION("""COMPUTED_VALUE"""),45801.0)</f>
        <v>45801</v>
      </c>
      <c r="AO41" s="182" t="b">
        <f>IFERROR(__xludf.DUMMYFUNCTION("""COMPUTED_VALUE"""),TRUE)</f>
        <v>1</v>
      </c>
      <c r="AP41" s="182" t="str">
        <f>IFERROR(__xludf.DUMMYFUNCTION("""COMPUTED_VALUE"""),"N")</f>
        <v>N</v>
      </c>
      <c r="AQ41" s="182"/>
      <c r="AR41" s="187">
        <f>IFERROR(__xludf.DUMMYFUNCTION("""COMPUTED_VALUE"""),45801.0)</f>
        <v>45801</v>
      </c>
      <c r="AS41" s="182" t="b">
        <f>IFERROR(__xludf.DUMMYFUNCTION("""COMPUTED_VALUE"""),FALSE)</f>
        <v>0</v>
      </c>
      <c r="AT41" s="182"/>
      <c r="AU41" s="182"/>
      <c r="AV41" s="187">
        <f>IFERROR(__xludf.DUMMYFUNCTION("""COMPUTED_VALUE"""),45801.0)</f>
        <v>45801</v>
      </c>
      <c r="AW41" s="182" t="b">
        <f>IFERROR(__xludf.DUMMYFUNCTION("""COMPUTED_VALUE"""),TRUE)</f>
        <v>1</v>
      </c>
      <c r="AX41" s="182" t="str">
        <f>IFERROR(__xludf.DUMMYFUNCTION("""COMPUTED_VALUE"""),"N")</f>
        <v>N</v>
      </c>
      <c r="AY41" s="182"/>
      <c r="AZ41" s="187">
        <f>IFERROR(__xludf.DUMMYFUNCTION("""COMPUTED_VALUE"""),45827.0)</f>
        <v>45827</v>
      </c>
      <c r="BA41" s="182" t="b">
        <f>IFERROR(__xludf.DUMMYFUNCTION("""COMPUTED_VALUE"""),FALSE)</f>
        <v>0</v>
      </c>
      <c r="BB41" s="187">
        <f>IFERROR(__xludf.DUMMYFUNCTION("""COMPUTED_VALUE"""),45827.0)</f>
        <v>45827</v>
      </c>
    </row>
    <row r="42">
      <c r="A42" s="184" t="str">
        <f t="shared" si="1"/>
        <v>#VALUE!</v>
      </c>
      <c r="B42" s="69" t="str">
        <f t="shared" si="2"/>
        <v>G990-08494-00-A</v>
      </c>
      <c r="C42" s="182" t="str">
        <f>IFERROR(__xludf.DUMMYFUNCTION("""COMPUTED_VALUE"""),"CA/TW/SG/AU/MY/MX")</f>
        <v>CA/TW/SG/AU/MY/MX</v>
      </c>
      <c r="D42" s="182" t="str">
        <f>IFERROR(__xludf.DUMMYFUNCTION("""COMPUTED_VALUE"""),"MP")</f>
        <v>MP</v>
      </c>
      <c r="E42" s="182" t="str">
        <f>IFERROR(__xludf.DUMMYFUNCTION("""COMPUTED_VALUE"""),"Pristine")</f>
        <v>Pristine</v>
      </c>
      <c r="F42" s="182" t="str">
        <f>IFERROR(__xludf.DUMMYFUNCTION("""COMPUTED_VALUE"""),"GA10319-CA")</f>
        <v>GA10319-CA</v>
      </c>
      <c r="G42" s="182" t="str">
        <f>IFERROR(__xludf.DUMMYFUNCTION("""COMPUTED_VALUE"""),"GEHN3")</f>
        <v>GEHN3</v>
      </c>
      <c r="H42" s="182">
        <f>IFERROR(__xludf.DUMMYFUNCTION("""COMPUTED_VALUE"""),8.40353925656E11)</f>
        <v>840353925656</v>
      </c>
      <c r="I42" s="185" t="str">
        <f>IFERROR(__xludf.DUMMYFUNCTION("""COMPUTED_VALUE"""),"0840353925656")</f>
        <v>0840353925656</v>
      </c>
      <c r="J42" s="182"/>
      <c r="K42" s="182"/>
      <c r="L42" s="182"/>
      <c r="M42" s="188" t="str">
        <f>IFERROR(__xludf.DUMMYFUNCTION("""COMPUTED_VALUE"""),"G990-08528-43-02")</f>
        <v>G990-08528-43-02</v>
      </c>
      <c r="N42" s="182" t="str">
        <f>IFERROR(__xludf.DUMMYFUNCTION("""COMPUTED_VALUE"""),"N/A")</f>
        <v>N/A</v>
      </c>
      <c r="O42" s="182" t="str">
        <f>IFERROR(__xludf.DUMMYFUNCTION("""COMPUTED_VALUE"""),"G990-08494-00-01
G990-08494-00-A")</f>
        <v>G990-08494-00-01
G990-08494-00-A</v>
      </c>
      <c r="P42" s="182" t="str">
        <f>IFERROR(__xludf.DUMMYFUNCTION("""COMPUTED_VALUE"""),"BOB→B
Retail→A")</f>
        <v>BOB→B
Retail→A</v>
      </c>
      <c r="Q42" s="182" t="str">
        <f>IFERROR(__xludf.DUMMYFUNCTION("""COMPUTED_VALUE"""),"512GB")</f>
        <v>512GB</v>
      </c>
      <c r="R42" s="182" t="str">
        <f>IFERROR(__xludf.DUMMYFUNCTION("""COMPUTED_VALUE"""),"Jade")</f>
        <v>Jade</v>
      </c>
      <c r="S42" s="182" t="str">
        <f>IFERROR(__xludf.DUMMYFUNCTION("""COMPUTED_VALUE"""),"Smokey Green")</f>
        <v>Smokey Green</v>
      </c>
      <c r="T42" s="182" t="str">
        <f>IFERROR(__xludf.DUMMYFUNCTION("""COMPUTED_VALUE"""),"CA/TW/SG/AU/MY/MX")</f>
        <v>CA/TW/SG/AU/MY/MX</v>
      </c>
      <c r="U42" s="182" t="str">
        <f>IFERROR(__xludf.DUMMYFUNCTION("""COMPUTED_VALUE"""),"SKU,CLR4, BEST, SUB6, CA/TW/SG/AU/MY/MX, BZ5")</f>
        <v>SKU,CLR4, BEST, SUB6, CA/TW/SG/AU/MY/MX, BZ5</v>
      </c>
      <c r="V42" s="182"/>
      <c r="W42" s="183" t="str">
        <f>IFERROR(__xludf.DUMMYFUNCTION("""COMPUTED_VALUE"""),"#NUM!")</f>
        <v>#NUM!</v>
      </c>
      <c r="X42" s="186">
        <f>IFERROR(__xludf.DUMMYFUNCTION("""COMPUTED_VALUE"""),45831.0)</f>
        <v>45831</v>
      </c>
      <c r="Y42" s="187">
        <f>IFERROR(__xludf.DUMMYFUNCTION("""COMPUTED_VALUE"""),45780.0)</f>
        <v>45780</v>
      </c>
      <c r="Z42" s="182" t="b">
        <f>IFERROR(__xludf.DUMMYFUNCTION("""COMPUTED_VALUE"""),FALSE)</f>
        <v>0</v>
      </c>
      <c r="AA42" s="187">
        <f>IFERROR(__xludf.DUMMYFUNCTION("""COMPUTED_VALUE"""),45780.0)</f>
        <v>45780</v>
      </c>
      <c r="AB42" s="182" t="b">
        <f>IFERROR(__xludf.DUMMYFUNCTION("""COMPUTED_VALUE"""),FALSE)</f>
        <v>0</v>
      </c>
      <c r="AC42" s="187">
        <f>IFERROR(__xludf.DUMMYFUNCTION("""COMPUTED_VALUE"""),45787.0)</f>
        <v>45787</v>
      </c>
      <c r="AD42" s="187">
        <f>IFERROR(__xludf.DUMMYFUNCTION("""COMPUTED_VALUE"""),45787.0)</f>
        <v>45787</v>
      </c>
      <c r="AE42" s="182"/>
      <c r="AF42" s="182"/>
      <c r="AG42" s="182"/>
      <c r="AH42" s="182"/>
      <c r="AI42" s="188" t="str">
        <f>IFERROR(__xludf.DUMMYFUNCTION("""COMPUTED_VALUE"""),"GA10319-CA")</f>
        <v>GA10319-CA</v>
      </c>
      <c r="AJ42" s="187">
        <f>IFERROR(__xludf.DUMMYFUNCTION("""COMPUTED_VALUE"""),45793.0)</f>
        <v>45793</v>
      </c>
      <c r="AK42" s="187">
        <f>IFERROR(__xludf.DUMMYFUNCTION("""COMPUTED_VALUE"""),45801.0)</f>
        <v>45801</v>
      </c>
      <c r="AL42" s="182" t="b">
        <f>IFERROR(__xludf.DUMMYFUNCTION("""COMPUTED_VALUE"""),FALSE)</f>
        <v>0</v>
      </c>
      <c r="AM42" s="182" t="b">
        <f>IFERROR(__xludf.DUMMYFUNCTION("""COMPUTED_VALUE"""),FALSE)</f>
        <v>0</v>
      </c>
      <c r="AN42" s="187">
        <f>IFERROR(__xludf.DUMMYFUNCTION("""COMPUTED_VALUE"""),45801.0)</f>
        <v>45801</v>
      </c>
      <c r="AO42" s="182" t="b">
        <f>IFERROR(__xludf.DUMMYFUNCTION("""COMPUTED_VALUE"""),FALSE)</f>
        <v>0</v>
      </c>
      <c r="AP42" s="182"/>
      <c r="AQ42" s="182"/>
      <c r="AR42" s="187">
        <f>IFERROR(__xludf.DUMMYFUNCTION("""COMPUTED_VALUE"""),45801.0)</f>
        <v>45801</v>
      </c>
      <c r="AS42" s="182"/>
      <c r="AT42" s="182"/>
      <c r="AU42" s="182"/>
      <c r="AV42" s="187">
        <f>IFERROR(__xludf.DUMMYFUNCTION("""COMPUTED_VALUE"""),45801.0)</f>
        <v>45801</v>
      </c>
      <c r="AW42" s="182" t="b">
        <f>IFERROR(__xludf.DUMMYFUNCTION("""COMPUTED_VALUE"""),FALSE)</f>
        <v>0</v>
      </c>
      <c r="AX42" s="182"/>
      <c r="AY42" s="182"/>
      <c r="AZ42" s="187">
        <f>IFERROR(__xludf.DUMMYFUNCTION("""COMPUTED_VALUE"""),45827.0)</f>
        <v>45827</v>
      </c>
      <c r="BA42" s="182" t="b">
        <f>IFERROR(__xludf.DUMMYFUNCTION("""COMPUTED_VALUE"""),FALSE)</f>
        <v>0</v>
      </c>
      <c r="BB42" s="187">
        <f>IFERROR(__xludf.DUMMYFUNCTION("""COMPUTED_VALUE"""),45827.0)</f>
        <v>45827</v>
      </c>
    </row>
    <row r="43">
      <c r="A43" s="184" t="str">
        <f t="shared" si="1"/>
        <v>G990-08528-14-B</v>
      </c>
      <c r="B43" s="69" t="str">
        <f t="shared" si="2"/>
        <v>G990-08494-00-A</v>
      </c>
      <c r="C43" s="182" t="str">
        <f>IFERROR(__xludf.DUMMYFUNCTION("""COMPUTED_VALUE"""),"CA/TW/SG/AU/MY/MX")</f>
        <v>CA/TW/SG/AU/MY/MX</v>
      </c>
      <c r="D43" s="182" t="str">
        <f>IFERROR(__xludf.DUMMYFUNCTION("""COMPUTED_VALUE"""),"MP")</f>
        <v>MP</v>
      </c>
      <c r="E43" s="182" t="str">
        <f>IFERROR(__xludf.DUMMYFUNCTION("""COMPUTED_VALUE"""),"Pristine")</f>
        <v>Pristine</v>
      </c>
      <c r="F43" s="182" t="str">
        <f>IFERROR(__xludf.DUMMYFUNCTION("""COMPUTED_VALUE"""),"GA09934-CA")</f>
        <v>GA09934-CA</v>
      </c>
      <c r="G43" s="182" t="str">
        <f>IFERROR(__xludf.DUMMYFUNCTION("""COMPUTED_VALUE"""),"GEHN3")</f>
        <v>GEHN3</v>
      </c>
      <c r="H43" s="182">
        <f>IFERROR(__xludf.DUMMYFUNCTION("""COMPUTED_VALUE"""),8.40353925779E11)</f>
        <v>840353925779</v>
      </c>
      <c r="I43" s="185" t="str">
        <f>IFERROR(__xludf.DUMMYFUNCTION("""COMPUTED_VALUE"""),"0840353925779")</f>
        <v>0840353925779</v>
      </c>
      <c r="J43" s="182"/>
      <c r="K43" s="182" t="str">
        <f>IFERROR(__xludf.DUMMYFUNCTION("""COMPUTED_VALUE"""),"ROW Master Carton Label (UPC)")</f>
        <v>ROW Master Carton Label (UPC)</v>
      </c>
      <c r="L43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43" s="182" t="str">
        <f>IFERROR(__xludf.DUMMYFUNCTION("""COMPUTED_VALUE"""),"G990-08528-14-02
G990-08528-14-B")</f>
        <v>G990-08528-14-02
G990-08528-14-B</v>
      </c>
      <c r="N43" s="182" t="str">
        <f>IFERROR(__xludf.DUMMYFUNCTION("""COMPUTED_VALUE"""),"N/A")</f>
        <v>N/A</v>
      </c>
      <c r="O43" s="182" t="str">
        <f>IFERROR(__xludf.DUMMYFUNCTION("""COMPUTED_VALUE"""),"G990-08494-00-01
G990-08494-00-A")</f>
        <v>G990-08494-00-01
G990-08494-00-A</v>
      </c>
      <c r="P43" s="182" t="str">
        <f>IFERROR(__xludf.DUMMYFUNCTION("""COMPUTED_VALUE"""),"BOB→B
Retail→A")</f>
        <v>BOB→B
Retail→A</v>
      </c>
      <c r="Q43" s="182" t="str">
        <f>IFERROR(__xludf.DUMMYFUNCTION("""COMPUTED_VALUE"""),"1TB")</f>
        <v>1TB</v>
      </c>
      <c r="R43" s="182" t="str">
        <f>IFERROR(__xludf.DUMMYFUNCTION("""COMPUTED_VALUE"""),"Obsidian")</f>
        <v>Obsidian</v>
      </c>
      <c r="S43" s="182" t="str">
        <f>IFERROR(__xludf.DUMMYFUNCTION("""COMPUTED_VALUE"""),"Midnight")</f>
        <v>Midnight</v>
      </c>
      <c r="T43" s="182" t="str">
        <f>IFERROR(__xludf.DUMMYFUNCTION("""COMPUTED_VALUE"""),"CA/TW/SG/AU/MY/MX")</f>
        <v>CA/TW/SG/AU/MY/MX</v>
      </c>
      <c r="U43" s="182" t="str">
        <f>IFERROR(__xludf.DUMMYFUNCTION("""COMPUTED_VALUE"""),"SKU,CLR1, ULTRA, SUB6, CA/TW/SG/AU/MY/MX, BZ5")</f>
        <v>SKU,CLR1, ULTRA, SUB6, CA/TW/SG/AU/MY/MX, BZ5</v>
      </c>
      <c r="V43" s="182"/>
      <c r="W43" s="183" t="str">
        <f>IFERROR(__xludf.DUMMYFUNCTION("""COMPUTED_VALUE"""),"#NUM!")</f>
        <v>#NUM!</v>
      </c>
      <c r="X43" s="186">
        <f>IFERROR(__xludf.DUMMYFUNCTION("""COMPUTED_VALUE"""),45831.0)</f>
        <v>45831</v>
      </c>
      <c r="Y43" s="187">
        <f>IFERROR(__xludf.DUMMYFUNCTION("""COMPUTED_VALUE"""),45780.0)</f>
        <v>45780</v>
      </c>
      <c r="Z43" s="182" t="b">
        <f>IFERROR(__xludf.DUMMYFUNCTION("""COMPUTED_VALUE"""),TRUE)</f>
        <v>1</v>
      </c>
      <c r="AA43" s="187">
        <f>IFERROR(__xludf.DUMMYFUNCTION("""COMPUTED_VALUE"""),45780.0)</f>
        <v>45780</v>
      </c>
      <c r="AB43" s="182" t="b">
        <f>IFERROR(__xludf.DUMMYFUNCTION("""COMPUTED_VALUE"""),FALSE)</f>
        <v>0</v>
      </c>
      <c r="AC43" s="187">
        <f>IFERROR(__xludf.DUMMYFUNCTION("""COMPUTED_VALUE"""),45787.0)</f>
        <v>45787</v>
      </c>
      <c r="AD43" s="187">
        <f>IFERROR(__xludf.DUMMYFUNCTION("""COMPUTED_VALUE"""),45787.0)</f>
        <v>45787</v>
      </c>
      <c r="AE43" s="182" t="str">
        <f>IFERROR(__xludf.DUMMYFUNCTION("""COMPUTED_VALUE"""),"GA09934-CA
GA09934-CA RevA")</f>
        <v>GA09934-CA
GA09934-CA RevA</v>
      </c>
      <c r="AF43" s="182"/>
      <c r="AG43" s="188" t="str">
        <f>IFERROR(__xludf.DUMMYFUNCTION("""COMPUTED_VALUE"""),"GA09934-CA")</f>
        <v>GA09934-CA</v>
      </c>
      <c r="AH43" s="182" t="str">
        <f>IFERROR(__xludf.DUMMYFUNCTION("""COMPUTED_VALUE"""),"GA09934-CA
GA09934-CA RevB")</f>
        <v>GA09934-CA
GA09934-CA RevB</v>
      </c>
      <c r="AI43" s="188" t="str">
        <f>IFERROR(__xludf.DUMMYFUNCTION("""COMPUTED_VALUE"""),"GA09934-CA")</f>
        <v>GA09934-CA</v>
      </c>
      <c r="AJ43" s="187">
        <f>IFERROR(__xludf.DUMMYFUNCTION("""COMPUTED_VALUE"""),45793.0)</f>
        <v>45793</v>
      </c>
      <c r="AK43" s="187">
        <f>IFERROR(__xludf.DUMMYFUNCTION("""COMPUTED_VALUE"""),45801.0)</f>
        <v>45801</v>
      </c>
      <c r="AL43" s="182" t="b">
        <f>IFERROR(__xludf.DUMMYFUNCTION("""COMPUTED_VALUE"""),TRUE)</f>
        <v>1</v>
      </c>
      <c r="AM43" s="182" t="b">
        <f>IFERROR(__xludf.DUMMYFUNCTION("""COMPUTED_VALUE"""),TRUE)</f>
        <v>1</v>
      </c>
      <c r="AN43" s="187">
        <f>IFERROR(__xludf.DUMMYFUNCTION("""COMPUTED_VALUE"""),45801.0)</f>
        <v>45801</v>
      </c>
      <c r="AO43" s="182" t="b">
        <f>IFERROR(__xludf.DUMMYFUNCTION("""COMPUTED_VALUE"""),TRUE)</f>
        <v>1</v>
      </c>
      <c r="AP43" s="182" t="str">
        <f>IFERROR(__xludf.DUMMYFUNCTION("""COMPUTED_VALUE"""),"N")</f>
        <v>N</v>
      </c>
      <c r="AQ43" s="182"/>
      <c r="AR43" s="187">
        <f>IFERROR(__xludf.DUMMYFUNCTION("""COMPUTED_VALUE"""),45801.0)</f>
        <v>45801</v>
      </c>
      <c r="AS43" s="182" t="b">
        <f>IFERROR(__xludf.DUMMYFUNCTION("""COMPUTED_VALUE"""),FALSE)</f>
        <v>0</v>
      </c>
      <c r="AT43" s="182"/>
      <c r="AU43" s="182"/>
      <c r="AV43" s="187">
        <f>IFERROR(__xludf.DUMMYFUNCTION("""COMPUTED_VALUE"""),45801.0)</f>
        <v>45801</v>
      </c>
      <c r="AW43" s="182" t="b">
        <f>IFERROR(__xludf.DUMMYFUNCTION("""COMPUTED_VALUE"""),TRUE)</f>
        <v>1</v>
      </c>
      <c r="AX43" s="182" t="str">
        <f>IFERROR(__xludf.DUMMYFUNCTION("""COMPUTED_VALUE"""),"N")</f>
        <v>N</v>
      </c>
      <c r="AY43" s="182"/>
      <c r="AZ43" s="187">
        <f>IFERROR(__xludf.DUMMYFUNCTION("""COMPUTED_VALUE"""),45827.0)</f>
        <v>45827</v>
      </c>
      <c r="BA43" s="182" t="b">
        <f>IFERROR(__xludf.DUMMYFUNCTION("""COMPUTED_VALUE"""),FALSE)</f>
        <v>0</v>
      </c>
      <c r="BB43" s="187">
        <f>IFERROR(__xludf.DUMMYFUNCTION("""COMPUTED_VALUE"""),45827.0)</f>
        <v>45827</v>
      </c>
    </row>
    <row r="44">
      <c r="A44" s="184" t="str">
        <f t="shared" si="1"/>
        <v>#VALUE!</v>
      </c>
      <c r="B44" s="69" t="str">
        <f t="shared" si="2"/>
        <v>#VALUE!</v>
      </c>
      <c r="C44" s="182" t="str">
        <f>IFERROR(__xludf.DUMMYFUNCTION("""COMPUTED_VALUE"""),"CA/TW/SG/AU/MY/MX")</f>
        <v>CA/TW/SG/AU/MY/MX</v>
      </c>
      <c r="D44" s="182" t="str">
        <f>IFERROR(__xludf.DUMMYFUNCTION("""COMPUTED_VALUE"""),"MP")</f>
        <v>MP</v>
      </c>
      <c r="E44" s="182" t="str">
        <f>IFERROR(__xludf.DUMMYFUNCTION("""COMPUTED_VALUE"""),"Pristine")</f>
        <v>Pristine</v>
      </c>
      <c r="F44" s="182" t="str">
        <f>IFERROR(__xludf.DUMMYFUNCTION("""COMPUTED_VALUE"""),"GA10320-CA")</f>
        <v>GA10320-CA</v>
      </c>
      <c r="G44" s="182" t="str">
        <f>IFERROR(__xludf.DUMMYFUNCTION("""COMPUTED_VALUE"""),"GEHN3")</f>
        <v>GEHN3</v>
      </c>
      <c r="H44" s="182">
        <f>IFERROR(__xludf.DUMMYFUNCTION("""COMPUTED_VALUE"""),8.40353925786E11)</f>
        <v>840353925786</v>
      </c>
      <c r="I44" s="185" t="str">
        <f>IFERROR(__xludf.DUMMYFUNCTION("""COMPUTED_VALUE"""),"0840353925786")</f>
        <v>0840353925786</v>
      </c>
      <c r="J44" s="182"/>
      <c r="K44" s="182"/>
      <c r="L44" s="182"/>
      <c r="M44" s="188" t="str">
        <f>IFERROR(__xludf.DUMMYFUNCTION("""COMPUTED_VALUE"""),"G990-08528-34-02")</f>
        <v>G990-08528-34-02</v>
      </c>
      <c r="N44" s="182" t="str">
        <f>IFERROR(__xludf.DUMMYFUNCTION("""COMPUTED_VALUE"""),"N/A")</f>
        <v>N/A</v>
      </c>
      <c r="O44" s="188" t="str">
        <f>IFERROR(__xludf.DUMMYFUNCTION("""COMPUTED_VALUE"""),"G990-08494-00-01")</f>
        <v>G990-08494-00-01</v>
      </c>
      <c r="P44" s="182" t="str">
        <f>IFERROR(__xludf.DUMMYFUNCTION("""COMPUTED_VALUE"""),"BOB→B
Retail→A")</f>
        <v>BOB→B
Retail→A</v>
      </c>
      <c r="Q44" s="182" t="str">
        <f>IFERROR(__xludf.DUMMYFUNCTION("""COMPUTED_VALUE"""),"1TB")</f>
        <v>1TB</v>
      </c>
      <c r="R44" s="182" t="str">
        <f>IFERROR(__xludf.DUMMYFUNCTION("""COMPUTED_VALUE"""),"Moonstone")</f>
        <v>Moonstone</v>
      </c>
      <c r="S44" s="182" t="str">
        <f>IFERROR(__xludf.DUMMYFUNCTION("""COMPUTED_VALUE"""),"Sterling")</f>
        <v>Sterling</v>
      </c>
      <c r="T44" s="182" t="str">
        <f>IFERROR(__xludf.DUMMYFUNCTION("""COMPUTED_VALUE"""),"CA/TW/SG/AU/MY/MX")</f>
        <v>CA/TW/SG/AU/MY/MX</v>
      </c>
      <c r="U44" s="182" t="str">
        <f>IFERROR(__xludf.DUMMYFUNCTION("""COMPUTED_VALUE"""),"SKU,CLR3, ULTRA, SUB6, CA/TW/SG/AU/MY/MX, BZ5")</f>
        <v>SKU,CLR3, ULTRA, SUB6, CA/TW/SG/AU/MY/MX, BZ5</v>
      </c>
      <c r="V44" s="182"/>
      <c r="W44" s="183" t="str">
        <f>IFERROR(__xludf.DUMMYFUNCTION("""COMPUTED_VALUE"""),"#NUM!")</f>
        <v>#NUM!</v>
      </c>
      <c r="X44" s="186">
        <f>IFERROR(__xludf.DUMMYFUNCTION("""COMPUTED_VALUE"""),45831.0)</f>
        <v>45831</v>
      </c>
      <c r="Y44" s="187">
        <f>IFERROR(__xludf.DUMMYFUNCTION("""COMPUTED_VALUE"""),45780.0)</f>
        <v>45780</v>
      </c>
      <c r="Z44" s="182" t="b">
        <f>IFERROR(__xludf.DUMMYFUNCTION("""COMPUTED_VALUE"""),FALSE)</f>
        <v>0</v>
      </c>
      <c r="AA44" s="187">
        <f>IFERROR(__xludf.DUMMYFUNCTION("""COMPUTED_VALUE"""),45780.0)</f>
        <v>45780</v>
      </c>
      <c r="AB44" s="182" t="b">
        <f>IFERROR(__xludf.DUMMYFUNCTION("""COMPUTED_VALUE"""),FALSE)</f>
        <v>0</v>
      </c>
      <c r="AC44" s="187">
        <f>IFERROR(__xludf.DUMMYFUNCTION("""COMPUTED_VALUE"""),45787.0)</f>
        <v>45787</v>
      </c>
      <c r="AD44" s="187">
        <f>IFERROR(__xludf.DUMMYFUNCTION("""COMPUTED_VALUE"""),45787.0)</f>
        <v>45787</v>
      </c>
      <c r="AE44" s="182"/>
      <c r="AF44" s="182"/>
      <c r="AG44" s="182"/>
      <c r="AH44" s="182"/>
      <c r="AI44" s="188" t="str">
        <f>IFERROR(__xludf.DUMMYFUNCTION("""COMPUTED_VALUE"""),"GA10320-CA")</f>
        <v>GA10320-CA</v>
      </c>
      <c r="AJ44" s="187">
        <f>IFERROR(__xludf.DUMMYFUNCTION("""COMPUTED_VALUE"""),45793.0)</f>
        <v>45793</v>
      </c>
      <c r="AK44" s="187">
        <f>IFERROR(__xludf.DUMMYFUNCTION("""COMPUTED_VALUE"""),45801.0)</f>
        <v>45801</v>
      </c>
      <c r="AL44" s="182" t="b">
        <f>IFERROR(__xludf.DUMMYFUNCTION("""COMPUTED_VALUE"""),FALSE)</f>
        <v>0</v>
      </c>
      <c r="AM44" s="182" t="b">
        <f>IFERROR(__xludf.DUMMYFUNCTION("""COMPUTED_VALUE"""),FALSE)</f>
        <v>0</v>
      </c>
      <c r="AN44" s="187">
        <f>IFERROR(__xludf.DUMMYFUNCTION("""COMPUTED_VALUE"""),45801.0)</f>
        <v>45801</v>
      </c>
      <c r="AO44" s="182" t="b">
        <f>IFERROR(__xludf.DUMMYFUNCTION("""COMPUTED_VALUE"""),FALSE)</f>
        <v>0</v>
      </c>
      <c r="AP44" s="182"/>
      <c r="AQ44" s="182"/>
      <c r="AR44" s="187">
        <f>IFERROR(__xludf.DUMMYFUNCTION("""COMPUTED_VALUE"""),45801.0)</f>
        <v>45801</v>
      </c>
      <c r="AS44" s="182"/>
      <c r="AT44" s="182"/>
      <c r="AU44" s="182"/>
      <c r="AV44" s="187">
        <f>IFERROR(__xludf.DUMMYFUNCTION("""COMPUTED_VALUE"""),45801.0)</f>
        <v>45801</v>
      </c>
      <c r="AW44" s="182" t="b">
        <f>IFERROR(__xludf.DUMMYFUNCTION("""COMPUTED_VALUE"""),FALSE)</f>
        <v>0</v>
      </c>
      <c r="AX44" s="182"/>
      <c r="AY44" s="182"/>
      <c r="AZ44" s="187">
        <f>IFERROR(__xludf.DUMMYFUNCTION("""COMPUTED_VALUE"""),45827.0)</f>
        <v>45827</v>
      </c>
      <c r="BA44" s="182" t="b">
        <f>IFERROR(__xludf.DUMMYFUNCTION("""COMPUTED_VALUE"""),FALSE)</f>
        <v>0</v>
      </c>
      <c r="BB44" s="187">
        <f>IFERROR(__xludf.DUMMYFUNCTION("""COMPUTED_VALUE"""),45827.0)</f>
        <v>45827</v>
      </c>
    </row>
    <row r="45">
      <c r="A45" s="184" t="str">
        <f t="shared" si="1"/>
        <v>G990-08531-11-B</v>
      </c>
      <c r="B45" s="69" t="str">
        <f t="shared" si="2"/>
        <v>G990-08497-00-B</v>
      </c>
      <c r="C45" s="182" t="str">
        <f>IFERROR(__xludf.DUMMYFUNCTION("""COMPUTED_VALUE"""),"EU")</f>
        <v>EU</v>
      </c>
      <c r="D45" s="182" t="str">
        <f>IFERROR(__xludf.DUMMYFUNCTION("""COMPUTED_VALUE"""),"MP")</f>
        <v>MP</v>
      </c>
      <c r="E45" s="182" t="str">
        <f>IFERROR(__xludf.DUMMYFUNCTION("""COMPUTED_VALUE"""),"Pristine")</f>
        <v>Pristine</v>
      </c>
      <c r="F45" s="182" t="str">
        <f>IFERROR(__xludf.DUMMYFUNCTION("""COMPUTED_VALUE"""),"GA09601-GB")</f>
        <v>GA09601-GB</v>
      </c>
      <c r="G45" s="182" t="str">
        <f>IFERROR(__xludf.DUMMYFUNCTION("""COMPUTED_VALUE"""),"GEHN3")</f>
        <v>GEHN3</v>
      </c>
      <c r="H45" s="182">
        <f>IFERROR(__xludf.DUMMYFUNCTION("""COMPUTED_VALUE"""),8.40353925977E11)</f>
        <v>840353925977</v>
      </c>
      <c r="I45" s="185" t="str">
        <f>IFERROR(__xludf.DUMMYFUNCTION("""COMPUTED_VALUE"""),"0840353925977")</f>
        <v>0840353925977</v>
      </c>
      <c r="J45" s="182"/>
      <c r="K45" s="182" t="str">
        <f>IFERROR(__xludf.DUMMYFUNCTION("""COMPUTED_VALUE"""),"ROW Master Carton Label (EAN)")</f>
        <v>ROW Master Carton Label (EAN)</v>
      </c>
      <c r="L45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45" s="182" t="str">
        <f>IFERROR(__xludf.DUMMYFUNCTION("""COMPUTED_VALUE"""),"G990-08531-11-03
G990-08531-11-B")</f>
        <v>G990-08531-11-03
G990-08531-11-B</v>
      </c>
      <c r="N45" s="182" t="str">
        <f>IFERROR(__xludf.DUMMYFUNCTION("""COMPUTED_VALUE"""),"N/A")</f>
        <v>N/A</v>
      </c>
      <c r="O45" s="182" t="str">
        <f>IFERROR(__xludf.DUMMYFUNCTION("""COMPUTED_VALUE"""),"G990-08497-00-A
G990-08497-00-B")</f>
        <v>G990-08497-00-A
G990-08497-00-B</v>
      </c>
      <c r="P45" s="182" t="str">
        <f>IFERROR(__xludf.DUMMYFUNCTION("""COMPUTED_VALUE"""),"BOB→B
Retail→B")</f>
        <v>BOB→B
Retail→B</v>
      </c>
      <c r="Q45" s="182" t="str">
        <f>IFERROR(__xludf.DUMMYFUNCTION("""COMPUTED_VALUE"""),"128GB")</f>
        <v>128GB</v>
      </c>
      <c r="R45" s="182" t="str">
        <f>IFERROR(__xludf.DUMMYFUNCTION("""COMPUTED_VALUE"""),"Obsidian")</f>
        <v>Obsidian</v>
      </c>
      <c r="S45" s="182" t="str">
        <f>IFERROR(__xludf.DUMMYFUNCTION("""COMPUTED_VALUE"""),"Midnight")</f>
        <v>Midnight</v>
      </c>
      <c r="T45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45" s="182" t="str">
        <f>IFERROR(__xludf.DUMMYFUNCTION("""COMPUTED_VALUE"""),"SKU,CLR1, GOOD, SUB6, EU/UK, BZ5")</f>
        <v>SKU,CLR1, GOOD, SUB6, EU/UK, BZ5</v>
      </c>
      <c r="V45" s="182"/>
      <c r="W45" s="183" t="str">
        <f>IFERROR(__xludf.DUMMYFUNCTION("""COMPUTED_VALUE"""),"#NUM!")</f>
        <v>#NUM!</v>
      </c>
      <c r="X45" s="186">
        <f>IFERROR(__xludf.DUMMYFUNCTION("""COMPUTED_VALUE"""),45831.0)</f>
        <v>45831</v>
      </c>
      <c r="Y45" s="187">
        <f>IFERROR(__xludf.DUMMYFUNCTION("""COMPUTED_VALUE"""),45780.0)</f>
        <v>45780</v>
      </c>
      <c r="Z45" s="182" t="b">
        <f>IFERROR(__xludf.DUMMYFUNCTION("""COMPUTED_VALUE"""),TRUE)</f>
        <v>1</v>
      </c>
      <c r="AA45" s="187">
        <f>IFERROR(__xludf.DUMMYFUNCTION("""COMPUTED_VALUE"""),45780.0)</f>
        <v>45780</v>
      </c>
      <c r="AB45" s="182" t="b">
        <f>IFERROR(__xludf.DUMMYFUNCTION("""COMPUTED_VALUE"""),FALSE)</f>
        <v>0</v>
      </c>
      <c r="AC45" s="187">
        <f>IFERROR(__xludf.DUMMYFUNCTION("""COMPUTED_VALUE"""),45787.0)</f>
        <v>45787</v>
      </c>
      <c r="AD45" s="187">
        <f>IFERROR(__xludf.DUMMYFUNCTION("""COMPUTED_VALUE"""),45787.0)</f>
        <v>45787</v>
      </c>
      <c r="AE45" s="182" t="str">
        <f>IFERROR(__xludf.DUMMYFUNCTION("""COMPUTED_VALUE"""),"GA09601-GB
GA09601-GB-RevA")</f>
        <v>GA09601-GB
GA09601-GB-RevA</v>
      </c>
      <c r="AF45" s="182"/>
      <c r="AG45" s="188" t="str">
        <f>IFERROR(__xludf.DUMMYFUNCTION("""COMPUTED_VALUE"""),"GA09601-GB")</f>
        <v>GA09601-GB</v>
      </c>
      <c r="AH45" s="182" t="str">
        <f>IFERROR(__xludf.DUMMYFUNCTION("""COMPUTED_VALUE"""),"GA09601-GB
GA09601-GB-RevB")</f>
        <v>GA09601-GB
GA09601-GB-RevB</v>
      </c>
      <c r="AI45" s="188" t="str">
        <f>IFERROR(__xludf.DUMMYFUNCTION("""COMPUTED_VALUE"""),"GA09601-GB")</f>
        <v>GA09601-GB</v>
      </c>
      <c r="AJ45" s="187">
        <f>IFERROR(__xludf.DUMMYFUNCTION("""COMPUTED_VALUE"""),45793.0)</f>
        <v>45793</v>
      </c>
      <c r="AK45" s="187">
        <f>IFERROR(__xludf.DUMMYFUNCTION("""COMPUTED_VALUE"""),45801.0)</f>
        <v>45801</v>
      </c>
      <c r="AL45" s="182" t="b">
        <f>IFERROR(__xludf.DUMMYFUNCTION("""COMPUTED_VALUE"""),TRUE)</f>
        <v>1</v>
      </c>
      <c r="AM45" s="182" t="b">
        <f>IFERROR(__xludf.DUMMYFUNCTION("""COMPUTED_VALUE"""),TRUE)</f>
        <v>1</v>
      </c>
      <c r="AN45" s="187">
        <f>IFERROR(__xludf.DUMMYFUNCTION("""COMPUTED_VALUE"""),45801.0)</f>
        <v>45801</v>
      </c>
      <c r="AO45" s="182" t="b">
        <f>IFERROR(__xludf.DUMMYFUNCTION("""COMPUTED_VALUE"""),TRUE)</f>
        <v>1</v>
      </c>
      <c r="AP45" s="182" t="str">
        <f>IFERROR(__xludf.DUMMYFUNCTION("""COMPUTED_VALUE"""),"N")</f>
        <v>N</v>
      </c>
      <c r="AQ45" s="182"/>
      <c r="AR45" s="187">
        <f>IFERROR(__xludf.DUMMYFUNCTION("""COMPUTED_VALUE"""),45801.0)</f>
        <v>45801</v>
      </c>
      <c r="AS45" s="182" t="b">
        <f>IFERROR(__xludf.DUMMYFUNCTION("""COMPUTED_VALUE"""),FALSE)</f>
        <v>0</v>
      </c>
      <c r="AT45" s="182"/>
      <c r="AU45" s="182"/>
      <c r="AV45" s="187">
        <f>IFERROR(__xludf.DUMMYFUNCTION("""COMPUTED_VALUE"""),45801.0)</f>
        <v>45801</v>
      </c>
      <c r="AW45" s="182" t="b">
        <f>IFERROR(__xludf.DUMMYFUNCTION("""COMPUTED_VALUE"""),TRUE)</f>
        <v>1</v>
      </c>
      <c r="AX45" s="182"/>
      <c r="AY45" s="182"/>
      <c r="AZ45" s="187">
        <f>IFERROR(__xludf.DUMMYFUNCTION("""COMPUTED_VALUE"""),45827.0)</f>
        <v>45827</v>
      </c>
      <c r="BA45" s="182" t="b">
        <f>IFERROR(__xludf.DUMMYFUNCTION("""COMPUTED_VALUE"""),FALSE)</f>
        <v>0</v>
      </c>
      <c r="BB45" s="187">
        <f>IFERROR(__xludf.DUMMYFUNCTION("""COMPUTED_VALUE"""),45827.0)</f>
        <v>45827</v>
      </c>
    </row>
    <row r="46">
      <c r="A46" s="184" t="str">
        <f t="shared" si="1"/>
        <v>G990-08531-21-B</v>
      </c>
      <c r="B46" s="69" t="str">
        <f t="shared" si="2"/>
        <v>G990-08497-00-B</v>
      </c>
      <c r="C46" s="182" t="str">
        <f>IFERROR(__xludf.DUMMYFUNCTION("""COMPUTED_VALUE"""),"EU")</f>
        <v>EU</v>
      </c>
      <c r="D46" s="182" t="str">
        <f>IFERROR(__xludf.DUMMYFUNCTION("""COMPUTED_VALUE"""),"MP")</f>
        <v>MP</v>
      </c>
      <c r="E46" s="182" t="str">
        <f>IFERROR(__xludf.DUMMYFUNCTION("""COMPUTED_VALUE"""),"Pristine")</f>
        <v>Pristine</v>
      </c>
      <c r="F46" s="182" t="str">
        <f>IFERROR(__xludf.DUMMYFUNCTION("""COMPUTED_VALUE"""),"GA10312-GB")</f>
        <v>GA10312-GB</v>
      </c>
      <c r="G46" s="182" t="str">
        <f>IFERROR(__xludf.DUMMYFUNCTION("""COMPUTED_VALUE"""),"GEHN3")</f>
        <v>GEHN3</v>
      </c>
      <c r="H46" s="182">
        <f>IFERROR(__xludf.DUMMYFUNCTION("""COMPUTED_VALUE"""),8.40353926011E11)</f>
        <v>840353926011</v>
      </c>
      <c r="I46" s="185" t="str">
        <f>IFERROR(__xludf.DUMMYFUNCTION("""COMPUTED_VALUE"""),"0840353926011")</f>
        <v>0840353926011</v>
      </c>
      <c r="J46" s="182"/>
      <c r="K46" s="182" t="str">
        <f>IFERROR(__xludf.DUMMYFUNCTION("""COMPUTED_VALUE"""),"ROW Master Carton Label (EAN)")</f>
        <v>ROW Master Carton Label (EAN)</v>
      </c>
      <c r="L46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46" s="182" t="str">
        <f>IFERROR(__xludf.DUMMYFUNCTION("""COMPUTED_VALUE"""),"G990-08531-21-03
G990-08531-21-B")</f>
        <v>G990-08531-21-03
G990-08531-21-B</v>
      </c>
      <c r="N46" s="182" t="str">
        <f>IFERROR(__xludf.DUMMYFUNCTION("""COMPUTED_VALUE"""),"N/A")</f>
        <v>N/A</v>
      </c>
      <c r="O46" s="182" t="str">
        <f>IFERROR(__xludf.DUMMYFUNCTION("""COMPUTED_VALUE"""),"G990-08497-00-A
G990-08497-00-B")</f>
        <v>G990-08497-00-A
G990-08497-00-B</v>
      </c>
      <c r="P46" s="182" t="str">
        <f>IFERROR(__xludf.DUMMYFUNCTION("""COMPUTED_VALUE"""),"BOB→B
Retail→B")</f>
        <v>BOB→B
Retail→B</v>
      </c>
      <c r="Q46" s="182" t="str">
        <f>IFERROR(__xludf.DUMMYFUNCTION("""COMPUTED_VALUE"""),"128GB")</f>
        <v>128GB</v>
      </c>
      <c r="R46" s="182" t="str">
        <f>IFERROR(__xludf.DUMMYFUNCTION("""COMPUTED_VALUE"""),"Porcelain")</f>
        <v>Porcelain</v>
      </c>
      <c r="S46" s="182" t="str">
        <f>IFERROR(__xludf.DUMMYFUNCTION("""COMPUTED_VALUE"""),"Light Porcelain")</f>
        <v>Light Porcelain</v>
      </c>
      <c r="T46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46" s="182" t="str">
        <f>IFERROR(__xludf.DUMMYFUNCTION("""COMPUTED_VALUE"""),"SKU,CLR2, GOOD, SUB6, EU/UK, BZ5")</f>
        <v>SKU,CLR2, GOOD, SUB6, EU/UK, BZ5</v>
      </c>
      <c r="V46" s="182"/>
      <c r="W46" s="183" t="str">
        <f>IFERROR(__xludf.DUMMYFUNCTION("""COMPUTED_VALUE"""),"#NUM!")</f>
        <v>#NUM!</v>
      </c>
      <c r="X46" s="186">
        <f>IFERROR(__xludf.DUMMYFUNCTION("""COMPUTED_VALUE"""),45831.0)</f>
        <v>45831</v>
      </c>
      <c r="Y46" s="187">
        <f>IFERROR(__xludf.DUMMYFUNCTION("""COMPUTED_VALUE"""),45780.0)</f>
        <v>45780</v>
      </c>
      <c r="Z46" s="182" t="b">
        <f>IFERROR(__xludf.DUMMYFUNCTION("""COMPUTED_VALUE"""),TRUE)</f>
        <v>1</v>
      </c>
      <c r="AA46" s="187">
        <f>IFERROR(__xludf.DUMMYFUNCTION("""COMPUTED_VALUE"""),45780.0)</f>
        <v>45780</v>
      </c>
      <c r="AB46" s="182" t="b">
        <f>IFERROR(__xludf.DUMMYFUNCTION("""COMPUTED_VALUE"""),FALSE)</f>
        <v>0</v>
      </c>
      <c r="AC46" s="187">
        <f>IFERROR(__xludf.DUMMYFUNCTION("""COMPUTED_VALUE"""),45787.0)</f>
        <v>45787</v>
      </c>
      <c r="AD46" s="187">
        <f>IFERROR(__xludf.DUMMYFUNCTION("""COMPUTED_VALUE"""),45787.0)</f>
        <v>45787</v>
      </c>
      <c r="AE46" s="182" t="str">
        <f>IFERROR(__xludf.DUMMYFUNCTION("""COMPUTED_VALUE"""),"GA10312-GB
GA10312-GB-RevA")</f>
        <v>GA10312-GB
GA10312-GB-RevA</v>
      </c>
      <c r="AF46" s="182"/>
      <c r="AG46" s="188" t="str">
        <f>IFERROR(__xludf.DUMMYFUNCTION("""COMPUTED_VALUE"""),"GA10312-GB")</f>
        <v>GA10312-GB</v>
      </c>
      <c r="AH46" s="182" t="str">
        <f>IFERROR(__xludf.DUMMYFUNCTION("""COMPUTED_VALUE"""),"GA10312-GB
GA10312-GB-RevB")</f>
        <v>GA10312-GB
GA10312-GB-RevB</v>
      </c>
      <c r="AI46" s="188" t="str">
        <f>IFERROR(__xludf.DUMMYFUNCTION("""COMPUTED_VALUE"""),"GA10312-GB")</f>
        <v>GA10312-GB</v>
      </c>
      <c r="AJ46" s="187">
        <f>IFERROR(__xludf.DUMMYFUNCTION("""COMPUTED_VALUE"""),45793.0)</f>
        <v>45793</v>
      </c>
      <c r="AK46" s="187">
        <f>IFERROR(__xludf.DUMMYFUNCTION("""COMPUTED_VALUE"""),45801.0)</f>
        <v>45801</v>
      </c>
      <c r="AL46" s="182" t="b">
        <f>IFERROR(__xludf.DUMMYFUNCTION("""COMPUTED_VALUE"""),TRUE)</f>
        <v>1</v>
      </c>
      <c r="AM46" s="182" t="b">
        <f>IFERROR(__xludf.DUMMYFUNCTION("""COMPUTED_VALUE"""),TRUE)</f>
        <v>1</v>
      </c>
      <c r="AN46" s="187">
        <f>IFERROR(__xludf.DUMMYFUNCTION("""COMPUTED_VALUE"""),45801.0)</f>
        <v>45801</v>
      </c>
      <c r="AO46" s="182" t="b">
        <f>IFERROR(__xludf.DUMMYFUNCTION("""COMPUTED_VALUE"""),TRUE)</f>
        <v>1</v>
      </c>
      <c r="AP46" s="182" t="str">
        <f>IFERROR(__xludf.DUMMYFUNCTION("""COMPUTED_VALUE"""),"N")</f>
        <v>N</v>
      </c>
      <c r="AQ46" s="182"/>
      <c r="AR46" s="187">
        <f>IFERROR(__xludf.DUMMYFUNCTION("""COMPUTED_VALUE"""),45801.0)</f>
        <v>45801</v>
      </c>
      <c r="AS46" s="182" t="b">
        <f>IFERROR(__xludf.DUMMYFUNCTION("""COMPUTED_VALUE"""),FALSE)</f>
        <v>0</v>
      </c>
      <c r="AT46" s="182"/>
      <c r="AU46" s="182"/>
      <c r="AV46" s="187">
        <f>IFERROR(__xludf.DUMMYFUNCTION("""COMPUTED_VALUE"""),45801.0)</f>
        <v>45801</v>
      </c>
      <c r="AW46" s="182" t="b">
        <f>IFERROR(__xludf.DUMMYFUNCTION("""COMPUTED_VALUE"""),TRUE)</f>
        <v>1</v>
      </c>
      <c r="AX46" s="182"/>
      <c r="AY46" s="182"/>
      <c r="AZ46" s="187">
        <f>IFERROR(__xludf.DUMMYFUNCTION("""COMPUTED_VALUE"""),45827.0)</f>
        <v>45827</v>
      </c>
      <c r="BA46" s="182" t="b">
        <f>IFERROR(__xludf.DUMMYFUNCTION("""COMPUTED_VALUE"""),FALSE)</f>
        <v>0</v>
      </c>
      <c r="BB46" s="187">
        <f>IFERROR(__xludf.DUMMYFUNCTION("""COMPUTED_VALUE"""),45827.0)</f>
        <v>45827</v>
      </c>
    </row>
    <row r="47">
      <c r="A47" s="184" t="str">
        <f t="shared" si="1"/>
        <v>G990-08531-31-B</v>
      </c>
      <c r="B47" s="69" t="str">
        <f t="shared" si="2"/>
        <v>G990-08497-00-B</v>
      </c>
      <c r="C47" s="182" t="str">
        <f>IFERROR(__xludf.DUMMYFUNCTION("""COMPUTED_VALUE"""),"EU")</f>
        <v>EU</v>
      </c>
      <c r="D47" s="182" t="str">
        <f>IFERROR(__xludf.DUMMYFUNCTION("""COMPUTED_VALUE"""),"MP")</f>
        <v>MP</v>
      </c>
      <c r="E47" s="182" t="str">
        <f>IFERROR(__xludf.DUMMYFUNCTION("""COMPUTED_VALUE"""),"Pristine")</f>
        <v>Pristine</v>
      </c>
      <c r="F47" s="182" t="str">
        <f>IFERROR(__xludf.DUMMYFUNCTION("""COMPUTED_VALUE"""),"GA10313-GB")</f>
        <v>GA10313-GB</v>
      </c>
      <c r="G47" s="182" t="str">
        <f>IFERROR(__xludf.DUMMYFUNCTION("""COMPUTED_VALUE"""),"GEHN3")</f>
        <v>GEHN3</v>
      </c>
      <c r="H47" s="182">
        <f>IFERROR(__xludf.DUMMYFUNCTION("""COMPUTED_VALUE"""),8.40353926035E11)</f>
        <v>840353926035</v>
      </c>
      <c r="I47" s="185" t="str">
        <f>IFERROR(__xludf.DUMMYFUNCTION("""COMPUTED_VALUE"""),"0840353926035")</f>
        <v>0840353926035</v>
      </c>
      <c r="J47" s="182"/>
      <c r="K47" s="182" t="str">
        <f>IFERROR(__xludf.DUMMYFUNCTION("""COMPUTED_VALUE"""),"ROW Master Carton Label (EAN)")</f>
        <v>ROW Master Carton Label (EAN)</v>
      </c>
      <c r="L47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47" s="182" t="str">
        <f>IFERROR(__xludf.DUMMYFUNCTION("""COMPUTED_VALUE"""),"G990-08531-31-03
G990-08531-31-B")</f>
        <v>G990-08531-31-03
G990-08531-31-B</v>
      </c>
      <c r="N47" s="182" t="str">
        <f>IFERROR(__xludf.DUMMYFUNCTION("""COMPUTED_VALUE"""),"N/A")</f>
        <v>N/A</v>
      </c>
      <c r="O47" s="182" t="str">
        <f>IFERROR(__xludf.DUMMYFUNCTION("""COMPUTED_VALUE"""),"G990-08497-00-A
G990-08497-00-B")</f>
        <v>G990-08497-00-A
G990-08497-00-B</v>
      </c>
      <c r="P47" s="182" t="str">
        <f>IFERROR(__xludf.DUMMYFUNCTION("""COMPUTED_VALUE"""),"BOB→B
Retail→B")</f>
        <v>BOB→B
Retail→B</v>
      </c>
      <c r="Q47" s="182" t="str">
        <f>IFERROR(__xludf.DUMMYFUNCTION("""COMPUTED_VALUE"""),"128GB")</f>
        <v>128GB</v>
      </c>
      <c r="R47" s="182" t="str">
        <f>IFERROR(__xludf.DUMMYFUNCTION("""COMPUTED_VALUE"""),"Moonstone")</f>
        <v>Moonstone</v>
      </c>
      <c r="S47" s="182" t="str">
        <f>IFERROR(__xludf.DUMMYFUNCTION("""COMPUTED_VALUE"""),"Sterling")</f>
        <v>Sterling</v>
      </c>
      <c r="T47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47" s="182" t="str">
        <f>IFERROR(__xludf.DUMMYFUNCTION("""COMPUTED_VALUE"""),"SKU,CLR3, GOOD, SUB6, EU/UK, BZ5")</f>
        <v>SKU,CLR3, GOOD, SUB6, EU/UK, BZ5</v>
      </c>
      <c r="V47" s="182"/>
      <c r="W47" s="183" t="str">
        <f>IFERROR(__xludf.DUMMYFUNCTION("""COMPUTED_VALUE"""),"#NUM!")</f>
        <v>#NUM!</v>
      </c>
      <c r="X47" s="186">
        <f>IFERROR(__xludf.DUMMYFUNCTION("""COMPUTED_VALUE"""),45831.0)</f>
        <v>45831</v>
      </c>
      <c r="Y47" s="187">
        <f>IFERROR(__xludf.DUMMYFUNCTION("""COMPUTED_VALUE"""),45780.0)</f>
        <v>45780</v>
      </c>
      <c r="Z47" s="182" t="b">
        <f>IFERROR(__xludf.DUMMYFUNCTION("""COMPUTED_VALUE"""),TRUE)</f>
        <v>1</v>
      </c>
      <c r="AA47" s="187">
        <f>IFERROR(__xludf.DUMMYFUNCTION("""COMPUTED_VALUE"""),45780.0)</f>
        <v>45780</v>
      </c>
      <c r="AB47" s="182" t="b">
        <f>IFERROR(__xludf.DUMMYFUNCTION("""COMPUTED_VALUE"""),FALSE)</f>
        <v>0</v>
      </c>
      <c r="AC47" s="187">
        <f>IFERROR(__xludf.DUMMYFUNCTION("""COMPUTED_VALUE"""),45787.0)</f>
        <v>45787</v>
      </c>
      <c r="AD47" s="187">
        <f>IFERROR(__xludf.DUMMYFUNCTION("""COMPUTED_VALUE"""),45787.0)</f>
        <v>45787</v>
      </c>
      <c r="AE47" s="182" t="str">
        <f>IFERROR(__xludf.DUMMYFUNCTION("""COMPUTED_VALUE"""),"GA10313-GB
GA10313-GB-RevA")</f>
        <v>GA10313-GB
GA10313-GB-RevA</v>
      </c>
      <c r="AF47" s="182"/>
      <c r="AG47" s="188" t="str">
        <f>IFERROR(__xludf.DUMMYFUNCTION("""COMPUTED_VALUE"""),"GA10313-GB")</f>
        <v>GA10313-GB</v>
      </c>
      <c r="AH47" s="182" t="str">
        <f>IFERROR(__xludf.DUMMYFUNCTION("""COMPUTED_VALUE"""),"GA10313-GB
GA10313-GB-RevB")</f>
        <v>GA10313-GB
GA10313-GB-RevB</v>
      </c>
      <c r="AI47" s="188" t="str">
        <f>IFERROR(__xludf.DUMMYFUNCTION("""COMPUTED_VALUE"""),"GA10313-GB")</f>
        <v>GA10313-GB</v>
      </c>
      <c r="AJ47" s="187">
        <f>IFERROR(__xludf.DUMMYFUNCTION("""COMPUTED_VALUE"""),45793.0)</f>
        <v>45793</v>
      </c>
      <c r="AK47" s="187">
        <f>IFERROR(__xludf.DUMMYFUNCTION("""COMPUTED_VALUE"""),45801.0)</f>
        <v>45801</v>
      </c>
      <c r="AL47" s="182" t="b">
        <f>IFERROR(__xludf.DUMMYFUNCTION("""COMPUTED_VALUE"""),TRUE)</f>
        <v>1</v>
      </c>
      <c r="AM47" s="182" t="b">
        <f>IFERROR(__xludf.DUMMYFUNCTION("""COMPUTED_VALUE"""),TRUE)</f>
        <v>1</v>
      </c>
      <c r="AN47" s="187">
        <f>IFERROR(__xludf.DUMMYFUNCTION("""COMPUTED_VALUE"""),45801.0)</f>
        <v>45801</v>
      </c>
      <c r="AO47" s="182" t="b">
        <f>IFERROR(__xludf.DUMMYFUNCTION("""COMPUTED_VALUE"""),TRUE)</f>
        <v>1</v>
      </c>
      <c r="AP47" s="182" t="str">
        <f>IFERROR(__xludf.DUMMYFUNCTION("""COMPUTED_VALUE"""),"N")</f>
        <v>N</v>
      </c>
      <c r="AQ47" s="182"/>
      <c r="AR47" s="187">
        <f>IFERROR(__xludf.DUMMYFUNCTION("""COMPUTED_VALUE"""),45801.0)</f>
        <v>45801</v>
      </c>
      <c r="AS47" s="182" t="b">
        <f>IFERROR(__xludf.DUMMYFUNCTION("""COMPUTED_VALUE"""),FALSE)</f>
        <v>0</v>
      </c>
      <c r="AT47" s="182"/>
      <c r="AU47" s="182"/>
      <c r="AV47" s="187">
        <f>IFERROR(__xludf.DUMMYFUNCTION("""COMPUTED_VALUE"""),45801.0)</f>
        <v>45801</v>
      </c>
      <c r="AW47" s="182" t="b">
        <f>IFERROR(__xludf.DUMMYFUNCTION("""COMPUTED_VALUE"""),TRUE)</f>
        <v>1</v>
      </c>
      <c r="AX47" s="182"/>
      <c r="AY47" s="182"/>
      <c r="AZ47" s="187">
        <f>IFERROR(__xludf.DUMMYFUNCTION("""COMPUTED_VALUE"""),45827.0)</f>
        <v>45827</v>
      </c>
      <c r="BA47" s="182" t="b">
        <f>IFERROR(__xludf.DUMMYFUNCTION("""COMPUTED_VALUE"""),FALSE)</f>
        <v>0</v>
      </c>
      <c r="BB47" s="187">
        <f>IFERROR(__xludf.DUMMYFUNCTION("""COMPUTED_VALUE"""),45827.0)</f>
        <v>45827</v>
      </c>
    </row>
    <row r="48">
      <c r="A48" s="184" t="str">
        <f t="shared" si="1"/>
        <v>G990-08531-12-B</v>
      </c>
      <c r="B48" s="69" t="str">
        <f t="shared" si="2"/>
        <v>G990-08497-00-B</v>
      </c>
      <c r="C48" s="182" t="str">
        <f>IFERROR(__xludf.DUMMYFUNCTION("""COMPUTED_VALUE"""),"EU")</f>
        <v>EU</v>
      </c>
      <c r="D48" s="182" t="str">
        <f>IFERROR(__xludf.DUMMYFUNCTION("""COMPUTED_VALUE"""),"MP")</f>
        <v>MP</v>
      </c>
      <c r="E48" s="182" t="str">
        <f>IFERROR(__xludf.DUMMYFUNCTION("""COMPUTED_VALUE"""),"Pristine")</f>
        <v>Pristine</v>
      </c>
      <c r="F48" s="182" t="str">
        <f>IFERROR(__xludf.DUMMYFUNCTION("""COMPUTED_VALUE"""),"GA09900-GB")</f>
        <v>GA09900-GB</v>
      </c>
      <c r="G48" s="182" t="str">
        <f>IFERROR(__xludf.DUMMYFUNCTION("""COMPUTED_VALUE"""),"GEHN3")</f>
        <v>GEHN3</v>
      </c>
      <c r="H48" s="182">
        <f>IFERROR(__xludf.DUMMYFUNCTION("""COMPUTED_VALUE"""),8.4035392538E11)</f>
        <v>840353925380</v>
      </c>
      <c r="I48" s="185" t="str">
        <f>IFERROR(__xludf.DUMMYFUNCTION("""COMPUTED_VALUE"""),"0840353925380")</f>
        <v>0840353925380</v>
      </c>
      <c r="J48" s="182"/>
      <c r="K48" s="182" t="str">
        <f>IFERROR(__xludf.DUMMYFUNCTION("""COMPUTED_VALUE"""),"ROW Master Carton Label (EAN)")</f>
        <v>ROW Master Carton Label (EAN)</v>
      </c>
      <c r="L48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48" s="182" t="str">
        <f>IFERROR(__xludf.DUMMYFUNCTION("""COMPUTED_VALUE"""),"G990-08531-12-03
G990-08531-12-B")</f>
        <v>G990-08531-12-03
G990-08531-12-B</v>
      </c>
      <c r="N48" s="182" t="str">
        <f>IFERROR(__xludf.DUMMYFUNCTION("""COMPUTED_VALUE"""),"N/A")</f>
        <v>N/A</v>
      </c>
      <c r="O48" s="182" t="str">
        <f>IFERROR(__xludf.DUMMYFUNCTION("""COMPUTED_VALUE"""),"G990-08497-00-A
G990-08497-00-B")</f>
        <v>G990-08497-00-A
G990-08497-00-B</v>
      </c>
      <c r="P48" s="182" t="str">
        <f>IFERROR(__xludf.DUMMYFUNCTION("""COMPUTED_VALUE"""),"BOB→B
Retail→B")</f>
        <v>BOB→B
Retail→B</v>
      </c>
      <c r="Q48" s="182" t="str">
        <f>IFERROR(__xludf.DUMMYFUNCTION("""COMPUTED_VALUE"""),"256GB")</f>
        <v>256GB</v>
      </c>
      <c r="R48" s="182" t="str">
        <f>IFERROR(__xludf.DUMMYFUNCTION("""COMPUTED_VALUE"""),"Obsidian")</f>
        <v>Obsidian</v>
      </c>
      <c r="S48" s="182" t="str">
        <f>IFERROR(__xludf.DUMMYFUNCTION("""COMPUTED_VALUE"""),"Midnight")</f>
        <v>Midnight</v>
      </c>
      <c r="T48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48" s="182" t="str">
        <f>IFERROR(__xludf.DUMMYFUNCTION("""COMPUTED_VALUE"""),"SKU,CLR1, BETTER, SUB6, EU/UK, BZ5")</f>
        <v>SKU,CLR1, BETTER, SUB6, EU/UK, BZ5</v>
      </c>
      <c r="V48" s="182"/>
      <c r="W48" s="183" t="str">
        <f>IFERROR(__xludf.DUMMYFUNCTION("""COMPUTED_VALUE"""),"#NUM!")</f>
        <v>#NUM!</v>
      </c>
      <c r="X48" s="186">
        <f>IFERROR(__xludf.DUMMYFUNCTION("""COMPUTED_VALUE"""),45831.0)</f>
        <v>45831</v>
      </c>
      <c r="Y48" s="187">
        <f>IFERROR(__xludf.DUMMYFUNCTION("""COMPUTED_VALUE"""),45780.0)</f>
        <v>45780</v>
      </c>
      <c r="Z48" s="182" t="b">
        <f>IFERROR(__xludf.DUMMYFUNCTION("""COMPUTED_VALUE"""),TRUE)</f>
        <v>1</v>
      </c>
      <c r="AA48" s="187">
        <f>IFERROR(__xludf.DUMMYFUNCTION("""COMPUTED_VALUE"""),45780.0)</f>
        <v>45780</v>
      </c>
      <c r="AB48" s="182" t="b">
        <f>IFERROR(__xludf.DUMMYFUNCTION("""COMPUTED_VALUE"""),FALSE)</f>
        <v>0</v>
      </c>
      <c r="AC48" s="187">
        <f>IFERROR(__xludf.DUMMYFUNCTION("""COMPUTED_VALUE"""),45787.0)</f>
        <v>45787</v>
      </c>
      <c r="AD48" s="187">
        <f>IFERROR(__xludf.DUMMYFUNCTION("""COMPUTED_VALUE"""),45787.0)</f>
        <v>45787</v>
      </c>
      <c r="AE48" s="182" t="str">
        <f>IFERROR(__xludf.DUMMYFUNCTION("""COMPUTED_VALUE"""),"GA09900-GB
GA09900-GB-RevA")</f>
        <v>GA09900-GB
GA09900-GB-RevA</v>
      </c>
      <c r="AF48" s="182"/>
      <c r="AG48" s="188" t="str">
        <f>IFERROR(__xludf.DUMMYFUNCTION("""COMPUTED_VALUE"""),"GA09900-GB")</f>
        <v>GA09900-GB</v>
      </c>
      <c r="AH48" s="182" t="str">
        <f>IFERROR(__xludf.DUMMYFUNCTION("""COMPUTED_VALUE"""),"GA09900-GB
GA09900-GB-RevB")</f>
        <v>GA09900-GB
GA09900-GB-RevB</v>
      </c>
      <c r="AI48" s="188" t="str">
        <f>IFERROR(__xludf.DUMMYFUNCTION("""COMPUTED_VALUE"""),"GA09900-GB")</f>
        <v>GA09900-GB</v>
      </c>
      <c r="AJ48" s="187">
        <f>IFERROR(__xludf.DUMMYFUNCTION("""COMPUTED_VALUE"""),45793.0)</f>
        <v>45793</v>
      </c>
      <c r="AK48" s="187">
        <f>IFERROR(__xludf.DUMMYFUNCTION("""COMPUTED_VALUE"""),45801.0)</f>
        <v>45801</v>
      </c>
      <c r="AL48" s="182" t="b">
        <f>IFERROR(__xludf.DUMMYFUNCTION("""COMPUTED_VALUE"""),TRUE)</f>
        <v>1</v>
      </c>
      <c r="AM48" s="182" t="b">
        <f>IFERROR(__xludf.DUMMYFUNCTION("""COMPUTED_VALUE"""),TRUE)</f>
        <v>1</v>
      </c>
      <c r="AN48" s="187">
        <f>IFERROR(__xludf.DUMMYFUNCTION("""COMPUTED_VALUE"""),45801.0)</f>
        <v>45801</v>
      </c>
      <c r="AO48" s="182" t="b">
        <f>IFERROR(__xludf.DUMMYFUNCTION("""COMPUTED_VALUE"""),TRUE)</f>
        <v>1</v>
      </c>
      <c r="AP48" s="182" t="str">
        <f>IFERROR(__xludf.DUMMYFUNCTION("""COMPUTED_VALUE"""),"Y")</f>
        <v>Y</v>
      </c>
      <c r="AQ48" s="182"/>
      <c r="AR48" s="187">
        <f>IFERROR(__xludf.DUMMYFUNCTION("""COMPUTED_VALUE"""),45801.0)</f>
        <v>45801</v>
      </c>
      <c r="AS48" s="182" t="b">
        <f>IFERROR(__xludf.DUMMYFUNCTION("""COMPUTED_VALUE"""),FALSE)</f>
        <v>0</v>
      </c>
      <c r="AT48" s="182"/>
      <c r="AU48" s="182"/>
      <c r="AV48" s="187">
        <f>IFERROR(__xludf.DUMMYFUNCTION("""COMPUTED_VALUE"""),45801.0)</f>
        <v>45801</v>
      </c>
      <c r="AW48" s="182" t="b">
        <f>IFERROR(__xludf.DUMMYFUNCTION("""COMPUTED_VALUE"""),TRUE)</f>
        <v>1</v>
      </c>
      <c r="AX48" s="182"/>
      <c r="AY48" s="182"/>
      <c r="AZ48" s="187">
        <f>IFERROR(__xludf.DUMMYFUNCTION("""COMPUTED_VALUE"""),45827.0)</f>
        <v>45827</v>
      </c>
      <c r="BA48" s="182" t="b">
        <f>IFERROR(__xludf.DUMMYFUNCTION("""COMPUTED_VALUE"""),FALSE)</f>
        <v>0</v>
      </c>
      <c r="BB48" s="187">
        <f>IFERROR(__xludf.DUMMYFUNCTION("""COMPUTED_VALUE"""),45827.0)</f>
        <v>45827</v>
      </c>
    </row>
    <row r="49">
      <c r="A49" s="184" t="str">
        <f t="shared" si="1"/>
        <v>G990-08531-22-B</v>
      </c>
      <c r="B49" s="69" t="str">
        <f t="shared" si="2"/>
        <v>G990-08497-00-B</v>
      </c>
      <c r="C49" s="182" t="str">
        <f>IFERROR(__xludf.DUMMYFUNCTION("""COMPUTED_VALUE"""),"EU")</f>
        <v>EU</v>
      </c>
      <c r="D49" s="182" t="str">
        <f>IFERROR(__xludf.DUMMYFUNCTION("""COMPUTED_VALUE"""),"MP")</f>
        <v>MP</v>
      </c>
      <c r="E49" s="182" t="str">
        <f>IFERROR(__xludf.DUMMYFUNCTION("""COMPUTED_VALUE"""),"Pristine")</f>
        <v>Pristine</v>
      </c>
      <c r="F49" s="182" t="str">
        <f>IFERROR(__xludf.DUMMYFUNCTION("""COMPUTED_VALUE"""),"GA10314-GB")</f>
        <v>GA10314-GB</v>
      </c>
      <c r="G49" s="182" t="str">
        <f>IFERROR(__xludf.DUMMYFUNCTION("""COMPUTED_VALUE"""),"GEHN3")</f>
        <v>GEHN3</v>
      </c>
      <c r="H49" s="182">
        <f>IFERROR(__xludf.DUMMYFUNCTION("""COMPUTED_VALUE"""),8.40353925533E11)</f>
        <v>840353925533</v>
      </c>
      <c r="I49" s="185" t="str">
        <f>IFERROR(__xludf.DUMMYFUNCTION("""COMPUTED_VALUE"""),"0840353925533")</f>
        <v>0840353925533</v>
      </c>
      <c r="J49" s="182"/>
      <c r="K49" s="182" t="str">
        <f>IFERROR(__xludf.DUMMYFUNCTION("""COMPUTED_VALUE"""),"ROW Master Carton Label (EAN)")</f>
        <v>ROW Master Carton Label (EAN)</v>
      </c>
      <c r="L49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49" s="182" t="str">
        <f>IFERROR(__xludf.DUMMYFUNCTION("""COMPUTED_VALUE"""),"G990-08531-22-03
G990-08531-22-B")</f>
        <v>G990-08531-22-03
G990-08531-22-B</v>
      </c>
      <c r="N49" s="182" t="str">
        <f>IFERROR(__xludf.DUMMYFUNCTION("""COMPUTED_VALUE"""),"N/A")</f>
        <v>N/A</v>
      </c>
      <c r="O49" s="182" t="str">
        <f>IFERROR(__xludf.DUMMYFUNCTION("""COMPUTED_VALUE"""),"G990-08497-00-A
G990-08497-00-B")</f>
        <v>G990-08497-00-A
G990-08497-00-B</v>
      </c>
      <c r="P49" s="182" t="str">
        <f>IFERROR(__xludf.DUMMYFUNCTION("""COMPUTED_VALUE"""),"BOB→B
Retail→B")</f>
        <v>BOB→B
Retail→B</v>
      </c>
      <c r="Q49" s="182" t="str">
        <f>IFERROR(__xludf.DUMMYFUNCTION("""COMPUTED_VALUE"""),"256GB")</f>
        <v>256GB</v>
      </c>
      <c r="R49" s="182" t="str">
        <f>IFERROR(__xludf.DUMMYFUNCTION("""COMPUTED_VALUE"""),"Porcelain")</f>
        <v>Porcelain</v>
      </c>
      <c r="S49" s="182" t="str">
        <f>IFERROR(__xludf.DUMMYFUNCTION("""COMPUTED_VALUE"""),"Light Porcelain")</f>
        <v>Light Porcelain</v>
      </c>
      <c r="T49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49" s="182" t="str">
        <f>IFERROR(__xludf.DUMMYFUNCTION("""COMPUTED_VALUE"""),"SKU,CLR2, BETTER, SUB6, EU/UK, BZ5")</f>
        <v>SKU,CLR2, BETTER, SUB6, EU/UK, BZ5</v>
      </c>
      <c r="V49" s="182"/>
      <c r="W49" s="183" t="str">
        <f>IFERROR(__xludf.DUMMYFUNCTION("""COMPUTED_VALUE"""),"#NUM!")</f>
        <v>#NUM!</v>
      </c>
      <c r="X49" s="186">
        <f>IFERROR(__xludf.DUMMYFUNCTION("""COMPUTED_VALUE"""),45831.0)</f>
        <v>45831</v>
      </c>
      <c r="Y49" s="187">
        <f>IFERROR(__xludf.DUMMYFUNCTION("""COMPUTED_VALUE"""),45780.0)</f>
        <v>45780</v>
      </c>
      <c r="Z49" s="182" t="b">
        <f>IFERROR(__xludf.DUMMYFUNCTION("""COMPUTED_VALUE"""),TRUE)</f>
        <v>1</v>
      </c>
      <c r="AA49" s="187">
        <f>IFERROR(__xludf.DUMMYFUNCTION("""COMPUTED_VALUE"""),45780.0)</f>
        <v>45780</v>
      </c>
      <c r="AB49" s="182" t="b">
        <f>IFERROR(__xludf.DUMMYFUNCTION("""COMPUTED_VALUE"""),FALSE)</f>
        <v>0</v>
      </c>
      <c r="AC49" s="187">
        <f>IFERROR(__xludf.DUMMYFUNCTION("""COMPUTED_VALUE"""),45787.0)</f>
        <v>45787</v>
      </c>
      <c r="AD49" s="187">
        <f>IFERROR(__xludf.DUMMYFUNCTION("""COMPUTED_VALUE"""),45787.0)</f>
        <v>45787</v>
      </c>
      <c r="AE49" s="182" t="str">
        <f>IFERROR(__xludf.DUMMYFUNCTION("""COMPUTED_VALUE"""),"GA10314-GB
GA10314-GB-RevA")</f>
        <v>GA10314-GB
GA10314-GB-RevA</v>
      </c>
      <c r="AF49" s="182"/>
      <c r="AG49" s="188" t="str">
        <f>IFERROR(__xludf.DUMMYFUNCTION("""COMPUTED_VALUE"""),"GA10314-GB")</f>
        <v>GA10314-GB</v>
      </c>
      <c r="AH49" s="182" t="str">
        <f>IFERROR(__xludf.DUMMYFUNCTION("""COMPUTED_VALUE"""),"GA10314-GB
GA10314-GB-RevB")</f>
        <v>GA10314-GB
GA10314-GB-RevB</v>
      </c>
      <c r="AI49" s="188" t="str">
        <f>IFERROR(__xludf.DUMMYFUNCTION("""COMPUTED_VALUE"""),"GA10314-GB")</f>
        <v>GA10314-GB</v>
      </c>
      <c r="AJ49" s="187">
        <f>IFERROR(__xludf.DUMMYFUNCTION("""COMPUTED_VALUE"""),45793.0)</f>
        <v>45793</v>
      </c>
      <c r="AK49" s="187">
        <f>IFERROR(__xludf.DUMMYFUNCTION("""COMPUTED_VALUE"""),45801.0)</f>
        <v>45801</v>
      </c>
      <c r="AL49" s="182" t="b">
        <f>IFERROR(__xludf.DUMMYFUNCTION("""COMPUTED_VALUE"""),TRUE)</f>
        <v>1</v>
      </c>
      <c r="AM49" s="182" t="b">
        <f>IFERROR(__xludf.DUMMYFUNCTION("""COMPUTED_VALUE"""),TRUE)</f>
        <v>1</v>
      </c>
      <c r="AN49" s="187">
        <f>IFERROR(__xludf.DUMMYFUNCTION("""COMPUTED_VALUE"""),45801.0)</f>
        <v>45801</v>
      </c>
      <c r="AO49" s="182" t="b">
        <f>IFERROR(__xludf.DUMMYFUNCTION("""COMPUTED_VALUE"""),TRUE)</f>
        <v>1</v>
      </c>
      <c r="AP49" s="182" t="str">
        <f>IFERROR(__xludf.DUMMYFUNCTION("""COMPUTED_VALUE"""),"N")</f>
        <v>N</v>
      </c>
      <c r="AQ49" s="182"/>
      <c r="AR49" s="187">
        <f>IFERROR(__xludf.DUMMYFUNCTION("""COMPUTED_VALUE"""),45801.0)</f>
        <v>45801</v>
      </c>
      <c r="AS49" s="182" t="b">
        <f>IFERROR(__xludf.DUMMYFUNCTION("""COMPUTED_VALUE"""),FALSE)</f>
        <v>0</v>
      </c>
      <c r="AT49" s="182"/>
      <c r="AU49" s="182"/>
      <c r="AV49" s="187">
        <f>IFERROR(__xludf.DUMMYFUNCTION("""COMPUTED_VALUE"""),45801.0)</f>
        <v>45801</v>
      </c>
      <c r="AW49" s="182" t="b">
        <f>IFERROR(__xludf.DUMMYFUNCTION("""COMPUTED_VALUE"""),TRUE)</f>
        <v>1</v>
      </c>
      <c r="AX49" s="182"/>
      <c r="AY49" s="182"/>
      <c r="AZ49" s="187">
        <f>IFERROR(__xludf.DUMMYFUNCTION("""COMPUTED_VALUE"""),45827.0)</f>
        <v>45827</v>
      </c>
      <c r="BA49" s="182" t="b">
        <f>IFERROR(__xludf.DUMMYFUNCTION("""COMPUTED_VALUE"""),FALSE)</f>
        <v>0</v>
      </c>
      <c r="BB49" s="187">
        <f>IFERROR(__xludf.DUMMYFUNCTION("""COMPUTED_VALUE"""),45827.0)</f>
        <v>45827</v>
      </c>
    </row>
    <row r="50">
      <c r="A50" s="184" t="str">
        <f t="shared" si="1"/>
        <v>G990-08531-32-B</v>
      </c>
      <c r="B50" s="69" t="str">
        <f t="shared" si="2"/>
        <v>G990-08497-00-B</v>
      </c>
      <c r="C50" s="182" t="str">
        <f>IFERROR(__xludf.DUMMYFUNCTION("""COMPUTED_VALUE"""),"EU")</f>
        <v>EU</v>
      </c>
      <c r="D50" s="182" t="str">
        <f>IFERROR(__xludf.DUMMYFUNCTION("""COMPUTED_VALUE"""),"MP")</f>
        <v>MP</v>
      </c>
      <c r="E50" s="182" t="str">
        <f>IFERROR(__xludf.DUMMYFUNCTION("""COMPUTED_VALUE"""),"Pristine")</f>
        <v>Pristine</v>
      </c>
      <c r="F50" s="182" t="str">
        <f>IFERROR(__xludf.DUMMYFUNCTION("""COMPUTED_VALUE"""),"GA10315-GB")</f>
        <v>GA10315-GB</v>
      </c>
      <c r="G50" s="182" t="str">
        <f>IFERROR(__xludf.DUMMYFUNCTION("""COMPUTED_VALUE"""),"GEHN3")</f>
        <v>GEHN3</v>
      </c>
      <c r="H50" s="182">
        <f>IFERROR(__xludf.DUMMYFUNCTION("""COMPUTED_VALUE"""),8.40353925441E11)</f>
        <v>840353925441</v>
      </c>
      <c r="I50" s="185" t="str">
        <f>IFERROR(__xludf.DUMMYFUNCTION("""COMPUTED_VALUE"""),"0840353925441")</f>
        <v>0840353925441</v>
      </c>
      <c r="J50" s="182"/>
      <c r="K50" s="182" t="str">
        <f>IFERROR(__xludf.DUMMYFUNCTION("""COMPUTED_VALUE"""),"ROW Master Carton Label (EAN)")</f>
        <v>ROW Master Carton Label (EAN)</v>
      </c>
      <c r="L50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50" s="182" t="str">
        <f>IFERROR(__xludf.DUMMYFUNCTION("""COMPUTED_VALUE"""),"G990-08531-32-03
G990-08531-32-B")</f>
        <v>G990-08531-32-03
G990-08531-32-B</v>
      </c>
      <c r="N50" s="182" t="str">
        <f>IFERROR(__xludf.DUMMYFUNCTION("""COMPUTED_VALUE"""),"N/A")</f>
        <v>N/A</v>
      </c>
      <c r="O50" s="182" t="str">
        <f>IFERROR(__xludf.DUMMYFUNCTION("""COMPUTED_VALUE"""),"G990-08497-00-A
G990-08497-00-B")</f>
        <v>G990-08497-00-A
G990-08497-00-B</v>
      </c>
      <c r="P50" s="182" t="str">
        <f>IFERROR(__xludf.DUMMYFUNCTION("""COMPUTED_VALUE"""),"BOB→B
Retail→B")</f>
        <v>BOB→B
Retail→B</v>
      </c>
      <c r="Q50" s="182" t="str">
        <f>IFERROR(__xludf.DUMMYFUNCTION("""COMPUTED_VALUE"""),"256GB")</f>
        <v>256GB</v>
      </c>
      <c r="R50" s="182" t="str">
        <f>IFERROR(__xludf.DUMMYFUNCTION("""COMPUTED_VALUE"""),"Moonstone")</f>
        <v>Moonstone</v>
      </c>
      <c r="S50" s="182" t="str">
        <f>IFERROR(__xludf.DUMMYFUNCTION("""COMPUTED_VALUE"""),"Sterling")</f>
        <v>Sterling</v>
      </c>
      <c r="T50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50" s="182" t="str">
        <f>IFERROR(__xludf.DUMMYFUNCTION("""COMPUTED_VALUE"""),"SKU,CLR3, BETTER, SUB6, EU/UK, BZ5")</f>
        <v>SKU,CLR3, BETTER, SUB6, EU/UK, BZ5</v>
      </c>
      <c r="V50" s="182"/>
      <c r="W50" s="183" t="str">
        <f>IFERROR(__xludf.DUMMYFUNCTION("""COMPUTED_VALUE"""),"#NUM!")</f>
        <v>#NUM!</v>
      </c>
      <c r="X50" s="186">
        <f>IFERROR(__xludf.DUMMYFUNCTION("""COMPUTED_VALUE"""),45831.0)</f>
        <v>45831</v>
      </c>
      <c r="Y50" s="187">
        <f>IFERROR(__xludf.DUMMYFUNCTION("""COMPUTED_VALUE"""),45780.0)</f>
        <v>45780</v>
      </c>
      <c r="Z50" s="182" t="b">
        <f>IFERROR(__xludf.DUMMYFUNCTION("""COMPUTED_VALUE"""),TRUE)</f>
        <v>1</v>
      </c>
      <c r="AA50" s="187">
        <f>IFERROR(__xludf.DUMMYFUNCTION("""COMPUTED_VALUE"""),45780.0)</f>
        <v>45780</v>
      </c>
      <c r="AB50" s="182" t="b">
        <f>IFERROR(__xludf.DUMMYFUNCTION("""COMPUTED_VALUE"""),FALSE)</f>
        <v>0</v>
      </c>
      <c r="AC50" s="187">
        <f>IFERROR(__xludf.DUMMYFUNCTION("""COMPUTED_VALUE"""),45787.0)</f>
        <v>45787</v>
      </c>
      <c r="AD50" s="187">
        <f>IFERROR(__xludf.DUMMYFUNCTION("""COMPUTED_VALUE"""),45787.0)</f>
        <v>45787</v>
      </c>
      <c r="AE50" s="182" t="str">
        <f>IFERROR(__xludf.DUMMYFUNCTION("""COMPUTED_VALUE"""),"GA10315-GB
GA10315-GB-RevA")</f>
        <v>GA10315-GB
GA10315-GB-RevA</v>
      </c>
      <c r="AF50" s="182"/>
      <c r="AG50" s="188" t="str">
        <f>IFERROR(__xludf.DUMMYFUNCTION("""COMPUTED_VALUE"""),"GA10315-GB")</f>
        <v>GA10315-GB</v>
      </c>
      <c r="AH50" s="182" t="str">
        <f>IFERROR(__xludf.DUMMYFUNCTION("""COMPUTED_VALUE"""),"GA10315-GB
GA10315-GB-RevB")</f>
        <v>GA10315-GB
GA10315-GB-RevB</v>
      </c>
      <c r="AI50" s="188" t="str">
        <f>IFERROR(__xludf.DUMMYFUNCTION("""COMPUTED_VALUE"""),"GA10315-GB")</f>
        <v>GA10315-GB</v>
      </c>
      <c r="AJ50" s="187">
        <f>IFERROR(__xludf.DUMMYFUNCTION("""COMPUTED_VALUE"""),45793.0)</f>
        <v>45793</v>
      </c>
      <c r="AK50" s="187">
        <f>IFERROR(__xludf.DUMMYFUNCTION("""COMPUTED_VALUE"""),45801.0)</f>
        <v>45801</v>
      </c>
      <c r="AL50" s="182" t="b">
        <f>IFERROR(__xludf.DUMMYFUNCTION("""COMPUTED_VALUE"""),TRUE)</f>
        <v>1</v>
      </c>
      <c r="AM50" s="182" t="b">
        <f>IFERROR(__xludf.DUMMYFUNCTION("""COMPUTED_VALUE"""),TRUE)</f>
        <v>1</v>
      </c>
      <c r="AN50" s="187">
        <f>IFERROR(__xludf.DUMMYFUNCTION("""COMPUTED_VALUE"""),45801.0)</f>
        <v>45801</v>
      </c>
      <c r="AO50" s="182" t="b">
        <f>IFERROR(__xludf.DUMMYFUNCTION("""COMPUTED_VALUE"""),TRUE)</f>
        <v>1</v>
      </c>
      <c r="AP50" s="182" t="str">
        <f>IFERROR(__xludf.DUMMYFUNCTION("""COMPUTED_VALUE"""),"N")</f>
        <v>N</v>
      </c>
      <c r="AQ50" s="182"/>
      <c r="AR50" s="187">
        <f>IFERROR(__xludf.DUMMYFUNCTION("""COMPUTED_VALUE"""),45801.0)</f>
        <v>45801</v>
      </c>
      <c r="AS50" s="182" t="b">
        <f>IFERROR(__xludf.DUMMYFUNCTION("""COMPUTED_VALUE"""),FALSE)</f>
        <v>0</v>
      </c>
      <c r="AT50" s="182"/>
      <c r="AU50" s="182"/>
      <c r="AV50" s="187">
        <f>IFERROR(__xludf.DUMMYFUNCTION("""COMPUTED_VALUE"""),45801.0)</f>
        <v>45801</v>
      </c>
      <c r="AW50" s="182" t="b">
        <f>IFERROR(__xludf.DUMMYFUNCTION("""COMPUTED_VALUE"""),TRUE)</f>
        <v>1</v>
      </c>
      <c r="AX50" s="182"/>
      <c r="AY50" s="182"/>
      <c r="AZ50" s="187">
        <f>IFERROR(__xludf.DUMMYFUNCTION("""COMPUTED_VALUE"""),45827.0)</f>
        <v>45827</v>
      </c>
      <c r="BA50" s="182" t="b">
        <f>IFERROR(__xludf.DUMMYFUNCTION("""COMPUTED_VALUE"""),FALSE)</f>
        <v>0</v>
      </c>
      <c r="BB50" s="187">
        <f>IFERROR(__xludf.DUMMYFUNCTION("""COMPUTED_VALUE"""),45827.0)</f>
        <v>45827</v>
      </c>
    </row>
    <row r="51">
      <c r="A51" s="184" t="str">
        <f t="shared" si="1"/>
        <v>G990-08531-42-B</v>
      </c>
      <c r="B51" s="69" t="str">
        <f t="shared" si="2"/>
        <v>G990-08497-00-B</v>
      </c>
      <c r="C51" s="182" t="str">
        <f>IFERROR(__xludf.DUMMYFUNCTION("""COMPUTED_VALUE"""),"EU")</f>
        <v>EU</v>
      </c>
      <c r="D51" s="182" t="str">
        <f>IFERROR(__xludf.DUMMYFUNCTION("""COMPUTED_VALUE"""),"MP")</f>
        <v>MP</v>
      </c>
      <c r="E51" s="182" t="str">
        <f>IFERROR(__xludf.DUMMYFUNCTION("""COMPUTED_VALUE"""),"Pristine")</f>
        <v>Pristine</v>
      </c>
      <c r="F51" s="182" t="str">
        <f>IFERROR(__xludf.DUMMYFUNCTION("""COMPUTED_VALUE"""),"GA10316-GB")</f>
        <v>GA10316-GB</v>
      </c>
      <c r="G51" s="182" t="str">
        <f>IFERROR(__xludf.DUMMYFUNCTION("""COMPUTED_VALUE"""),"GEHN3")</f>
        <v>GEHN3</v>
      </c>
      <c r="H51" s="182">
        <f>IFERROR(__xludf.DUMMYFUNCTION("""COMPUTED_VALUE"""),8.40353925526E11)</f>
        <v>840353925526</v>
      </c>
      <c r="I51" s="185" t="str">
        <f>IFERROR(__xludf.DUMMYFUNCTION("""COMPUTED_VALUE"""),"0840353925526")</f>
        <v>0840353925526</v>
      </c>
      <c r="J51" s="182"/>
      <c r="K51" s="182" t="str">
        <f>IFERROR(__xludf.DUMMYFUNCTION("""COMPUTED_VALUE"""),"ROW Master Carton Label (EAN)")</f>
        <v>ROW Master Carton Label (EAN)</v>
      </c>
      <c r="L51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51" s="182" t="str">
        <f>IFERROR(__xludf.DUMMYFUNCTION("""COMPUTED_VALUE"""),"G990-08531-42-03
G990-08531-42-B")</f>
        <v>G990-08531-42-03
G990-08531-42-B</v>
      </c>
      <c r="N51" s="182" t="str">
        <f>IFERROR(__xludf.DUMMYFUNCTION("""COMPUTED_VALUE"""),"N/A")</f>
        <v>N/A</v>
      </c>
      <c r="O51" s="182" t="str">
        <f>IFERROR(__xludf.DUMMYFUNCTION("""COMPUTED_VALUE"""),"G990-08497-00-A
G990-08497-00-B")</f>
        <v>G990-08497-00-A
G990-08497-00-B</v>
      </c>
      <c r="P51" s="182" t="str">
        <f>IFERROR(__xludf.DUMMYFUNCTION("""COMPUTED_VALUE"""),"BOB→B
Retail→B")</f>
        <v>BOB→B
Retail→B</v>
      </c>
      <c r="Q51" s="182" t="str">
        <f>IFERROR(__xludf.DUMMYFUNCTION("""COMPUTED_VALUE"""),"256GB")</f>
        <v>256GB</v>
      </c>
      <c r="R51" s="182" t="str">
        <f>IFERROR(__xludf.DUMMYFUNCTION("""COMPUTED_VALUE"""),"Jade")</f>
        <v>Jade</v>
      </c>
      <c r="S51" s="182" t="str">
        <f>IFERROR(__xludf.DUMMYFUNCTION("""COMPUTED_VALUE"""),"Smokey Green")</f>
        <v>Smokey Green</v>
      </c>
      <c r="T51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51" s="182" t="str">
        <f>IFERROR(__xludf.DUMMYFUNCTION("""COMPUTED_VALUE"""),"SKU,CLR4, BETTER, SUB6, EU/UK, BZ5")</f>
        <v>SKU,CLR4, BETTER, SUB6, EU/UK, BZ5</v>
      </c>
      <c r="V51" s="182"/>
      <c r="W51" s="183" t="str">
        <f>IFERROR(__xludf.DUMMYFUNCTION("""COMPUTED_VALUE"""),"#NUM!")</f>
        <v>#NUM!</v>
      </c>
      <c r="X51" s="186">
        <f>IFERROR(__xludf.DUMMYFUNCTION("""COMPUTED_VALUE"""),45831.0)</f>
        <v>45831</v>
      </c>
      <c r="Y51" s="187">
        <f>IFERROR(__xludf.DUMMYFUNCTION("""COMPUTED_VALUE"""),45780.0)</f>
        <v>45780</v>
      </c>
      <c r="Z51" s="182" t="b">
        <f>IFERROR(__xludf.DUMMYFUNCTION("""COMPUTED_VALUE"""),TRUE)</f>
        <v>1</v>
      </c>
      <c r="AA51" s="187">
        <f>IFERROR(__xludf.DUMMYFUNCTION("""COMPUTED_VALUE"""),45780.0)</f>
        <v>45780</v>
      </c>
      <c r="AB51" s="182" t="b">
        <f>IFERROR(__xludf.DUMMYFUNCTION("""COMPUTED_VALUE"""),FALSE)</f>
        <v>0</v>
      </c>
      <c r="AC51" s="187">
        <f>IFERROR(__xludf.DUMMYFUNCTION("""COMPUTED_VALUE"""),45787.0)</f>
        <v>45787</v>
      </c>
      <c r="AD51" s="187">
        <f>IFERROR(__xludf.DUMMYFUNCTION("""COMPUTED_VALUE"""),45787.0)</f>
        <v>45787</v>
      </c>
      <c r="AE51" s="182" t="str">
        <f>IFERROR(__xludf.DUMMYFUNCTION("""COMPUTED_VALUE"""),"GA10316-GB
GA10316-GB-RevA")</f>
        <v>GA10316-GB
GA10316-GB-RevA</v>
      </c>
      <c r="AF51" s="182"/>
      <c r="AG51" s="188" t="str">
        <f>IFERROR(__xludf.DUMMYFUNCTION("""COMPUTED_VALUE"""),"GA10316-GB")</f>
        <v>GA10316-GB</v>
      </c>
      <c r="AH51" s="182" t="str">
        <f>IFERROR(__xludf.DUMMYFUNCTION("""COMPUTED_VALUE"""),"GA10316-GB
GA10316-GB-RevB")</f>
        <v>GA10316-GB
GA10316-GB-RevB</v>
      </c>
      <c r="AI51" s="188" t="str">
        <f>IFERROR(__xludf.DUMMYFUNCTION("""COMPUTED_VALUE"""),"GA10316-GB")</f>
        <v>GA10316-GB</v>
      </c>
      <c r="AJ51" s="187">
        <f>IFERROR(__xludf.DUMMYFUNCTION("""COMPUTED_VALUE"""),45793.0)</f>
        <v>45793</v>
      </c>
      <c r="AK51" s="187">
        <f>IFERROR(__xludf.DUMMYFUNCTION("""COMPUTED_VALUE"""),45801.0)</f>
        <v>45801</v>
      </c>
      <c r="AL51" s="182" t="b">
        <f>IFERROR(__xludf.DUMMYFUNCTION("""COMPUTED_VALUE"""),TRUE)</f>
        <v>1</v>
      </c>
      <c r="AM51" s="182" t="b">
        <f>IFERROR(__xludf.DUMMYFUNCTION("""COMPUTED_VALUE"""),TRUE)</f>
        <v>1</v>
      </c>
      <c r="AN51" s="187">
        <f>IFERROR(__xludf.DUMMYFUNCTION("""COMPUTED_VALUE"""),45801.0)</f>
        <v>45801</v>
      </c>
      <c r="AO51" s="182" t="b">
        <f>IFERROR(__xludf.DUMMYFUNCTION("""COMPUTED_VALUE"""),TRUE)</f>
        <v>1</v>
      </c>
      <c r="AP51" s="182" t="str">
        <f>IFERROR(__xludf.DUMMYFUNCTION("""COMPUTED_VALUE"""),"N")</f>
        <v>N</v>
      </c>
      <c r="AQ51" s="182"/>
      <c r="AR51" s="187">
        <f>IFERROR(__xludf.DUMMYFUNCTION("""COMPUTED_VALUE"""),45801.0)</f>
        <v>45801</v>
      </c>
      <c r="AS51" s="182" t="b">
        <f>IFERROR(__xludf.DUMMYFUNCTION("""COMPUTED_VALUE"""),FALSE)</f>
        <v>0</v>
      </c>
      <c r="AT51" s="182"/>
      <c r="AU51" s="182"/>
      <c r="AV51" s="187">
        <f>IFERROR(__xludf.DUMMYFUNCTION("""COMPUTED_VALUE"""),45801.0)</f>
        <v>45801</v>
      </c>
      <c r="AW51" s="182" t="b">
        <f>IFERROR(__xludf.DUMMYFUNCTION("""COMPUTED_VALUE"""),TRUE)</f>
        <v>1</v>
      </c>
      <c r="AX51" s="182"/>
      <c r="AY51" s="182"/>
      <c r="AZ51" s="187">
        <f>IFERROR(__xludf.DUMMYFUNCTION("""COMPUTED_VALUE"""),45827.0)</f>
        <v>45827</v>
      </c>
      <c r="BA51" s="182" t="b">
        <f>IFERROR(__xludf.DUMMYFUNCTION("""COMPUTED_VALUE"""),FALSE)</f>
        <v>0</v>
      </c>
      <c r="BB51" s="187">
        <f>IFERROR(__xludf.DUMMYFUNCTION("""COMPUTED_VALUE"""),45827.0)</f>
        <v>45827</v>
      </c>
    </row>
    <row r="52">
      <c r="A52" s="184" t="str">
        <f t="shared" si="1"/>
        <v>G990-08531-13-B</v>
      </c>
      <c r="B52" s="69" t="str">
        <f t="shared" si="2"/>
        <v>G990-08497-00-B</v>
      </c>
      <c r="C52" s="182" t="str">
        <f>IFERROR(__xludf.DUMMYFUNCTION("""COMPUTED_VALUE"""),"EU")</f>
        <v>EU</v>
      </c>
      <c r="D52" s="182" t="str">
        <f>IFERROR(__xludf.DUMMYFUNCTION("""COMPUTED_VALUE"""),"MP")</f>
        <v>MP</v>
      </c>
      <c r="E52" s="182" t="str">
        <f>IFERROR(__xludf.DUMMYFUNCTION("""COMPUTED_VALUE"""),"Pristine")</f>
        <v>Pristine</v>
      </c>
      <c r="F52" s="182" t="str">
        <f>IFERROR(__xludf.DUMMYFUNCTION("""COMPUTED_VALUE"""),"GA09909-GB")</f>
        <v>GA09909-GB</v>
      </c>
      <c r="G52" s="182" t="str">
        <f>IFERROR(__xludf.DUMMYFUNCTION("""COMPUTED_VALUE"""),"GEHN3")</f>
        <v>GEHN3</v>
      </c>
      <c r="H52" s="182">
        <f>IFERROR(__xludf.DUMMYFUNCTION("""COMPUTED_VALUE"""),8.4035392554E11)</f>
        <v>840353925540</v>
      </c>
      <c r="I52" s="185" t="str">
        <f>IFERROR(__xludf.DUMMYFUNCTION("""COMPUTED_VALUE"""),"0840353925540")</f>
        <v>0840353925540</v>
      </c>
      <c r="J52" s="182"/>
      <c r="K52" s="182" t="str">
        <f>IFERROR(__xludf.DUMMYFUNCTION("""COMPUTED_VALUE"""),"ROW Master Carton Label (EAN)")</f>
        <v>ROW Master Carton Label (EAN)</v>
      </c>
      <c r="L52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52" s="182" t="str">
        <f>IFERROR(__xludf.DUMMYFUNCTION("""COMPUTED_VALUE"""),"G990-08531-13-03
G990-08531-13-B")</f>
        <v>G990-08531-13-03
G990-08531-13-B</v>
      </c>
      <c r="N52" s="182" t="str">
        <f>IFERROR(__xludf.DUMMYFUNCTION("""COMPUTED_VALUE"""),"N/A")</f>
        <v>N/A</v>
      </c>
      <c r="O52" s="182" t="str">
        <f>IFERROR(__xludf.DUMMYFUNCTION("""COMPUTED_VALUE"""),"G990-08497-00-A
G990-08497-00-B")</f>
        <v>G990-08497-00-A
G990-08497-00-B</v>
      </c>
      <c r="P52" s="182" t="str">
        <f>IFERROR(__xludf.DUMMYFUNCTION("""COMPUTED_VALUE"""),"BOB→B
Retail→B")</f>
        <v>BOB→B
Retail→B</v>
      </c>
      <c r="Q52" s="182" t="str">
        <f>IFERROR(__xludf.DUMMYFUNCTION("""COMPUTED_VALUE"""),"512GB")</f>
        <v>512GB</v>
      </c>
      <c r="R52" s="182" t="str">
        <f>IFERROR(__xludf.DUMMYFUNCTION("""COMPUTED_VALUE"""),"Obsidian")</f>
        <v>Obsidian</v>
      </c>
      <c r="S52" s="182" t="str">
        <f>IFERROR(__xludf.DUMMYFUNCTION("""COMPUTED_VALUE"""),"Midnight")</f>
        <v>Midnight</v>
      </c>
      <c r="T52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52" s="182" t="str">
        <f>IFERROR(__xludf.DUMMYFUNCTION("""COMPUTED_VALUE"""),"SKU,CLR1, BEST, SUB6, EU/UK, BZ5")</f>
        <v>SKU,CLR1, BEST, SUB6, EU/UK, BZ5</v>
      </c>
      <c r="V52" s="182"/>
      <c r="W52" s="183" t="str">
        <f>IFERROR(__xludf.DUMMYFUNCTION("""COMPUTED_VALUE"""),"#NUM!")</f>
        <v>#NUM!</v>
      </c>
      <c r="X52" s="186">
        <f>IFERROR(__xludf.DUMMYFUNCTION("""COMPUTED_VALUE"""),45831.0)</f>
        <v>45831</v>
      </c>
      <c r="Y52" s="187">
        <f>IFERROR(__xludf.DUMMYFUNCTION("""COMPUTED_VALUE"""),45780.0)</f>
        <v>45780</v>
      </c>
      <c r="Z52" s="182" t="b">
        <f>IFERROR(__xludf.DUMMYFUNCTION("""COMPUTED_VALUE"""),TRUE)</f>
        <v>1</v>
      </c>
      <c r="AA52" s="187">
        <f>IFERROR(__xludf.DUMMYFUNCTION("""COMPUTED_VALUE"""),45780.0)</f>
        <v>45780</v>
      </c>
      <c r="AB52" s="182" t="b">
        <f>IFERROR(__xludf.DUMMYFUNCTION("""COMPUTED_VALUE"""),FALSE)</f>
        <v>0</v>
      </c>
      <c r="AC52" s="187">
        <f>IFERROR(__xludf.DUMMYFUNCTION("""COMPUTED_VALUE"""),45787.0)</f>
        <v>45787</v>
      </c>
      <c r="AD52" s="187">
        <f>IFERROR(__xludf.DUMMYFUNCTION("""COMPUTED_VALUE"""),45787.0)</f>
        <v>45787</v>
      </c>
      <c r="AE52" s="182" t="str">
        <f>IFERROR(__xludf.DUMMYFUNCTION("""COMPUTED_VALUE"""),"GA09909-GB
GA09909-GB-RevA")</f>
        <v>GA09909-GB
GA09909-GB-RevA</v>
      </c>
      <c r="AF52" s="182"/>
      <c r="AG52" s="188" t="str">
        <f>IFERROR(__xludf.DUMMYFUNCTION("""COMPUTED_VALUE"""),"GA09909-GB")</f>
        <v>GA09909-GB</v>
      </c>
      <c r="AH52" s="182" t="str">
        <f>IFERROR(__xludf.DUMMYFUNCTION("""COMPUTED_VALUE"""),"GA09909-GB
GA09909-GB-RevB")</f>
        <v>GA09909-GB
GA09909-GB-RevB</v>
      </c>
      <c r="AI52" s="188" t="str">
        <f>IFERROR(__xludf.DUMMYFUNCTION("""COMPUTED_VALUE"""),"GA09909-GB")</f>
        <v>GA09909-GB</v>
      </c>
      <c r="AJ52" s="187">
        <f>IFERROR(__xludf.DUMMYFUNCTION("""COMPUTED_VALUE"""),45793.0)</f>
        <v>45793</v>
      </c>
      <c r="AK52" s="187">
        <f>IFERROR(__xludf.DUMMYFUNCTION("""COMPUTED_VALUE"""),45801.0)</f>
        <v>45801</v>
      </c>
      <c r="AL52" s="182" t="b">
        <f>IFERROR(__xludf.DUMMYFUNCTION("""COMPUTED_VALUE"""),TRUE)</f>
        <v>1</v>
      </c>
      <c r="AM52" s="182" t="b">
        <f>IFERROR(__xludf.DUMMYFUNCTION("""COMPUTED_VALUE"""),TRUE)</f>
        <v>1</v>
      </c>
      <c r="AN52" s="187">
        <f>IFERROR(__xludf.DUMMYFUNCTION("""COMPUTED_VALUE"""),45801.0)</f>
        <v>45801</v>
      </c>
      <c r="AO52" s="182" t="b">
        <f>IFERROR(__xludf.DUMMYFUNCTION("""COMPUTED_VALUE"""),TRUE)</f>
        <v>1</v>
      </c>
      <c r="AP52" s="182" t="str">
        <f>IFERROR(__xludf.DUMMYFUNCTION("""COMPUTED_VALUE"""),"N")</f>
        <v>N</v>
      </c>
      <c r="AQ52" s="182"/>
      <c r="AR52" s="187">
        <f>IFERROR(__xludf.DUMMYFUNCTION("""COMPUTED_VALUE"""),45801.0)</f>
        <v>45801</v>
      </c>
      <c r="AS52" s="182" t="b">
        <f>IFERROR(__xludf.DUMMYFUNCTION("""COMPUTED_VALUE"""),FALSE)</f>
        <v>0</v>
      </c>
      <c r="AT52" s="182"/>
      <c r="AU52" s="182"/>
      <c r="AV52" s="187">
        <f>IFERROR(__xludf.DUMMYFUNCTION("""COMPUTED_VALUE"""),45801.0)</f>
        <v>45801</v>
      </c>
      <c r="AW52" s="182" t="b">
        <f>IFERROR(__xludf.DUMMYFUNCTION("""COMPUTED_VALUE"""),TRUE)</f>
        <v>1</v>
      </c>
      <c r="AX52" s="182"/>
      <c r="AY52" s="182"/>
      <c r="AZ52" s="187">
        <f>IFERROR(__xludf.DUMMYFUNCTION("""COMPUTED_VALUE"""),45827.0)</f>
        <v>45827</v>
      </c>
      <c r="BA52" s="182" t="b">
        <f>IFERROR(__xludf.DUMMYFUNCTION("""COMPUTED_VALUE"""),FALSE)</f>
        <v>0</v>
      </c>
      <c r="BB52" s="187">
        <f>IFERROR(__xludf.DUMMYFUNCTION("""COMPUTED_VALUE"""),45827.0)</f>
        <v>45827</v>
      </c>
    </row>
    <row r="53">
      <c r="A53" s="184" t="str">
        <f t="shared" si="1"/>
        <v>G990-08531-23-B</v>
      </c>
      <c r="B53" s="69" t="str">
        <f t="shared" si="2"/>
        <v>G990-08497-00-B</v>
      </c>
      <c r="C53" s="182" t="str">
        <f>IFERROR(__xludf.DUMMYFUNCTION("""COMPUTED_VALUE"""),"EU")</f>
        <v>EU</v>
      </c>
      <c r="D53" s="182" t="str">
        <f>IFERROR(__xludf.DUMMYFUNCTION("""COMPUTED_VALUE"""),"MP")</f>
        <v>MP</v>
      </c>
      <c r="E53" s="182" t="str">
        <f>IFERROR(__xludf.DUMMYFUNCTION("""COMPUTED_VALUE"""),"Pristine")</f>
        <v>Pristine</v>
      </c>
      <c r="F53" s="182" t="str">
        <f>IFERROR(__xludf.DUMMYFUNCTION("""COMPUTED_VALUE"""),"GA10317-GB")</f>
        <v>GA10317-GB</v>
      </c>
      <c r="G53" s="182" t="str">
        <f>IFERROR(__xludf.DUMMYFUNCTION("""COMPUTED_VALUE"""),"GEHN3")</f>
        <v>GEHN3</v>
      </c>
      <c r="H53" s="182">
        <f>IFERROR(__xludf.DUMMYFUNCTION("""COMPUTED_VALUE"""),8.4035392567E11)</f>
        <v>840353925670</v>
      </c>
      <c r="I53" s="185" t="str">
        <f>IFERROR(__xludf.DUMMYFUNCTION("""COMPUTED_VALUE"""),"0840353925670")</f>
        <v>0840353925670</v>
      </c>
      <c r="J53" s="182"/>
      <c r="K53" s="182" t="str">
        <f>IFERROR(__xludf.DUMMYFUNCTION("""COMPUTED_VALUE"""),"ROW Master Carton Label (EAN)")</f>
        <v>ROW Master Carton Label (EAN)</v>
      </c>
      <c r="L53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53" s="182" t="str">
        <f>IFERROR(__xludf.DUMMYFUNCTION("""COMPUTED_VALUE"""),"G990-08531-23-03
G990-08531-23-B")</f>
        <v>G990-08531-23-03
G990-08531-23-B</v>
      </c>
      <c r="N53" s="182" t="str">
        <f>IFERROR(__xludf.DUMMYFUNCTION("""COMPUTED_VALUE"""),"N/A")</f>
        <v>N/A</v>
      </c>
      <c r="O53" s="182" t="str">
        <f>IFERROR(__xludf.DUMMYFUNCTION("""COMPUTED_VALUE"""),"G990-08497-00-A
G990-08497-00-B")</f>
        <v>G990-08497-00-A
G990-08497-00-B</v>
      </c>
      <c r="P53" s="182" t="str">
        <f>IFERROR(__xludf.DUMMYFUNCTION("""COMPUTED_VALUE"""),"BOB→B
Retail→B")</f>
        <v>BOB→B
Retail→B</v>
      </c>
      <c r="Q53" s="182" t="str">
        <f>IFERROR(__xludf.DUMMYFUNCTION("""COMPUTED_VALUE"""),"512GB")</f>
        <v>512GB</v>
      </c>
      <c r="R53" s="182" t="str">
        <f>IFERROR(__xludf.DUMMYFUNCTION("""COMPUTED_VALUE"""),"Porcelain")</f>
        <v>Porcelain</v>
      </c>
      <c r="S53" s="182" t="str">
        <f>IFERROR(__xludf.DUMMYFUNCTION("""COMPUTED_VALUE"""),"Light Porcelain")</f>
        <v>Light Porcelain</v>
      </c>
      <c r="T53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53" s="182" t="str">
        <f>IFERROR(__xludf.DUMMYFUNCTION("""COMPUTED_VALUE"""),"SKU,CLR2, BEST, SUB6, EU/UK, BZ5")</f>
        <v>SKU,CLR2, BEST, SUB6, EU/UK, BZ5</v>
      </c>
      <c r="V53" s="182"/>
      <c r="W53" s="183" t="str">
        <f>IFERROR(__xludf.DUMMYFUNCTION("""COMPUTED_VALUE"""),"#NUM!")</f>
        <v>#NUM!</v>
      </c>
      <c r="X53" s="186">
        <f>IFERROR(__xludf.DUMMYFUNCTION("""COMPUTED_VALUE"""),45831.0)</f>
        <v>45831</v>
      </c>
      <c r="Y53" s="187">
        <f>IFERROR(__xludf.DUMMYFUNCTION("""COMPUTED_VALUE"""),45780.0)</f>
        <v>45780</v>
      </c>
      <c r="Z53" s="182" t="b">
        <f>IFERROR(__xludf.DUMMYFUNCTION("""COMPUTED_VALUE"""),TRUE)</f>
        <v>1</v>
      </c>
      <c r="AA53" s="187">
        <f>IFERROR(__xludf.DUMMYFUNCTION("""COMPUTED_VALUE"""),45780.0)</f>
        <v>45780</v>
      </c>
      <c r="AB53" s="182" t="b">
        <f>IFERROR(__xludf.DUMMYFUNCTION("""COMPUTED_VALUE"""),FALSE)</f>
        <v>0</v>
      </c>
      <c r="AC53" s="187">
        <f>IFERROR(__xludf.DUMMYFUNCTION("""COMPUTED_VALUE"""),45787.0)</f>
        <v>45787</v>
      </c>
      <c r="AD53" s="187">
        <f>IFERROR(__xludf.DUMMYFUNCTION("""COMPUTED_VALUE"""),45787.0)</f>
        <v>45787</v>
      </c>
      <c r="AE53" s="182" t="str">
        <f>IFERROR(__xludf.DUMMYFUNCTION("""COMPUTED_VALUE"""),"GA10317-GB
GA10317-GB-RevA")</f>
        <v>GA10317-GB
GA10317-GB-RevA</v>
      </c>
      <c r="AF53" s="182"/>
      <c r="AG53" s="188" t="str">
        <f>IFERROR(__xludf.DUMMYFUNCTION("""COMPUTED_VALUE"""),"GA10317-GB")</f>
        <v>GA10317-GB</v>
      </c>
      <c r="AH53" s="182" t="str">
        <f>IFERROR(__xludf.DUMMYFUNCTION("""COMPUTED_VALUE"""),"GA10317-GB
GA10317-GB-RevB")</f>
        <v>GA10317-GB
GA10317-GB-RevB</v>
      </c>
      <c r="AI53" s="188" t="str">
        <f>IFERROR(__xludf.DUMMYFUNCTION("""COMPUTED_VALUE"""),"GA10317-GB")</f>
        <v>GA10317-GB</v>
      </c>
      <c r="AJ53" s="187">
        <f>IFERROR(__xludf.DUMMYFUNCTION("""COMPUTED_VALUE"""),45793.0)</f>
        <v>45793</v>
      </c>
      <c r="AK53" s="187">
        <f>IFERROR(__xludf.DUMMYFUNCTION("""COMPUTED_VALUE"""),45801.0)</f>
        <v>45801</v>
      </c>
      <c r="AL53" s="182" t="b">
        <f>IFERROR(__xludf.DUMMYFUNCTION("""COMPUTED_VALUE"""),TRUE)</f>
        <v>1</v>
      </c>
      <c r="AM53" s="182" t="b">
        <f>IFERROR(__xludf.DUMMYFUNCTION("""COMPUTED_VALUE"""),TRUE)</f>
        <v>1</v>
      </c>
      <c r="AN53" s="187">
        <f>IFERROR(__xludf.DUMMYFUNCTION("""COMPUTED_VALUE"""),45801.0)</f>
        <v>45801</v>
      </c>
      <c r="AO53" s="182" t="b">
        <f>IFERROR(__xludf.DUMMYFUNCTION("""COMPUTED_VALUE"""),TRUE)</f>
        <v>1</v>
      </c>
      <c r="AP53" s="182" t="str">
        <f>IFERROR(__xludf.DUMMYFUNCTION("""COMPUTED_VALUE"""),"N")</f>
        <v>N</v>
      </c>
      <c r="AQ53" s="182"/>
      <c r="AR53" s="187">
        <f>IFERROR(__xludf.DUMMYFUNCTION("""COMPUTED_VALUE"""),45801.0)</f>
        <v>45801</v>
      </c>
      <c r="AS53" s="182" t="b">
        <f>IFERROR(__xludf.DUMMYFUNCTION("""COMPUTED_VALUE"""),FALSE)</f>
        <v>0</v>
      </c>
      <c r="AT53" s="182"/>
      <c r="AU53" s="182"/>
      <c r="AV53" s="187">
        <f>IFERROR(__xludf.DUMMYFUNCTION("""COMPUTED_VALUE"""),45801.0)</f>
        <v>45801</v>
      </c>
      <c r="AW53" s="182" t="b">
        <f>IFERROR(__xludf.DUMMYFUNCTION("""COMPUTED_VALUE"""),TRUE)</f>
        <v>1</v>
      </c>
      <c r="AX53" s="182"/>
      <c r="AY53" s="182"/>
      <c r="AZ53" s="187">
        <f>IFERROR(__xludf.DUMMYFUNCTION("""COMPUTED_VALUE"""),45827.0)</f>
        <v>45827</v>
      </c>
      <c r="BA53" s="182" t="b">
        <f>IFERROR(__xludf.DUMMYFUNCTION("""COMPUTED_VALUE"""),FALSE)</f>
        <v>0</v>
      </c>
      <c r="BB53" s="187">
        <f>IFERROR(__xludf.DUMMYFUNCTION("""COMPUTED_VALUE"""),45827.0)</f>
        <v>45827</v>
      </c>
    </row>
    <row r="54">
      <c r="A54" s="184" t="str">
        <f t="shared" si="1"/>
        <v>G990-08531-33-B</v>
      </c>
      <c r="B54" s="69" t="str">
        <f t="shared" si="2"/>
        <v>G990-08497-00-B</v>
      </c>
      <c r="C54" s="182" t="str">
        <f>IFERROR(__xludf.DUMMYFUNCTION("""COMPUTED_VALUE"""),"EU")</f>
        <v>EU</v>
      </c>
      <c r="D54" s="182" t="str">
        <f>IFERROR(__xludf.DUMMYFUNCTION("""COMPUTED_VALUE"""),"MP")</f>
        <v>MP</v>
      </c>
      <c r="E54" s="182" t="str">
        <f>IFERROR(__xludf.DUMMYFUNCTION("""COMPUTED_VALUE"""),"Pristine")</f>
        <v>Pristine</v>
      </c>
      <c r="F54" s="182" t="str">
        <f>IFERROR(__xludf.DUMMYFUNCTION("""COMPUTED_VALUE"""),"GA10318-GB")</f>
        <v>GA10318-GB</v>
      </c>
      <c r="G54" s="182" t="str">
        <f>IFERROR(__xludf.DUMMYFUNCTION("""COMPUTED_VALUE"""),"GEHN3")</f>
        <v>GEHN3</v>
      </c>
      <c r="H54" s="182">
        <f>IFERROR(__xludf.DUMMYFUNCTION("""COMPUTED_VALUE"""),8.40353925694E11)</f>
        <v>840353925694</v>
      </c>
      <c r="I54" s="185" t="str">
        <f>IFERROR(__xludf.DUMMYFUNCTION("""COMPUTED_VALUE"""),"0840353925694")</f>
        <v>0840353925694</v>
      </c>
      <c r="J54" s="182"/>
      <c r="K54" s="182" t="str">
        <f>IFERROR(__xludf.DUMMYFUNCTION("""COMPUTED_VALUE"""),"ROW Master Carton Label (EAN)")</f>
        <v>ROW Master Carton Label (EAN)</v>
      </c>
      <c r="L54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54" s="182" t="str">
        <f>IFERROR(__xludf.DUMMYFUNCTION("""COMPUTED_VALUE"""),"G990-08531-33-03
G990-08531-33-B")</f>
        <v>G990-08531-33-03
G990-08531-33-B</v>
      </c>
      <c r="N54" s="182" t="str">
        <f>IFERROR(__xludf.DUMMYFUNCTION("""COMPUTED_VALUE"""),"N/A")</f>
        <v>N/A</v>
      </c>
      <c r="O54" s="182" t="str">
        <f>IFERROR(__xludf.DUMMYFUNCTION("""COMPUTED_VALUE"""),"G990-08497-00-A
G990-08497-00-B")</f>
        <v>G990-08497-00-A
G990-08497-00-B</v>
      </c>
      <c r="P54" s="182" t="str">
        <f>IFERROR(__xludf.DUMMYFUNCTION("""COMPUTED_VALUE"""),"BOB→B
Retail→B")</f>
        <v>BOB→B
Retail→B</v>
      </c>
      <c r="Q54" s="182" t="str">
        <f>IFERROR(__xludf.DUMMYFUNCTION("""COMPUTED_VALUE"""),"512GB")</f>
        <v>512GB</v>
      </c>
      <c r="R54" s="182" t="str">
        <f>IFERROR(__xludf.DUMMYFUNCTION("""COMPUTED_VALUE"""),"Moonstone")</f>
        <v>Moonstone</v>
      </c>
      <c r="S54" s="182" t="str">
        <f>IFERROR(__xludf.DUMMYFUNCTION("""COMPUTED_VALUE"""),"Sterling")</f>
        <v>Sterling</v>
      </c>
      <c r="T54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54" s="182" t="str">
        <f>IFERROR(__xludf.DUMMYFUNCTION("""COMPUTED_VALUE"""),"SKU,CLR3, BEST, SUB6, EU/UK, BZ5")</f>
        <v>SKU,CLR3, BEST, SUB6, EU/UK, BZ5</v>
      </c>
      <c r="V54" s="182"/>
      <c r="W54" s="183" t="str">
        <f>IFERROR(__xludf.DUMMYFUNCTION("""COMPUTED_VALUE"""),"#NUM!")</f>
        <v>#NUM!</v>
      </c>
      <c r="X54" s="186">
        <f>IFERROR(__xludf.DUMMYFUNCTION("""COMPUTED_VALUE"""),45831.0)</f>
        <v>45831</v>
      </c>
      <c r="Y54" s="187">
        <f>IFERROR(__xludf.DUMMYFUNCTION("""COMPUTED_VALUE"""),45780.0)</f>
        <v>45780</v>
      </c>
      <c r="Z54" s="182" t="b">
        <f>IFERROR(__xludf.DUMMYFUNCTION("""COMPUTED_VALUE"""),TRUE)</f>
        <v>1</v>
      </c>
      <c r="AA54" s="187">
        <f>IFERROR(__xludf.DUMMYFUNCTION("""COMPUTED_VALUE"""),45780.0)</f>
        <v>45780</v>
      </c>
      <c r="AB54" s="182" t="b">
        <f>IFERROR(__xludf.DUMMYFUNCTION("""COMPUTED_VALUE"""),FALSE)</f>
        <v>0</v>
      </c>
      <c r="AC54" s="187">
        <f>IFERROR(__xludf.DUMMYFUNCTION("""COMPUTED_VALUE"""),45787.0)</f>
        <v>45787</v>
      </c>
      <c r="AD54" s="187">
        <f>IFERROR(__xludf.DUMMYFUNCTION("""COMPUTED_VALUE"""),45787.0)</f>
        <v>45787</v>
      </c>
      <c r="AE54" s="182" t="str">
        <f>IFERROR(__xludf.DUMMYFUNCTION("""COMPUTED_VALUE"""),"GA10318-GB
GA10318-GB-RevA")</f>
        <v>GA10318-GB
GA10318-GB-RevA</v>
      </c>
      <c r="AF54" s="182"/>
      <c r="AG54" s="188" t="str">
        <f>IFERROR(__xludf.DUMMYFUNCTION("""COMPUTED_VALUE"""),"GA10318-GB")</f>
        <v>GA10318-GB</v>
      </c>
      <c r="AH54" s="182" t="str">
        <f>IFERROR(__xludf.DUMMYFUNCTION("""COMPUTED_VALUE"""),"GA10318-GB
GA10318-GB-RevB")</f>
        <v>GA10318-GB
GA10318-GB-RevB</v>
      </c>
      <c r="AI54" s="188" t="str">
        <f>IFERROR(__xludf.DUMMYFUNCTION("""COMPUTED_VALUE"""),"GA10318-GB")</f>
        <v>GA10318-GB</v>
      </c>
      <c r="AJ54" s="187">
        <f>IFERROR(__xludf.DUMMYFUNCTION("""COMPUTED_VALUE"""),45793.0)</f>
        <v>45793</v>
      </c>
      <c r="AK54" s="187">
        <f>IFERROR(__xludf.DUMMYFUNCTION("""COMPUTED_VALUE"""),45801.0)</f>
        <v>45801</v>
      </c>
      <c r="AL54" s="182" t="b">
        <f>IFERROR(__xludf.DUMMYFUNCTION("""COMPUTED_VALUE"""),TRUE)</f>
        <v>1</v>
      </c>
      <c r="AM54" s="182" t="b">
        <f>IFERROR(__xludf.DUMMYFUNCTION("""COMPUTED_VALUE"""),TRUE)</f>
        <v>1</v>
      </c>
      <c r="AN54" s="187">
        <f>IFERROR(__xludf.DUMMYFUNCTION("""COMPUTED_VALUE"""),45801.0)</f>
        <v>45801</v>
      </c>
      <c r="AO54" s="182" t="b">
        <f>IFERROR(__xludf.DUMMYFUNCTION("""COMPUTED_VALUE"""),TRUE)</f>
        <v>1</v>
      </c>
      <c r="AP54" s="182" t="str">
        <f>IFERROR(__xludf.DUMMYFUNCTION("""COMPUTED_VALUE"""),"N")</f>
        <v>N</v>
      </c>
      <c r="AQ54" s="182"/>
      <c r="AR54" s="187">
        <f>IFERROR(__xludf.DUMMYFUNCTION("""COMPUTED_VALUE"""),45801.0)</f>
        <v>45801</v>
      </c>
      <c r="AS54" s="182" t="b">
        <f>IFERROR(__xludf.DUMMYFUNCTION("""COMPUTED_VALUE"""),FALSE)</f>
        <v>0</v>
      </c>
      <c r="AT54" s="182"/>
      <c r="AU54" s="182"/>
      <c r="AV54" s="187">
        <f>IFERROR(__xludf.DUMMYFUNCTION("""COMPUTED_VALUE"""),45801.0)</f>
        <v>45801</v>
      </c>
      <c r="AW54" s="182" t="b">
        <f>IFERROR(__xludf.DUMMYFUNCTION("""COMPUTED_VALUE"""),TRUE)</f>
        <v>1</v>
      </c>
      <c r="AX54" s="182"/>
      <c r="AY54" s="182"/>
      <c r="AZ54" s="187">
        <f>IFERROR(__xludf.DUMMYFUNCTION("""COMPUTED_VALUE"""),45827.0)</f>
        <v>45827</v>
      </c>
      <c r="BA54" s="182" t="b">
        <f>IFERROR(__xludf.DUMMYFUNCTION("""COMPUTED_VALUE"""),FALSE)</f>
        <v>0</v>
      </c>
      <c r="BB54" s="187">
        <f>IFERROR(__xludf.DUMMYFUNCTION("""COMPUTED_VALUE"""),45827.0)</f>
        <v>45827</v>
      </c>
    </row>
    <row r="55">
      <c r="A55" s="184" t="str">
        <f t="shared" si="1"/>
        <v>#VALUE!</v>
      </c>
      <c r="B55" s="69" t="str">
        <f t="shared" si="2"/>
        <v>G990-08497-00-B</v>
      </c>
      <c r="C55" s="182" t="str">
        <f>IFERROR(__xludf.DUMMYFUNCTION("""COMPUTED_VALUE"""),"EU")</f>
        <v>EU</v>
      </c>
      <c r="D55" s="182" t="str">
        <f>IFERROR(__xludf.DUMMYFUNCTION("""COMPUTED_VALUE"""),"MP")</f>
        <v>MP</v>
      </c>
      <c r="E55" s="182" t="str">
        <f>IFERROR(__xludf.DUMMYFUNCTION("""COMPUTED_VALUE"""),"Pristine")</f>
        <v>Pristine</v>
      </c>
      <c r="F55" s="182" t="str">
        <f>IFERROR(__xludf.DUMMYFUNCTION("""COMPUTED_VALUE"""),"GA10319-GB")</f>
        <v>GA10319-GB</v>
      </c>
      <c r="G55" s="182" t="str">
        <f>IFERROR(__xludf.DUMMYFUNCTION("""COMPUTED_VALUE"""),"GEHN3")</f>
        <v>GEHN3</v>
      </c>
      <c r="H55" s="182">
        <f>IFERROR(__xludf.DUMMYFUNCTION("""COMPUTED_VALUE"""),8.40353925588E11)</f>
        <v>840353925588</v>
      </c>
      <c r="I55" s="185" t="str">
        <f>IFERROR(__xludf.DUMMYFUNCTION("""COMPUTED_VALUE"""),"0840353925588")</f>
        <v>0840353925588</v>
      </c>
      <c r="J55" s="182"/>
      <c r="K55" s="182"/>
      <c r="L55" s="182"/>
      <c r="M55" s="188" t="str">
        <f>IFERROR(__xludf.DUMMYFUNCTION("""COMPUTED_VALUE"""),"G990-08531-43-03")</f>
        <v>G990-08531-43-03</v>
      </c>
      <c r="N55" s="182" t="str">
        <f>IFERROR(__xludf.DUMMYFUNCTION("""COMPUTED_VALUE"""),"N/A")</f>
        <v>N/A</v>
      </c>
      <c r="O55" s="182" t="str">
        <f>IFERROR(__xludf.DUMMYFUNCTION("""COMPUTED_VALUE"""),"G990-08497-00-A
G990-08497-00-B")</f>
        <v>G990-08497-00-A
G990-08497-00-B</v>
      </c>
      <c r="P55" s="182" t="str">
        <f>IFERROR(__xludf.DUMMYFUNCTION("""COMPUTED_VALUE"""),"BOB→B
Retail→B")</f>
        <v>BOB→B
Retail→B</v>
      </c>
      <c r="Q55" s="182" t="str">
        <f>IFERROR(__xludf.DUMMYFUNCTION("""COMPUTED_VALUE"""),"512GB")</f>
        <v>512GB</v>
      </c>
      <c r="R55" s="182" t="str">
        <f>IFERROR(__xludf.DUMMYFUNCTION("""COMPUTED_VALUE"""),"Jade")</f>
        <v>Jade</v>
      </c>
      <c r="S55" s="182" t="str">
        <f>IFERROR(__xludf.DUMMYFUNCTION("""COMPUTED_VALUE"""),"Smokey Green")</f>
        <v>Smokey Green</v>
      </c>
      <c r="T55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55" s="182" t="str">
        <f>IFERROR(__xludf.DUMMYFUNCTION("""COMPUTED_VALUE"""),"SKU,CLR4, BEST, SUB6, EU/UK, BZ5")</f>
        <v>SKU,CLR4, BEST, SUB6, EU/UK, BZ5</v>
      </c>
      <c r="V55" s="182"/>
      <c r="W55" s="183" t="str">
        <f>IFERROR(__xludf.DUMMYFUNCTION("""COMPUTED_VALUE"""),"#NUM!")</f>
        <v>#NUM!</v>
      </c>
      <c r="X55" s="186">
        <f>IFERROR(__xludf.DUMMYFUNCTION("""COMPUTED_VALUE"""),45831.0)</f>
        <v>45831</v>
      </c>
      <c r="Y55" s="187">
        <f>IFERROR(__xludf.DUMMYFUNCTION("""COMPUTED_VALUE"""),45780.0)</f>
        <v>45780</v>
      </c>
      <c r="Z55" s="182" t="b">
        <f>IFERROR(__xludf.DUMMYFUNCTION("""COMPUTED_VALUE"""),FALSE)</f>
        <v>0</v>
      </c>
      <c r="AA55" s="187">
        <f>IFERROR(__xludf.DUMMYFUNCTION("""COMPUTED_VALUE"""),45780.0)</f>
        <v>45780</v>
      </c>
      <c r="AB55" s="182" t="b">
        <f>IFERROR(__xludf.DUMMYFUNCTION("""COMPUTED_VALUE"""),FALSE)</f>
        <v>0</v>
      </c>
      <c r="AC55" s="187">
        <f>IFERROR(__xludf.DUMMYFUNCTION("""COMPUTED_VALUE"""),45787.0)</f>
        <v>45787</v>
      </c>
      <c r="AD55" s="187">
        <f>IFERROR(__xludf.DUMMYFUNCTION("""COMPUTED_VALUE"""),45787.0)</f>
        <v>45787</v>
      </c>
      <c r="AE55" s="182"/>
      <c r="AF55" s="182"/>
      <c r="AG55" s="182"/>
      <c r="AH55" s="182"/>
      <c r="AI55" s="188" t="str">
        <f>IFERROR(__xludf.DUMMYFUNCTION("""COMPUTED_VALUE"""),"GA10319-GB")</f>
        <v>GA10319-GB</v>
      </c>
      <c r="AJ55" s="187">
        <f>IFERROR(__xludf.DUMMYFUNCTION("""COMPUTED_VALUE"""),45793.0)</f>
        <v>45793</v>
      </c>
      <c r="AK55" s="187">
        <f>IFERROR(__xludf.DUMMYFUNCTION("""COMPUTED_VALUE"""),45801.0)</f>
        <v>45801</v>
      </c>
      <c r="AL55" s="182" t="b">
        <f>IFERROR(__xludf.DUMMYFUNCTION("""COMPUTED_VALUE"""),FALSE)</f>
        <v>0</v>
      </c>
      <c r="AM55" s="182" t="b">
        <f>IFERROR(__xludf.DUMMYFUNCTION("""COMPUTED_VALUE"""),FALSE)</f>
        <v>0</v>
      </c>
      <c r="AN55" s="187">
        <f>IFERROR(__xludf.DUMMYFUNCTION("""COMPUTED_VALUE"""),45801.0)</f>
        <v>45801</v>
      </c>
      <c r="AO55" s="182" t="b">
        <f>IFERROR(__xludf.DUMMYFUNCTION("""COMPUTED_VALUE"""),FALSE)</f>
        <v>0</v>
      </c>
      <c r="AP55" s="182"/>
      <c r="AQ55" s="182"/>
      <c r="AR55" s="187">
        <f>IFERROR(__xludf.DUMMYFUNCTION("""COMPUTED_VALUE"""),45801.0)</f>
        <v>45801</v>
      </c>
      <c r="AS55" s="182" t="b">
        <f>IFERROR(__xludf.DUMMYFUNCTION("""COMPUTED_VALUE"""),FALSE)</f>
        <v>0</v>
      </c>
      <c r="AT55" s="182"/>
      <c r="AU55" s="182"/>
      <c r="AV55" s="187">
        <f>IFERROR(__xludf.DUMMYFUNCTION("""COMPUTED_VALUE"""),45801.0)</f>
        <v>45801</v>
      </c>
      <c r="AW55" s="182" t="b">
        <f>IFERROR(__xludf.DUMMYFUNCTION("""COMPUTED_VALUE"""),FALSE)</f>
        <v>0</v>
      </c>
      <c r="AX55" s="182"/>
      <c r="AY55" s="182"/>
      <c r="AZ55" s="187">
        <f>IFERROR(__xludf.DUMMYFUNCTION("""COMPUTED_VALUE"""),45827.0)</f>
        <v>45827</v>
      </c>
      <c r="BA55" s="182" t="b">
        <f>IFERROR(__xludf.DUMMYFUNCTION("""COMPUTED_VALUE"""),FALSE)</f>
        <v>0</v>
      </c>
      <c r="BB55" s="187">
        <f>IFERROR(__xludf.DUMMYFUNCTION("""COMPUTED_VALUE"""),45827.0)</f>
        <v>45827</v>
      </c>
    </row>
    <row r="56">
      <c r="A56" s="184" t="str">
        <f t="shared" si="1"/>
        <v>G990-08531-14-B</v>
      </c>
      <c r="B56" s="69" t="str">
        <f t="shared" si="2"/>
        <v>G990-08497-00-B</v>
      </c>
      <c r="C56" s="182" t="str">
        <f>IFERROR(__xludf.DUMMYFUNCTION("""COMPUTED_VALUE"""),"EU")</f>
        <v>EU</v>
      </c>
      <c r="D56" s="182" t="str">
        <f>IFERROR(__xludf.DUMMYFUNCTION("""COMPUTED_VALUE"""),"MP")</f>
        <v>MP</v>
      </c>
      <c r="E56" s="182" t="str">
        <f>IFERROR(__xludf.DUMMYFUNCTION("""COMPUTED_VALUE"""),"Pristine")</f>
        <v>Pristine</v>
      </c>
      <c r="F56" s="182" t="str">
        <f>IFERROR(__xludf.DUMMYFUNCTION("""COMPUTED_VALUE"""),"GA09934-GB")</f>
        <v>GA09934-GB</v>
      </c>
      <c r="G56" s="182" t="str">
        <f>IFERROR(__xludf.DUMMYFUNCTION("""COMPUTED_VALUE"""),"GEHN3")</f>
        <v>GEHN3</v>
      </c>
      <c r="H56" s="182">
        <f>IFERROR(__xludf.DUMMYFUNCTION("""COMPUTED_VALUE"""),8.40353925755E11)</f>
        <v>840353925755</v>
      </c>
      <c r="I56" s="185" t="str">
        <f>IFERROR(__xludf.DUMMYFUNCTION("""COMPUTED_VALUE"""),"0840353925755")</f>
        <v>0840353925755</v>
      </c>
      <c r="J56" s="182"/>
      <c r="K56" s="182" t="str">
        <f>IFERROR(__xludf.DUMMYFUNCTION("""COMPUTED_VALUE"""),"ROW Master Carton Label (EAN)")</f>
        <v>ROW Master Carton Label (EAN)</v>
      </c>
      <c r="L56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56" s="182" t="str">
        <f>IFERROR(__xludf.DUMMYFUNCTION("""COMPUTED_VALUE"""),"G990-08531-14-03
G990-08531-14-B")</f>
        <v>G990-08531-14-03
G990-08531-14-B</v>
      </c>
      <c r="N56" s="182" t="str">
        <f>IFERROR(__xludf.DUMMYFUNCTION("""COMPUTED_VALUE"""),"N/A")</f>
        <v>N/A</v>
      </c>
      <c r="O56" s="182" t="str">
        <f>IFERROR(__xludf.DUMMYFUNCTION("""COMPUTED_VALUE"""),"G990-08497-00-A
G990-08497-00-B")</f>
        <v>G990-08497-00-A
G990-08497-00-B</v>
      </c>
      <c r="P56" s="182" t="str">
        <f>IFERROR(__xludf.DUMMYFUNCTION("""COMPUTED_VALUE"""),"BOB→B
Retail→B")</f>
        <v>BOB→B
Retail→B</v>
      </c>
      <c r="Q56" s="182" t="str">
        <f>IFERROR(__xludf.DUMMYFUNCTION("""COMPUTED_VALUE"""),"1TB")</f>
        <v>1TB</v>
      </c>
      <c r="R56" s="182" t="str">
        <f>IFERROR(__xludf.DUMMYFUNCTION("""COMPUTED_VALUE"""),"Obsidian")</f>
        <v>Obsidian</v>
      </c>
      <c r="S56" s="182" t="str">
        <f>IFERROR(__xludf.DUMMYFUNCTION("""COMPUTED_VALUE"""),"Midnight")</f>
        <v>Midnight</v>
      </c>
      <c r="T56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56" s="182" t="str">
        <f>IFERROR(__xludf.DUMMYFUNCTION("""COMPUTED_VALUE"""),"SKU,CLR1, ULTRA, SUB6, EU/UK, BZ5")</f>
        <v>SKU,CLR1, ULTRA, SUB6, EU/UK, BZ5</v>
      </c>
      <c r="V56" s="182"/>
      <c r="W56" s="183" t="str">
        <f>IFERROR(__xludf.DUMMYFUNCTION("""COMPUTED_VALUE"""),"#NUM!")</f>
        <v>#NUM!</v>
      </c>
      <c r="X56" s="186">
        <f>IFERROR(__xludf.DUMMYFUNCTION("""COMPUTED_VALUE"""),45831.0)</f>
        <v>45831</v>
      </c>
      <c r="Y56" s="187">
        <f>IFERROR(__xludf.DUMMYFUNCTION("""COMPUTED_VALUE"""),45780.0)</f>
        <v>45780</v>
      </c>
      <c r="Z56" s="182" t="b">
        <f>IFERROR(__xludf.DUMMYFUNCTION("""COMPUTED_VALUE"""),TRUE)</f>
        <v>1</v>
      </c>
      <c r="AA56" s="187">
        <f>IFERROR(__xludf.DUMMYFUNCTION("""COMPUTED_VALUE"""),45780.0)</f>
        <v>45780</v>
      </c>
      <c r="AB56" s="182" t="b">
        <f>IFERROR(__xludf.DUMMYFUNCTION("""COMPUTED_VALUE"""),FALSE)</f>
        <v>0</v>
      </c>
      <c r="AC56" s="187">
        <f>IFERROR(__xludf.DUMMYFUNCTION("""COMPUTED_VALUE"""),45787.0)</f>
        <v>45787</v>
      </c>
      <c r="AD56" s="187">
        <f>IFERROR(__xludf.DUMMYFUNCTION("""COMPUTED_VALUE"""),45787.0)</f>
        <v>45787</v>
      </c>
      <c r="AE56" s="182" t="str">
        <f>IFERROR(__xludf.DUMMYFUNCTION("""COMPUTED_VALUE"""),"GA09934-GB
GA09934-GB-RevA")</f>
        <v>GA09934-GB
GA09934-GB-RevA</v>
      </c>
      <c r="AF56" s="182"/>
      <c r="AG56" s="188" t="str">
        <f>IFERROR(__xludf.DUMMYFUNCTION("""COMPUTED_VALUE"""),"GA09934-GB")</f>
        <v>GA09934-GB</v>
      </c>
      <c r="AH56" s="182" t="str">
        <f>IFERROR(__xludf.DUMMYFUNCTION("""COMPUTED_VALUE"""),"GA09934-GB
GA09934-GB-RevB")</f>
        <v>GA09934-GB
GA09934-GB-RevB</v>
      </c>
      <c r="AI56" s="188" t="str">
        <f>IFERROR(__xludf.DUMMYFUNCTION("""COMPUTED_VALUE"""),"GA09934-GB")</f>
        <v>GA09934-GB</v>
      </c>
      <c r="AJ56" s="187">
        <f>IFERROR(__xludf.DUMMYFUNCTION("""COMPUTED_VALUE"""),45793.0)</f>
        <v>45793</v>
      </c>
      <c r="AK56" s="187">
        <f>IFERROR(__xludf.DUMMYFUNCTION("""COMPUTED_VALUE"""),45801.0)</f>
        <v>45801</v>
      </c>
      <c r="AL56" s="182" t="b">
        <f>IFERROR(__xludf.DUMMYFUNCTION("""COMPUTED_VALUE"""),TRUE)</f>
        <v>1</v>
      </c>
      <c r="AM56" s="182" t="b">
        <f>IFERROR(__xludf.DUMMYFUNCTION("""COMPUTED_VALUE"""),TRUE)</f>
        <v>1</v>
      </c>
      <c r="AN56" s="187">
        <f>IFERROR(__xludf.DUMMYFUNCTION("""COMPUTED_VALUE"""),45801.0)</f>
        <v>45801</v>
      </c>
      <c r="AO56" s="182" t="b">
        <f>IFERROR(__xludf.DUMMYFUNCTION("""COMPUTED_VALUE"""),TRUE)</f>
        <v>1</v>
      </c>
      <c r="AP56" s="182" t="str">
        <f>IFERROR(__xludf.DUMMYFUNCTION("""COMPUTED_VALUE"""),"N")</f>
        <v>N</v>
      </c>
      <c r="AQ56" s="182"/>
      <c r="AR56" s="187">
        <f>IFERROR(__xludf.DUMMYFUNCTION("""COMPUTED_VALUE"""),45801.0)</f>
        <v>45801</v>
      </c>
      <c r="AS56" s="182" t="b">
        <f>IFERROR(__xludf.DUMMYFUNCTION("""COMPUTED_VALUE"""),FALSE)</f>
        <v>0</v>
      </c>
      <c r="AT56" s="182"/>
      <c r="AU56" s="182"/>
      <c r="AV56" s="187">
        <f>IFERROR(__xludf.DUMMYFUNCTION("""COMPUTED_VALUE"""),45801.0)</f>
        <v>45801</v>
      </c>
      <c r="AW56" s="182" t="b">
        <f>IFERROR(__xludf.DUMMYFUNCTION("""COMPUTED_VALUE"""),TRUE)</f>
        <v>1</v>
      </c>
      <c r="AX56" s="182"/>
      <c r="AY56" s="182"/>
      <c r="AZ56" s="187">
        <f>IFERROR(__xludf.DUMMYFUNCTION("""COMPUTED_VALUE"""),45827.0)</f>
        <v>45827</v>
      </c>
      <c r="BA56" s="182" t="b">
        <f>IFERROR(__xludf.DUMMYFUNCTION("""COMPUTED_VALUE"""),FALSE)</f>
        <v>0</v>
      </c>
      <c r="BB56" s="187">
        <f>IFERROR(__xludf.DUMMYFUNCTION("""COMPUTED_VALUE"""),45827.0)</f>
        <v>45827</v>
      </c>
    </row>
    <row r="57">
      <c r="A57" s="184" t="str">
        <f t="shared" si="1"/>
        <v>#VALUE!</v>
      </c>
      <c r="B57" s="69" t="str">
        <f t="shared" si="2"/>
        <v>#VALUE!</v>
      </c>
      <c r="C57" s="182" t="str">
        <f>IFERROR(__xludf.DUMMYFUNCTION("""COMPUTED_VALUE"""),"EU")</f>
        <v>EU</v>
      </c>
      <c r="D57" s="182" t="str">
        <f>IFERROR(__xludf.DUMMYFUNCTION("""COMPUTED_VALUE"""),"MP")</f>
        <v>MP</v>
      </c>
      <c r="E57" s="182" t="str">
        <f>IFERROR(__xludf.DUMMYFUNCTION("""COMPUTED_VALUE"""),"Pristine")</f>
        <v>Pristine</v>
      </c>
      <c r="F57" s="182" t="str">
        <f>IFERROR(__xludf.DUMMYFUNCTION("""COMPUTED_VALUE"""),"GA10320-GB")</f>
        <v>GA10320-GB</v>
      </c>
      <c r="G57" s="182" t="str">
        <f>IFERROR(__xludf.DUMMYFUNCTION("""COMPUTED_VALUE"""),"GEHN3")</f>
        <v>GEHN3</v>
      </c>
      <c r="H57" s="182">
        <f>IFERROR(__xludf.DUMMYFUNCTION("""COMPUTED_VALUE"""),8.40353925816E11)</f>
        <v>840353925816</v>
      </c>
      <c r="I57" s="185" t="str">
        <f>IFERROR(__xludf.DUMMYFUNCTION("""COMPUTED_VALUE"""),"0840353925816")</f>
        <v>0840353925816</v>
      </c>
      <c r="J57" s="182"/>
      <c r="K57" s="182"/>
      <c r="L57" s="182"/>
      <c r="M57" s="188" t="str">
        <f>IFERROR(__xludf.DUMMYFUNCTION("""COMPUTED_VALUE"""),"G990-08531-34-03")</f>
        <v>G990-08531-34-03</v>
      </c>
      <c r="N57" s="182"/>
      <c r="O57" s="188" t="str">
        <f>IFERROR(__xludf.DUMMYFUNCTION("""COMPUTED_VALUE"""),"G990-08497-00-01")</f>
        <v>G990-08497-00-01</v>
      </c>
      <c r="P57" s="182" t="str">
        <f>IFERROR(__xludf.DUMMYFUNCTION("""COMPUTED_VALUE"""),"BOB→B
Retail→A")</f>
        <v>BOB→B
Retail→A</v>
      </c>
      <c r="Q57" s="182" t="str">
        <f>IFERROR(__xludf.DUMMYFUNCTION("""COMPUTED_VALUE"""),"1TB")</f>
        <v>1TB</v>
      </c>
      <c r="R57" s="182" t="str">
        <f>IFERROR(__xludf.DUMMYFUNCTION("""COMPUTED_VALUE"""),"Moonstone")</f>
        <v>Moonstone</v>
      </c>
      <c r="S57" s="182" t="str">
        <f>IFERROR(__xludf.DUMMYFUNCTION("""COMPUTED_VALUE"""),"Sterling")</f>
        <v>Sterling</v>
      </c>
      <c r="T57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57" s="182" t="str">
        <f>IFERROR(__xludf.DUMMYFUNCTION("""COMPUTED_VALUE"""),"SKU,CLR3, ULTRA, SUB6, EU/UK, BZ5")</f>
        <v>SKU,CLR3, ULTRA, SUB6, EU/UK, BZ5</v>
      </c>
      <c r="V57" s="182"/>
      <c r="W57" s="183" t="str">
        <f>IFERROR(__xludf.DUMMYFUNCTION("""COMPUTED_VALUE"""),"#NUM!")</f>
        <v>#NUM!</v>
      </c>
      <c r="X57" s="186">
        <f>IFERROR(__xludf.DUMMYFUNCTION("""COMPUTED_VALUE"""),45831.0)</f>
        <v>45831</v>
      </c>
      <c r="Y57" s="187">
        <f>IFERROR(__xludf.DUMMYFUNCTION("""COMPUTED_VALUE"""),45780.0)</f>
        <v>45780</v>
      </c>
      <c r="Z57" s="182" t="b">
        <f>IFERROR(__xludf.DUMMYFUNCTION("""COMPUTED_VALUE"""),FALSE)</f>
        <v>0</v>
      </c>
      <c r="AA57" s="187">
        <f>IFERROR(__xludf.DUMMYFUNCTION("""COMPUTED_VALUE"""),45780.0)</f>
        <v>45780</v>
      </c>
      <c r="AB57" s="182" t="b">
        <f>IFERROR(__xludf.DUMMYFUNCTION("""COMPUTED_VALUE"""),FALSE)</f>
        <v>0</v>
      </c>
      <c r="AC57" s="187">
        <f>IFERROR(__xludf.DUMMYFUNCTION("""COMPUTED_VALUE"""),45787.0)</f>
        <v>45787</v>
      </c>
      <c r="AD57" s="187">
        <f>IFERROR(__xludf.DUMMYFUNCTION("""COMPUTED_VALUE"""),45787.0)</f>
        <v>45787</v>
      </c>
      <c r="AE57" s="182"/>
      <c r="AF57" s="182"/>
      <c r="AG57" s="182"/>
      <c r="AH57" s="182"/>
      <c r="AI57" s="188" t="str">
        <f>IFERROR(__xludf.DUMMYFUNCTION("""COMPUTED_VALUE"""),"GA10320-GB")</f>
        <v>GA10320-GB</v>
      </c>
      <c r="AJ57" s="187">
        <f>IFERROR(__xludf.DUMMYFUNCTION("""COMPUTED_VALUE"""),45793.0)</f>
        <v>45793</v>
      </c>
      <c r="AK57" s="187">
        <f>IFERROR(__xludf.DUMMYFUNCTION("""COMPUTED_VALUE"""),45801.0)</f>
        <v>45801</v>
      </c>
      <c r="AL57" s="182" t="b">
        <f>IFERROR(__xludf.DUMMYFUNCTION("""COMPUTED_VALUE"""),FALSE)</f>
        <v>0</v>
      </c>
      <c r="AM57" s="182" t="b">
        <f>IFERROR(__xludf.DUMMYFUNCTION("""COMPUTED_VALUE"""),FALSE)</f>
        <v>0</v>
      </c>
      <c r="AN57" s="187">
        <f>IFERROR(__xludf.DUMMYFUNCTION("""COMPUTED_VALUE"""),45801.0)</f>
        <v>45801</v>
      </c>
      <c r="AO57" s="182" t="b">
        <f>IFERROR(__xludf.DUMMYFUNCTION("""COMPUTED_VALUE"""),FALSE)</f>
        <v>0</v>
      </c>
      <c r="AP57" s="182"/>
      <c r="AQ57" s="182"/>
      <c r="AR57" s="187">
        <f>IFERROR(__xludf.DUMMYFUNCTION("""COMPUTED_VALUE"""),45801.0)</f>
        <v>45801</v>
      </c>
      <c r="AS57" s="182"/>
      <c r="AT57" s="182"/>
      <c r="AU57" s="182"/>
      <c r="AV57" s="187">
        <f>IFERROR(__xludf.DUMMYFUNCTION("""COMPUTED_VALUE"""),45801.0)</f>
        <v>45801</v>
      </c>
      <c r="AW57" s="182" t="b">
        <f>IFERROR(__xludf.DUMMYFUNCTION("""COMPUTED_VALUE"""),FALSE)</f>
        <v>0</v>
      </c>
      <c r="AX57" s="182"/>
      <c r="AY57" s="182"/>
      <c r="AZ57" s="187">
        <f>IFERROR(__xludf.DUMMYFUNCTION("""COMPUTED_VALUE"""),45827.0)</f>
        <v>45827</v>
      </c>
      <c r="BA57" s="182" t="b">
        <f>IFERROR(__xludf.DUMMYFUNCTION("""COMPUTED_VALUE"""),FALSE)</f>
        <v>0</v>
      </c>
      <c r="BB57" s="187">
        <f>IFERROR(__xludf.DUMMYFUNCTION("""COMPUTED_VALUE"""),45827.0)</f>
        <v>45827</v>
      </c>
    </row>
    <row r="58">
      <c r="A58" s="184" t="str">
        <f t="shared" si="1"/>
        <v>#VALUE!</v>
      </c>
      <c r="B58" s="69" t="str">
        <f t="shared" si="2"/>
        <v>#VALUE!</v>
      </c>
      <c r="C58" s="182" t="str">
        <f>IFERROR(__xludf.DUMMYFUNCTION("""COMPUTED_VALUE"""),"IN")</f>
        <v>IN</v>
      </c>
      <c r="D58" s="182" t="str">
        <f>IFERROR(__xludf.DUMMYFUNCTION("""COMPUTED_VALUE"""),"MP")</f>
        <v>MP</v>
      </c>
      <c r="E58" s="182" t="str">
        <f>IFERROR(__xludf.DUMMYFUNCTION("""COMPUTED_VALUE"""),"Pristine")</f>
        <v>Pristine</v>
      </c>
      <c r="F58" s="182" t="str">
        <f>IFERROR(__xludf.DUMMYFUNCTION("""COMPUTED_VALUE"""),"GA09601-IN")</f>
        <v>GA09601-IN</v>
      </c>
      <c r="G58" s="182" t="str">
        <f>IFERROR(__xludf.DUMMYFUNCTION("""COMPUTED_VALUE"""),"#N/A")</f>
        <v>#N/A</v>
      </c>
      <c r="H58" s="182" t="str">
        <f>IFERROR(__xludf.DUMMYFUNCTION("""COMPUTED_VALUE"""),"#N/A")</f>
        <v>#N/A</v>
      </c>
      <c r="I58" s="185" t="str">
        <f>IFERROR(__xludf.DUMMYFUNCTION("""COMPUTED_VALUE"""),"#N/A")</f>
        <v>#N/A</v>
      </c>
      <c r="J58" s="182"/>
      <c r="K58" s="182"/>
      <c r="L58" s="182"/>
      <c r="M58" s="182" t="str">
        <f>IFERROR(__xludf.DUMMYFUNCTION("""COMPUTED_VALUE"""),"N/A")</f>
        <v>N/A</v>
      </c>
      <c r="N58" s="182"/>
      <c r="O58" s="182" t="str">
        <f>IFERROR(__xludf.DUMMYFUNCTION("""COMPUTED_VALUE"""),"N/A")</f>
        <v>N/A</v>
      </c>
      <c r="P58" s="182" t="str">
        <f>IFERROR(__xludf.DUMMYFUNCTION("""COMPUTED_VALUE"""),"BOB→B
Retail→A")</f>
        <v>BOB→B
Retail→A</v>
      </c>
      <c r="Q58" s="182" t="str">
        <f>IFERROR(__xludf.DUMMYFUNCTION("""COMPUTED_VALUE"""),"#N/A")</f>
        <v>#N/A</v>
      </c>
      <c r="R58" s="182"/>
      <c r="S58" s="182" t="str">
        <f>IFERROR(__xludf.DUMMYFUNCTION("""COMPUTED_VALUE"""),"#N/A")</f>
        <v>#N/A</v>
      </c>
      <c r="T58" s="182" t="str">
        <f>IFERROR(__xludf.DUMMYFUNCTION("""COMPUTED_VALUE"""),"#N/A")</f>
        <v>#N/A</v>
      </c>
      <c r="U58" s="182" t="str">
        <f>IFERROR(__xludf.DUMMYFUNCTION("""COMPUTED_VALUE"""),"#N/A")</f>
        <v>#N/A</v>
      </c>
      <c r="V58" s="182"/>
      <c r="W58" s="183" t="str">
        <f>IFERROR(__xludf.DUMMYFUNCTION("""COMPUTED_VALUE"""),"#NUM!")</f>
        <v>#NUM!</v>
      </c>
      <c r="X58" s="186">
        <f>IFERROR(__xludf.DUMMYFUNCTION("""COMPUTED_VALUE"""),45831.0)</f>
        <v>45831</v>
      </c>
      <c r="Y58" s="187">
        <f>IFERROR(__xludf.DUMMYFUNCTION("""COMPUTED_VALUE"""),45780.0)</f>
        <v>45780</v>
      </c>
      <c r="Z58" s="182" t="b">
        <f>IFERROR(__xludf.DUMMYFUNCTION("""COMPUTED_VALUE"""),FALSE)</f>
        <v>0</v>
      </c>
      <c r="AA58" s="187">
        <f>IFERROR(__xludf.DUMMYFUNCTION("""COMPUTED_VALUE"""),45780.0)</f>
        <v>45780</v>
      </c>
      <c r="AB58" s="182" t="b">
        <f>IFERROR(__xludf.DUMMYFUNCTION("""COMPUTED_VALUE"""),FALSE)</f>
        <v>0</v>
      </c>
      <c r="AC58" s="187">
        <f>IFERROR(__xludf.DUMMYFUNCTION("""COMPUTED_VALUE"""),45787.0)</f>
        <v>45787</v>
      </c>
      <c r="AD58" s="187">
        <f>IFERROR(__xludf.DUMMYFUNCTION("""COMPUTED_VALUE"""),45787.0)</f>
        <v>45787</v>
      </c>
      <c r="AE58" s="182"/>
      <c r="AF58" s="182"/>
      <c r="AG58" s="182"/>
      <c r="AH58" s="182"/>
      <c r="AI58" s="182"/>
      <c r="AJ58" s="187">
        <f>IFERROR(__xludf.DUMMYFUNCTION("""COMPUTED_VALUE"""),45793.0)</f>
        <v>45793</v>
      </c>
      <c r="AK58" s="187">
        <f>IFERROR(__xludf.DUMMYFUNCTION("""COMPUTED_VALUE"""),45801.0)</f>
        <v>45801</v>
      </c>
      <c r="AL58" s="182" t="b">
        <f>IFERROR(__xludf.DUMMYFUNCTION("""COMPUTED_VALUE"""),FALSE)</f>
        <v>0</v>
      </c>
      <c r="AM58" s="182" t="b">
        <f>IFERROR(__xludf.DUMMYFUNCTION("""COMPUTED_VALUE"""),FALSE)</f>
        <v>0</v>
      </c>
      <c r="AN58" s="187">
        <f>IFERROR(__xludf.DUMMYFUNCTION("""COMPUTED_VALUE"""),45801.0)</f>
        <v>45801</v>
      </c>
      <c r="AO58" s="182" t="b">
        <f>IFERROR(__xludf.DUMMYFUNCTION("""COMPUTED_VALUE"""),FALSE)</f>
        <v>0</v>
      </c>
      <c r="AP58" s="182"/>
      <c r="AQ58" s="182"/>
      <c r="AR58" s="187">
        <f>IFERROR(__xludf.DUMMYFUNCTION("""COMPUTED_VALUE"""),45801.0)</f>
        <v>45801</v>
      </c>
      <c r="AS58" s="182"/>
      <c r="AT58" s="182"/>
      <c r="AU58" s="182"/>
      <c r="AV58" s="187">
        <f>IFERROR(__xludf.DUMMYFUNCTION("""COMPUTED_VALUE"""),45801.0)</f>
        <v>45801</v>
      </c>
      <c r="AW58" s="182" t="b">
        <f>IFERROR(__xludf.DUMMYFUNCTION("""COMPUTED_VALUE"""),FALSE)</f>
        <v>0</v>
      </c>
      <c r="AX58" s="182"/>
      <c r="AY58" s="182"/>
      <c r="AZ58" s="187">
        <f>IFERROR(__xludf.DUMMYFUNCTION("""COMPUTED_VALUE"""),45827.0)</f>
        <v>45827</v>
      </c>
      <c r="BA58" s="182" t="b">
        <f>IFERROR(__xludf.DUMMYFUNCTION("""COMPUTED_VALUE"""),FALSE)</f>
        <v>0</v>
      </c>
      <c r="BB58" s="187">
        <f>IFERROR(__xludf.DUMMYFUNCTION("""COMPUTED_VALUE"""),45827.0)</f>
        <v>45827</v>
      </c>
    </row>
    <row r="59">
      <c r="A59" s="184" t="str">
        <f t="shared" si="1"/>
        <v>#VALUE!</v>
      </c>
      <c r="B59" s="69" t="str">
        <f t="shared" si="2"/>
        <v>#VALUE!</v>
      </c>
      <c r="C59" s="182" t="str">
        <f>IFERROR(__xludf.DUMMYFUNCTION("""COMPUTED_VALUE"""),"IN")</f>
        <v>IN</v>
      </c>
      <c r="D59" s="182" t="str">
        <f>IFERROR(__xludf.DUMMYFUNCTION("""COMPUTED_VALUE"""),"MP")</f>
        <v>MP</v>
      </c>
      <c r="E59" s="182" t="str">
        <f>IFERROR(__xludf.DUMMYFUNCTION("""COMPUTED_VALUE"""),"Pristine")</f>
        <v>Pristine</v>
      </c>
      <c r="F59" s="182" t="str">
        <f>IFERROR(__xludf.DUMMYFUNCTION("""COMPUTED_VALUE"""),"GA10312-IN")</f>
        <v>GA10312-IN</v>
      </c>
      <c r="G59" s="182" t="str">
        <f>IFERROR(__xludf.DUMMYFUNCTION("""COMPUTED_VALUE"""),"#N/A")</f>
        <v>#N/A</v>
      </c>
      <c r="H59" s="182" t="str">
        <f>IFERROR(__xludf.DUMMYFUNCTION("""COMPUTED_VALUE"""),"#N/A")</f>
        <v>#N/A</v>
      </c>
      <c r="I59" s="185" t="str">
        <f>IFERROR(__xludf.DUMMYFUNCTION("""COMPUTED_VALUE"""),"#N/A")</f>
        <v>#N/A</v>
      </c>
      <c r="J59" s="182"/>
      <c r="K59" s="182"/>
      <c r="L59" s="182"/>
      <c r="M59" s="182" t="str">
        <f>IFERROR(__xludf.DUMMYFUNCTION("""COMPUTED_VALUE"""),"N/A")</f>
        <v>N/A</v>
      </c>
      <c r="N59" s="182"/>
      <c r="O59" s="182" t="str">
        <f>IFERROR(__xludf.DUMMYFUNCTION("""COMPUTED_VALUE"""),"N/A")</f>
        <v>N/A</v>
      </c>
      <c r="P59" s="182" t="str">
        <f>IFERROR(__xludf.DUMMYFUNCTION("""COMPUTED_VALUE"""),"BOB→B
Retail→A")</f>
        <v>BOB→B
Retail→A</v>
      </c>
      <c r="Q59" s="182" t="str">
        <f>IFERROR(__xludf.DUMMYFUNCTION("""COMPUTED_VALUE"""),"#N/A")</f>
        <v>#N/A</v>
      </c>
      <c r="R59" s="182"/>
      <c r="S59" s="182" t="str">
        <f>IFERROR(__xludf.DUMMYFUNCTION("""COMPUTED_VALUE"""),"#N/A")</f>
        <v>#N/A</v>
      </c>
      <c r="T59" s="182" t="str">
        <f>IFERROR(__xludf.DUMMYFUNCTION("""COMPUTED_VALUE"""),"#N/A")</f>
        <v>#N/A</v>
      </c>
      <c r="U59" s="182" t="str">
        <f>IFERROR(__xludf.DUMMYFUNCTION("""COMPUTED_VALUE"""),"#N/A")</f>
        <v>#N/A</v>
      </c>
      <c r="V59" s="182"/>
      <c r="W59" s="183" t="str">
        <f>IFERROR(__xludf.DUMMYFUNCTION("""COMPUTED_VALUE"""),"#NUM!")</f>
        <v>#NUM!</v>
      </c>
      <c r="X59" s="186">
        <f>IFERROR(__xludf.DUMMYFUNCTION("""COMPUTED_VALUE"""),45831.0)</f>
        <v>45831</v>
      </c>
      <c r="Y59" s="187">
        <f>IFERROR(__xludf.DUMMYFUNCTION("""COMPUTED_VALUE"""),45780.0)</f>
        <v>45780</v>
      </c>
      <c r="Z59" s="182" t="b">
        <f>IFERROR(__xludf.DUMMYFUNCTION("""COMPUTED_VALUE"""),FALSE)</f>
        <v>0</v>
      </c>
      <c r="AA59" s="187">
        <f>IFERROR(__xludf.DUMMYFUNCTION("""COMPUTED_VALUE"""),45780.0)</f>
        <v>45780</v>
      </c>
      <c r="AB59" s="182" t="b">
        <f>IFERROR(__xludf.DUMMYFUNCTION("""COMPUTED_VALUE"""),FALSE)</f>
        <v>0</v>
      </c>
      <c r="AC59" s="187">
        <f>IFERROR(__xludf.DUMMYFUNCTION("""COMPUTED_VALUE"""),45787.0)</f>
        <v>45787</v>
      </c>
      <c r="AD59" s="187">
        <f>IFERROR(__xludf.DUMMYFUNCTION("""COMPUTED_VALUE"""),45787.0)</f>
        <v>45787</v>
      </c>
      <c r="AE59" s="182"/>
      <c r="AF59" s="182"/>
      <c r="AG59" s="182"/>
      <c r="AH59" s="182"/>
      <c r="AI59" s="182"/>
      <c r="AJ59" s="187">
        <f>IFERROR(__xludf.DUMMYFUNCTION("""COMPUTED_VALUE"""),45793.0)</f>
        <v>45793</v>
      </c>
      <c r="AK59" s="187">
        <f>IFERROR(__xludf.DUMMYFUNCTION("""COMPUTED_VALUE"""),45801.0)</f>
        <v>45801</v>
      </c>
      <c r="AL59" s="182" t="b">
        <f>IFERROR(__xludf.DUMMYFUNCTION("""COMPUTED_VALUE"""),FALSE)</f>
        <v>0</v>
      </c>
      <c r="AM59" s="182" t="b">
        <f>IFERROR(__xludf.DUMMYFUNCTION("""COMPUTED_VALUE"""),FALSE)</f>
        <v>0</v>
      </c>
      <c r="AN59" s="187">
        <f>IFERROR(__xludf.DUMMYFUNCTION("""COMPUTED_VALUE"""),45801.0)</f>
        <v>45801</v>
      </c>
      <c r="AO59" s="182" t="b">
        <f>IFERROR(__xludf.DUMMYFUNCTION("""COMPUTED_VALUE"""),FALSE)</f>
        <v>0</v>
      </c>
      <c r="AP59" s="182"/>
      <c r="AQ59" s="182"/>
      <c r="AR59" s="187">
        <f>IFERROR(__xludf.DUMMYFUNCTION("""COMPUTED_VALUE"""),45801.0)</f>
        <v>45801</v>
      </c>
      <c r="AS59" s="182"/>
      <c r="AT59" s="182"/>
      <c r="AU59" s="182"/>
      <c r="AV59" s="187">
        <f>IFERROR(__xludf.DUMMYFUNCTION("""COMPUTED_VALUE"""),45801.0)</f>
        <v>45801</v>
      </c>
      <c r="AW59" s="182" t="b">
        <f>IFERROR(__xludf.DUMMYFUNCTION("""COMPUTED_VALUE"""),FALSE)</f>
        <v>0</v>
      </c>
      <c r="AX59" s="182"/>
      <c r="AY59" s="182"/>
      <c r="AZ59" s="187">
        <f>IFERROR(__xludf.DUMMYFUNCTION("""COMPUTED_VALUE"""),45827.0)</f>
        <v>45827</v>
      </c>
      <c r="BA59" s="182" t="b">
        <f>IFERROR(__xludf.DUMMYFUNCTION("""COMPUTED_VALUE"""),FALSE)</f>
        <v>0</v>
      </c>
      <c r="BB59" s="187">
        <f>IFERROR(__xludf.DUMMYFUNCTION("""COMPUTED_VALUE"""),45827.0)</f>
        <v>45827</v>
      </c>
    </row>
    <row r="60">
      <c r="A60" s="184" t="str">
        <f t="shared" si="1"/>
        <v>#VALUE!</v>
      </c>
      <c r="B60" s="69" t="str">
        <f t="shared" si="2"/>
        <v>#VALUE!</v>
      </c>
      <c r="C60" s="182" t="str">
        <f>IFERROR(__xludf.DUMMYFUNCTION("""COMPUTED_VALUE"""),"IN")</f>
        <v>IN</v>
      </c>
      <c r="D60" s="182" t="str">
        <f>IFERROR(__xludf.DUMMYFUNCTION("""COMPUTED_VALUE"""),"MP")</f>
        <v>MP</v>
      </c>
      <c r="E60" s="182" t="str">
        <f>IFERROR(__xludf.DUMMYFUNCTION("""COMPUTED_VALUE"""),"Pristine")</f>
        <v>Pristine</v>
      </c>
      <c r="F60" s="182" t="str">
        <f>IFERROR(__xludf.DUMMYFUNCTION("""COMPUTED_VALUE"""),"GA10313-IN")</f>
        <v>GA10313-IN</v>
      </c>
      <c r="G60" s="182" t="str">
        <f>IFERROR(__xludf.DUMMYFUNCTION("""COMPUTED_VALUE"""),"#N/A")</f>
        <v>#N/A</v>
      </c>
      <c r="H60" s="182" t="str">
        <f>IFERROR(__xludf.DUMMYFUNCTION("""COMPUTED_VALUE"""),"#N/A")</f>
        <v>#N/A</v>
      </c>
      <c r="I60" s="185" t="str">
        <f>IFERROR(__xludf.DUMMYFUNCTION("""COMPUTED_VALUE"""),"#N/A")</f>
        <v>#N/A</v>
      </c>
      <c r="J60" s="182"/>
      <c r="K60" s="182"/>
      <c r="L60" s="182"/>
      <c r="M60" s="182" t="str">
        <f>IFERROR(__xludf.DUMMYFUNCTION("""COMPUTED_VALUE"""),"N/A")</f>
        <v>N/A</v>
      </c>
      <c r="N60" s="182"/>
      <c r="O60" s="182" t="str">
        <f>IFERROR(__xludf.DUMMYFUNCTION("""COMPUTED_VALUE"""),"N/A")</f>
        <v>N/A</v>
      </c>
      <c r="P60" s="182" t="str">
        <f>IFERROR(__xludf.DUMMYFUNCTION("""COMPUTED_VALUE"""),"BOB→B
Retail→A")</f>
        <v>BOB→B
Retail→A</v>
      </c>
      <c r="Q60" s="182" t="str">
        <f>IFERROR(__xludf.DUMMYFUNCTION("""COMPUTED_VALUE"""),"#N/A")</f>
        <v>#N/A</v>
      </c>
      <c r="R60" s="182"/>
      <c r="S60" s="182" t="str">
        <f>IFERROR(__xludf.DUMMYFUNCTION("""COMPUTED_VALUE"""),"#N/A")</f>
        <v>#N/A</v>
      </c>
      <c r="T60" s="182" t="str">
        <f>IFERROR(__xludf.DUMMYFUNCTION("""COMPUTED_VALUE"""),"#N/A")</f>
        <v>#N/A</v>
      </c>
      <c r="U60" s="182" t="str">
        <f>IFERROR(__xludf.DUMMYFUNCTION("""COMPUTED_VALUE"""),"#N/A")</f>
        <v>#N/A</v>
      </c>
      <c r="V60" s="182"/>
      <c r="W60" s="183" t="str">
        <f>IFERROR(__xludf.DUMMYFUNCTION("""COMPUTED_VALUE"""),"#NUM!")</f>
        <v>#NUM!</v>
      </c>
      <c r="X60" s="186">
        <f>IFERROR(__xludf.DUMMYFUNCTION("""COMPUTED_VALUE"""),45831.0)</f>
        <v>45831</v>
      </c>
      <c r="Y60" s="187">
        <f>IFERROR(__xludf.DUMMYFUNCTION("""COMPUTED_VALUE"""),45780.0)</f>
        <v>45780</v>
      </c>
      <c r="Z60" s="182" t="b">
        <f>IFERROR(__xludf.DUMMYFUNCTION("""COMPUTED_VALUE"""),FALSE)</f>
        <v>0</v>
      </c>
      <c r="AA60" s="187">
        <f>IFERROR(__xludf.DUMMYFUNCTION("""COMPUTED_VALUE"""),45780.0)</f>
        <v>45780</v>
      </c>
      <c r="AB60" s="182" t="b">
        <f>IFERROR(__xludf.DUMMYFUNCTION("""COMPUTED_VALUE"""),FALSE)</f>
        <v>0</v>
      </c>
      <c r="AC60" s="187">
        <f>IFERROR(__xludf.DUMMYFUNCTION("""COMPUTED_VALUE"""),45787.0)</f>
        <v>45787</v>
      </c>
      <c r="AD60" s="187">
        <f>IFERROR(__xludf.DUMMYFUNCTION("""COMPUTED_VALUE"""),45787.0)</f>
        <v>45787</v>
      </c>
      <c r="AE60" s="182"/>
      <c r="AF60" s="182"/>
      <c r="AG60" s="182"/>
      <c r="AH60" s="182"/>
      <c r="AI60" s="182"/>
      <c r="AJ60" s="187">
        <f>IFERROR(__xludf.DUMMYFUNCTION("""COMPUTED_VALUE"""),45793.0)</f>
        <v>45793</v>
      </c>
      <c r="AK60" s="187">
        <f>IFERROR(__xludf.DUMMYFUNCTION("""COMPUTED_VALUE"""),45801.0)</f>
        <v>45801</v>
      </c>
      <c r="AL60" s="182" t="b">
        <f>IFERROR(__xludf.DUMMYFUNCTION("""COMPUTED_VALUE"""),FALSE)</f>
        <v>0</v>
      </c>
      <c r="AM60" s="182" t="b">
        <f>IFERROR(__xludf.DUMMYFUNCTION("""COMPUTED_VALUE"""),FALSE)</f>
        <v>0</v>
      </c>
      <c r="AN60" s="187">
        <f>IFERROR(__xludf.DUMMYFUNCTION("""COMPUTED_VALUE"""),45801.0)</f>
        <v>45801</v>
      </c>
      <c r="AO60" s="182" t="b">
        <f>IFERROR(__xludf.DUMMYFUNCTION("""COMPUTED_VALUE"""),FALSE)</f>
        <v>0</v>
      </c>
      <c r="AP60" s="182"/>
      <c r="AQ60" s="182"/>
      <c r="AR60" s="187">
        <f>IFERROR(__xludf.DUMMYFUNCTION("""COMPUTED_VALUE"""),45801.0)</f>
        <v>45801</v>
      </c>
      <c r="AS60" s="182"/>
      <c r="AT60" s="182"/>
      <c r="AU60" s="182"/>
      <c r="AV60" s="187">
        <f>IFERROR(__xludf.DUMMYFUNCTION("""COMPUTED_VALUE"""),45801.0)</f>
        <v>45801</v>
      </c>
      <c r="AW60" s="182" t="b">
        <f>IFERROR(__xludf.DUMMYFUNCTION("""COMPUTED_VALUE"""),FALSE)</f>
        <v>0</v>
      </c>
      <c r="AX60" s="182"/>
      <c r="AY60" s="182"/>
      <c r="AZ60" s="187">
        <f>IFERROR(__xludf.DUMMYFUNCTION("""COMPUTED_VALUE"""),45827.0)</f>
        <v>45827</v>
      </c>
      <c r="BA60" s="182" t="b">
        <f>IFERROR(__xludf.DUMMYFUNCTION("""COMPUTED_VALUE"""),FALSE)</f>
        <v>0</v>
      </c>
      <c r="BB60" s="187">
        <f>IFERROR(__xludf.DUMMYFUNCTION("""COMPUTED_VALUE"""),45827.0)</f>
        <v>45827</v>
      </c>
    </row>
    <row r="61">
      <c r="A61" s="184" t="str">
        <f t="shared" si="1"/>
        <v>G990-08530-12-B</v>
      </c>
      <c r="B61" s="69" t="str">
        <f t="shared" si="2"/>
        <v>G990-08495-00-A</v>
      </c>
      <c r="C61" s="182" t="str">
        <f>IFERROR(__xludf.DUMMYFUNCTION("""COMPUTED_VALUE"""),"IN")</f>
        <v>IN</v>
      </c>
      <c r="D61" s="182" t="str">
        <f>IFERROR(__xludf.DUMMYFUNCTION("""COMPUTED_VALUE"""),"MP")</f>
        <v>MP</v>
      </c>
      <c r="E61" s="182" t="str">
        <f>IFERROR(__xludf.DUMMYFUNCTION("""COMPUTED_VALUE"""),"Pristine")</f>
        <v>Pristine</v>
      </c>
      <c r="F61" s="182" t="str">
        <f>IFERROR(__xludf.DUMMYFUNCTION("""COMPUTED_VALUE"""),"GA09900-IN")</f>
        <v>GA09900-IN</v>
      </c>
      <c r="G61" s="182" t="str">
        <f>IFERROR(__xludf.DUMMYFUNCTION("""COMPUTED_VALUE"""),"GEHN3")</f>
        <v>GEHN3</v>
      </c>
      <c r="H61" s="182">
        <f>IFERROR(__xludf.DUMMYFUNCTION("""COMPUTED_VALUE"""),8.40353925403E11)</f>
        <v>840353925403</v>
      </c>
      <c r="I61" s="185" t="str">
        <f>IFERROR(__xludf.DUMMYFUNCTION("""COMPUTED_VALUE"""),"0840353925403")</f>
        <v>0840353925403</v>
      </c>
      <c r="J61" s="182"/>
      <c r="K61" s="182" t="str">
        <f>IFERROR(__xludf.DUMMYFUNCTION("""COMPUTED_VALUE"""),"IN Master Carton Label
(VN factory used)")</f>
        <v>IN Master Carton Label
(VN factory used)</v>
      </c>
      <c r="L61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61" s="182" t="str">
        <f>IFERROR(__xludf.DUMMYFUNCTION("""COMPUTED_VALUE"""),"G990-08530-12-02
G990-08530-12-B")</f>
        <v>G990-08530-12-02
G990-08530-12-B</v>
      </c>
      <c r="N61" s="188" t="str">
        <f>IFERROR(__xludf.DUMMYFUNCTION("""COMPUTED_VALUE"""),"G952-05415-04-A")</f>
        <v>G952-05415-04-A</v>
      </c>
      <c r="O61" s="182" t="str">
        <f>IFERROR(__xludf.DUMMYFUNCTION("""COMPUTED_VALUE"""),"G990-08495-00-01
G990-08495-00-A")</f>
        <v>G990-08495-00-01
G990-08495-00-A</v>
      </c>
      <c r="P61" s="182" t="str">
        <f>IFERROR(__xludf.DUMMYFUNCTION("""COMPUTED_VALUE"""),"BOB→B
Retail→A")</f>
        <v>BOB→B
Retail→A</v>
      </c>
      <c r="Q61" s="182" t="str">
        <f>IFERROR(__xludf.DUMMYFUNCTION("""COMPUTED_VALUE"""),"256GB")</f>
        <v>256GB</v>
      </c>
      <c r="R61" s="182" t="str">
        <f>IFERROR(__xludf.DUMMYFUNCTION("""COMPUTED_VALUE"""),"Obsidian")</f>
        <v>Obsidian</v>
      </c>
      <c r="S61" s="182" t="str">
        <f>IFERROR(__xludf.DUMMYFUNCTION("""COMPUTED_VALUE"""),"Midnight")</f>
        <v>Midnight</v>
      </c>
      <c r="T61" s="182" t="str">
        <f>IFERROR(__xludf.DUMMYFUNCTION("""COMPUTED_VALUE"""),"IN")</f>
        <v>IN</v>
      </c>
      <c r="U61" s="182" t="str">
        <f>IFERROR(__xludf.DUMMYFUNCTION("""COMPUTED_VALUE"""),"SKU,CLR1, BETTER, SUB6, IN, BZ5")</f>
        <v>SKU,CLR1, BETTER, SUB6, IN, BZ5</v>
      </c>
      <c r="V61" s="182"/>
      <c r="W61" s="183" t="str">
        <f>IFERROR(__xludf.DUMMYFUNCTION("""COMPUTED_VALUE"""),"#NUM!")</f>
        <v>#NUM!</v>
      </c>
      <c r="X61" s="186">
        <f>IFERROR(__xludf.DUMMYFUNCTION("""COMPUTED_VALUE"""),45831.0)</f>
        <v>45831</v>
      </c>
      <c r="Y61" s="187">
        <f>IFERROR(__xludf.DUMMYFUNCTION("""COMPUTED_VALUE"""),45780.0)</f>
        <v>45780</v>
      </c>
      <c r="Z61" s="182" t="b">
        <f>IFERROR(__xludf.DUMMYFUNCTION("""COMPUTED_VALUE"""),TRUE)</f>
        <v>1</v>
      </c>
      <c r="AA61" s="187">
        <f>IFERROR(__xludf.DUMMYFUNCTION("""COMPUTED_VALUE"""),45780.0)</f>
        <v>45780</v>
      </c>
      <c r="AB61" s="182" t="b">
        <f>IFERROR(__xludf.DUMMYFUNCTION("""COMPUTED_VALUE"""),FALSE)</f>
        <v>0</v>
      </c>
      <c r="AC61" s="187">
        <f>IFERROR(__xludf.DUMMYFUNCTION("""COMPUTED_VALUE"""),45787.0)</f>
        <v>45787</v>
      </c>
      <c r="AD61" s="187">
        <f>IFERROR(__xludf.DUMMYFUNCTION("""COMPUTED_VALUE"""),45787.0)</f>
        <v>45787</v>
      </c>
      <c r="AE61" s="188" t="str">
        <f>IFERROR(__xludf.DUMMYFUNCTION("""COMPUTED_VALUE"""),"GA09900-IN
GA09900-IN RevA")</f>
        <v>GA09900-IN
GA09900-IN RevA</v>
      </c>
      <c r="AF61" s="188" t="str">
        <f>IFERROR(__xludf.DUMMYFUNCTION("""COMPUTED_VALUE"""),"GA09900-IN")</f>
        <v>GA09900-IN</v>
      </c>
      <c r="AG61" s="188" t="str">
        <f>IFERROR(__xludf.DUMMYFUNCTION("""COMPUTED_VALUE"""),"GA09900-IN")</f>
        <v>GA09900-IN</v>
      </c>
      <c r="AH61" s="182" t="str">
        <f>IFERROR(__xludf.DUMMYFUNCTION("""COMPUTED_VALUE"""),"GA09900-IN
GA09900-IN RevB")</f>
        <v>GA09900-IN
GA09900-IN RevB</v>
      </c>
      <c r="AI61" s="188" t="str">
        <f>IFERROR(__xludf.DUMMYFUNCTION("""COMPUTED_VALUE"""),"GA09900-IN")</f>
        <v>GA09900-IN</v>
      </c>
      <c r="AJ61" s="187">
        <f>IFERROR(__xludf.DUMMYFUNCTION("""COMPUTED_VALUE"""),45793.0)</f>
        <v>45793</v>
      </c>
      <c r="AK61" s="187">
        <f>IFERROR(__xludf.DUMMYFUNCTION("""COMPUTED_VALUE"""),45801.0)</f>
        <v>45801</v>
      </c>
      <c r="AL61" s="182" t="b">
        <f>IFERROR(__xludf.DUMMYFUNCTION("""COMPUTED_VALUE"""),TRUE)</f>
        <v>1</v>
      </c>
      <c r="AM61" s="182" t="b">
        <f>IFERROR(__xludf.DUMMYFUNCTION("""COMPUTED_VALUE"""),TRUE)</f>
        <v>1</v>
      </c>
      <c r="AN61" s="187">
        <f>IFERROR(__xludf.DUMMYFUNCTION("""COMPUTED_VALUE"""),45801.0)</f>
        <v>45801</v>
      </c>
      <c r="AO61" s="182" t="b">
        <f>IFERROR(__xludf.DUMMYFUNCTION("""COMPUTED_VALUE"""),TRUE)</f>
        <v>1</v>
      </c>
      <c r="AP61" s="182" t="str">
        <f>IFERROR(__xludf.DUMMYFUNCTION("""COMPUTED_VALUE"""),"N")</f>
        <v>N</v>
      </c>
      <c r="AQ61" s="182"/>
      <c r="AR61" s="187">
        <f>IFERROR(__xludf.DUMMYFUNCTION("""COMPUTED_VALUE"""),45801.0)</f>
        <v>45801</v>
      </c>
      <c r="AS61" s="182" t="b">
        <f>IFERROR(__xludf.DUMMYFUNCTION("""COMPUTED_VALUE"""),FALSE)</f>
        <v>0</v>
      </c>
      <c r="AT61" s="182"/>
      <c r="AU61" s="182"/>
      <c r="AV61" s="187">
        <f>IFERROR(__xludf.DUMMYFUNCTION("""COMPUTED_VALUE"""),45801.0)</f>
        <v>45801</v>
      </c>
      <c r="AW61" s="182" t="b">
        <f>IFERROR(__xludf.DUMMYFUNCTION("""COMPUTED_VALUE"""),TRUE)</f>
        <v>1</v>
      </c>
      <c r="AX61" s="182" t="str">
        <f>IFERROR(__xludf.DUMMYFUNCTION("""COMPUTED_VALUE"""),"N")</f>
        <v>N</v>
      </c>
      <c r="AY61" s="182"/>
      <c r="AZ61" s="187">
        <f>IFERROR(__xludf.DUMMYFUNCTION("""COMPUTED_VALUE"""),45827.0)</f>
        <v>45827</v>
      </c>
      <c r="BA61" s="182" t="b">
        <f>IFERROR(__xludf.DUMMYFUNCTION("""COMPUTED_VALUE"""),FALSE)</f>
        <v>0</v>
      </c>
      <c r="BB61" s="187">
        <f>IFERROR(__xludf.DUMMYFUNCTION("""COMPUTED_VALUE"""),45827.0)</f>
        <v>45827</v>
      </c>
    </row>
    <row r="62">
      <c r="A62" s="184" t="str">
        <f t="shared" si="1"/>
        <v>G990-08530-22-B</v>
      </c>
      <c r="B62" s="69" t="str">
        <f t="shared" si="2"/>
        <v>G990-08495-00-A</v>
      </c>
      <c r="C62" s="182" t="str">
        <f>IFERROR(__xludf.DUMMYFUNCTION("""COMPUTED_VALUE"""),"IN")</f>
        <v>IN</v>
      </c>
      <c r="D62" s="182" t="str">
        <f>IFERROR(__xludf.DUMMYFUNCTION("""COMPUTED_VALUE"""),"MP")</f>
        <v>MP</v>
      </c>
      <c r="E62" s="182" t="str">
        <f>IFERROR(__xludf.DUMMYFUNCTION("""COMPUTED_VALUE"""),"Pristine")</f>
        <v>Pristine</v>
      </c>
      <c r="F62" s="182" t="str">
        <f>IFERROR(__xludf.DUMMYFUNCTION("""COMPUTED_VALUE"""),"GA10314-IN")</f>
        <v>GA10314-IN</v>
      </c>
      <c r="G62" s="182" t="str">
        <f>IFERROR(__xludf.DUMMYFUNCTION("""COMPUTED_VALUE"""),"GEHN3")</f>
        <v>GEHN3</v>
      </c>
      <c r="H62" s="182">
        <f>IFERROR(__xludf.DUMMYFUNCTION("""COMPUTED_VALUE"""),8.40353925502E11)</f>
        <v>840353925502</v>
      </c>
      <c r="I62" s="185" t="str">
        <f>IFERROR(__xludf.DUMMYFUNCTION("""COMPUTED_VALUE"""),"0840353925502")</f>
        <v>0840353925502</v>
      </c>
      <c r="J62" s="182"/>
      <c r="K62" s="182" t="str">
        <f>IFERROR(__xludf.DUMMYFUNCTION("""COMPUTED_VALUE"""),"IN Master Carton Label
(VN factory used)")</f>
        <v>IN Master Carton Label
(VN factory used)</v>
      </c>
      <c r="L62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62" s="182" t="str">
        <f>IFERROR(__xludf.DUMMYFUNCTION("""COMPUTED_VALUE"""),"G990-08530-22-02
G990-08530-22-B")</f>
        <v>G990-08530-22-02
G990-08530-22-B</v>
      </c>
      <c r="N62" s="188" t="str">
        <f>IFERROR(__xludf.DUMMYFUNCTION("""COMPUTED_VALUE"""),"G952-05415-04-A")</f>
        <v>G952-05415-04-A</v>
      </c>
      <c r="O62" s="182" t="str">
        <f>IFERROR(__xludf.DUMMYFUNCTION("""COMPUTED_VALUE"""),"G990-08495-00-01
G990-08495-00-A")</f>
        <v>G990-08495-00-01
G990-08495-00-A</v>
      </c>
      <c r="P62" s="182" t="str">
        <f>IFERROR(__xludf.DUMMYFUNCTION("""COMPUTED_VALUE"""),"BOB→B
Retail→A")</f>
        <v>BOB→B
Retail→A</v>
      </c>
      <c r="Q62" s="182" t="str">
        <f>IFERROR(__xludf.DUMMYFUNCTION("""COMPUTED_VALUE"""),"256GB")</f>
        <v>256GB</v>
      </c>
      <c r="R62" s="182" t="str">
        <f>IFERROR(__xludf.DUMMYFUNCTION("""COMPUTED_VALUE"""),"Porcelain")</f>
        <v>Porcelain</v>
      </c>
      <c r="S62" s="182" t="str">
        <f>IFERROR(__xludf.DUMMYFUNCTION("""COMPUTED_VALUE"""),"Light Porcelain")</f>
        <v>Light Porcelain</v>
      </c>
      <c r="T62" s="182" t="str">
        <f>IFERROR(__xludf.DUMMYFUNCTION("""COMPUTED_VALUE"""),"IN")</f>
        <v>IN</v>
      </c>
      <c r="U62" s="182" t="str">
        <f>IFERROR(__xludf.DUMMYFUNCTION("""COMPUTED_VALUE"""),"SKU,CLR2, BETTER, SUB6, IN, BZ5")</f>
        <v>SKU,CLR2, BETTER, SUB6, IN, BZ5</v>
      </c>
      <c r="V62" s="182"/>
      <c r="W62" s="183" t="str">
        <f>IFERROR(__xludf.DUMMYFUNCTION("""COMPUTED_VALUE"""),"#NUM!")</f>
        <v>#NUM!</v>
      </c>
      <c r="X62" s="186">
        <f>IFERROR(__xludf.DUMMYFUNCTION("""COMPUTED_VALUE"""),45831.0)</f>
        <v>45831</v>
      </c>
      <c r="Y62" s="187">
        <f>IFERROR(__xludf.DUMMYFUNCTION("""COMPUTED_VALUE"""),45780.0)</f>
        <v>45780</v>
      </c>
      <c r="Z62" s="182" t="b">
        <f>IFERROR(__xludf.DUMMYFUNCTION("""COMPUTED_VALUE"""),TRUE)</f>
        <v>1</v>
      </c>
      <c r="AA62" s="187">
        <f>IFERROR(__xludf.DUMMYFUNCTION("""COMPUTED_VALUE"""),45780.0)</f>
        <v>45780</v>
      </c>
      <c r="AB62" s="182" t="b">
        <f>IFERROR(__xludf.DUMMYFUNCTION("""COMPUTED_VALUE"""),FALSE)</f>
        <v>0</v>
      </c>
      <c r="AC62" s="187">
        <f>IFERROR(__xludf.DUMMYFUNCTION("""COMPUTED_VALUE"""),45787.0)</f>
        <v>45787</v>
      </c>
      <c r="AD62" s="187">
        <f>IFERROR(__xludf.DUMMYFUNCTION("""COMPUTED_VALUE"""),45787.0)</f>
        <v>45787</v>
      </c>
      <c r="AE62" s="182" t="str">
        <f>IFERROR(__xludf.DUMMYFUNCTION("""COMPUTED_VALUE"""),"GA10314-IN
GA10314-IN RevA")</f>
        <v>GA10314-IN
GA10314-IN RevA</v>
      </c>
      <c r="AF62" s="188" t="str">
        <f>IFERROR(__xludf.DUMMYFUNCTION("""COMPUTED_VALUE"""),"GA10314-IN")</f>
        <v>GA10314-IN</v>
      </c>
      <c r="AG62" s="188" t="str">
        <f>IFERROR(__xludf.DUMMYFUNCTION("""COMPUTED_VALUE"""),"GA10314-IN")</f>
        <v>GA10314-IN</v>
      </c>
      <c r="AH62" s="182" t="str">
        <f>IFERROR(__xludf.DUMMYFUNCTION("""COMPUTED_VALUE"""),"GA10314-IN
GA10314-IN RevB")</f>
        <v>GA10314-IN
GA10314-IN RevB</v>
      </c>
      <c r="AI62" s="188" t="str">
        <f>IFERROR(__xludf.DUMMYFUNCTION("""COMPUTED_VALUE"""),"GA10314-IN")</f>
        <v>GA10314-IN</v>
      </c>
      <c r="AJ62" s="187">
        <f>IFERROR(__xludf.DUMMYFUNCTION("""COMPUTED_VALUE"""),45793.0)</f>
        <v>45793</v>
      </c>
      <c r="AK62" s="187">
        <f>IFERROR(__xludf.DUMMYFUNCTION("""COMPUTED_VALUE"""),45801.0)</f>
        <v>45801</v>
      </c>
      <c r="AL62" s="182" t="b">
        <f>IFERROR(__xludf.DUMMYFUNCTION("""COMPUTED_VALUE"""),TRUE)</f>
        <v>1</v>
      </c>
      <c r="AM62" s="182" t="b">
        <f>IFERROR(__xludf.DUMMYFUNCTION("""COMPUTED_VALUE"""),TRUE)</f>
        <v>1</v>
      </c>
      <c r="AN62" s="187">
        <f>IFERROR(__xludf.DUMMYFUNCTION("""COMPUTED_VALUE"""),45801.0)</f>
        <v>45801</v>
      </c>
      <c r="AO62" s="182" t="b">
        <f>IFERROR(__xludf.DUMMYFUNCTION("""COMPUTED_VALUE"""),TRUE)</f>
        <v>1</v>
      </c>
      <c r="AP62" s="182" t="str">
        <f>IFERROR(__xludf.DUMMYFUNCTION("""COMPUTED_VALUE"""),"N")</f>
        <v>N</v>
      </c>
      <c r="AQ62" s="182"/>
      <c r="AR62" s="187">
        <f>IFERROR(__xludf.DUMMYFUNCTION("""COMPUTED_VALUE"""),45801.0)</f>
        <v>45801</v>
      </c>
      <c r="AS62" s="182" t="b">
        <f>IFERROR(__xludf.DUMMYFUNCTION("""COMPUTED_VALUE"""),FALSE)</f>
        <v>0</v>
      </c>
      <c r="AT62" s="182"/>
      <c r="AU62" s="182"/>
      <c r="AV62" s="187">
        <f>IFERROR(__xludf.DUMMYFUNCTION("""COMPUTED_VALUE"""),45801.0)</f>
        <v>45801</v>
      </c>
      <c r="AW62" s="182" t="b">
        <f>IFERROR(__xludf.DUMMYFUNCTION("""COMPUTED_VALUE"""),TRUE)</f>
        <v>1</v>
      </c>
      <c r="AX62" s="182" t="str">
        <f>IFERROR(__xludf.DUMMYFUNCTION("""COMPUTED_VALUE"""),"N")</f>
        <v>N</v>
      </c>
      <c r="AY62" s="182"/>
      <c r="AZ62" s="187">
        <f>IFERROR(__xludf.DUMMYFUNCTION("""COMPUTED_VALUE"""),45827.0)</f>
        <v>45827</v>
      </c>
      <c r="BA62" s="182" t="b">
        <f>IFERROR(__xludf.DUMMYFUNCTION("""COMPUTED_VALUE"""),FALSE)</f>
        <v>0</v>
      </c>
      <c r="BB62" s="187">
        <f>IFERROR(__xludf.DUMMYFUNCTION("""COMPUTED_VALUE"""),45827.0)</f>
        <v>45827</v>
      </c>
    </row>
    <row r="63">
      <c r="A63" s="184" t="str">
        <f t="shared" si="1"/>
        <v>G990-08530-32-B</v>
      </c>
      <c r="B63" s="69" t="str">
        <f t="shared" si="2"/>
        <v>G990-08495-00-A</v>
      </c>
      <c r="C63" s="182" t="str">
        <f>IFERROR(__xludf.DUMMYFUNCTION("""COMPUTED_VALUE"""),"IN")</f>
        <v>IN</v>
      </c>
      <c r="D63" s="182" t="str">
        <f>IFERROR(__xludf.DUMMYFUNCTION("""COMPUTED_VALUE"""),"MP")</f>
        <v>MP</v>
      </c>
      <c r="E63" s="182" t="str">
        <f>IFERROR(__xludf.DUMMYFUNCTION("""COMPUTED_VALUE"""),"Pristine")</f>
        <v>Pristine</v>
      </c>
      <c r="F63" s="182" t="str">
        <f>IFERROR(__xludf.DUMMYFUNCTION("""COMPUTED_VALUE"""),"GA10315-IN")</f>
        <v>GA10315-IN</v>
      </c>
      <c r="G63" s="182" t="str">
        <f>IFERROR(__xludf.DUMMYFUNCTION("""COMPUTED_VALUE"""),"GEHN3")</f>
        <v>GEHN3</v>
      </c>
      <c r="H63" s="182">
        <f>IFERROR(__xludf.DUMMYFUNCTION("""COMPUTED_VALUE"""),8.40353925434E11)</f>
        <v>840353925434</v>
      </c>
      <c r="I63" s="185" t="str">
        <f>IFERROR(__xludf.DUMMYFUNCTION("""COMPUTED_VALUE"""),"0840353925434")</f>
        <v>0840353925434</v>
      </c>
      <c r="J63" s="182"/>
      <c r="K63" s="182" t="str">
        <f>IFERROR(__xludf.DUMMYFUNCTION("""COMPUTED_VALUE"""),"IN Master Carton Label
(VN factory used)")</f>
        <v>IN Master Carton Label
(VN factory used)</v>
      </c>
      <c r="L63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63" s="182" t="str">
        <f>IFERROR(__xludf.DUMMYFUNCTION("""COMPUTED_VALUE"""),"G990-08530-32-02
G990-08530-32-B")</f>
        <v>G990-08530-32-02
G990-08530-32-B</v>
      </c>
      <c r="N63" s="188" t="str">
        <f>IFERROR(__xludf.DUMMYFUNCTION("""COMPUTED_VALUE"""),"G952-05415-04-A")</f>
        <v>G952-05415-04-A</v>
      </c>
      <c r="O63" s="182" t="str">
        <f>IFERROR(__xludf.DUMMYFUNCTION("""COMPUTED_VALUE"""),"G990-08495-00-01
G990-08495-00-A")</f>
        <v>G990-08495-00-01
G990-08495-00-A</v>
      </c>
      <c r="P63" s="182" t="str">
        <f>IFERROR(__xludf.DUMMYFUNCTION("""COMPUTED_VALUE"""),"BOB→B
Retail→A")</f>
        <v>BOB→B
Retail→A</v>
      </c>
      <c r="Q63" s="182" t="str">
        <f>IFERROR(__xludf.DUMMYFUNCTION("""COMPUTED_VALUE"""),"256GB")</f>
        <v>256GB</v>
      </c>
      <c r="R63" s="182" t="str">
        <f>IFERROR(__xludf.DUMMYFUNCTION("""COMPUTED_VALUE"""),"Moonstone")</f>
        <v>Moonstone</v>
      </c>
      <c r="S63" s="182" t="str">
        <f>IFERROR(__xludf.DUMMYFUNCTION("""COMPUTED_VALUE"""),"Sterling")</f>
        <v>Sterling</v>
      </c>
      <c r="T63" s="182" t="str">
        <f>IFERROR(__xludf.DUMMYFUNCTION("""COMPUTED_VALUE"""),"IN")</f>
        <v>IN</v>
      </c>
      <c r="U63" s="182" t="str">
        <f>IFERROR(__xludf.DUMMYFUNCTION("""COMPUTED_VALUE"""),"SKU,CLR3, BETTER, SUB6, IN, BZ5")</f>
        <v>SKU,CLR3, BETTER, SUB6, IN, BZ5</v>
      </c>
      <c r="V63" s="182"/>
      <c r="W63" s="183" t="str">
        <f>IFERROR(__xludf.DUMMYFUNCTION("""COMPUTED_VALUE"""),"#NUM!")</f>
        <v>#NUM!</v>
      </c>
      <c r="X63" s="186">
        <f>IFERROR(__xludf.DUMMYFUNCTION("""COMPUTED_VALUE"""),45831.0)</f>
        <v>45831</v>
      </c>
      <c r="Y63" s="187">
        <f>IFERROR(__xludf.DUMMYFUNCTION("""COMPUTED_VALUE"""),45780.0)</f>
        <v>45780</v>
      </c>
      <c r="Z63" s="182" t="b">
        <f>IFERROR(__xludf.DUMMYFUNCTION("""COMPUTED_VALUE"""),TRUE)</f>
        <v>1</v>
      </c>
      <c r="AA63" s="187">
        <f>IFERROR(__xludf.DUMMYFUNCTION("""COMPUTED_VALUE"""),45780.0)</f>
        <v>45780</v>
      </c>
      <c r="AB63" s="182" t="b">
        <f>IFERROR(__xludf.DUMMYFUNCTION("""COMPUTED_VALUE"""),FALSE)</f>
        <v>0</v>
      </c>
      <c r="AC63" s="187">
        <f>IFERROR(__xludf.DUMMYFUNCTION("""COMPUTED_VALUE"""),45787.0)</f>
        <v>45787</v>
      </c>
      <c r="AD63" s="187">
        <f>IFERROR(__xludf.DUMMYFUNCTION("""COMPUTED_VALUE"""),45787.0)</f>
        <v>45787</v>
      </c>
      <c r="AE63" s="182" t="str">
        <f>IFERROR(__xludf.DUMMYFUNCTION("""COMPUTED_VALUE"""),"GA10315-IN
GA10315-IN RevA")</f>
        <v>GA10315-IN
GA10315-IN RevA</v>
      </c>
      <c r="AF63" s="188" t="str">
        <f>IFERROR(__xludf.DUMMYFUNCTION("""COMPUTED_VALUE"""),"GA10315-IN")</f>
        <v>GA10315-IN</v>
      </c>
      <c r="AG63" s="188" t="str">
        <f>IFERROR(__xludf.DUMMYFUNCTION("""COMPUTED_VALUE"""),"GA10315-IN")</f>
        <v>GA10315-IN</v>
      </c>
      <c r="AH63" s="182" t="str">
        <f>IFERROR(__xludf.DUMMYFUNCTION("""COMPUTED_VALUE"""),"GA10315-IN
 GA10315-IN RevB")</f>
        <v>GA10315-IN
 GA10315-IN RevB</v>
      </c>
      <c r="AI63" s="188" t="str">
        <f>IFERROR(__xludf.DUMMYFUNCTION("""COMPUTED_VALUE"""),"GA10315-IN")</f>
        <v>GA10315-IN</v>
      </c>
      <c r="AJ63" s="187">
        <f>IFERROR(__xludf.DUMMYFUNCTION("""COMPUTED_VALUE"""),45793.0)</f>
        <v>45793</v>
      </c>
      <c r="AK63" s="187">
        <f>IFERROR(__xludf.DUMMYFUNCTION("""COMPUTED_VALUE"""),45801.0)</f>
        <v>45801</v>
      </c>
      <c r="AL63" s="182" t="b">
        <f>IFERROR(__xludf.DUMMYFUNCTION("""COMPUTED_VALUE"""),TRUE)</f>
        <v>1</v>
      </c>
      <c r="AM63" s="182" t="b">
        <f>IFERROR(__xludf.DUMMYFUNCTION("""COMPUTED_VALUE"""),TRUE)</f>
        <v>1</v>
      </c>
      <c r="AN63" s="187">
        <f>IFERROR(__xludf.DUMMYFUNCTION("""COMPUTED_VALUE"""),45801.0)</f>
        <v>45801</v>
      </c>
      <c r="AO63" s="182" t="b">
        <f>IFERROR(__xludf.DUMMYFUNCTION("""COMPUTED_VALUE"""),TRUE)</f>
        <v>1</v>
      </c>
      <c r="AP63" s="182" t="str">
        <f>IFERROR(__xludf.DUMMYFUNCTION("""COMPUTED_VALUE"""),"Y")</f>
        <v>Y</v>
      </c>
      <c r="AQ63" s="182"/>
      <c r="AR63" s="187">
        <f>IFERROR(__xludf.DUMMYFUNCTION("""COMPUTED_VALUE"""),45801.0)</f>
        <v>45801</v>
      </c>
      <c r="AS63" s="182" t="b">
        <f>IFERROR(__xludf.DUMMYFUNCTION("""COMPUTED_VALUE"""),FALSE)</f>
        <v>0</v>
      </c>
      <c r="AT63" s="182"/>
      <c r="AU63" s="182"/>
      <c r="AV63" s="187">
        <f>IFERROR(__xludf.DUMMYFUNCTION("""COMPUTED_VALUE"""),45801.0)</f>
        <v>45801</v>
      </c>
      <c r="AW63" s="182" t="b">
        <f>IFERROR(__xludf.DUMMYFUNCTION("""COMPUTED_VALUE"""),TRUE)</f>
        <v>1</v>
      </c>
      <c r="AX63" s="182" t="str">
        <f>IFERROR(__xludf.DUMMYFUNCTION("""COMPUTED_VALUE"""),"N")</f>
        <v>N</v>
      </c>
      <c r="AY63" s="182"/>
      <c r="AZ63" s="187">
        <f>IFERROR(__xludf.DUMMYFUNCTION("""COMPUTED_VALUE"""),45827.0)</f>
        <v>45827</v>
      </c>
      <c r="BA63" s="182" t="b">
        <f>IFERROR(__xludf.DUMMYFUNCTION("""COMPUTED_VALUE"""),FALSE)</f>
        <v>0</v>
      </c>
      <c r="BB63" s="187">
        <f>IFERROR(__xludf.DUMMYFUNCTION("""COMPUTED_VALUE"""),45827.0)</f>
        <v>45827</v>
      </c>
    </row>
    <row r="64">
      <c r="A64" s="184" t="str">
        <f t="shared" si="1"/>
        <v>G990-08530-42-B</v>
      </c>
      <c r="B64" s="69" t="str">
        <f t="shared" si="2"/>
        <v>G990-08495-00-A</v>
      </c>
      <c r="C64" s="182" t="str">
        <f>IFERROR(__xludf.DUMMYFUNCTION("""COMPUTED_VALUE"""),"IN")</f>
        <v>IN</v>
      </c>
      <c r="D64" s="182" t="str">
        <f>IFERROR(__xludf.DUMMYFUNCTION("""COMPUTED_VALUE"""),"MP")</f>
        <v>MP</v>
      </c>
      <c r="E64" s="182" t="str">
        <f>IFERROR(__xludf.DUMMYFUNCTION("""COMPUTED_VALUE"""),"Pristine")</f>
        <v>Pristine</v>
      </c>
      <c r="F64" s="182" t="str">
        <f>IFERROR(__xludf.DUMMYFUNCTION("""COMPUTED_VALUE"""),"GA10316-IN")</f>
        <v>GA10316-IN</v>
      </c>
      <c r="G64" s="182" t="str">
        <f>IFERROR(__xludf.DUMMYFUNCTION("""COMPUTED_VALUE"""),"GEHN3")</f>
        <v>GEHN3</v>
      </c>
      <c r="H64" s="182">
        <f>IFERROR(__xludf.DUMMYFUNCTION("""COMPUTED_VALUE"""),8.40353925472E11)</f>
        <v>840353925472</v>
      </c>
      <c r="I64" s="185" t="str">
        <f>IFERROR(__xludf.DUMMYFUNCTION("""COMPUTED_VALUE"""),"0840353925472")</f>
        <v>0840353925472</v>
      </c>
      <c r="J64" s="182"/>
      <c r="K64" s="182" t="str">
        <f>IFERROR(__xludf.DUMMYFUNCTION("""COMPUTED_VALUE"""),"IN Master Carton Label
(VN factory used)")</f>
        <v>IN Master Carton Label
(VN factory used)</v>
      </c>
      <c r="L64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64" s="182" t="str">
        <f>IFERROR(__xludf.DUMMYFUNCTION("""COMPUTED_VALUE"""),"G990-08530-42-02
G990-08530-42-B")</f>
        <v>G990-08530-42-02
G990-08530-42-B</v>
      </c>
      <c r="N64" s="188" t="str">
        <f>IFERROR(__xludf.DUMMYFUNCTION("""COMPUTED_VALUE"""),"G952-05415-04-A")</f>
        <v>G952-05415-04-A</v>
      </c>
      <c r="O64" s="182" t="str">
        <f>IFERROR(__xludf.DUMMYFUNCTION("""COMPUTED_VALUE"""),"G990-08495-00-01
G990-08495-00-A")</f>
        <v>G990-08495-00-01
G990-08495-00-A</v>
      </c>
      <c r="P64" s="182" t="str">
        <f>IFERROR(__xludf.DUMMYFUNCTION("""COMPUTED_VALUE"""),"BOB→B
Retail→A")</f>
        <v>BOB→B
Retail→A</v>
      </c>
      <c r="Q64" s="182" t="str">
        <f>IFERROR(__xludf.DUMMYFUNCTION("""COMPUTED_VALUE"""),"256GB")</f>
        <v>256GB</v>
      </c>
      <c r="R64" s="182" t="str">
        <f>IFERROR(__xludf.DUMMYFUNCTION("""COMPUTED_VALUE"""),"Jade")</f>
        <v>Jade</v>
      </c>
      <c r="S64" s="182" t="str">
        <f>IFERROR(__xludf.DUMMYFUNCTION("""COMPUTED_VALUE"""),"Smokey Green")</f>
        <v>Smokey Green</v>
      </c>
      <c r="T64" s="182" t="str">
        <f>IFERROR(__xludf.DUMMYFUNCTION("""COMPUTED_VALUE"""),"IN")</f>
        <v>IN</v>
      </c>
      <c r="U64" s="182" t="str">
        <f>IFERROR(__xludf.DUMMYFUNCTION("""COMPUTED_VALUE"""),"SKU,CLR4, BETTER, SUB6, IN, BZ5")</f>
        <v>SKU,CLR4, BETTER, SUB6, IN, BZ5</v>
      </c>
      <c r="V64" s="182"/>
      <c r="W64" s="183" t="str">
        <f>IFERROR(__xludf.DUMMYFUNCTION("""COMPUTED_VALUE"""),"#NUM!")</f>
        <v>#NUM!</v>
      </c>
      <c r="X64" s="186">
        <f>IFERROR(__xludf.DUMMYFUNCTION("""COMPUTED_VALUE"""),45831.0)</f>
        <v>45831</v>
      </c>
      <c r="Y64" s="187">
        <f>IFERROR(__xludf.DUMMYFUNCTION("""COMPUTED_VALUE"""),45780.0)</f>
        <v>45780</v>
      </c>
      <c r="Z64" s="182" t="b">
        <f>IFERROR(__xludf.DUMMYFUNCTION("""COMPUTED_VALUE"""),TRUE)</f>
        <v>1</v>
      </c>
      <c r="AA64" s="187">
        <f>IFERROR(__xludf.DUMMYFUNCTION("""COMPUTED_VALUE"""),45780.0)</f>
        <v>45780</v>
      </c>
      <c r="AB64" s="182" t="b">
        <f>IFERROR(__xludf.DUMMYFUNCTION("""COMPUTED_VALUE"""),FALSE)</f>
        <v>0</v>
      </c>
      <c r="AC64" s="187">
        <f>IFERROR(__xludf.DUMMYFUNCTION("""COMPUTED_VALUE"""),45787.0)</f>
        <v>45787</v>
      </c>
      <c r="AD64" s="187">
        <f>IFERROR(__xludf.DUMMYFUNCTION("""COMPUTED_VALUE"""),45787.0)</f>
        <v>45787</v>
      </c>
      <c r="AE64" s="182" t="str">
        <f>IFERROR(__xludf.DUMMYFUNCTION("""COMPUTED_VALUE"""),"GA10316-IN
GA10316-IN RevA")</f>
        <v>GA10316-IN
GA10316-IN RevA</v>
      </c>
      <c r="AF64" s="188" t="str">
        <f>IFERROR(__xludf.DUMMYFUNCTION("""COMPUTED_VALUE"""),"GA10316-IN")</f>
        <v>GA10316-IN</v>
      </c>
      <c r="AG64" s="188" t="str">
        <f>IFERROR(__xludf.DUMMYFUNCTION("""COMPUTED_VALUE"""),"GA10316-IN")</f>
        <v>GA10316-IN</v>
      </c>
      <c r="AH64" s="182" t="str">
        <f>IFERROR(__xludf.DUMMYFUNCTION("""COMPUTED_VALUE"""),"GA10316-IN
GA10316-IN RevB")</f>
        <v>GA10316-IN
GA10316-IN RevB</v>
      </c>
      <c r="AI64" s="188" t="str">
        <f>IFERROR(__xludf.DUMMYFUNCTION("""COMPUTED_VALUE"""),"GA10316-IN")</f>
        <v>GA10316-IN</v>
      </c>
      <c r="AJ64" s="187">
        <f>IFERROR(__xludf.DUMMYFUNCTION("""COMPUTED_VALUE"""),45793.0)</f>
        <v>45793</v>
      </c>
      <c r="AK64" s="187">
        <f>IFERROR(__xludf.DUMMYFUNCTION("""COMPUTED_VALUE"""),45801.0)</f>
        <v>45801</v>
      </c>
      <c r="AL64" s="182" t="b">
        <f>IFERROR(__xludf.DUMMYFUNCTION("""COMPUTED_VALUE"""),TRUE)</f>
        <v>1</v>
      </c>
      <c r="AM64" s="182" t="b">
        <f>IFERROR(__xludf.DUMMYFUNCTION("""COMPUTED_VALUE"""),TRUE)</f>
        <v>1</v>
      </c>
      <c r="AN64" s="187">
        <f>IFERROR(__xludf.DUMMYFUNCTION("""COMPUTED_VALUE"""),45801.0)</f>
        <v>45801</v>
      </c>
      <c r="AO64" s="182" t="b">
        <f>IFERROR(__xludf.DUMMYFUNCTION("""COMPUTED_VALUE"""),TRUE)</f>
        <v>1</v>
      </c>
      <c r="AP64" s="182" t="str">
        <f>IFERROR(__xludf.DUMMYFUNCTION("""COMPUTED_VALUE"""),"N")</f>
        <v>N</v>
      </c>
      <c r="AQ64" s="182"/>
      <c r="AR64" s="187">
        <f>IFERROR(__xludf.DUMMYFUNCTION("""COMPUTED_VALUE"""),45801.0)</f>
        <v>45801</v>
      </c>
      <c r="AS64" s="182" t="b">
        <f>IFERROR(__xludf.DUMMYFUNCTION("""COMPUTED_VALUE"""),FALSE)</f>
        <v>0</v>
      </c>
      <c r="AT64" s="182"/>
      <c r="AU64" s="182"/>
      <c r="AV64" s="187">
        <f>IFERROR(__xludf.DUMMYFUNCTION("""COMPUTED_VALUE"""),45801.0)</f>
        <v>45801</v>
      </c>
      <c r="AW64" s="182" t="b">
        <f>IFERROR(__xludf.DUMMYFUNCTION("""COMPUTED_VALUE"""),TRUE)</f>
        <v>1</v>
      </c>
      <c r="AX64" s="182" t="str">
        <f>IFERROR(__xludf.DUMMYFUNCTION("""COMPUTED_VALUE"""),"N")</f>
        <v>N</v>
      </c>
      <c r="AY64" s="182"/>
      <c r="AZ64" s="187">
        <f>IFERROR(__xludf.DUMMYFUNCTION("""COMPUTED_VALUE"""),45827.0)</f>
        <v>45827</v>
      </c>
      <c r="BA64" s="182" t="b">
        <f>IFERROR(__xludf.DUMMYFUNCTION("""COMPUTED_VALUE"""),FALSE)</f>
        <v>0</v>
      </c>
      <c r="BB64" s="187">
        <f>IFERROR(__xludf.DUMMYFUNCTION("""COMPUTED_VALUE"""),45827.0)</f>
        <v>45827</v>
      </c>
    </row>
    <row r="65">
      <c r="A65" s="184" t="str">
        <f t="shared" si="1"/>
        <v>#VALUE!</v>
      </c>
      <c r="B65" s="69" t="str">
        <f t="shared" si="2"/>
        <v>#VALUE!</v>
      </c>
      <c r="C65" s="182" t="str">
        <f>IFERROR(__xludf.DUMMYFUNCTION("""COMPUTED_VALUE"""),"IN")</f>
        <v>IN</v>
      </c>
      <c r="D65" s="182" t="str">
        <f>IFERROR(__xludf.DUMMYFUNCTION("""COMPUTED_VALUE"""),"MP")</f>
        <v>MP</v>
      </c>
      <c r="E65" s="182" t="str">
        <f>IFERROR(__xludf.DUMMYFUNCTION("""COMPUTED_VALUE"""),"Pristine")</f>
        <v>Pristine</v>
      </c>
      <c r="F65" s="182" t="str">
        <f>IFERROR(__xludf.DUMMYFUNCTION("""COMPUTED_VALUE"""),"GA09909-IN")</f>
        <v>GA09909-IN</v>
      </c>
      <c r="G65" s="182" t="str">
        <f>IFERROR(__xludf.DUMMYFUNCTION("""COMPUTED_VALUE"""),"GEHN3")</f>
        <v>GEHN3</v>
      </c>
      <c r="H65" s="182">
        <f>IFERROR(__xludf.DUMMYFUNCTION("""COMPUTED_VALUE"""),8.40353925571E11)</f>
        <v>840353925571</v>
      </c>
      <c r="I65" s="185" t="str">
        <f>IFERROR(__xludf.DUMMYFUNCTION("""COMPUTED_VALUE"""),"0840353925571")</f>
        <v>0840353925571</v>
      </c>
      <c r="J65" s="182"/>
      <c r="K65" s="182"/>
      <c r="L65" s="182"/>
      <c r="M65" s="188" t="str">
        <f>IFERROR(__xludf.DUMMYFUNCTION("""COMPUTED_VALUE"""),"G990-08530-13-02")</f>
        <v>G990-08530-13-02</v>
      </c>
      <c r="N65" s="182"/>
      <c r="O65" s="188" t="str">
        <f>IFERROR(__xludf.DUMMYFUNCTION("""COMPUTED_VALUE"""),"G990-08495-00-01")</f>
        <v>G990-08495-00-01</v>
      </c>
      <c r="P65" s="182"/>
      <c r="Q65" s="182" t="str">
        <f>IFERROR(__xludf.DUMMYFUNCTION("""COMPUTED_VALUE"""),"512GB")</f>
        <v>512GB</v>
      </c>
      <c r="R65" s="182" t="str">
        <f>IFERROR(__xludf.DUMMYFUNCTION("""COMPUTED_VALUE"""),"Obsidian")</f>
        <v>Obsidian</v>
      </c>
      <c r="S65" s="182" t="str">
        <f>IFERROR(__xludf.DUMMYFUNCTION("""COMPUTED_VALUE"""),"Midnight")</f>
        <v>Midnight</v>
      </c>
      <c r="T65" s="182" t="str">
        <f>IFERROR(__xludf.DUMMYFUNCTION("""COMPUTED_VALUE"""),"IN")</f>
        <v>IN</v>
      </c>
      <c r="U65" s="182" t="str">
        <f>IFERROR(__xludf.DUMMYFUNCTION("""COMPUTED_VALUE"""),"SKU,CLR1, BEST, SUB6, IN, BZ5")</f>
        <v>SKU,CLR1, BEST, SUB6, IN, BZ5</v>
      </c>
      <c r="V65" s="182"/>
      <c r="W65" s="183" t="str">
        <f>IFERROR(__xludf.DUMMYFUNCTION("""COMPUTED_VALUE"""),"#NUM!")</f>
        <v>#NUM!</v>
      </c>
      <c r="X65" s="186">
        <f>IFERROR(__xludf.DUMMYFUNCTION("""COMPUTED_VALUE"""),45831.0)</f>
        <v>45831</v>
      </c>
      <c r="Y65" s="187">
        <f>IFERROR(__xludf.DUMMYFUNCTION("""COMPUTED_VALUE"""),45780.0)</f>
        <v>45780</v>
      </c>
      <c r="Z65" s="182" t="b">
        <f>IFERROR(__xludf.DUMMYFUNCTION("""COMPUTED_VALUE"""),FALSE)</f>
        <v>0</v>
      </c>
      <c r="AA65" s="187">
        <f>IFERROR(__xludf.DUMMYFUNCTION("""COMPUTED_VALUE"""),45780.0)</f>
        <v>45780</v>
      </c>
      <c r="AB65" s="182" t="b">
        <f>IFERROR(__xludf.DUMMYFUNCTION("""COMPUTED_VALUE"""),FALSE)</f>
        <v>0</v>
      </c>
      <c r="AC65" s="187">
        <f>IFERROR(__xludf.DUMMYFUNCTION("""COMPUTED_VALUE"""),45787.0)</f>
        <v>45787</v>
      </c>
      <c r="AD65" s="187">
        <f>IFERROR(__xludf.DUMMYFUNCTION("""COMPUTED_VALUE"""),45787.0)</f>
        <v>45787</v>
      </c>
      <c r="AE65" s="182"/>
      <c r="AF65" s="182"/>
      <c r="AG65" s="182"/>
      <c r="AH65" s="182"/>
      <c r="AI65" s="182"/>
      <c r="AJ65" s="187">
        <f>IFERROR(__xludf.DUMMYFUNCTION("""COMPUTED_VALUE"""),45793.0)</f>
        <v>45793</v>
      </c>
      <c r="AK65" s="187">
        <f>IFERROR(__xludf.DUMMYFUNCTION("""COMPUTED_VALUE"""),45801.0)</f>
        <v>45801</v>
      </c>
      <c r="AL65" s="182" t="b">
        <f>IFERROR(__xludf.DUMMYFUNCTION("""COMPUTED_VALUE"""),FALSE)</f>
        <v>0</v>
      </c>
      <c r="AM65" s="182" t="b">
        <f>IFERROR(__xludf.DUMMYFUNCTION("""COMPUTED_VALUE"""),FALSE)</f>
        <v>0</v>
      </c>
      <c r="AN65" s="187">
        <f>IFERROR(__xludf.DUMMYFUNCTION("""COMPUTED_VALUE"""),45801.0)</f>
        <v>45801</v>
      </c>
      <c r="AO65" s="182" t="b">
        <f>IFERROR(__xludf.DUMMYFUNCTION("""COMPUTED_VALUE"""),FALSE)</f>
        <v>0</v>
      </c>
      <c r="AP65" s="182"/>
      <c r="AQ65" s="182"/>
      <c r="AR65" s="187">
        <f>IFERROR(__xludf.DUMMYFUNCTION("""COMPUTED_VALUE"""),45801.0)</f>
        <v>45801</v>
      </c>
      <c r="AS65" s="182"/>
      <c r="AT65" s="182"/>
      <c r="AU65" s="182"/>
      <c r="AV65" s="187">
        <f>IFERROR(__xludf.DUMMYFUNCTION("""COMPUTED_VALUE"""),45801.0)</f>
        <v>45801</v>
      </c>
      <c r="AW65" s="182" t="b">
        <f>IFERROR(__xludf.DUMMYFUNCTION("""COMPUTED_VALUE"""),FALSE)</f>
        <v>0</v>
      </c>
      <c r="AX65" s="182"/>
      <c r="AY65" s="182"/>
      <c r="AZ65" s="187">
        <f>IFERROR(__xludf.DUMMYFUNCTION("""COMPUTED_VALUE"""),45827.0)</f>
        <v>45827</v>
      </c>
      <c r="BA65" s="182" t="b">
        <f>IFERROR(__xludf.DUMMYFUNCTION("""COMPUTED_VALUE"""),FALSE)</f>
        <v>0</v>
      </c>
      <c r="BB65" s="187">
        <f>IFERROR(__xludf.DUMMYFUNCTION("""COMPUTED_VALUE"""),45827.0)</f>
        <v>45827</v>
      </c>
    </row>
    <row r="66">
      <c r="A66" s="184" t="str">
        <f t="shared" si="1"/>
        <v>#VALUE!</v>
      </c>
      <c r="B66" s="69" t="str">
        <f t="shared" si="2"/>
        <v>#VALUE!</v>
      </c>
      <c r="C66" s="182" t="str">
        <f>IFERROR(__xludf.DUMMYFUNCTION("""COMPUTED_VALUE"""),"IN")</f>
        <v>IN</v>
      </c>
      <c r="D66" s="182" t="str">
        <f>IFERROR(__xludf.DUMMYFUNCTION("""COMPUTED_VALUE"""),"MP")</f>
        <v>MP</v>
      </c>
      <c r="E66" s="182" t="str">
        <f>IFERROR(__xludf.DUMMYFUNCTION("""COMPUTED_VALUE"""),"Pristine")</f>
        <v>Pristine</v>
      </c>
      <c r="F66" s="182" t="str">
        <f>IFERROR(__xludf.DUMMYFUNCTION("""COMPUTED_VALUE"""),"GA10317-IN")</f>
        <v>GA10317-IN</v>
      </c>
      <c r="G66" s="182" t="str">
        <f>IFERROR(__xludf.DUMMYFUNCTION("""COMPUTED_VALUE"""),"GEHN3")</f>
        <v>GEHN3</v>
      </c>
      <c r="H66" s="182">
        <f>IFERROR(__xludf.DUMMYFUNCTION("""COMPUTED_VALUE"""),8.40353925625E11)</f>
        <v>840353925625</v>
      </c>
      <c r="I66" s="185" t="str">
        <f>IFERROR(__xludf.DUMMYFUNCTION("""COMPUTED_VALUE"""),"0840353925625")</f>
        <v>0840353925625</v>
      </c>
      <c r="J66" s="182"/>
      <c r="K66" s="182"/>
      <c r="L66" s="182"/>
      <c r="M66" s="188" t="str">
        <f>IFERROR(__xludf.DUMMYFUNCTION("""COMPUTED_VALUE"""),"G990-08530-23-02")</f>
        <v>G990-08530-23-02</v>
      </c>
      <c r="N66" s="182"/>
      <c r="O66" s="188" t="str">
        <f>IFERROR(__xludf.DUMMYFUNCTION("""COMPUTED_VALUE"""),"G990-08495-00-01")</f>
        <v>G990-08495-00-01</v>
      </c>
      <c r="P66" s="182"/>
      <c r="Q66" s="182" t="str">
        <f>IFERROR(__xludf.DUMMYFUNCTION("""COMPUTED_VALUE"""),"512GB")</f>
        <v>512GB</v>
      </c>
      <c r="R66" s="182" t="str">
        <f>IFERROR(__xludf.DUMMYFUNCTION("""COMPUTED_VALUE"""),"Porcelain")</f>
        <v>Porcelain</v>
      </c>
      <c r="S66" s="182" t="str">
        <f>IFERROR(__xludf.DUMMYFUNCTION("""COMPUTED_VALUE"""),"Light Porcelain")</f>
        <v>Light Porcelain</v>
      </c>
      <c r="T66" s="182" t="str">
        <f>IFERROR(__xludf.DUMMYFUNCTION("""COMPUTED_VALUE"""),"IN")</f>
        <v>IN</v>
      </c>
      <c r="U66" s="182" t="str">
        <f>IFERROR(__xludf.DUMMYFUNCTION("""COMPUTED_VALUE"""),"SKU,CLR2, BEST, SUB6, IN, BZ5")</f>
        <v>SKU,CLR2, BEST, SUB6, IN, BZ5</v>
      </c>
      <c r="V66" s="182"/>
      <c r="W66" s="183" t="str">
        <f>IFERROR(__xludf.DUMMYFUNCTION("""COMPUTED_VALUE"""),"#NUM!")</f>
        <v>#NUM!</v>
      </c>
      <c r="X66" s="186">
        <f>IFERROR(__xludf.DUMMYFUNCTION("""COMPUTED_VALUE"""),45831.0)</f>
        <v>45831</v>
      </c>
      <c r="Y66" s="187">
        <f>IFERROR(__xludf.DUMMYFUNCTION("""COMPUTED_VALUE"""),45780.0)</f>
        <v>45780</v>
      </c>
      <c r="Z66" s="182" t="b">
        <f>IFERROR(__xludf.DUMMYFUNCTION("""COMPUTED_VALUE"""),FALSE)</f>
        <v>0</v>
      </c>
      <c r="AA66" s="187">
        <f>IFERROR(__xludf.DUMMYFUNCTION("""COMPUTED_VALUE"""),45780.0)</f>
        <v>45780</v>
      </c>
      <c r="AB66" s="182" t="b">
        <f>IFERROR(__xludf.DUMMYFUNCTION("""COMPUTED_VALUE"""),FALSE)</f>
        <v>0</v>
      </c>
      <c r="AC66" s="187">
        <f>IFERROR(__xludf.DUMMYFUNCTION("""COMPUTED_VALUE"""),45787.0)</f>
        <v>45787</v>
      </c>
      <c r="AD66" s="187">
        <f>IFERROR(__xludf.DUMMYFUNCTION("""COMPUTED_VALUE"""),45787.0)</f>
        <v>45787</v>
      </c>
      <c r="AE66" s="182"/>
      <c r="AF66" s="182"/>
      <c r="AG66" s="182"/>
      <c r="AH66" s="182"/>
      <c r="AI66" s="188" t="str">
        <f>IFERROR(__xludf.DUMMYFUNCTION("""COMPUTED_VALUE"""),"GA10317-IN")</f>
        <v>GA10317-IN</v>
      </c>
      <c r="AJ66" s="187">
        <f>IFERROR(__xludf.DUMMYFUNCTION("""COMPUTED_VALUE"""),45793.0)</f>
        <v>45793</v>
      </c>
      <c r="AK66" s="187">
        <f>IFERROR(__xludf.DUMMYFUNCTION("""COMPUTED_VALUE"""),45801.0)</f>
        <v>45801</v>
      </c>
      <c r="AL66" s="182" t="b">
        <f>IFERROR(__xludf.DUMMYFUNCTION("""COMPUTED_VALUE"""),FALSE)</f>
        <v>0</v>
      </c>
      <c r="AM66" s="182" t="b">
        <f>IFERROR(__xludf.DUMMYFUNCTION("""COMPUTED_VALUE"""),FALSE)</f>
        <v>0</v>
      </c>
      <c r="AN66" s="187">
        <f>IFERROR(__xludf.DUMMYFUNCTION("""COMPUTED_VALUE"""),45801.0)</f>
        <v>45801</v>
      </c>
      <c r="AO66" s="182" t="b">
        <f>IFERROR(__xludf.DUMMYFUNCTION("""COMPUTED_VALUE"""),FALSE)</f>
        <v>0</v>
      </c>
      <c r="AP66" s="182"/>
      <c r="AQ66" s="182"/>
      <c r="AR66" s="187">
        <f>IFERROR(__xludf.DUMMYFUNCTION("""COMPUTED_VALUE"""),45801.0)</f>
        <v>45801</v>
      </c>
      <c r="AS66" s="182"/>
      <c r="AT66" s="182"/>
      <c r="AU66" s="182"/>
      <c r="AV66" s="187">
        <f>IFERROR(__xludf.DUMMYFUNCTION("""COMPUTED_VALUE"""),45801.0)</f>
        <v>45801</v>
      </c>
      <c r="AW66" s="182" t="b">
        <f>IFERROR(__xludf.DUMMYFUNCTION("""COMPUTED_VALUE"""),FALSE)</f>
        <v>0</v>
      </c>
      <c r="AX66" s="182"/>
      <c r="AY66" s="182"/>
      <c r="AZ66" s="187">
        <f>IFERROR(__xludf.DUMMYFUNCTION("""COMPUTED_VALUE"""),45827.0)</f>
        <v>45827</v>
      </c>
      <c r="BA66" s="182" t="b">
        <f>IFERROR(__xludf.DUMMYFUNCTION("""COMPUTED_VALUE"""),FALSE)</f>
        <v>0</v>
      </c>
      <c r="BB66" s="187">
        <f>IFERROR(__xludf.DUMMYFUNCTION("""COMPUTED_VALUE"""),45827.0)</f>
        <v>45827</v>
      </c>
    </row>
    <row r="67">
      <c r="A67" s="184" t="str">
        <f t="shared" si="1"/>
        <v>#VALUE!</v>
      </c>
      <c r="B67" s="69" t="str">
        <f t="shared" si="2"/>
        <v>#VALUE!</v>
      </c>
      <c r="C67" s="182" t="str">
        <f>IFERROR(__xludf.DUMMYFUNCTION("""COMPUTED_VALUE"""),"IN")</f>
        <v>IN</v>
      </c>
      <c r="D67" s="182" t="str">
        <f>IFERROR(__xludf.DUMMYFUNCTION("""COMPUTED_VALUE"""),"MP")</f>
        <v>MP</v>
      </c>
      <c r="E67" s="182" t="str">
        <f>IFERROR(__xludf.DUMMYFUNCTION("""COMPUTED_VALUE"""),"Pristine")</f>
        <v>Pristine</v>
      </c>
      <c r="F67" s="182" t="str">
        <f>IFERROR(__xludf.DUMMYFUNCTION("""COMPUTED_VALUE"""),"GA10318-IN")</f>
        <v>GA10318-IN</v>
      </c>
      <c r="G67" s="182" t="str">
        <f>IFERROR(__xludf.DUMMYFUNCTION("""COMPUTED_VALUE"""),"GEHN3")</f>
        <v>GEHN3</v>
      </c>
      <c r="H67" s="182">
        <f>IFERROR(__xludf.DUMMYFUNCTION("""COMPUTED_VALUE"""),8.40353925601E11)</f>
        <v>840353925601</v>
      </c>
      <c r="I67" s="185" t="str">
        <f>IFERROR(__xludf.DUMMYFUNCTION("""COMPUTED_VALUE"""),"0840353925601")</f>
        <v>0840353925601</v>
      </c>
      <c r="J67" s="182"/>
      <c r="K67" s="182"/>
      <c r="L67" s="182"/>
      <c r="M67" s="188" t="str">
        <f>IFERROR(__xludf.DUMMYFUNCTION("""COMPUTED_VALUE"""),"G990-08530-33-02")</f>
        <v>G990-08530-33-02</v>
      </c>
      <c r="N67" s="182"/>
      <c r="O67" s="188" t="str">
        <f>IFERROR(__xludf.DUMMYFUNCTION("""COMPUTED_VALUE"""),"G990-08495-00-01")</f>
        <v>G990-08495-00-01</v>
      </c>
      <c r="P67" s="182"/>
      <c r="Q67" s="182" t="str">
        <f>IFERROR(__xludf.DUMMYFUNCTION("""COMPUTED_VALUE"""),"512GB")</f>
        <v>512GB</v>
      </c>
      <c r="R67" s="182" t="str">
        <f>IFERROR(__xludf.DUMMYFUNCTION("""COMPUTED_VALUE"""),"Moonstone")</f>
        <v>Moonstone</v>
      </c>
      <c r="S67" s="182" t="str">
        <f>IFERROR(__xludf.DUMMYFUNCTION("""COMPUTED_VALUE"""),"Sterling")</f>
        <v>Sterling</v>
      </c>
      <c r="T67" s="182" t="str">
        <f>IFERROR(__xludf.DUMMYFUNCTION("""COMPUTED_VALUE"""),"IN")</f>
        <v>IN</v>
      </c>
      <c r="U67" s="182" t="str">
        <f>IFERROR(__xludf.DUMMYFUNCTION("""COMPUTED_VALUE"""),"SKU,CLR3, BEST, SUB6, IN, BZ5")</f>
        <v>SKU,CLR3, BEST, SUB6, IN, BZ5</v>
      </c>
      <c r="V67" s="182"/>
      <c r="W67" s="183" t="str">
        <f>IFERROR(__xludf.DUMMYFUNCTION("""COMPUTED_VALUE"""),"#NUM!")</f>
        <v>#NUM!</v>
      </c>
      <c r="X67" s="186">
        <f>IFERROR(__xludf.DUMMYFUNCTION("""COMPUTED_VALUE"""),45831.0)</f>
        <v>45831</v>
      </c>
      <c r="Y67" s="187">
        <f>IFERROR(__xludf.DUMMYFUNCTION("""COMPUTED_VALUE"""),45780.0)</f>
        <v>45780</v>
      </c>
      <c r="Z67" s="182" t="b">
        <f>IFERROR(__xludf.DUMMYFUNCTION("""COMPUTED_VALUE"""),FALSE)</f>
        <v>0</v>
      </c>
      <c r="AA67" s="187">
        <f>IFERROR(__xludf.DUMMYFUNCTION("""COMPUTED_VALUE"""),45780.0)</f>
        <v>45780</v>
      </c>
      <c r="AB67" s="182" t="b">
        <f>IFERROR(__xludf.DUMMYFUNCTION("""COMPUTED_VALUE"""),FALSE)</f>
        <v>0</v>
      </c>
      <c r="AC67" s="187">
        <f>IFERROR(__xludf.DUMMYFUNCTION("""COMPUTED_VALUE"""),45787.0)</f>
        <v>45787</v>
      </c>
      <c r="AD67" s="187">
        <f>IFERROR(__xludf.DUMMYFUNCTION("""COMPUTED_VALUE"""),45787.0)</f>
        <v>45787</v>
      </c>
      <c r="AE67" s="182"/>
      <c r="AF67" s="182"/>
      <c r="AG67" s="182"/>
      <c r="AH67" s="182"/>
      <c r="AI67" s="188" t="str">
        <f>IFERROR(__xludf.DUMMYFUNCTION("""COMPUTED_VALUE"""),"GA10318-IN")</f>
        <v>GA10318-IN</v>
      </c>
      <c r="AJ67" s="187">
        <f>IFERROR(__xludf.DUMMYFUNCTION("""COMPUTED_VALUE"""),45793.0)</f>
        <v>45793</v>
      </c>
      <c r="AK67" s="187">
        <f>IFERROR(__xludf.DUMMYFUNCTION("""COMPUTED_VALUE"""),45801.0)</f>
        <v>45801</v>
      </c>
      <c r="AL67" s="182" t="b">
        <f>IFERROR(__xludf.DUMMYFUNCTION("""COMPUTED_VALUE"""),FALSE)</f>
        <v>0</v>
      </c>
      <c r="AM67" s="182" t="b">
        <f>IFERROR(__xludf.DUMMYFUNCTION("""COMPUTED_VALUE"""),FALSE)</f>
        <v>0</v>
      </c>
      <c r="AN67" s="187">
        <f>IFERROR(__xludf.DUMMYFUNCTION("""COMPUTED_VALUE"""),45801.0)</f>
        <v>45801</v>
      </c>
      <c r="AO67" s="182" t="b">
        <f>IFERROR(__xludf.DUMMYFUNCTION("""COMPUTED_VALUE"""),FALSE)</f>
        <v>0</v>
      </c>
      <c r="AP67" s="182"/>
      <c r="AQ67" s="182"/>
      <c r="AR67" s="187">
        <f>IFERROR(__xludf.DUMMYFUNCTION("""COMPUTED_VALUE"""),45801.0)</f>
        <v>45801</v>
      </c>
      <c r="AS67" s="182"/>
      <c r="AT67" s="182"/>
      <c r="AU67" s="182"/>
      <c r="AV67" s="187">
        <f>IFERROR(__xludf.DUMMYFUNCTION("""COMPUTED_VALUE"""),45801.0)</f>
        <v>45801</v>
      </c>
      <c r="AW67" s="182" t="b">
        <f>IFERROR(__xludf.DUMMYFUNCTION("""COMPUTED_VALUE"""),FALSE)</f>
        <v>0</v>
      </c>
      <c r="AX67" s="182"/>
      <c r="AY67" s="182"/>
      <c r="AZ67" s="187">
        <f>IFERROR(__xludf.DUMMYFUNCTION("""COMPUTED_VALUE"""),45827.0)</f>
        <v>45827</v>
      </c>
      <c r="BA67" s="182" t="b">
        <f>IFERROR(__xludf.DUMMYFUNCTION("""COMPUTED_VALUE"""),FALSE)</f>
        <v>0</v>
      </c>
      <c r="BB67" s="187">
        <f>IFERROR(__xludf.DUMMYFUNCTION("""COMPUTED_VALUE"""),45827.0)</f>
        <v>45827</v>
      </c>
    </row>
    <row r="68">
      <c r="A68" s="184" t="str">
        <f t="shared" si="1"/>
        <v>#VALUE!</v>
      </c>
      <c r="B68" s="69" t="str">
        <f t="shared" si="2"/>
        <v>#VALUE!</v>
      </c>
      <c r="C68" s="182" t="str">
        <f>IFERROR(__xludf.DUMMYFUNCTION("""COMPUTED_VALUE"""),"IN")</f>
        <v>IN</v>
      </c>
      <c r="D68" s="182" t="str">
        <f>IFERROR(__xludf.DUMMYFUNCTION("""COMPUTED_VALUE"""),"MP")</f>
        <v>MP</v>
      </c>
      <c r="E68" s="182" t="str">
        <f>IFERROR(__xludf.DUMMYFUNCTION("""COMPUTED_VALUE"""),"Pristine")</f>
        <v>Pristine</v>
      </c>
      <c r="F68" s="182" t="str">
        <f>IFERROR(__xludf.DUMMYFUNCTION("""COMPUTED_VALUE"""),"GA10319-IN")</f>
        <v>GA10319-IN</v>
      </c>
      <c r="G68" s="182" t="str">
        <f>IFERROR(__xludf.DUMMYFUNCTION("""COMPUTED_VALUE"""),"GEHN3")</f>
        <v>GEHN3</v>
      </c>
      <c r="H68" s="182">
        <f>IFERROR(__xludf.DUMMYFUNCTION("""COMPUTED_VALUE"""),8.40353925618E11)</f>
        <v>840353925618</v>
      </c>
      <c r="I68" s="185" t="str">
        <f>IFERROR(__xludf.DUMMYFUNCTION("""COMPUTED_VALUE"""),"0840353925618")</f>
        <v>0840353925618</v>
      </c>
      <c r="J68" s="182"/>
      <c r="K68" s="182"/>
      <c r="L68" s="182"/>
      <c r="M68" s="188" t="str">
        <f>IFERROR(__xludf.DUMMYFUNCTION("""COMPUTED_VALUE"""),"G990-08530-43-02")</f>
        <v>G990-08530-43-02</v>
      </c>
      <c r="N68" s="182"/>
      <c r="O68" s="188" t="str">
        <f>IFERROR(__xludf.DUMMYFUNCTION("""COMPUTED_VALUE"""),"G990-08495-00-01")</f>
        <v>G990-08495-00-01</v>
      </c>
      <c r="P68" s="182"/>
      <c r="Q68" s="182" t="str">
        <f>IFERROR(__xludf.DUMMYFUNCTION("""COMPUTED_VALUE"""),"512GB")</f>
        <v>512GB</v>
      </c>
      <c r="R68" s="182" t="str">
        <f>IFERROR(__xludf.DUMMYFUNCTION("""COMPUTED_VALUE"""),"Jade")</f>
        <v>Jade</v>
      </c>
      <c r="S68" s="182" t="str">
        <f>IFERROR(__xludf.DUMMYFUNCTION("""COMPUTED_VALUE"""),"Smokey Green")</f>
        <v>Smokey Green</v>
      </c>
      <c r="T68" s="182" t="str">
        <f>IFERROR(__xludf.DUMMYFUNCTION("""COMPUTED_VALUE"""),"IN")</f>
        <v>IN</v>
      </c>
      <c r="U68" s="182" t="str">
        <f>IFERROR(__xludf.DUMMYFUNCTION("""COMPUTED_VALUE"""),"SKU,CLR4, BEST, SUB6, IN, BZ5")</f>
        <v>SKU,CLR4, BEST, SUB6, IN, BZ5</v>
      </c>
      <c r="V68" s="182"/>
      <c r="W68" s="183" t="str">
        <f>IFERROR(__xludf.DUMMYFUNCTION("""COMPUTED_VALUE"""),"#NUM!")</f>
        <v>#NUM!</v>
      </c>
      <c r="X68" s="186">
        <f>IFERROR(__xludf.DUMMYFUNCTION("""COMPUTED_VALUE"""),45831.0)</f>
        <v>45831</v>
      </c>
      <c r="Y68" s="187">
        <f>IFERROR(__xludf.DUMMYFUNCTION("""COMPUTED_VALUE"""),45780.0)</f>
        <v>45780</v>
      </c>
      <c r="Z68" s="182" t="b">
        <f>IFERROR(__xludf.DUMMYFUNCTION("""COMPUTED_VALUE"""),FALSE)</f>
        <v>0</v>
      </c>
      <c r="AA68" s="187">
        <f>IFERROR(__xludf.DUMMYFUNCTION("""COMPUTED_VALUE"""),45780.0)</f>
        <v>45780</v>
      </c>
      <c r="AB68" s="182" t="b">
        <f>IFERROR(__xludf.DUMMYFUNCTION("""COMPUTED_VALUE"""),FALSE)</f>
        <v>0</v>
      </c>
      <c r="AC68" s="187">
        <f>IFERROR(__xludf.DUMMYFUNCTION("""COMPUTED_VALUE"""),45787.0)</f>
        <v>45787</v>
      </c>
      <c r="AD68" s="187">
        <f>IFERROR(__xludf.DUMMYFUNCTION("""COMPUTED_VALUE"""),45787.0)</f>
        <v>45787</v>
      </c>
      <c r="AE68" s="182"/>
      <c r="AF68" s="182"/>
      <c r="AG68" s="182"/>
      <c r="AH68" s="182"/>
      <c r="AI68" s="188" t="str">
        <f>IFERROR(__xludf.DUMMYFUNCTION("""COMPUTED_VALUE"""),"GA10319-IN")</f>
        <v>GA10319-IN</v>
      </c>
      <c r="AJ68" s="187">
        <f>IFERROR(__xludf.DUMMYFUNCTION("""COMPUTED_VALUE"""),45793.0)</f>
        <v>45793</v>
      </c>
      <c r="AK68" s="187">
        <f>IFERROR(__xludf.DUMMYFUNCTION("""COMPUTED_VALUE"""),45801.0)</f>
        <v>45801</v>
      </c>
      <c r="AL68" s="182" t="b">
        <f>IFERROR(__xludf.DUMMYFUNCTION("""COMPUTED_VALUE"""),FALSE)</f>
        <v>0</v>
      </c>
      <c r="AM68" s="182" t="b">
        <f>IFERROR(__xludf.DUMMYFUNCTION("""COMPUTED_VALUE"""),FALSE)</f>
        <v>0</v>
      </c>
      <c r="AN68" s="187">
        <f>IFERROR(__xludf.DUMMYFUNCTION("""COMPUTED_VALUE"""),45801.0)</f>
        <v>45801</v>
      </c>
      <c r="AO68" s="182" t="b">
        <f>IFERROR(__xludf.DUMMYFUNCTION("""COMPUTED_VALUE"""),FALSE)</f>
        <v>0</v>
      </c>
      <c r="AP68" s="182"/>
      <c r="AQ68" s="182"/>
      <c r="AR68" s="187">
        <f>IFERROR(__xludf.DUMMYFUNCTION("""COMPUTED_VALUE"""),45801.0)</f>
        <v>45801</v>
      </c>
      <c r="AS68" s="182"/>
      <c r="AT68" s="182"/>
      <c r="AU68" s="182"/>
      <c r="AV68" s="187">
        <f>IFERROR(__xludf.DUMMYFUNCTION("""COMPUTED_VALUE"""),45801.0)</f>
        <v>45801</v>
      </c>
      <c r="AW68" s="182" t="b">
        <f>IFERROR(__xludf.DUMMYFUNCTION("""COMPUTED_VALUE"""),FALSE)</f>
        <v>0</v>
      </c>
      <c r="AX68" s="182"/>
      <c r="AY68" s="182"/>
      <c r="AZ68" s="187">
        <f>IFERROR(__xludf.DUMMYFUNCTION("""COMPUTED_VALUE"""),45827.0)</f>
        <v>45827</v>
      </c>
      <c r="BA68" s="182" t="b">
        <f>IFERROR(__xludf.DUMMYFUNCTION("""COMPUTED_VALUE"""),FALSE)</f>
        <v>0</v>
      </c>
      <c r="BB68" s="187">
        <f>IFERROR(__xludf.DUMMYFUNCTION("""COMPUTED_VALUE"""),45827.0)</f>
        <v>45827</v>
      </c>
    </row>
    <row r="69">
      <c r="A69" s="184" t="str">
        <f t="shared" si="1"/>
        <v>#VALUE!</v>
      </c>
      <c r="B69" s="69" t="str">
        <f t="shared" si="2"/>
        <v>#VALUE!</v>
      </c>
      <c r="C69" s="182" t="str">
        <f>IFERROR(__xludf.DUMMYFUNCTION("""COMPUTED_VALUE"""),"IN")</f>
        <v>IN</v>
      </c>
      <c r="D69" s="182" t="str">
        <f>IFERROR(__xludf.DUMMYFUNCTION("""COMPUTED_VALUE"""),"MP")</f>
        <v>MP</v>
      </c>
      <c r="E69" s="182" t="str">
        <f>IFERROR(__xludf.DUMMYFUNCTION("""COMPUTED_VALUE"""),"Pristine")</f>
        <v>Pristine</v>
      </c>
      <c r="F69" s="182" t="str">
        <f>IFERROR(__xludf.DUMMYFUNCTION("""COMPUTED_VALUE"""),"GA09934-IN")</f>
        <v>GA09934-IN</v>
      </c>
      <c r="G69" s="182" t="str">
        <f>IFERROR(__xludf.DUMMYFUNCTION("""COMPUTED_VALUE"""),"GEHN3")</f>
        <v>GEHN3</v>
      </c>
      <c r="H69" s="182">
        <f>IFERROR(__xludf.DUMMYFUNCTION("""COMPUTED_VALUE"""),8.40353925762E11)</f>
        <v>840353925762</v>
      </c>
      <c r="I69" s="185" t="str">
        <f>IFERROR(__xludf.DUMMYFUNCTION("""COMPUTED_VALUE"""),"0840353925762")</f>
        <v>0840353925762</v>
      </c>
      <c r="J69" s="182"/>
      <c r="K69" s="182"/>
      <c r="L69" s="182"/>
      <c r="M69" s="188" t="str">
        <f>IFERROR(__xludf.DUMMYFUNCTION("""COMPUTED_VALUE"""),"G990-08530-14-02")</f>
        <v>G990-08530-14-02</v>
      </c>
      <c r="N69" s="182"/>
      <c r="O69" s="188" t="str">
        <f>IFERROR(__xludf.DUMMYFUNCTION("""COMPUTED_VALUE"""),"G990-08495-00-01")</f>
        <v>G990-08495-00-01</v>
      </c>
      <c r="P69" s="182"/>
      <c r="Q69" s="182" t="str">
        <f>IFERROR(__xludf.DUMMYFUNCTION("""COMPUTED_VALUE"""),"1TB")</f>
        <v>1TB</v>
      </c>
      <c r="R69" s="182" t="str">
        <f>IFERROR(__xludf.DUMMYFUNCTION("""COMPUTED_VALUE"""),"Obsidian")</f>
        <v>Obsidian</v>
      </c>
      <c r="S69" s="182" t="str">
        <f>IFERROR(__xludf.DUMMYFUNCTION("""COMPUTED_VALUE"""),"Midnight")</f>
        <v>Midnight</v>
      </c>
      <c r="T69" s="182" t="str">
        <f>IFERROR(__xludf.DUMMYFUNCTION("""COMPUTED_VALUE"""),"IN")</f>
        <v>IN</v>
      </c>
      <c r="U69" s="182" t="str">
        <f>IFERROR(__xludf.DUMMYFUNCTION("""COMPUTED_VALUE"""),"SKU,CLR1, ULTRA, SUB6, IN, BZ5")</f>
        <v>SKU,CLR1, ULTRA, SUB6, IN, BZ5</v>
      </c>
      <c r="V69" s="182"/>
      <c r="W69" s="183" t="str">
        <f>IFERROR(__xludf.DUMMYFUNCTION("""COMPUTED_VALUE"""),"#NUM!")</f>
        <v>#NUM!</v>
      </c>
      <c r="X69" s="186">
        <f>IFERROR(__xludf.DUMMYFUNCTION("""COMPUTED_VALUE"""),45831.0)</f>
        <v>45831</v>
      </c>
      <c r="Y69" s="187">
        <f>IFERROR(__xludf.DUMMYFUNCTION("""COMPUTED_VALUE"""),45780.0)</f>
        <v>45780</v>
      </c>
      <c r="Z69" s="182" t="b">
        <f>IFERROR(__xludf.DUMMYFUNCTION("""COMPUTED_VALUE"""),FALSE)</f>
        <v>0</v>
      </c>
      <c r="AA69" s="187">
        <f>IFERROR(__xludf.DUMMYFUNCTION("""COMPUTED_VALUE"""),45780.0)</f>
        <v>45780</v>
      </c>
      <c r="AB69" s="182" t="b">
        <f>IFERROR(__xludf.DUMMYFUNCTION("""COMPUTED_VALUE"""),FALSE)</f>
        <v>0</v>
      </c>
      <c r="AC69" s="187">
        <f>IFERROR(__xludf.DUMMYFUNCTION("""COMPUTED_VALUE"""),45787.0)</f>
        <v>45787</v>
      </c>
      <c r="AD69" s="187">
        <f>IFERROR(__xludf.DUMMYFUNCTION("""COMPUTED_VALUE"""),45787.0)</f>
        <v>45787</v>
      </c>
      <c r="AE69" s="182"/>
      <c r="AF69" s="182"/>
      <c r="AG69" s="182"/>
      <c r="AH69" s="182"/>
      <c r="AI69" s="188" t="str">
        <f>IFERROR(__xludf.DUMMYFUNCTION("""COMPUTED_VALUE"""),"GA09934-IN")</f>
        <v>GA09934-IN</v>
      </c>
      <c r="AJ69" s="187">
        <f>IFERROR(__xludf.DUMMYFUNCTION("""COMPUTED_VALUE"""),45793.0)</f>
        <v>45793</v>
      </c>
      <c r="AK69" s="187">
        <f>IFERROR(__xludf.DUMMYFUNCTION("""COMPUTED_VALUE"""),45801.0)</f>
        <v>45801</v>
      </c>
      <c r="AL69" s="182" t="b">
        <f>IFERROR(__xludf.DUMMYFUNCTION("""COMPUTED_VALUE"""),FALSE)</f>
        <v>0</v>
      </c>
      <c r="AM69" s="182" t="b">
        <f>IFERROR(__xludf.DUMMYFUNCTION("""COMPUTED_VALUE"""),FALSE)</f>
        <v>0</v>
      </c>
      <c r="AN69" s="187">
        <f>IFERROR(__xludf.DUMMYFUNCTION("""COMPUTED_VALUE"""),45801.0)</f>
        <v>45801</v>
      </c>
      <c r="AO69" s="182" t="b">
        <f>IFERROR(__xludf.DUMMYFUNCTION("""COMPUTED_VALUE"""),FALSE)</f>
        <v>0</v>
      </c>
      <c r="AP69" s="182"/>
      <c r="AQ69" s="182"/>
      <c r="AR69" s="187">
        <f>IFERROR(__xludf.DUMMYFUNCTION("""COMPUTED_VALUE"""),45801.0)</f>
        <v>45801</v>
      </c>
      <c r="AS69" s="182"/>
      <c r="AT69" s="182"/>
      <c r="AU69" s="182"/>
      <c r="AV69" s="187">
        <f>IFERROR(__xludf.DUMMYFUNCTION("""COMPUTED_VALUE"""),45801.0)</f>
        <v>45801</v>
      </c>
      <c r="AW69" s="182" t="b">
        <f>IFERROR(__xludf.DUMMYFUNCTION("""COMPUTED_VALUE"""),FALSE)</f>
        <v>0</v>
      </c>
      <c r="AX69" s="182"/>
      <c r="AY69" s="182"/>
      <c r="AZ69" s="187">
        <f>IFERROR(__xludf.DUMMYFUNCTION("""COMPUTED_VALUE"""),45827.0)</f>
        <v>45827</v>
      </c>
      <c r="BA69" s="182" t="b">
        <f>IFERROR(__xludf.DUMMYFUNCTION("""COMPUTED_VALUE"""),FALSE)</f>
        <v>0</v>
      </c>
      <c r="BB69" s="187">
        <f>IFERROR(__xludf.DUMMYFUNCTION("""COMPUTED_VALUE"""),45827.0)</f>
        <v>45827</v>
      </c>
    </row>
    <row r="70">
      <c r="A70" s="184" t="str">
        <f t="shared" si="1"/>
        <v>#VALUE!</v>
      </c>
      <c r="B70" s="69" t="str">
        <f t="shared" si="2"/>
        <v>#VALUE!</v>
      </c>
      <c r="C70" s="182" t="str">
        <f>IFERROR(__xludf.DUMMYFUNCTION("""COMPUTED_VALUE"""),"IN")</f>
        <v>IN</v>
      </c>
      <c r="D70" s="182" t="str">
        <f>IFERROR(__xludf.DUMMYFUNCTION("""COMPUTED_VALUE"""),"MP")</f>
        <v>MP</v>
      </c>
      <c r="E70" s="182" t="str">
        <f>IFERROR(__xludf.DUMMYFUNCTION("""COMPUTED_VALUE"""),"Pristine")</f>
        <v>Pristine</v>
      </c>
      <c r="F70" s="182" t="str">
        <f>IFERROR(__xludf.DUMMYFUNCTION("""COMPUTED_VALUE"""),"GA10320-IN")</f>
        <v>GA10320-IN</v>
      </c>
      <c r="G70" s="182" t="str">
        <f>IFERROR(__xludf.DUMMYFUNCTION("""COMPUTED_VALUE"""),"GEHN3")</f>
        <v>GEHN3</v>
      </c>
      <c r="H70" s="182">
        <f>IFERROR(__xludf.DUMMYFUNCTION("""COMPUTED_VALUE"""),8.40353925809E11)</f>
        <v>840353925809</v>
      </c>
      <c r="I70" s="185" t="str">
        <f>IFERROR(__xludf.DUMMYFUNCTION("""COMPUTED_VALUE"""),"0840353925809")</f>
        <v>0840353925809</v>
      </c>
      <c r="J70" s="182"/>
      <c r="K70" s="182"/>
      <c r="L70" s="182"/>
      <c r="M70" s="188" t="str">
        <f>IFERROR(__xludf.DUMMYFUNCTION("""COMPUTED_VALUE"""),"G990-08530-34-02")</f>
        <v>G990-08530-34-02</v>
      </c>
      <c r="N70" s="182"/>
      <c r="O70" s="188" t="str">
        <f>IFERROR(__xludf.DUMMYFUNCTION("""COMPUTED_VALUE"""),"G990-08495-00-01")</f>
        <v>G990-08495-00-01</v>
      </c>
      <c r="P70" s="182"/>
      <c r="Q70" s="182" t="str">
        <f>IFERROR(__xludf.DUMMYFUNCTION("""COMPUTED_VALUE"""),"1TB")</f>
        <v>1TB</v>
      </c>
      <c r="R70" s="182" t="str">
        <f>IFERROR(__xludf.DUMMYFUNCTION("""COMPUTED_VALUE"""),"Moonstone")</f>
        <v>Moonstone</v>
      </c>
      <c r="S70" s="182" t="str">
        <f>IFERROR(__xludf.DUMMYFUNCTION("""COMPUTED_VALUE"""),"Sterling")</f>
        <v>Sterling</v>
      </c>
      <c r="T70" s="182" t="str">
        <f>IFERROR(__xludf.DUMMYFUNCTION("""COMPUTED_VALUE"""),"IN")</f>
        <v>IN</v>
      </c>
      <c r="U70" s="182" t="str">
        <f>IFERROR(__xludf.DUMMYFUNCTION("""COMPUTED_VALUE"""),"SKU,CLR3, ULTRA, SUB6, IN, BZ5")</f>
        <v>SKU,CLR3, ULTRA, SUB6, IN, BZ5</v>
      </c>
      <c r="V70" s="182"/>
      <c r="W70" s="183" t="str">
        <f>IFERROR(__xludf.DUMMYFUNCTION("""COMPUTED_VALUE"""),"#NUM!")</f>
        <v>#NUM!</v>
      </c>
      <c r="X70" s="186">
        <f>IFERROR(__xludf.DUMMYFUNCTION("""COMPUTED_VALUE"""),45831.0)</f>
        <v>45831</v>
      </c>
      <c r="Y70" s="187">
        <f>IFERROR(__xludf.DUMMYFUNCTION("""COMPUTED_VALUE"""),45780.0)</f>
        <v>45780</v>
      </c>
      <c r="Z70" s="182" t="b">
        <f>IFERROR(__xludf.DUMMYFUNCTION("""COMPUTED_VALUE"""),FALSE)</f>
        <v>0</v>
      </c>
      <c r="AA70" s="187">
        <f>IFERROR(__xludf.DUMMYFUNCTION("""COMPUTED_VALUE"""),45780.0)</f>
        <v>45780</v>
      </c>
      <c r="AB70" s="182" t="b">
        <f>IFERROR(__xludf.DUMMYFUNCTION("""COMPUTED_VALUE"""),FALSE)</f>
        <v>0</v>
      </c>
      <c r="AC70" s="187">
        <f>IFERROR(__xludf.DUMMYFUNCTION("""COMPUTED_VALUE"""),45787.0)</f>
        <v>45787</v>
      </c>
      <c r="AD70" s="187">
        <f>IFERROR(__xludf.DUMMYFUNCTION("""COMPUTED_VALUE"""),45787.0)</f>
        <v>45787</v>
      </c>
      <c r="AE70" s="182"/>
      <c r="AF70" s="182"/>
      <c r="AG70" s="182"/>
      <c r="AH70" s="182"/>
      <c r="AI70" s="188" t="str">
        <f>IFERROR(__xludf.DUMMYFUNCTION("""COMPUTED_VALUE"""),"GA10320-IN")</f>
        <v>GA10320-IN</v>
      </c>
      <c r="AJ70" s="187">
        <f>IFERROR(__xludf.DUMMYFUNCTION("""COMPUTED_VALUE"""),45793.0)</f>
        <v>45793</v>
      </c>
      <c r="AK70" s="187">
        <f>IFERROR(__xludf.DUMMYFUNCTION("""COMPUTED_VALUE"""),45801.0)</f>
        <v>45801</v>
      </c>
      <c r="AL70" s="182" t="b">
        <f>IFERROR(__xludf.DUMMYFUNCTION("""COMPUTED_VALUE"""),FALSE)</f>
        <v>0</v>
      </c>
      <c r="AM70" s="182" t="b">
        <f>IFERROR(__xludf.DUMMYFUNCTION("""COMPUTED_VALUE"""),FALSE)</f>
        <v>0</v>
      </c>
      <c r="AN70" s="187">
        <f>IFERROR(__xludf.DUMMYFUNCTION("""COMPUTED_VALUE"""),45801.0)</f>
        <v>45801</v>
      </c>
      <c r="AO70" s="182" t="b">
        <f>IFERROR(__xludf.DUMMYFUNCTION("""COMPUTED_VALUE"""),FALSE)</f>
        <v>0</v>
      </c>
      <c r="AP70" s="182"/>
      <c r="AQ70" s="182"/>
      <c r="AR70" s="187">
        <f>IFERROR(__xludf.DUMMYFUNCTION("""COMPUTED_VALUE"""),45801.0)</f>
        <v>45801</v>
      </c>
      <c r="AS70" s="182"/>
      <c r="AT70" s="182"/>
      <c r="AU70" s="182"/>
      <c r="AV70" s="187">
        <f>IFERROR(__xludf.DUMMYFUNCTION("""COMPUTED_VALUE"""),45801.0)</f>
        <v>45801</v>
      </c>
      <c r="AW70" s="182" t="b">
        <f>IFERROR(__xludf.DUMMYFUNCTION("""COMPUTED_VALUE"""),FALSE)</f>
        <v>0</v>
      </c>
      <c r="AX70" s="182"/>
      <c r="AY70" s="182"/>
      <c r="AZ70" s="187">
        <f>IFERROR(__xludf.DUMMYFUNCTION("""COMPUTED_VALUE"""),45827.0)</f>
        <v>45827</v>
      </c>
      <c r="BA70" s="182" t="b">
        <f>IFERROR(__xludf.DUMMYFUNCTION("""COMPUTED_VALUE"""),FALSE)</f>
        <v>0</v>
      </c>
      <c r="BB70" s="187">
        <f>IFERROR(__xludf.DUMMYFUNCTION("""COMPUTED_VALUE"""),45827.0)</f>
        <v>45827</v>
      </c>
    </row>
    <row r="71">
      <c r="A71" s="184" t="str">
        <f t="shared" si="1"/>
        <v>#VALUE!</v>
      </c>
      <c r="B71" s="69" t="str">
        <f t="shared" si="2"/>
        <v>#VALUE!</v>
      </c>
      <c r="C71" s="182" t="str">
        <f>IFERROR(__xludf.DUMMYFUNCTION("""COMPUTED_VALUE"""),"GSTORE")</f>
        <v>GSTORE</v>
      </c>
      <c r="D71" s="182" t="str">
        <f>IFERROR(__xludf.DUMMYFUNCTION("""COMPUTED_VALUE"""),"MP")</f>
        <v>MP</v>
      </c>
      <c r="E71" s="182" t="str">
        <f>IFERROR(__xludf.DUMMYFUNCTION("""COMPUTED_VALUE"""),"Press")</f>
        <v>Press</v>
      </c>
      <c r="F71" s="182" t="str">
        <f>IFERROR(__xludf.DUMMYFUNCTION("""COMPUTED_VALUE"""),"GA10796-US-N")</f>
        <v>GA10796-US-N</v>
      </c>
      <c r="G71" s="182" t="str">
        <f>IFERROR(__xludf.DUMMYFUNCTION("""COMPUTED_VALUE"""),"G4QUR")</f>
        <v>G4QUR</v>
      </c>
      <c r="H71" s="182">
        <f>IFERROR(__xludf.DUMMYFUNCTION("""COMPUTED_VALUE"""),8.40353937598E11)</f>
        <v>840353937598</v>
      </c>
      <c r="I71" s="185" t="str">
        <f>IFERROR(__xludf.DUMMYFUNCTION("""COMPUTED_VALUE"""),"0840353937598")</f>
        <v>0840353937598</v>
      </c>
      <c r="J71" s="182"/>
      <c r="K71" s="182" t="str">
        <f>IFERROR(__xludf.DUMMYFUNCTION("""COMPUTED_VALUE"""),"ROW Master Carton Label (UPC)")</f>
        <v>ROW Master Carton Label (UPC)</v>
      </c>
      <c r="L71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71" s="188" t="str">
        <f>IFERROR(__xludf.DUMMYFUNCTION("""COMPUTED_VALUE"""),"G990-08499-11-02")</f>
        <v>G990-08499-11-02</v>
      </c>
      <c r="N71" s="182"/>
      <c r="O71" s="188" t="str">
        <f>IFERROR(__xludf.DUMMYFUNCTION("""COMPUTED_VALUE"""),"G990-08493-00-01")</f>
        <v>G990-08493-00-01</v>
      </c>
      <c r="P71" s="182"/>
      <c r="Q71" s="182" t="str">
        <f>IFERROR(__xludf.DUMMYFUNCTION("""COMPUTED_VALUE"""),"128GB")</f>
        <v>128GB</v>
      </c>
      <c r="R71" s="182" t="str">
        <f>IFERROR(__xludf.DUMMYFUNCTION("""COMPUTED_VALUE"""),"Obsidian")</f>
        <v>Obsidian</v>
      </c>
      <c r="S71" s="182" t="str">
        <f>IFERROR(__xludf.DUMMYFUNCTION("""COMPUTED_VALUE"""),"Midnight")</f>
        <v>Midnight</v>
      </c>
      <c r="T71" s="182" t="str">
        <f>IFERROR(__xludf.DUMMYFUNCTION("""COMPUTED_VALUE"""),"US GStore")</f>
        <v>US GStore</v>
      </c>
      <c r="U71" s="182" t="str">
        <f>IFERROR(__xludf.DUMMYFUNCTION("""COMPUTED_VALUE"""),"SKU,CLR1, GOOD, MMWAVE, US GSTORE, PRESS, BZ5")</f>
        <v>SKU,CLR1, GOOD, MMWAVE, US GSTORE, PRESS, BZ5</v>
      </c>
      <c r="V71" s="182"/>
      <c r="W71" s="183" t="str">
        <f>IFERROR(__xludf.DUMMYFUNCTION("""COMPUTED_VALUE"""),"#NUM!")</f>
        <v>#NUM!</v>
      </c>
      <c r="X71" s="186">
        <f>IFERROR(__xludf.DUMMYFUNCTION("""COMPUTED_VALUE"""),45831.0)</f>
        <v>45831</v>
      </c>
      <c r="Y71" s="187">
        <f>IFERROR(__xludf.DUMMYFUNCTION("""COMPUTED_VALUE"""),45780.0)</f>
        <v>45780</v>
      </c>
      <c r="Z71" s="182" t="b">
        <f>IFERROR(__xludf.DUMMYFUNCTION("""COMPUTED_VALUE"""),FALSE)</f>
        <v>0</v>
      </c>
      <c r="AA71" s="187">
        <f>IFERROR(__xludf.DUMMYFUNCTION("""COMPUTED_VALUE"""),45780.0)</f>
        <v>45780</v>
      </c>
      <c r="AB71" s="182" t="b">
        <f>IFERROR(__xludf.DUMMYFUNCTION("""COMPUTED_VALUE"""),FALSE)</f>
        <v>0</v>
      </c>
      <c r="AC71" s="187">
        <f>IFERROR(__xludf.DUMMYFUNCTION("""COMPUTED_VALUE"""),45787.0)</f>
        <v>45787</v>
      </c>
      <c r="AD71" s="187">
        <f>IFERROR(__xludf.DUMMYFUNCTION("""COMPUTED_VALUE"""),45787.0)</f>
        <v>45787</v>
      </c>
      <c r="AE71" s="188" t="str">
        <f>IFERROR(__xludf.DUMMYFUNCTION("""COMPUTED_VALUE"""),"GA10796-US-N")</f>
        <v>GA10796-US-N</v>
      </c>
      <c r="AF71" s="182"/>
      <c r="AG71" s="188" t="str">
        <f>IFERROR(__xludf.DUMMYFUNCTION("""COMPUTED_VALUE"""),"GA10796-US-N")</f>
        <v>GA10796-US-N</v>
      </c>
      <c r="AH71" s="188" t="str">
        <f>IFERROR(__xludf.DUMMYFUNCTION("""COMPUTED_VALUE"""),"GA10796-US-N")</f>
        <v>GA10796-US-N</v>
      </c>
      <c r="AI71" s="188" t="str">
        <f>IFERROR(__xludf.DUMMYFUNCTION("""COMPUTED_VALUE"""),"GA10796-US-N")</f>
        <v>GA10796-US-N</v>
      </c>
      <c r="AJ71" s="187">
        <f>IFERROR(__xludf.DUMMYFUNCTION("""COMPUTED_VALUE"""),45793.0)</f>
        <v>45793</v>
      </c>
      <c r="AK71" s="187">
        <f>IFERROR(__xludf.DUMMYFUNCTION("""COMPUTED_VALUE"""),45801.0)</f>
        <v>45801</v>
      </c>
      <c r="AL71" s="182" t="b">
        <f>IFERROR(__xludf.DUMMYFUNCTION("""COMPUTED_VALUE"""),FALSE)</f>
        <v>0</v>
      </c>
      <c r="AM71" s="182" t="b">
        <f>IFERROR(__xludf.DUMMYFUNCTION("""COMPUTED_VALUE"""),FALSE)</f>
        <v>0</v>
      </c>
      <c r="AN71" s="187">
        <f>IFERROR(__xludf.DUMMYFUNCTION("""COMPUTED_VALUE"""),45801.0)</f>
        <v>45801</v>
      </c>
      <c r="AO71" s="182" t="b">
        <f>IFERROR(__xludf.DUMMYFUNCTION("""COMPUTED_VALUE"""),FALSE)</f>
        <v>0</v>
      </c>
      <c r="AP71" s="182" t="str">
        <f>IFERROR(__xludf.DUMMYFUNCTION("""COMPUTED_VALUE"""),"N")</f>
        <v>N</v>
      </c>
      <c r="AQ71" s="182"/>
      <c r="AR71" s="187">
        <f>IFERROR(__xludf.DUMMYFUNCTION("""COMPUTED_VALUE"""),45801.0)</f>
        <v>45801</v>
      </c>
      <c r="AS71" s="182" t="b">
        <f>IFERROR(__xludf.DUMMYFUNCTION("""COMPUTED_VALUE"""),FALSE)</f>
        <v>0</v>
      </c>
      <c r="AT71" s="182"/>
      <c r="AU71" s="182"/>
      <c r="AV71" s="187">
        <f>IFERROR(__xludf.DUMMYFUNCTION("""COMPUTED_VALUE"""),45801.0)</f>
        <v>45801</v>
      </c>
      <c r="AW71" s="182" t="b">
        <f>IFERROR(__xludf.DUMMYFUNCTION("""COMPUTED_VALUE"""),FALSE)</f>
        <v>0</v>
      </c>
      <c r="AX71" s="182"/>
      <c r="AY71" s="182"/>
      <c r="AZ71" s="187">
        <f>IFERROR(__xludf.DUMMYFUNCTION("""COMPUTED_VALUE"""),45827.0)</f>
        <v>45827</v>
      </c>
      <c r="BA71" s="182" t="b">
        <f>IFERROR(__xludf.DUMMYFUNCTION("""COMPUTED_VALUE"""),FALSE)</f>
        <v>0</v>
      </c>
      <c r="BB71" s="187">
        <f>IFERROR(__xludf.DUMMYFUNCTION("""COMPUTED_VALUE"""),45827.0)</f>
        <v>45827</v>
      </c>
    </row>
    <row r="72">
      <c r="A72" s="184" t="str">
        <f t="shared" si="1"/>
        <v>#VALUE!</v>
      </c>
      <c r="B72" s="69" t="str">
        <f t="shared" si="2"/>
        <v>#VALUE!</v>
      </c>
      <c r="C72" s="182" t="str">
        <f>IFERROR(__xludf.DUMMYFUNCTION("""COMPUTED_VALUE"""),"GSTORE")</f>
        <v>GSTORE</v>
      </c>
      <c r="D72" s="182" t="str">
        <f>IFERROR(__xludf.DUMMYFUNCTION("""COMPUTED_VALUE"""),"MP")</f>
        <v>MP</v>
      </c>
      <c r="E72" s="182" t="str">
        <f>IFERROR(__xludf.DUMMYFUNCTION("""COMPUTED_VALUE"""),"Press")</f>
        <v>Press</v>
      </c>
      <c r="F72" s="182" t="str">
        <f>IFERROR(__xludf.DUMMYFUNCTION("""COMPUTED_VALUE"""),"GA10797-US-N")</f>
        <v>GA10797-US-N</v>
      </c>
      <c r="G72" s="182" t="str">
        <f>IFERROR(__xludf.DUMMYFUNCTION("""COMPUTED_VALUE"""),"G4QUR")</f>
        <v>G4QUR</v>
      </c>
      <c r="H72" s="182">
        <f>IFERROR(__xludf.DUMMYFUNCTION("""COMPUTED_VALUE"""),8.40353937635E11)</f>
        <v>840353937635</v>
      </c>
      <c r="I72" s="185" t="str">
        <f>IFERROR(__xludf.DUMMYFUNCTION("""COMPUTED_VALUE"""),"0840353937635")</f>
        <v>0840353937635</v>
      </c>
      <c r="J72" s="182"/>
      <c r="K72" s="182" t="str">
        <f>IFERROR(__xludf.DUMMYFUNCTION("""COMPUTED_VALUE"""),"ROW Master Carton Label (UPC)")</f>
        <v>ROW Master Carton Label (UPC)</v>
      </c>
      <c r="L72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72" s="188" t="str">
        <f>IFERROR(__xludf.DUMMYFUNCTION("""COMPUTED_VALUE"""),"G990-08499-21-02")</f>
        <v>G990-08499-21-02</v>
      </c>
      <c r="N72" s="182"/>
      <c r="O72" s="188" t="str">
        <f>IFERROR(__xludf.DUMMYFUNCTION("""COMPUTED_VALUE"""),"G990-08493-00-01")</f>
        <v>G990-08493-00-01</v>
      </c>
      <c r="P72" s="182"/>
      <c r="Q72" s="182" t="str">
        <f>IFERROR(__xludf.DUMMYFUNCTION("""COMPUTED_VALUE"""),"128GB")</f>
        <v>128GB</v>
      </c>
      <c r="R72" s="182" t="str">
        <f>IFERROR(__xludf.DUMMYFUNCTION("""COMPUTED_VALUE"""),"Porcelain")</f>
        <v>Porcelain</v>
      </c>
      <c r="S72" s="182" t="str">
        <f>IFERROR(__xludf.DUMMYFUNCTION("""COMPUTED_VALUE"""),"Light Porcelain")</f>
        <v>Light Porcelain</v>
      </c>
      <c r="T72" s="182" t="str">
        <f>IFERROR(__xludf.DUMMYFUNCTION("""COMPUTED_VALUE"""),"US GStore")</f>
        <v>US GStore</v>
      </c>
      <c r="U72" s="182" t="str">
        <f>IFERROR(__xludf.DUMMYFUNCTION("""COMPUTED_VALUE"""),"SKU,CLR2, GOOD, MMWAVE, US GSTORE, PRESS, BZ5")</f>
        <v>SKU,CLR2, GOOD, MMWAVE, US GSTORE, PRESS, BZ5</v>
      </c>
      <c r="V72" s="182"/>
      <c r="W72" s="183" t="str">
        <f>IFERROR(__xludf.DUMMYFUNCTION("""COMPUTED_VALUE"""),"#NUM!")</f>
        <v>#NUM!</v>
      </c>
      <c r="X72" s="186">
        <f>IFERROR(__xludf.DUMMYFUNCTION("""COMPUTED_VALUE"""),45831.0)</f>
        <v>45831</v>
      </c>
      <c r="Y72" s="187">
        <f>IFERROR(__xludf.DUMMYFUNCTION("""COMPUTED_VALUE"""),45780.0)</f>
        <v>45780</v>
      </c>
      <c r="Z72" s="182" t="b">
        <f>IFERROR(__xludf.DUMMYFUNCTION("""COMPUTED_VALUE"""),FALSE)</f>
        <v>0</v>
      </c>
      <c r="AA72" s="187">
        <f>IFERROR(__xludf.DUMMYFUNCTION("""COMPUTED_VALUE"""),45780.0)</f>
        <v>45780</v>
      </c>
      <c r="AB72" s="182" t="b">
        <f>IFERROR(__xludf.DUMMYFUNCTION("""COMPUTED_VALUE"""),FALSE)</f>
        <v>0</v>
      </c>
      <c r="AC72" s="187">
        <f>IFERROR(__xludf.DUMMYFUNCTION("""COMPUTED_VALUE"""),45787.0)</f>
        <v>45787</v>
      </c>
      <c r="AD72" s="187">
        <f>IFERROR(__xludf.DUMMYFUNCTION("""COMPUTED_VALUE"""),45787.0)</f>
        <v>45787</v>
      </c>
      <c r="AE72" s="188" t="str">
        <f>IFERROR(__xludf.DUMMYFUNCTION("""COMPUTED_VALUE"""),"GA10797-US-N")</f>
        <v>GA10797-US-N</v>
      </c>
      <c r="AF72" s="182"/>
      <c r="AG72" s="188" t="str">
        <f>IFERROR(__xludf.DUMMYFUNCTION("""COMPUTED_VALUE"""),"GA10797-US-N")</f>
        <v>GA10797-US-N</v>
      </c>
      <c r="AH72" s="188" t="str">
        <f>IFERROR(__xludf.DUMMYFUNCTION("""COMPUTED_VALUE"""),"GA10797-US-N")</f>
        <v>GA10797-US-N</v>
      </c>
      <c r="AI72" s="188" t="str">
        <f>IFERROR(__xludf.DUMMYFUNCTION("""COMPUTED_VALUE"""),"GA10797-US-N")</f>
        <v>GA10797-US-N</v>
      </c>
      <c r="AJ72" s="187">
        <f>IFERROR(__xludf.DUMMYFUNCTION("""COMPUTED_VALUE"""),45793.0)</f>
        <v>45793</v>
      </c>
      <c r="AK72" s="187">
        <f>IFERROR(__xludf.DUMMYFUNCTION("""COMPUTED_VALUE"""),45801.0)</f>
        <v>45801</v>
      </c>
      <c r="AL72" s="182" t="b">
        <f>IFERROR(__xludf.DUMMYFUNCTION("""COMPUTED_VALUE"""),FALSE)</f>
        <v>0</v>
      </c>
      <c r="AM72" s="182" t="b">
        <f>IFERROR(__xludf.DUMMYFUNCTION("""COMPUTED_VALUE"""),FALSE)</f>
        <v>0</v>
      </c>
      <c r="AN72" s="187">
        <f>IFERROR(__xludf.DUMMYFUNCTION("""COMPUTED_VALUE"""),45801.0)</f>
        <v>45801</v>
      </c>
      <c r="AO72" s="182" t="b">
        <f>IFERROR(__xludf.DUMMYFUNCTION("""COMPUTED_VALUE"""),FALSE)</f>
        <v>0</v>
      </c>
      <c r="AP72" s="182" t="str">
        <f>IFERROR(__xludf.DUMMYFUNCTION("""COMPUTED_VALUE"""),"N")</f>
        <v>N</v>
      </c>
      <c r="AQ72" s="182"/>
      <c r="AR72" s="187">
        <f>IFERROR(__xludf.DUMMYFUNCTION("""COMPUTED_VALUE"""),45801.0)</f>
        <v>45801</v>
      </c>
      <c r="AS72" s="182" t="b">
        <f>IFERROR(__xludf.DUMMYFUNCTION("""COMPUTED_VALUE"""),FALSE)</f>
        <v>0</v>
      </c>
      <c r="AT72" s="182"/>
      <c r="AU72" s="182"/>
      <c r="AV72" s="187">
        <f>IFERROR(__xludf.DUMMYFUNCTION("""COMPUTED_VALUE"""),45801.0)</f>
        <v>45801</v>
      </c>
      <c r="AW72" s="182" t="b">
        <f>IFERROR(__xludf.DUMMYFUNCTION("""COMPUTED_VALUE"""),FALSE)</f>
        <v>0</v>
      </c>
      <c r="AX72" s="182"/>
      <c r="AY72" s="182"/>
      <c r="AZ72" s="187">
        <f>IFERROR(__xludf.DUMMYFUNCTION("""COMPUTED_VALUE"""),45827.0)</f>
        <v>45827</v>
      </c>
      <c r="BA72" s="182" t="b">
        <f>IFERROR(__xludf.DUMMYFUNCTION("""COMPUTED_VALUE"""),FALSE)</f>
        <v>0</v>
      </c>
      <c r="BB72" s="187">
        <f>IFERROR(__xludf.DUMMYFUNCTION("""COMPUTED_VALUE"""),45827.0)</f>
        <v>45827</v>
      </c>
    </row>
    <row r="73">
      <c r="A73" s="184" t="str">
        <f t="shared" si="1"/>
        <v>#VALUE!</v>
      </c>
      <c r="B73" s="69" t="str">
        <f t="shared" si="2"/>
        <v>#VALUE!</v>
      </c>
      <c r="C73" s="182" t="str">
        <f>IFERROR(__xludf.DUMMYFUNCTION("""COMPUTED_VALUE"""),"GSTORE")</f>
        <v>GSTORE</v>
      </c>
      <c r="D73" s="182" t="str">
        <f>IFERROR(__xludf.DUMMYFUNCTION("""COMPUTED_VALUE"""),"MP")</f>
        <v>MP</v>
      </c>
      <c r="E73" s="182" t="str">
        <f>IFERROR(__xludf.DUMMYFUNCTION("""COMPUTED_VALUE"""),"Press")</f>
        <v>Press</v>
      </c>
      <c r="F73" s="182" t="str">
        <f>IFERROR(__xludf.DUMMYFUNCTION("""COMPUTED_VALUE"""),"GA10798-US-N")</f>
        <v>GA10798-US-N</v>
      </c>
      <c r="G73" s="182" t="str">
        <f>IFERROR(__xludf.DUMMYFUNCTION("""COMPUTED_VALUE"""),"G4QUR")</f>
        <v>G4QUR</v>
      </c>
      <c r="H73" s="182">
        <f>IFERROR(__xludf.DUMMYFUNCTION("""COMPUTED_VALUE"""),8.40353937673E11)</f>
        <v>840353937673</v>
      </c>
      <c r="I73" s="185" t="str">
        <f>IFERROR(__xludf.DUMMYFUNCTION("""COMPUTED_VALUE"""),"0840353937673")</f>
        <v>0840353937673</v>
      </c>
      <c r="J73" s="182"/>
      <c r="K73" s="182" t="str">
        <f>IFERROR(__xludf.DUMMYFUNCTION("""COMPUTED_VALUE"""),"ROW Master Carton Label (UPC)")</f>
        <v>ROW Master Carton Label (UPC)</v>
      </c>
      <c r="L73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73" s="188" t="str">
        <f>IFERROR(__xludf.DUMMYFUNCTION("""COMPUTED_VALUE"""),"G990-08499-31-02")</f>
        <v>G990-08499-31-02</v>
      </c>
      <c r="N73" s="182"/>
      <c r="O73" s="188" t="str">
        <f>IFERROR(__xludf.DUMMYFUNCTION("""COMPUTED_VALUE"""),"G990-08493-00-01")</f>
        <v>G990-08493-00-01</v>
      </c>
      <c r="P73" s="182"/>
      <c r="Q73" s="182" t="str">
        <f>IFERROR(__xludf.DUMMYFUNCTION("""COMPUTED_VALUE"""),"128GB")</f>
        <v>128GB</v>
      </c>
      <c r="R73" s="182" t="str">
        <f>IFERROR(__xludf.DUMMYFUNCTION("""COMPUTED_VALUE"""),"Moonstone")</f>
        <v>Moonstone</v>
      </c>
      <c r="S73" s="182" t="str">
        <f>IFERROR(__xludf.DUMMYFUNCTION("""COMPUTED_VALUE"""),"Sterling")</f>
        <v>Sterling</v>
      </c>
      <c r="T73" s="182" t="str">
        <f>IFERROR(__xludf.DUMMYFUNCTION("""COMPUTED_VALUE"""),"US GStore")</f>
        <v>US GStore</v>
      </c>
      <c r="U73" s="182" t="str">
        <f>IFERROR(__xludf.DUMMYFUNCTION("""COMPUTED_VALUE"""),"SKU,CLR3, GOOD, MMWAVE, US GSTORE, PRESS, BZ5")</f>
        <v>SKU,CLR3, GOOD, MMWAVE, US GSTORE, PRESS, BZ5</v>
      </c>
      <c r="V73" s="182"/>
      <c r="W73" s="183" t="str">
        <f>IFERROR(__xludf.DUMMYFUNCTION("""COMPUTED_VALUE"""),"#NUM!")</f>
        <v>#NUM!</v>
      </c>
      <c r="X73" s="186">
        <f>IFERROR(__xludf.DUMMYFUNCTION("""COMPUTED_VALUE"""),45831.0)</f>
        <v>45831</v>
      </c>
      <c r="Y73" s="187">
        <f>IFERROR(__xludf.DUMMYFUNCTION("""COMPUTED_VALUE"""),45780.0)</f>
        <v>45780</v>
      </c>
      <c r="Z73" s="182" t="b">
        <f>IFERROR(__xludf.DUMMYFUNCTION("""COMPUTED_VALUE"""),FALSE)</f>
        <v>0</v>
      </c>
      <c r="AA73" s="187">
        <f>IFERROR(__xludf.DUMMYFUNCTION("""COMPUTED_VALUE"""),45780.0)</f>
        <v>45780</v>
      </c>
      <c r="AB73" s="182" t="b">
        <f>IFERROR(__xludf.DUMMYFUNCTION("""COMPUTED_VALUE"""),FALSE)</f>
        <v>0</v>
      </c>
      <c r="AC73" s="187">
        <f>IFERROR(__xludf.DUMMYFUNCTION("""COMPUTED_VALUE"""),45787.0)</f>
        <v>45787</v>
      </c>
      <c r="AD73" s="187">
        <f>IFERROR(__xludf.DUMMYFUNCTION("""COMPUTED_VALUE"""),45787.0)</f>
        <v>45787</v>
      </c>
      <c r="AE73" s="188" t="str">
        <f>IFERROR(__xludf.DUMMYFUNCTION("""COMPUTED_VALUE"""),"GA10798-US-N")</f>
        <v>GA10798-US-N</v>
      </c>
      <c r="AF73" s="182"/>
      <c r="AG73" s="188" t="str">
        <f>IFERROR(__xludf.DUMMYFUNCTION("""COMPUTED_VALUE"""),"GA10798-US-N")</f>
        <v>GA10798-US-N</v>
      </c>
      <c r="AH73" s="188" t="str">
        <f>IFERROR(__xludf.DUMMYFUNCTION("""COMPUTED_VALUE"""),"GA10798-US-N")</f>
        <v>GA10798-US-N</v>
      </c>
      <c r="AI73" s="188" t="str">
        <f>IFERROR(__xludf.DUMMYFUNCTION("""COMPUTED_VALUE"""),"GA10798-US-N")</f>
        <v>GA10798-US-N</v>
      </c>
      <c r="AJ73" s="187">
        <f>IFERROR(__xludf.DUMMYFUNCTION("""COMPUTED_VALUE"""),45793.0)</f>
        <v>45793</v>
      </c>
      <c r="AK73" s="187">
        <f>IFERROR(__xludf.DUMMYFUNCTION("""COMPUTED_VALUE"""),45801.0)</f>
        <v>45801</v>
      </c>
      <c r="AL73" s="182" t="b">
        <f>IFERROR(__xludf.DUMMYFUNCTION("""COMPUTED_VALUE"""),FALSE)</f>
        <v>0</v>
      </c>
      <c r="AM73" s="182" t="b">
        <f>IFERROR(__xludf.DUMMYFUNCTION("""COMPUTED_VALUE"""),FALSE)</f>
        <v>0</v>
      </c>
      <c r="AN73" s="187">
        <f>IFERROR(__xludf.DUMMYFUNCTION("""COMPUTED_VALUE"""),45801.0)</f>
        <v>45801</v>
      </c>
      <c r="AO73" s="182" t="b">
        <f>IFERROR(__xludf.DUMMYFUNCTION("""COMPUTED_VALUE"""),FALSE)</f>
        <v>0</v>
      </c>
      <c r="AP73" s="182" t="str">
        <f>IFERROR(__xludf.DUMMYFUNCTION("""COMPUTED_VALUE"""),"Y")</f>
        <v>Y</v>
      </c>
      <c r="AQ73" s="182"/>
      <c r="AR73" s="187">
        <f>IFERROR(__xludf.DUMMYFUNCTION("""COMPUTED_VALUE"""),45801.0)</f>
        <v>45801</v>
      </c>
      <c r="AS73" s="182" t="b">
        <f>IFERROR(__xludf.DUMMYFUNCTION("""COMPUTED_VALUE"""),FALSE)</f>
        <v>0</v>
      </c>
      <c r="AT73" s="182"/>
      <c r="AU73" s="182"/>
      <c r="AV73" s="187">
        <f>IFERROR(__xludf.DUMMYFUNCTION("""COMPUTED_VALUE"""),45801.0)</f>
        <v>45801</v>
      </c>
      <c r="AW73" s="182" t="b">
        <f>IFERROR(__xludf.DUMMYFUNCTION("""COMPUTED_VALUE"""),FALSE)</f>
        <v>0</v>
      </c>
      <c r="AX73" s="182"/>
      <c r="AY73" s="182"/>
      <c r="AZ73" s="187">
        <f>IFERROR(__xludf.DUMMYFUNCTION("""COMPUTED_VALUE"""),45827.0)</f>
        <v>45827</v>
      </c>
      <c r="BA73" s="182" t="b">
        <f>IFERROR(__xludf.DUMMYFUNCTION("""COMPUTED_VALUE"""),FALSE)</f>
        <v>0</v>
      </c>
      <c r="BB73" s="187">
        <f>IFERROR(__xludf.DUMMYFUNCTION("""COMPUTED_VALUE"""),45827.0)</f>
        <v>45827</v>
      </c>
    </row>
    <row r="74">
      <c r="A74" s="184" t="str">
        <f t="shared" si="1"/>
        <v>#VALUE!</v>
      </c>
      <c r="B74" s="69" t="str">
        <f t="shared" si="2"/>
        <v>#VALUE!</v>
      </c>
      <c r="C74" s="182" t="str">
        <f>IFERROR(__xludf.DUMMYFUNCTION("""COMPUTED_VALUE"""),"GSTORE")</f>
        <v>GSTORE</v>
      </c>
      <c r="D74" s="182" t="str">
        <f>IFERROR(__xludf.DUMMYFUNCTION("""COMPUTED_VALUE"""),"MP")</f>
        <v>MP</v>
      </c>
      <c r="E74" s="182" t="str">
        <f>IFERROR(__xludf.DUMMYFUNCTION("""COMPUTED_VALUE"""),"Press")</f>
        <v>Press</v>
      </c>
      <c r="F74" s="182" t="str">
        <f>IFERROR(__xludf.DUMMYFUNCTION("""COMPUTED_VALUE"""),"GA10799-US-N")</f>
        <v>GA10799-US-N</v>
      </c>
      <c r="G74" s="182" t="str">
        <f>IFERROR(__xludf.DUMMYFUNCTION("""COMPUTED_VALUE"""),"G4QUR")</f>
        <v>G4QUR</v>
      </c>
      <c r="H74" s="182">
        <f>IFERROR(__xludf.DUMMYFUNCTION("""COMPUTED_VALUE"""),8.4035393771E11)</f>
        <v>840353937710</v>
      </c>
      <c r="I74" s="185" t="str">
        <f>IFERROR(__xludf.DUMMYFUNCTION("""COMPUTED_VALUE"""),"0840353937710")</f>
        <v>0840353937710</v>
      </c>
      <c r="J74" s="182"/>
      <c r="K74" s="182"/>
      <c r="L74" s="182"/>
      <c r="M74" s="188" t="str">
        <f>IFERROR(__xludf.DUMMYFUNCTION("""COMPUTED_VALUE"""),"G990-08499-41-02")</f>
        <v>G990-08499-41-02</v>
      </c>
      <c r="N74" s="182"/>
      <c r="O74" s="188" t="str">
        <f>IFERROR(__xludf.DUMMYFUNCTION("""COMPUTED_VALUE"""),"G990-08493-00-01")</f>
        <v>G990-08493-00-01</v>
      </c>
      <c r="P74" s="182"/>
      <c r="Q74" s="182" t="str">
        <f>IFERROR(__xludf.DUMMYFUNCTION("""COMPUTED_VALUE"""),"128GB")</f>
        <v>128GB</v>
      </c>
      <c r="R74" s="182" t="str">
        <f>IFERROR(__xludf.DUMMYFUNCTION("""COMPUTED_VALUE"""),"Jade")</f>
        <v>Jade</v>
      </c>
      <c r="S74" s="182" t="str">
        <f>IFERROR(__xludf.DUMMYFUNCTION("""COMPUTED_VALUE"""),"Smokey Green")</f>
        <v>Smokey Green</v>
      </c>
      <c r="T74" s="182" t="str">
        <f>IFERROR(__xludf.DUMMYFUNCTION("""COMPUTED_VALUE"""),"US GStore")</f>
        <v>US GStore</v>
      </c>
      <c r="U74" s="182" t="str">
        <f>IFERROR(__xludf.DUMMYFUNCTION("""COMPUTED_VALUE"""),"SKU,CLR4, GOOD, MMWAVE, US GSTORE, PRESS, BZ5")</f>
        <v>SKU,CLR4, GOOD, MMWAVE, US GSTORE, PRESS, BZ5</v>
      </c>
      <c r="V74" s="182"/>
      <c r="W74" s="183" t="str">
        <f>IFERROR(__xludf.DUMMYFUNCTION("""COMPUTED_VALUE"""),"#NUM!")</f>
        <v>#NUM!</v>
      </c>
      <c r="X74" s="186">
        <f>IFERROR(__xludf.DUMMYFUNCTION("""COMPUTED_VALUE"""),45831.0)</f>
        <v>45831</v>
      </c>
      <c r="Y74" s="187">
        <f>IFERROR(__xludf.DUMMYFUNCTION("""COMPUTED_VALUE"""),45780.0)</f>
        <v>45780</v>
      </c>
      <c r="Z74" s="182" t="b">
        <f>IFERROR(__xludf.DUMMYFUNCTION("""COMPUTED_VALUE"""),FALSE)</f>
        <v>0</v>
      </c>
      <c r="AA74" s="187">
        <f>IFERROR(__xludf.DUMMYFUNCTION("""COMPUTED_VALUE"""),45780.0)</f>
        <v>45780</v>
      </c>
      <c r="AB74" s="182" t="b">
        <f>IFERROR(__xludf.DUMMYFUNCTION("""COMPUTED_VALUE"""),FALSE)</f>
        <v>0</v>
      </c>
      <c r="AC74" s="187">
        <f>IFERROR(__xludf.DUMMYFUNCTION("""COMPUTED_VALUE"""),45787.0)</f>
        <v>45787</v>
      </c>
      <c r="AD74" s="187">
        <f>IFERROR(__xludf.DUMMYFUNCTION("""COMPUTED_VALUE"""),45787.0)</f>
        <v>45787</v>
      </c>
      <c r="AE74" s="182"/>
      <c r="AF74" s="182"/>
      <c r="AG74" s="182"/>
      <c r="AH74" s="182"/>
      <c r="AI74" s="188" t="str">
        <f>IFERROR(__xludf.DUMMYFUNCTION("""COMPUTED_VALUE"""),"GA10799-US-N")</f>
        <v>GA10799-US-N</v>
      </c>
      <c r="AJ74" s="187">
        <f>IFERROR(__xludf.DUMMYFUNCTION("""COMPUTED_VALUE"""),45793.0)</f>
        <v>45793</v>
      </c>
      <c r="AK74" s="187">
        <f>IFERROR(__xludf.DUMMYFUNCTION("""COMPUTED_VALUE"""),45801.0)</f>
        <v>45801</v>
      </c>
      <c r="AL74" s="182" t="b">
        <f>IFERROR(__xludf.DUMMYFUNCTION("""COMPUTED_VALUE"""),FALSE)</f>
        <v>0</v>
      </c>
      <c r="AM74" s="182" t="b">
        <f>IFERROR(__xludf.DUMMYFUNCTION("""COMPUTED_VALUE"""),FALSE)</f>
        <v>0</v>
      </c>
      <c r="AN74" s="187">
        <f>IFERROR(__xludf.DUMMYFUNCTION("""COMPUTED_VALUE"""),45801.0)</f>
        <v>45801</v>
      </c>
      <c r="AO74" s="182" t="b">
        <f>IFERROR(__xludf.DUMMYFUNCTION("""COMPUTED_VALUE"""),FALSE)</f>
        <v>0</v>
      </c>
      <c r="AP74" s="182"/>
      <c r="AQ74" s="182"/>
      <c r="AR74" s="187">
        <f>IFERROR(__xludf.DUMMYFUNCTION("""COMPUTED_VALUE"""),45801.0)</f>
        <v>45801</v>
      </c>
      <c r="AS74" s="182"/>
      <c r="AT74" s="182"/>
      <c r="AU74" s="182"/>
      <c r="AV74" s="187">
        <f>IFERROR(__xludf.DUMMYFUNCTION("""COMPUTED_VALUE"""),45801.0)</f>
        <v>45801</v>
      </c>
      <c r="AW74" s="182" t="b">
        <f>IFERROR(__xludf.DUMMYFUNCTION("""COMPUTED_VALUE"""),FALSE)</f>
        <v>0</v>
      </c>
      <c r="AX74" s="182"/>
      <c r="AY74" s="182"/>
      <c r="AZ74" s="187">
        <f>IFERROR(__xludf.DUMMYFUNCTION("""COMPUTED_VALUE"""),45827.0)</f>
        <v>45827</v>
      </c>
      <c r="BA74" s="182" t="b">
        <f>IFERROR(__xludf.DUMMYFUNCTION("""COMPUTED_VALUE"""),FALSE)</f>
        <v>0</v>
      </c>
      <c r="BB74" s="187">
        <f>IFERROR(__xludf.DUMMYFUNCTION("""COMPUTED_VALUE"""),45827.0)</f>
        <v>45827</v>
      </c>
    </row>
    <row r="75">
      <c r="A75" s="184" t="str">
        <f t="shared" si="1"/>
        <v>#VALUE!</v>
      </c>
      <c r="B75" s="69" t="str">
        <f t="shared" si="2"/>
        <v>#VALUE!</v>
      </c>
      <c r="C75" s="182" t="str">
        <f>IFERROR(__xludf.DUMMYFUNCTION("""COMPUTED_VALUE"""),"GSTORE")</f>
        <v>GSTORE</v>
      </c>
      <c r="D75" s="182" t="str">
        <f>IFERROR(__xludf.DUMMYFUNCTION("""COMPUTED_VALUE"""),"MP")</f>
        <v>MP</v>
      </c>
      <c r="E75" s="182" t="str">
        <f>IFERROR(__xludf.DUMMYFUNCTION("""COMPUTED_VALUE"""),"Press")</f>
        <v>Press</v>
      </c>
      <c r="F75" s="182" t="str">
        <f>IFERROR(__xludf.DUMMYFUNCTION("""COMPUTED_VALUE"""),"GA10800-US-N")</f>
        <v>GA10800-US-N</v>
      </c>
      <c r="G75" s="182" t="str">
        <f>IFERROR(__xludf.DUMMYFUNCTION("""COMPUTED_VALUE"""),"G4QUR")</f>
        <v>G4QUR</v>
      </c>
      <c r="H75" s="182">
        <f>IFERROR(__xludf.DUMMYFUNCTION("""COMPUTED_VALUE"""),8.40353937758E11)</f>
        <v>840353937758</v>
      </c>
      <c r="I75" s="185" t="str">
        <f>IFERROR(__xludf.DUMMYFUNCTION("""COMPUTED_VALUE"""),"0840353937758")</f>
        <v>0840353937758</v>
      </c>
      <c r="J75" s="182"/>
      <c r="K75" s="182"/>
      <c r="L75" s="182"/>
      <c r="M75" s="188" t="str">
        <f>IFERROR(__xludf.DUMMYFUNCTION("""COMPUTED_VALUE"""),"G990-08499-12-02")</f>
        <v>G990-08499-12-02</v>
      </c>
      <c r="N75" s="182"/>
      <c r="O75" s="188" t="str">
        <f>IFERROR(__xludf.DUMMYFUNCTION("""COMPUTED_VALUE"""),"G990-08493-00-01")</f>
        <v>G990-08493-00-01</v>
      </c>
      <c r="P75" s="182"/>
      <c r="Q75" s="182" t="str">
        <f>IFERROR(__xludf.DUMMYFUNCTION("""COMPUTED_VALUE"""),"256GB")</f>
        <v>256GB</v>
      </c>
      <c r="R75" s="182" t="str">
        <f>IFERROR(__xludf.DUMMYFUNCTION("""COMPUTED_VALUE"""),"Obsidian")</f>
        <v>Obsidian</v>
      </c>
      <c r="S75" s="182" t="str">
        <f>IFERROR(__xludf.DUMMYFUNCTION("""COMPUTED_VALUE"""),"Midnight")</f>
        <v>Midnight</v>
      </c>
      <c r="T75" s="182" t="str">
        <f>IFERROR(__xludf.DUMMYFUNCTION("""COMPUTED_VALUE"""),"US GStore")</f>
        <v>US GStore</v>
      </c>
      <c r="U75" s="182" t="str">
        <f>IFERROR(__xludf.DUMMYFUNCTION("""COMPUTED_VALUE"""),"SKU,CLR1, BETTER, MMWAVE, US GSTORE, PRESS, BZ5")</f>
        <v>SKU,CLR1, BETTER, MMWAVE, US GSTORE, PRESS, BZ5</v>
      </c>
      <c r="V75" s="182"/>
      <c r="W75" s="183" t="str">
        <f>IFERROR(__xludf.DUMMYFUNCTION("""COMPUTED_VALUE"""),"#NUM!")</f>
        <v>#NUM!</v>
      </c>
      <c r="X75" s="186">
        <f>IFERROR(__xludf.DUMMYFUNCTION("""COMPUTED_VALUE"""),45831.0)</f>
        <v>45831</v>
      </c>
      <c r="Y75" s="187">
        <f>IFERROR(__xludf.DUMMYFUNCTION("""COMPUTED_VALUE"""),45780.0)</f>
        <v>45780</v>
      </c>
      <c r="Z75" s="182" t="b">
        <f>IFERROR(__xludf.DUMMYFUNCTION("""COMPUTED_VALUE"""),FALSE)</f>
        <v>0</v>
      </c>
      <c r="AA75" s="187">
        <f>IFERROR(__xludf.DUMMYFUNCTION("""COMPUTED_VALUE"""),45780.0)</f>
        <v>45780</v>
      </c>
      <c r="AB75" s="182" t="b">
        <f>IFERROR(__xludf.DUMMYFUNCTION("""COMPUTED_VALUE"""),FALSE)</f>
        <v>0</v>
      </c>
      <c r="AC75" s="187">
        <f>IFERROR(__xludf.DUMMYFUNCTION("""COMPUTED_VALUE"""),45787.0)</f>
        <v>45787</v>
      </c>
      <c r="AD75" s="187">
        <f>IFERROR(__xludf.DUMMYFUNCTION("""COMPUTED_VALUE"""),45787.0)</f>
        <v>45787</v>
      </c>
      <c r="AE75" s="182"/>
      <c r="AF75" s="182"/>
      <c r="AG75" s="182"/>
      <c r="AH75" s="182"/>
      <c r="AI75" s="188" t="str">
        <f>IFERROR(__xludf.DUMMYFUNCTION("""COMPUTED_VALUE"""),"GA10800-US-N")</f>
        <v>GA10800-US-N</v>
      </c>
      <c r="AJ75" s="187">
        <f>IFERROR(__xludf.DUMMYFUNCTION("""COMPUTED_VALUE"""),45793.0)</f>
        <v>45793</v>
      </c>
      <c r="AK75" s="187">
        <f>IFERROR(__xludf.DUMMYFUNCTION("""COMPUTED_VALUE"""),45801.0)</f>
        <v>45801</v>
      </c>
      <c r="AL75" s="182" t="b">
        <f>IFERROR(__xludf.DUMMYFUNCTION("""COMPUTED_VALUE"""),FALSE)</f>
        <v>0</v>
      </c>
      <c r="AM75" s="182" t="b">
        <f>IFERROR(__xludf.DUMMYFUNCTION("""COMPUTED_VALUE"""),FALSE)</f>
        <v>0</v>
      </c>
      <c r="AN75" s="187">
        <f>IFERROR(__xludf.DUMMYFUNCTION("""COMPUTED_VALUE"""),45801.0)</f>
        <v>45801</v>
      </c>
      <c r="AO75" s="182" t="b">
        <f>IFERROR(__xludf.DUMMYFUNCTION("""COMPUTED_VALUE"""),FALSE)</f>
        <v>0</v>
      </c>
      <c r="AP75" s="182"/>
      <c r="AQ75" s="182"/>
      <c r="AR75" s="187">
        <f>IFERROR(__xludf.DUMMYFUNCTION("""COMPUTED_VALUE"""),45801.0)</f>
        <v>45801</v>
      </c>
      <c r="AS75" s="182"/>
      <c r="AT75" s="182"/>
      <c r="AU75" s="182"/>
      <c r="AV75" s="187">
        <f>IFERROR(__xludf.DUMMYFUNCTION("""COMPUTED_VALUE"""),45801.0)</f>
        <v>45801</v>
      </c>
      <c r="AW75" s="182" t="b">
        <f>IFERROR(__xludf.DUMMYFUNCTION("""COMPUTED_VALUE"""),FALSE)</f>
        <v>0</v>
      </c>
      <c r="AX75" s="182"/>
      <c r="AY75" s="182"/>
      <c r="AZ75" s="187">
        <f>IFERROR(__xludf.DUMMYFUNCTION("""COMPUTED_VALUE"""),45827.0)</f>
        <v>45827</v>
      </c>
      <c r="BA75" s="182" t="b">
        <f>IFERROR(__xludf.DUMMYFUNCTION("""COMPUTED_VALUE"""),FALSE)</f>
        <v>0</v>
      </c>
      <c r="BB75" s="187">
        <f>IFERROR(__xludf.DUMMYFUNCTION("""COMPUTED_VALUE"""),45827.0)</f>
        <v>45827</v>
      </c>
    </row>
    <row r="76">
      <c r="A76" s="184" t="str">
        <f t="shared" si="1"/>
        <v>#VALUE!</v>
      </c>
      <c r="B76" s="69" t="str">
        <f t="shared" si="2"/>
        <v>#VALUE!</v>
      </c>
      <c r="C76" s="182" t="str">
        <f>IFERROR(__xludf.DUMMYFUNCTION("""COMPUTED_VALUE"""),"GSTORE")</f>
        <v>GSTORE</v>
      </c>
      <c r="D76" s="182" t="str">
        <f>IFERROR(__xludf.DUMMYFUNCTION("""COMPUTED_VALUE"""),"MP")</f>
        <v>MP</v>
      </c>
      <c r="E76" s="182" t="str">
        <f>IFERROR(__xludf.DUMMYFUNCTION("""COMPUTED_VALUE"""),"Press")</f>
        <v>Press</v>
      </c>
      <c r="F76" s="182" t="str">
        <f>IFERROR(__xludf.DUMMYFUNCTION("""COMPUTED_VALUE"""),"GA10801-US-N")</f>
        <v>GA10801-US-N</v>
      </c>
      <c r="G76" s="182" t="str">
        <f>IFERROR(__xludf.DUMMYFUNCTION("""COMPUTED_VALUE"""),"G4QUR")</f>
        <v>G4QUR</v>
      </c>
      <c r="H76" s="182">
        <f>IFERROR(__xludf.DUMMYFUNCTION("""COMPUTED_VALUE"""),8.40353937796E11)</f>
        <v>840353937796</v>
      </c>
      <c r="I76" s="185" t="str">
        <f>IFERROR(__xludf.DUMMYFUNCTION("""COMPUTED_VALUE"""),"0840353937796")</f>
        <v>0840353937796</v>
      </c>
      <c r="J76" s="182"/>
      <c r="K76" s="182"/>
      <c r="L76" s="182"/>
      <c r="M76" s="188" t="str">
        <f>IFERROR(__xludf.DUMMYFUNCTION("""COMPUTED_VALUE"""),"G990-08499-22-02")</f>
        <v>G990-08499-22-02</v>
      </c>
      <c r="N76" s="182"/>
      <c r="O76" s="188" t="str">
        <f>IFERROR(__xludf.DUMMYFUNCTION("""COMPUTED_VALUE"""),"G990-08493-00-01")</f>
        <v>G990-08493-00-01</v>
      </c>
      <c r="P76" s="182"/>
      <c r="Q76" s="182" t="str">
        <f>IFERROR(__xludf.DUMMYFUNCTION("""COMPUTED_VALUE"""),"256GB")</f>
        <v>256GB</v>
      </c>
      <c r="R76" s="182" t="str">
        <f>IFERROR(__xludf.DUMMYFUNCTION("""COMPUTED_VALUE"""),"Porcelain")</f>
        <v>Porcelain</v>
      </c>
      <c r="S76" s="182" t="str">
        <f>IFERROR(__xludf.DUMMYFUNCTION("""COMPUTED_VALUE"""),"Light Porcelain")</f>
        <v>Light Porcelain</v>
      </c>
      <c r="T76" s="182" t="str">
        <f>IFERROR(__xludf.DUMMYFUNCTION("""COMPUTED_VALUE"""),"US GStore")</f>
        <v>US GStore</v>
      </c>
      <c r="U76" s="182" t="str">
        <f>IFERROR(__xludf.DUMMYFUNCTION("""COMPUTED_VALUE"""),"SKU,CLR2, BETTER, MMWAVE, US GSTORE, PRESS, BZ5")</f>
        <v>SKU,CLR2, BETTER, MMWAVE, US GSTORE, PRESS, BZ5</v>
      </c>
      <c r="V76" s="182"/>
      <c r="W76" s="183" t="str">
        <f>IFERROR(__xludf.DUMMYFUNCTION("""COMPUTED_VALUE"""),"#NUM!")</f>
        <v>#NUM!</v>
      </c>
      <c r="X76" s="186">
        <f>IFERROR(__xludf.DUMMYFUNCTION("""COMPUTED_VALUE"""),45831.0)</f>
        <v>45831</v>
      </c>
      <c r="Y76" s="187">
        <f>IFERROR(__xludf.DUMMYFUNCTION("""COMPUTED_VALUE"""),45780.0)</f>
        <v>45780</v>
      </c>
      <c r="Z76" s="182" t="b">
        <f>IFERROR(__xludf.DUMMYFUNCTION("""COMPUTED_VALUE"""),FALSE)</f>
        <v>0</v>
      </c>
      <c r="AA76" s="187">
        <f>IFERROR(__xludf.DUMMYFUNCTION("""COMPUTED_VALUE"""),45780.0)</f>
        <v>45780</v>
      </c>
      <c r="AB76" s="182" t="b">
        <f>IFERROR(__xludf.DUMMYFUNCTION("""COMPUTED_VALUE"""),FALSE)</f>
        <v>0</v>
      </c>
      <c r="AC76" s="187">
        <f>IFERROR(__xludf.DUMMYFUNCTION("""COMPUTED_VALUE"""),45787.0)</f>
        <v>45787</v>
      </c>
      <c r="AD76" s="187">
        <f>IFERROR(__xludf.DUMMYFUNCTION("""COMPUTED_VALUE"""),45787.0)</f>
        <v>45787</v>
      </c>
      <c r="AE76" s="182"/>
      <c r="AF76" s="182"/>
      <c r="AG76" s="182"/>
      <c r="AH76" s="182"/>
      <c r="AI76" s="188" t="str">
        <f>IFERROR(__xludf.DUMMYFUNCTION("""COMPUTED_VALUE"""),"GA10801-US-N")</f>
        <v>GA10801-US-N</v>
      </c>
      <c r="AJ76" s="187">
        <f>IFERROR(__xludf.DUMMYFUNCTION("""COMPUTED_VALUE"""),45793.0)</f>
        <v>45793</v>
      </c>
      <c r="AK76" s="187">
        <f>IFERROR(__xludf.DUMMYFUNCTION("""COMPUTED_VALUE"""),45801.0)</f>
        <v>45801</v>
      </c>
      <c r="AL76" s="182" t="b">
        <f>IFERROR(__xludf.DUMMYFUNCTION("""COMPUTED_VALUE"""),FALSE)</f>
        <v>0</v>
      </c>
      <c r="AM76" s="182" t="b">
        <f>IFERROR(__xludf.DUMMYFUNCTION("""COMPUTED_VALUE"""),FALSE)</f>
        <v>0</v>
      </c>
      <c r="AN76" s="187">
        <f>IFERROR(__xludf.DUMMYFUNCTION("""COMPUTED_VALUE"""),45801.0)</f>
        <v>45801</v>
      </c>
      <c r="AO76" s="182" t="b">
        <f>IFERROR(__xludf.DUMMYFUNCTION("""COMPUTED_VALUE"""),FALSE)</f>
        <v>0</v>
      </c>
      <c r="AP76" s="182"/>
      <c r="AQ76" s="182"/>
      <c r="AR76" s="187">
        <f>IFERROR(__xludf.DUMMYFUNCTION("""COMPUTED_VALUE"""),45801.0)</f>
        <v>45801</v>
      </c>
      <c r="AS76" s="182"/>
      <c r="AT76" s="182"/>
      <c r="AU76" s="182"/>
      <c r="AV76" s="187">
        <f>IFERROR(__xludf.DUMMYFUNCTION("""COMPUTED_VALUE"""),45801.0)</f>
        <v>45801</v>
      </c>
      <c r="AW76" s="182" t="b">
        <f>IFERROR(__xludf.DUMMYFUNCTION("""COMPUTED_VALUE"""),FALSE)</f>
        <v>0</v>
      </c>
      <c r="AX76" s="182"/>
      <c r="AY76" s="182"/>
      <c r="AZ76" s="187">
        <f>IFERROR(__xludf.DUMMYFUNCTION("""COMPUTED_VALUE"""),45827.0)</f>
        <v>45827</v>
      </c>
      <c r="BA76" s="182" t="b">
        <f>IFERROR(__xludf.DUMMYFUNCTION("""COMPUTED_VALUE"""),FALSE)</f>
        <v>0</v>
      </c>
      <c r="BB76" s="187">
        <f>IFERROR(__xludf.DUMMYFUNCTION("""COMPUTED_VALUE"""),45827.0)</f>
        <v>45827</v>
      </c>
    </row>
    <row r="77">
      <c r="A77" s="184" t="str">
        <f t="shared" si="1"/>
        <v>#VALUE!</v>
      </c>
      <c r="B77" s="69" t="str">
        <f t="shared" si="2"/>
        <v>#VALUE!</v>
      </c>
      <c r="C77" s="182" t="str">
        <f>IFERROR(__xludf.DUMMYFUNCTION("""COMPUTED_VALUE"""),"GSTORE")</f>
        <v>GSTORE</v>
      </c>
      <c r="D77" s="182" t="str">
        <f>IFERROR(__xludf.DUMMYFUNCTION("""COMPUTED_VALUE"""),"MP")</f>
        <v>MP</v>
      </c>
      <c r="E77" s="182" t="str">
        <f>IFERROR(__xludf.DUMMYFUNCTION("""COMPUTED_VALUE"""),"Press")</f>
        <v>Press</v>
      </c>
      <c r="F77" s="182" t="str">
        <f>IFERROR(__xludf.DUMMYFUNCTION("""COMPUTED_VALUE"""),"GA10802-US-N")</f>
        <v>GA10802-US-N</v>
      </c>
      <c r="G77" s="182" t="str">
        <f>IFERROR(__xludf.DUMMYFUNCTION("""COMPUTED_VALUE"""),"G4QUR")</f>
        <v>G4QUR</v>
      </c>
      <c r="H77" s="182">
        <f>IFERROR(__xludf.DUMMYFUNCTION("""COMPUTED_VALUE"""),8.40353937833E11)</f>
        <v>840353937833</v>
      </c>
      <c r="I77" s="185" t="str">
        <f>IFERROR(__xludf.DUMMYFUNCTION("""COMPUTED_VALUE"""),"0840353937833")</f>
        <v>0840353937833</v>
      </c>
      <c r="J77" s="182"/>
      <c r="K77" s="182"/>
      <c r="L77" s="182"/>
      <c r="M77" s="188" t="str">
        <f>IFERROR(__xludf.DUMMYFUNCTION("""COMPUTED_VALUE"""),"G990-08499-32-02")</f>
        <v>G990-08499-32-02</v>
      </c>
      <c r="N77" s="182"/>
      <c r="O77" s="188" t="str">
        <f>IFERROR(__xludf.DUMMYFUNCTION("""COMPUTED_VALUE"""),"G990-08493-00-01")</f>
        <v>G990-08493-00-01</v>
      </c>
      <c r="P77" s="182"/>
      <c r="Q77" s="182" t="str">
        <f>IFERROR(__xludf.DUMMYFUNCTION("""COMPUTED_VALUE"""),"256GB")</f>
        <v>256GB</v>
      </c>
      <c r="R77" s="182" t="str">
        <f>IFERROR(__xludf.DUMMYFUNCTION("""COMPUTED_VALUE"""),"Moonstone")</f>
        <v>Moonstone</v>
      </c>
      <c r="S77" s="182" t="str">
        <f>IFERROR(__xludf.DUMMYFUNCTION("""COMPUTED_VALUE"""),"Sterling")</f>
        <v>Sterling</v>
      </c>
      <c r="T77" s="182" t="str">
        <f>IFERROR(__xludf.DUMMYFUNCTION("""COMPUTED_VALUE"""),"US GStore")</f>
        <v>US GStore</v>
      </c>
      <c r="U77" s="182" t="str">
        <f>IFERROR(__xludf.DUMMYFUNCTION("""COMPUTED_VALUE"""),"SKU,CLR3, BETTER, MMWAVE, US GSTORE, PRESS, BZ5")</f>
        <v>SKU,CLR3, BETTER, MMWAVE, US GSTORE, PRESS, BZ5</v>
      </c>
      <c r="V77" s="182"/>
      <c r="W77" s="183" t="str">
        <f>IFERROR(__xludf.DUMMYFUNCTION("""COMPUTED_VALUE"""),"#NUM!")</f>
        <v>#NUM!</v>
      </c>
      <c r="X77" s="186">
        <f>IFERROR(__xludf.DUMMYFUNCTION("""COMPUTED_VALUE"""),45831.0)</f>
        <v>45831</v>
      </c>
      <c r="Y77" s="187">
        <f>IFERROR(__xludf.DUMMYFUNCTION("""COMPUTED_VALUE"""),45780.0)</f>
        <v>45780</v>
      </c>
      <c r="Z77" s="182" t="b">
        <f>IFERROR(__xludf.DUMMYFUNCTION("""COMPUTED_VALUE"""),FALSE)</f>
        <v>0</v>
      </c>
      <c r="AA77" s="187">
        <f>IFERROR(__xludf.DUMMYFUNCTION("""COMPUTED_VALUE"""),45780.0)</f>
        <v>45780</v>
      </c>
      <c r="AB77" s="182" t="b">
        <f>IFERROR(__xludf.DUMMYFUNCTION("""COMPUTED_VALUE"""),FALSE)</f>
        <v>0</v>
      </c>
      <c r="AC77" s="187">
        <f>IFERROR(__xludf.DUMMYFUNCTION("""COMPUTED_VALUE"""),45787.0)</f>
        <v>45787</v>
      </c>
      <c r="AD77" s="187">
        <f>IFERROR(__xludf.DUMMYFUNCTION("""COMPUTED_VALUE"""),45787.0)</f>
        <v>45787</v>
      </c>
      <c r="AE77" s="182"/>
      <c r="AF77" s="182"/>
      <c r="AG77" s="182"/>
      <c r="AH77" s="182"/>
      <c r="AI77" s="188" t="str">
        <f>IFERROR(__xludf.DUMMYFUNCTION("""COMPUTED_VALUE"""),"GA10802-US-N")</f>
        <v>GA10802-US-N</v>
      </c>
      <c r="AJ77" s="187">
        <f>IFERROR(__xludf.DUMMYFUNCTION("""COMPUTED_VALUE"""),45793.0)</f>
        <v>45793</v>
      </c>
      <c r="AK77" s="187">
        <f>IFERROR(__xludf.DUMMYFUNCTION("""COMPUTED_VALUE"""),45801.0)</f>
        <v>45801</v>
      </c>
      <c r="AL77" s="182" t="b">
        <f>IFERROR(__xludf.DUMMYFUNCTION("""COMPUTED_VALUE"""),FALSE)</f>
        <v>0</v>
      </c>
      <c r="AM77" s="182" t="b">
        <f>IFERROR(__xludf.DUMMYFUNCTION("""COMPUTED_VALUE"""),FALSE)</f>
        <v>0</v>
      </c>
      <c r="AN77" s="187">
        <f>IFERROR(__xludf.DUMMYFUNCTION("""COMPUTED_VALUE"""),45801.0)</f>
        <v>45801</v>
      </c>
      <c r="AO77" s="182" t="b">
        <f>IFERROR(__xludf.DUMMYFUNCTION("""COMPUTED_VALUE"""),FALSE)</f>
        <v>0</v>
      </c>
      <c r="AP77" s="182"/>
      <c r="AQ77" s="182"/>
      <c r="AR77" s="187">
        <f>IFERROR(__xludf.DUMMYFUNCTION("""COMPUTED_VALUE"""),45801.0)</f>
        <v>45801</v>
      </c>
      <c r="AS77" s="182"/>
      <c r="AT77" s="182"/>
      <c r="AU77" s="182"/>
      <c r="AV77" s="187">
        <f>IFERROR(__xludf.DUMMYFUNCTION("""COMPUTED_VALUE"""),45801.0)</f>
        <v>45801</v>
      </c>
      <c r="AW77" s="182" t="b">
        <f>IFERROR(__xludf.DUMMYFUNCTION("""COMPUTED_VALUE"""),FALSE)</f>
        <v>0</v>
      </c>
      <c r="AX77" s="182"/>
      <c r="AY77" s="182"/>
      <c r="AZ77" s="187">
        <f>IFERROR(__xludf.DUMMYFUNCTION("""COMPUTED_VALUE"""),45827.0)</f>
        <v>45827</v>
      </c>
      <c r="BA77" s="182" t="b">
        <f>IFERROR(__xludf.DUMMYFUNCTION("""COMPUTED_VALUE"""),FALSE)</f>
        <v>0</v>
      </c>
      <c r="BB77" s="187">
        <f>IFERROR(__xludf.DUMMYFUNCTION("""COMPUTED_VALUE"""),45827.0)</f>
        <v>45827</v>
      </c>
    </row>
    <row r="78">
      <c r="A78" s="184" t="str">
        <f t="shared" si="1"/>
        <v>#VALUE!</v>
      </c>
      <c r="B78" s="69" t="str">
        <f t="shared" si="2"/>
        <v>#VALUE!</v>
      </c>
      <c r="C78" s="182" t="str">
        <f>IFERROR(__xludf.DUMMYFUNCTION("""COMPUTED_VALUE"""),"GSTORE")</f>
        <v>GSTORE</v>
      </c>
      <c r="D78" s="182" t="str">
        <f>IFERROR(__xludf.DUMMYFUNCTION("""COMPUTED_VALUE"""),"MP")</f>
        <v>MP</v>
      </c>
      <c r="E78" s="182" t="str">
        <f>IFERROR(__xludf.DUMMYFUNCTION("""COMPUTED_VALUE"""),"Press")</f>
        <v>Press</v>
      </c>
      <c r="F78" s="182" t="str">
        <f>IFERROR(__xludf.DUMMYFUNCTION("""COMPUTED_VALUE"""),"GA10803-US-N")</f>
        <v>GA10803-US-N</v>
      </c>
      <c r="G78" s="182" t="str">
        <f>IFERROR(__xludf.DUMMYFUNCTION("""COMPUTED_VALUE"""),"G4QUR")</f>
        <v>G4QUR</v>
      </c>
      <c r="H78" s="182">
        <f>IFERROR(__xludf.DUMMYFUNCTION("""COMPUTED_VALUE"""),8.40353937871E11)</f>
        <v>840353937871</v>
      </c>
      <c r="I78" s="185" t="str">
        <f>IFERROR(__xludf.DUMMYFUNCTION("""COMPUTED_VALUE"""),"0840353937871")</f>
        <v>0840353937871</v>
      </c>
      <c r="J78" s="182"/>
      <c r="K78" s="182" t="str">
        <f>IFERROR(__xludf.DUMMYFUNCTION("""COMPUTED_VALUE"""),"ROW Master Carton Label (UPC)")</f>
        <v>ROW Master Carton Label (UPC)</v>
      </c>
      <c r="L78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78" s="188" t="str">
        <f>IFERROR(__xludf.DUMMYFUNCTION("""COMPUTED_VALUE"""),"G990-08499-42-02")</f>
        <v>G990-08499-42-02</v>
      </c>
      <c r="N78" s="182"/>
      <c r="O78" s="188" t="str">
        <f>IFERROR(__xludf.DUMMYFUNCTION("""COMPUTED_VALUE"""),"G990-08493-00-01")</f>
        <v>G990-08493-00-01</v>
      </c>
      <c r="P78" s="182"/>
      <c r="Q78" s="182" t="str">
        <f>IFERROR(__xludf.DUMMYFUNCTION("""COMPUTED_VALUE"""),"256GB")</f>
        <v>256GB</v>
      </c>
      <c r="R78" s="182" t="str">
        <f>IFERROR(__xludf.DUMMYFUNCTION("""COMPUTED_VALUE"""),"Jade")</f>
        <v>Jade</v>
      </c>
      <c r="S78" s="182" t="str">
        <f>IFERROR(__xludf.DUMMYFUNCTION("""COMPUTED_VALUE"""),"Smokey Green")</f>
        <v>Smokey Green</v>
      </c>
      <c r="T78" s="182" t="str">
        <f>IFERROR(__xludf.DUMMYFUNCTION("""COMPUTED_VALUE"""),"US GStore")</f>
        <v>US GStore</v>
      </c>
      <c r="U78" s="182" t="str">
        <f>IFERROR(__xludf.DUMMYFUNCTION("""COMPUTED_VALUE"""),"SKU,CLR4, BETTER, MMWAVE, US GSTORE, PRESS, BZ5")</f>
        <v>SKU,CLR4, BETTER, MMWAVE, US GSTORE, PRESS, BZ5</v>
      </c>
      <c r="V78" s="182"/>
      <c r="W78" s="183" t="str">
        <f>IFERROR(__xludf.DUMMYFUNCTION("""COMPUTED_VALUE"""),"#NUM!")</f>
        <v>#NUM!</v>
      </c>
      <c r="X78" s="186">
        <f>IFERROR(__xludf.DUMMYFUNCTION("""COMPUTED_VALUE"""),45831.0)</f>
        <v>45831</v>
      </c>
      <c r="Y78" s="187">
        <f>IFERROR(__xludf.DUMMYFUNCTION("""COMPUTED_VALUE"""),45780.0)</f>
        <v>45780</v>
      </c>
      <c r="Z78" s="182" t="b">
        <f>IFERROR(__xludf.DUMMYFUNCTION("""COMPUTED_VALUE"""),FALSE)</f>
        <v>0</v>
      </c>
      <c r="AA78" s="187">
        <f>IFERROR(__xludf.DUMMYFUNCTION("""COMPUTED_VALUE"""),45780.0)</f>
        <v>45780</v>
      </c>
      <c r="AB78" s="182" t="b">
        <f>IFERROR(__xludf.DUMMYFUNCTION("""COMPUTED_VALUE"""),FALSE)</f>
        <v>0</v>
      </c>
      <c r="AC78" s="187">
        <f>IFERROR(__xludf.DUMMYFUNCTION("""COMPUTED_VALUE"""),45787.0)</f>
        <v>45787</v>
      </c>
      <c r="AD78" s="187">
        <f>IFERROR(__xludf.DUMMYFUNCTION("""COMPUTED_VALUE"""),45787.0)</f>
        <v>45787</v>
      </c>
      <c r="AE78" s="188" t="str">
        <f>IFERROR(__xludf.DUMMYFUNCTION("""COMPUTED_VALUE"""),"GA10803-US-N")</f>
        <v>GA10803-US-N</v>
      </c>
      <c r="AF78" s="182"/>
      <c r="AG78" s="188" t="str">
        <f>IFERROR(__xludf.DUMMYFUNCTION("""COMPUTED_VALUE"""),"GA10803-US-N")</f>
        <v>GA10803-US-N</v>
      </c>
      <c r="AH78" s="188" t="str">
        <f>IFERROR(__xludf.DUMMYFUNCTION("""COMPUTED_VALUE"""),"GA10803-US-N")</f>
        <v>GA10803-US-N</v>
      </c>
      <c r="AI78" s="188" t="str">
        <f>IFERROR(__xludf.DUMMYFUNCTION("""COMPUTED_VALUE"""),"GA10803-US-N")</f>
        <v>GA10803-US-N</v>
      </c>
      <c r="AJ78" s="187">
        <f>IFERROR(__xludf.DUMMYFUNCTION("""COMPUTED_VALUE"""),45793.0)</f>
        <v>45793</v>
      </c>
      <c r="AK78" s="187">
        <f>IFERROR(__xludf.DUMMYFUNCTION("""COMPUTED_VALUE"""),45801.0)</f>
        <v>45801</v>
      </c>
      <c r="AL78" s="182" t="b">
        <f>IFERROR(__xludf.DUMMYFUNCTION("""COMPUTED_VALUE"""),FALSE)</f>
        <v>0</v>
      </c>
      <c r="AM78" s="182" t="b">
        <f>IFERROR(__xludf.DUMMYFUNCTION("""COMPUTED_VALUE"""),FALSE)</f>
        <v>0</v>
      </c>
      <c r="AN78" s="187">
        <f>IFERROR(__xludf.DUMMYFUNCTION("""COMPUTED_VALUE"""),45801.0)</f>
        <v>45801</v>
      </c>
      <c r="AO78" s="182" t="b">
        <f>IFERROR(__xludf.DUMMYFUNCTION("""COMPUTED_VALUE"""),FALSE)</f>
        <v>0</v>
      </c>
      <c r="AP78" s="182" t="str">
        <f>IFERROR(__xludf.DUMMYFUNCTION("""COMPUTED_VALUE"""),"N")</f>
        <v>N</v>
      </c>
      <c r="AQ78" s="182"/>
      <c r="AR78" s="187">
        <f>IFERROR(__xludf.DUMMYFUNCTION("""COMPUTED_VALUE"""),45801.0)</f>
        <v>45801</v>
      </c>
      <c r="AS78" s="182" t="b">
        <f>IFERROR(__xludf.DUMMYFUNCTION("""COMPUTED_VALUE"""),FALSE)</f>
        <v>0</v>
      </c>
      <c r="AT78" s="182"/>
      <c r="AU78" s="182"/>
      <c r="AV78" s="187">
        <f>IFERROR(__xludf.DUMMYFUNCTION("""COMPUTED_VALUE"""),45801.0)</f>
        <v>45801</v>
      </c>
      <c r="AW78" s="182" t="b">
        <f>IFERROR(__xludf.DUMMYFUNCTION("""COMPUTED_VALUE"""),FALSE)</f>
        <v>0</v>
      </c>
      <c r="AX78" s="182"/>
      <c r="AY78" s="182"/>
      <c r="AZ78" s="187">
        <f>IFERROR(__xludf.DUMMYFUNCTION("""COMPUTED_VALUE"""),45827.0)</f>
        <v>45827</v>
      </c>
      <c r="BA78" s="182" t="b">
        <f>IFERROR(__xludf.DUMMYFUNCTION("""COMPUTED_VALUE"""),FALSE)</f>
        <v>0</v>
      </c>
      <c r="BB78" s="187">
        <f>IFERROR(__xludf.DUMMYFUNCTION("""COMPUTED_VALUE"""),45827.0)</f>
        <v>45827</v>
      </c>
    </row>
    <row r="79">
      <c r="A79" s="184" t="str">
        <f t="shared" si="1"/>
        <v>#VALUE!</v>
      </c>
      <c r="B79" s="69" t="str">
        <f t="shared" si="2"/>
        <v>#VALUE!</v>
      </c>
      <c r="C79" s="182" t="str">
        <f>IFERROR(__xludf.DUMMYFUNCTION("""COMPUTED_VALUE"""),"JP")</f>
        <v>JP</v>
      </c>
      <c r="D79" s="182" t="str">
        <f>IFERROR(__xludf.DUMMYFUNCTION("""COMPUTED_VALUE"""),"MP")</f>
        <v>MP</v>
      </c>
      <c r="E79" s="182" t="str">
        <f>IFERROR(__xludf.DUMMYFUNCTION("""COMPUTED_VALUE"""),"Press")</f>
        <v>Press</v>
      </c>
      <c r="F79" s="182" t="str">
        <f>IFERROR(__xludf.DUMMYFUNCTION("""COMPUTED_VALUE"""),"GA10796-JP-N")</f>
        <v>GA10796-JP-N</v>
      </c>
      <c r="G79" s="182" t="str">
        <f>IFERROR(__xludf.DUMMYFUNCTION("""COMPUTED_VALUE"""),"GN4F5")</f>
        <v>GN4F5</v>
      </c>
      <c r="H79" s="182">
        <f>IFERROR(__xludf.DUMMYFUNCTION("""COMPUTED_VALUE"""),8.40353937604E11)</f>
        <v>840353937604</v>
      </c>
      <c r="I79" s="185" t="str">
        <f>IFERROR(__xludf.DUMMYFUNCTION("""COMPUTED_VALUE"""),"0840353937604")</f>
        <v>0840353937604</v>
      </c>
      <c r="J79" s="182"/>
      <c r="K79" s="182" t="str">
        <f>IFERROR(__xludf.DUMMYFUNCTION("""COMPUTED_VALUE"""),"ROW Master Carton Label (UPC)")</f>
        <v>ROW Master Carton Label (UPC)</v>
      </c>
      <c r="L79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79" s="188" t="str">
        <f>IFERROR(__xludf.DUMMYFUNCTION("""COMPUTED_VALUE"""),"G990-08529-11-02")</f>
        <v>G990-08529-11-02</v>
      </c>
      <c r="N79" s="182"/>
      <c r="O79" s="188" t="str">
        <f>IFERROR(__xludf.DUMMYFUNCTION("""COMPUTED_VALUE"""),"G990-08495-00-01")</f>
        <v>G990-08495-00-01</v>
      </c>
      <c r="P79" s="182"/>
      <c r="Q79" s="182" t="str">
        <f>IFERROR(__xludf.DUMMYFUNCTION("""COMPUTED_VALUE"""),"128GB")</f>
        <v>128GB</v>
      </c>
      <c r="R79" s="182" t="str">
        <f>IFERROR(__xludf.DUMMYFUNCTION("""COMPUTED_VALUE"""),"Obsidian")</f>
        <v>Obsidian</v>
      </c>
      <c r="S79" s="182" t="str">
        <f>IFERROR(__xludf.DUMMYFUNCTION("""COMPUTED_VALUE"""),"Midnight")</f>
        <v>Midnight</v>
      </c>
      <c r="T79" s="182" t="str">
        <f>IFERROR(__xludf.DUMMYFUNCTION("""COMPUTED_VALUE"""),"JP")</f>
        <v>JP</v>
      </c>
      <c r="U79" s="182" t="str">
        <f>IFERROR(__xludf.DUMMYFUNCTION("""COMPUTED_VALUE"""),"SKU,CLR1, GOOD, SUB6, JP, PRESS, BZ5")</f>
        <v>SKU,CLR1, GOOD, SUB6, JP, PRESS, BZ5</v>
      </c>
      <c r="V79" s="182"/>
      <c r="W79" s="183" t="str">
        <f>IFERROR(__xludf.DUMMYFUNCTION("""COMPUTED_VALUE"""),"#NUM!")</f>
        <v>#NUM!</v>
      </c>
      <c r="X79" s="186">
        <f>IFERROR(__xludf.DUMMYFUNCTION("""COMPUTED_VALUE"""),45831.0)</f>
        <v>45831</v>
      </c>
      <c r="Y79" s="187">
        <f>IFERROR(__xludf.DUMMYFUNCTION("""COMPUTED_VALUE"""),45780.0)</f>
        <v>45780</v>
      </c>
      <c r="Z79" s="182" t="b">
        <f>IFERROR(__xludf.DUMMYFUNCTION("""COMPUTED_VALUE"""),FALSE)</f>
        <v>0</v>
      </c>
      <c r="AA79" s="187">
        <f>IFERROR(__xludf.DUMMYFUNCTION("""COMPUTED_VALUE"""),45780.0)</f>
        <v>45780</v>
      </c>
      <c r="AB79" s="182" t="b">
        <f>IFERROR(__xludf.DUMMYFUNCTION("""COMPUTED_VALUE"""),FALSE)</f>
        <v>0</v>
      </c>
      <c r="AC79" s="187">
        <f>IFERROR(__xludf.DUMMYFUNCTION("""COMPUTED_VALUE"""),45787.0)</f>
        <v>45787</v>
      </c>
      <c r="AD79" s="187">
        <f>IFERROR(__xludf.DUMMYFUNCTION("""COMPUTED_VALUE"""),45787.0)</f>
        <v>45787</v>
      </c>
      <c r="AE79" s="188" t="str">
        <f>IFERROR(__xludf.DUMMYFUNCTION("""COMPUTED_VALUE"""),"GA10796-JP-N")</f>
        <v>GA10796-JP-N</v>
      </c>
      <c r="AF79" s="182"/>
      <c r="AG79" s="188" t="str">
        <f>IFERROR(__xludf.DUMMYFUNCTION("""COMPUTED_VALUE"""),"GA10796-JP-N")</f>
        <v>GA10796-JP-N</v>
      </c>
      <c r="AH79" s="188" t="str">
        <f>IFERROR(__xludf.DUMMYFUNCTION("""COMPUTED_VALUE"""),"GA10796-JP-N")</f>
        <v>GA10796-JP-N</v>
      </c>
      <c r="AI79" s="188" t="str">
        <f>IFERROR(__xludf.DUMMYFUNCTION("""COMPUTED_VALUE"""),"GA10796-JP-N")</f>
        <v>GA10796-JP-N</v>
      </c>
      <c r="AJ79" s="187">
        <f>IFERROR(__xludf.DUMMYFUNCTION("""COMPUTED_VALUE"""),45793.0)</f>
        <v>45793</v>
      </c>
      <c r="AK79" s="187">
        <f>IFERROR(__xludf.DUMMYFUNCTION("""COMPUTED_VALUE"""),45801.0)</f>
        <v>45801</v>
      </c>
      <c r="AL79" s="182" t="b">
        <f>IFERROR(__xludf.DUMMYFUNCTION("""COMPUTED_VALUE"""),FALSE)</f>
        <v>0</v>
      </c>
      <c r="AM79" s="182" t="b">
        <f>IFERROR(__xludf.DUMMYFUNCTION("""COMPUTED_VALUE"""),FALSE)</f>
        <v>0</v>
      </c>
      <c r="AN79" s="187">
        <f>IFERROR(__xludf.DUMMYFUNCTION("""COMPUTED_VALUE"""),45801.0)</f>
        <v>45801</v>
      </c>
      <c r="AO79" s="182" t="b">
        <f>IFERROR(__xludf.DUMMYFUNCTION("""COMPUTED_VALUE"""),FALSE)</f>
        <v>0</v>
      </c>
      <c r="AP79" s="182" t="str">
        <f>IFERROR(__xludf.DUMMYFUNCTION("""COMPUTED_VALUE"""),"N")</f>
        <v>N</v>
      </c>
      <c r="AQ79" s="182"/>
      <c r="AR79" s="187">
        <f>IFERROR(__xludf.DUMMYFUNCTION("""COMPUTED_VALUE"""),45801.0)</f>
        <v>45801</v>
      </c>
      <c r="AS79" s="182" t="b">
        <f>IFERROR(__xludf.DUMMYFUNCTION("""COMPUTED_VALUE"""),FALSE)</f>
        <v>0</v>
      </c>
      <c r="AT79" s="182"/>
      <c r="AU79" s="182"/>
      <c r="AV79" s="187">
        <f>IFERROR(__xludf.DUMMYFUNCTION("""COMPUTED_VALUE"""),45801.0)</f>
        <v>45801</v>
      </c>
      <c r="AW79" s="182" t="b">
        <f>IFERROR(__xludf.DUMMYFUNCTION("""COMPUTED_VALUE"""),FALSE)</f>
        <v>0</v>
      </c>
      <c r="AX79" s="182"/>
      <c r="AY79" s="182"/>
      <c r="AZ79" s="187">
        <f>IFERROR(__xludf.DUMMYFUNCTION("""COMPUTED_VALUE"""),45827.0)</f>
        <v>45827</v>
      </c>
      <c r="BA79" s="182" t="b">
        <f>IFERROR(__xludf.DUMMYFUNCTION("""COMPUTED_VALUE"""),FALSE)</f>
        <v>0</v>
      </c>
      <c r="BB79" s="187">
        <f>IFERROR(__xludf.DUMMYFUNCTION("""COMPUTED_VALUE"""),45827.0)</f>
        <v>45827</v>
      </c>
    </row>
    <row r="80">
      <c r="A80" s="184" t="str">
        <f t="shared" si="1"/>
        <v>#VALUE!</v>
      </c>
      <c r="B80" s="69" t="str">
        <f t="shared" si="2"/>
        <v>#VALUE!</v>
      </c>
      <c r="C80" s="182" t="str">
        <f>IFERROR(__xludf.DUMMYFUNCTION("""COMPUTED_VALUE"""),"JP")</f>
        <v>JP</v>
      </c>
      <c r="D80" s="182" t="str">
        <f>IFERROR(__xludf.DUMMYFUNCTION("""COMPUTED_VALUE"""),"MP")</f>
        <v>MP</v>
      </c>
      <c r="E80" s="182" t="str">
        <f>IFERROR(__xludf.DUMMYFUNCTION("""COMPUTED_VALUE"""),"Press")</f>
        <v>Press</v>
      </c>
      <c r="F80" s="182" t="str">
        <f>IFERROR(__xludf.DUMMYFUNCTION("""COMPUTED_VALUE"""),"GA10797-JP-N")</f>
        <v>GA10797-JP-N</v>
      </c>
      <c r="G80" s="182" t="str">
        <f>IFERROR(__xludf.DUMMYFUNCTION("""COMPUTED_VALUE"""),"GN4F5")</f>
        <v>GN4F5</v>
      </c>
      <c r="H80" s="182">
        <f>IFERROR(__xludf.DUMMYFUNCTION("""COMPUTED_VALUE"""),8.40353937642E11)</f>
        <v>840353937642</v>
      </c>
      <c r="I80" s="185" t="str">
        <f>IFERROR(__xludf.DUMMYFUNCTION("""COMPUTED_VALUE"""),"0840353937642")</f>
        <v>0840353937642</v>
      </c>
      <c r="J80" s="182"/>
      <c r="K80" s="182" t="str">
        <f>IFERROR(__xludf.DUMMYFUNCTION("""COMPUTED_VALUE"""),"ROW Master Carton Label (UPC)")</f>
        <v>ROW Master Carton Label (UPC)</v>
      </c>
      <c r="L80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80" s="188" t="str">
        <f>IFERROR(__xludf.DUMMYFUNCTION("""COMPUTED_VALUE"""),"G990-08529-21-02")</f>
        <v>G990-08529-21-02</v>
      </c>
      <c r="N80" s="182"/>
      <c r="O80" s="188" t="str">
        <f>IFERROR(__xludf.DUMMYFUNCTION("""COMPUTED_VALUE"""),"G990-08495-00-01")</f>
        <v>G990-08495-00-01</v>
      </c>
      <c r="P80" s="182"/>
      <c r="Q80" s="182" t="str">
        <f>IFERROR(__xludf.DUMMYFUNCTION("""COMPUTED_VALUE"""),"128GB")</f>
        <v>128GB</v>
      </c>
      <c r="R80" s="182" t="str">
        <f>IFERROR(__xludf.DUMMYFUNCTION("""COMPUTED_VALUE"""),"Porcelain")</f>
        <v>Porcelain</v>
      </c>
      <c r="S80" s="182" t="str">
        <f>IFERROR(__xludf.DUMMYFUNCTION("""COMPUTED_VALUE"""),"Light Porcelain")</f>
        <v>Light Porcelain</v>
      </c>
      <c r="T80" s="182" t="str">
        <f>IFERROR(__xludf.DUMMYFUNCTION("""COMPUTED_VALUE"""),"JP")</f>
        <v>JP</v>
      </c>
      <c r="U80" s="182" t="str">
        <f>IFERROR(__xludf.DUMMYFUNCTION("""COMPUTED_VALUE"""),"SKU,CLR2, GOOD, SUB6, JP, PRESS, BZ5")</f>
        <v>SKU,CLR2, GOOD, SUB6, JP, PRESS, BZ5</v>
      </c>
      <c r="V80" s="182"/>
      <c r="W80" s="183" t="str">
        <f>IFERROR(__xludf.DUMMYFUNCTION("""COMPUTED_VALUE"""),"#NUM!")</f>
        <v>#NUM!</v>
      </c>
      <c r="X80" s="186">
        <f>IFERROR(__xludf.DUMMYFUNCTION("""COMPUTED_VALUE"""),45831.0)</f>
        <v>45831</v>
      </c>
      <c r="Y80" s="187">
        <f>IFERROR(__xludf.DUMMYFUNCTION("""COMPUTED_VALUE"""),45780.0)</f>
        <v>45780</v>
      </c>
      <c r="Z80" s="182" t="b">
        <f>IFERROR(__xludf.DUMMYFUNCTION("""COMPUTED_VALUE"""),FALSE)</f>
        <v>0</v>
      </c>
      <c r="AA80" s="187">
        <f>IFERROR(__xludf.DUMMYFUNCTION("""COMPUTED_VALUE"""),45780.0)</f>
        <v>45780</v>
      </c>
      <c r="AB80" s="182" t="b">
        <f>IFERROR(__xludf.DUMMYFUNCTION("""COMPUTED_VALUE"""),FALSE)</f>
        <v>0</v>
      </c>
      <c r="AC80" s="187">
        <f>IFERROR(__xludf.DUMMYFUNCTION("""COMPUTED_VALUE"""),45787.0)</f>
        <v>45787</v>
      </c>
      <c r="AD80" s="187">
        <f>IFERROR(__xludf.DUMMYFUNCTION("""COMPUTED_VALUE"""),45787.0)</f>
        <v>45787</v>
      </c>
      <c r="AE80" s="188" t="str">
        <f>IFERROR(__xludf.DUMMYFUNCTION("""COMPUTED_VALUE"""),"GA10797-JP-N")</f>
        <v>GA10797-JP-N</v>
      </c>
      <c r="AF80" s="182"/>
      <c r="AG80" s="188" t="str">
        <f>IFERROR(__xludf.DUMMYFUNCTION("""COMPUTED_VALUE"""),"GA10797-JP-N")</f>
        <v>GA10797-JP-N</v>
      </c>
      <c r="AH80" s="188" t="str">
        <f>IFERROR(__xludf.DUMMYFUNCTION("""COMPUTED_VALUE"""),"GA10797-JP-N")</f>
        <v>GA10797-JP-N</v>
      </c>
      <c r="AI80" s="188" t="str">
        <f>IFERROR(__xludf.DUMMYFUNCTION("""COMPUTED_VALUE"""),"GA10797-JP-N")</f>
        <v>GA10797-JP-N</v>
      </c>
      <c r="AJ80" s="187">
        <f>IFERROR(__xludf.DUMMYFUNCTION("""COMPUTED_VALUE"""),45793.0)</f>
        <v>45793</v>
      </c>
      <c r="AK80" s="187">
        <f>IFERROR(__xludf.DUMMYFUNCTION("""COMPUTED_VALUE"""),45801.0)</f>
        <v>45801</v>
      </c>
      <c r="AL80" s="182" t="b">
        <f>IFERROR(__xludf.DUMMYFUNCTION("""COMPUTED_VALUE"""),FALSE)</f>
        <v>0</v>
      </c>
      <c r="AM80" s="182" t="b">
        <f>IFERROR(__xludf.DUMMYFUNCTION("""COMPUTED_VALUE"""),FALSE)</f>
        <v>0</v>
      </c>
      <c r="AN80" s="187">
        <f>IFERROR(__xludf.DUMMYFUNCTION("""COMPUTED_VALUE"""),45801.0)</f>
        <v>45801</v>
      </c>
      <c r="AO80" s="182" t="b">
        <f>IFERROR(__xludf.DUMMYFUNCTION("""COMPUTED_VALUE"""),FALSE)</f>
        <v>0</v>
      </c>
      <c r="AP80" s="182" t="str">
        <f>IFERROR(__xludf.DUMMYFUNCTION("""COMPUTED_VALUE"""),"N")</f>
        <v>N</v>
      </c>
      <c r="AQ80" s="182"/>
      <c r="AR80" s="187">
        <f>IFERROR(__xludf.DUMMYFUNCTION("""COMPUTED_VALUE"""),45801.0)</f>
        <v>45801</v>
      </c>
      <c r="AS80" s="182" t="b">
        <f>IFERROR(__xludf.DUMMYFUNCTION("""COMPUTED_VALUE"""),FALSE)</f>
        <v>0</v>
      </c>
      <c r="AT80" s="182"/>
      <c r="AU80" s="182"/>
      <c r="AV80" s="187">
        <f>IFERROR(__xludf.DUMMYFUNCTION("""COMPUTED_VALUE"""),45801.0)</f>
        <v>45801</v>
      </c>
      <c r="AW80" s="182" t="b">
        <f>IFERROR(__xludf.DUMMYFUNCTION("""COMPUTED_VALUE"""),FALSE)</f>
        <v>0</v>
      </c>
      <c r="AX80" s="182"/>
      <c r="AY80" s="182"/>
      <c r="AZ80" s="187">
        <f>IFERROR(__xludf.DUMMYFUNCTION("""COMPUTED_VALUE"""),45827.0)</f>
        <v>45827</v>
      </c>
      <c r="BA80" s="182" t="b">
        <f>IFERROR(__xludf.DUMMYFUNCTION("""COMPUTED_VALUE"""),FALSE)</f>
        <v>0</v>
      </c>
      <c r="BB80" s="187">
        <f>IFERROR(__xludf.DUMMYFUNCTION("""COMPUTED_VALUE"""),45827.0)</f>
        <v>45827</v>
      </c>
    </row>
    <row r="81">
      <c r="A81" s="184" t="str">
        <f t="shared" si="1"/>
        <v>#VALUE!</v>
      </c>
      <c r="B81" s="69" t="str">
        <f t="shared" si="2"/>
        <v>#VALUE!</v>
      </c>
      <c r="C81" s="182" t="str">
        <f>IFERROR(__xludf.DUMMYFUNCTION("""COMPUTED_VALUE"""),"JP")</f>
        <v>JP</v>
      </c>
      <c r="D81" s="182" t="str">
        <f>IFERROR(__xludf.DUMMYFUNCTION("""COMPUTED_VALUE"""),"MP")</f>
        <v>MP</v>
      </c>
      <c r="E81" s="182" t="str">
        <f>IFERROR(__xludf.DUMMYFUNCTION("""COMPUTED_VALUE"""),"Press")</f>
        <v>Press</v>
      </c>
      <c r="F81" s="182" t="str">
        <f>IFERROR(__xludf.DUMMYFUNCTION("""COMPUTED_VALUE"""),"GA10798-JP-N")</f>
        <v>GA10798-JP-N</v>
      </c>
      <c r="G81" s="182" t="str">
        <f>IFERROR(__xludf.DUMMYFUNCTION("""COMPUTED_VALUE"""),"GN4F5")</f>
        <v>GN4F5</v>
      </c>
      <c r="H81" s="182">
        <f>IFERROR(__xludf.DUMMYFUNCTION("""COMPUTED_VALUE"""),8.4035393768E11)</f>
        <v>840353937680</v>
      </c>
      <c r="I81" s="185" t="str">
        <f>IFERROR(__xludf.DUMMYFUNCTION("""COMPUTED_VALUE"""),"0840353937680")</f>
        <v>0840353937680</v>
      </c>
      <c r="J81" s="182"/>
      <c r="K81" s="182" t="str">
        <f>IFERROR(__xludf.DUMMYFUNCTION("""COMPUTED_VALUE"""),"ROW Master Carton Label (UPC)")</f>
        <v>ROW Master Carton Label (UPC)</v>
      </c>
      <c r="L81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81" s="188" t="str">
        <f>IFERROR(__xludf.DUMMYFUNCTION("""COMPUTED_VALUE"""),"G990-08529-31-02")</f>
        <v>G990-08529-31-02</v>
      </c>
      <c r="N81" s="182"/>
      <c r="O81" s="188" t="str">
        <f>IFERROR(__xludf.DUMMYFUNCTION("""COMPUTED_VALUE"""),"G990-08495-00-01")</f>
        <v>G990-08495-00-01</v>
      </c>
      <c r="P81" s="182"/>
      <c r="Q81" s="182" t="str">
        <f>IFERROR(__xludf.DUMMYFUNCTION("""COMPUTED_VALUE"""),"128GB")</f>
        <v>128GB</v>
      </c>
      <c r="R81" s="182" t="str">
        <f>IFERROR(__xludf.DUMMYFUNCTION("""COMPUTED_VALUE"""),"Moonstone")</f>
        <v>Moonstone</v>
      </c>
      <c r="S81" s="182" t="str">
        <f>IFERROR(__xludf.DUMMYFUNCTION("""COMPUTED_VALUE"""),"Sterling")</f>
        <v>Sterling</v>
      </c>
      <c r="T81" s="182" t="str">
        <f>IFERROR(__xludf.DUMMYFUNCTION("""COMPUTED_VALUE"""),"JP")</f>
        <v>JP</v>
      </c>
      <c r="U81" s="182" t="str">
        <f>IFERROR(__xludf.DUMMYFUNCTION("""COMPUTED_VALUE"""),"SKU,CLR3, GOOD, SUB6, JP, PRESS, BZ5")</f>
        <v>SKU,CLR3, GOOD, SUB6, JP, PRESS, BZ5</v>
      </c>
      <c r="V81" s="182"/>
      <c r="W81" s="183" t="str">
        <f>IFERROR(__xludf.DUMMYFUNCTION("""COMPUTED_VALUE"""),"#NUM!")</f>
        <v>#NUM!</v>
      </c>
      <c r="X81" s="186">
        <f>IFERROR(__xludf.DUMMYFUNCTION("""COMPUTED_VALUE"""),45831.0)</f>
        <v>45831</v>
      </c>
      <c r="Y81" s="187">
        <f>IFERROR(__xludf.DUMMYFUNCTION("""COMPUTED_VALUE"""),45780.0)</f>
        <v>45780</v>
      </c>
      <c r="Z81" s="182" t="b">
        <f>IFERROR(__xludf.DUMMYFUNCTION("""COMPUTED_VALUE"""),FALSE)</f>
        <v>0</v>
      </c>
      <c r="AA81" s="187">
        <f>IFERROR(__xludf.DUMMYFUNCTION("""COMPUTED_VALUE"""),45780.0)</f>
        <v>45780</v>
      </c>
      <c r="AB81" s="182" t="b">
        <f>IFERROR(__xludf.DUMMYFUNCTION("""COMPUTED_VALUE"""),FALSE)</f>
        <v>0</v>
      </c>
      <c r="AC81" s="187">
        <f>IFERROR(__xludf.DUMMYFUNCTION("""COMPUTED_VALUE"""),45787.0)</f>
        <v>45787</v>
      </c>
      <c r="AD81" s="187">
        <f>IFERROR(__xludf.DUMMYFUNCTION("""COMPUTED_VALUE"""),45787.0)</f>
        <v>45787</v>
      </c>
      <c r="AE81" s="188" t="str">
        <f>IFERROR(__xludf.DUMMYFUNCTION("""COMPUTED_VALUE"""),"GA10798-JP-N")</f>
        <v>GA10798-JP-N</v>
      </c>
      <c r="AF81" s="182"/>
      <c r="AG81" s="188" t="str">
        <f>IFERROR(__xludf.DUMMYFUNCTION("""COMPUTED_VALUE"""),"GA10798-JP-N")</f>
        <v>GA10798-JP-N</v>
      </c>
      <c r="AH81" s="188" t="str">
        <f>IFERROR(__xludf.DUMMYFUNCTION("""COMPUTED_VALUE"""),"GA10798-JP-N")</f>
        <v>GA10798-JP-N</v>
      </c>
      <c r="AI81" s="188" t="str">
        <f>IFERROR(__xludf.DUMMYFUNCTION("""COMPUTED_VALUE"""),"GA10798-JP-N")</f>
        <v>GA10798-JP-N</v>
      </c>
      <c r="AJ81" s="187">
        <f>IFERROR(__xludf.DUMMYFUNCTION("""COMPUTED_VALUE"""),45793.0)</f>
        <v>45793</v>
      </c>
      <c r="AK81" s="187">
        <f>IFERROR(__xludf.DUMMYFUNCTION("""COMPUTED_VALUE"""),45801.0)</f>
        <v>45801</v>
      </c>
      <c r="AL81" s="182" t="b">
        <f>IFERROR(__xludf.DUMMYFUNCTION("""COMPUTED_VALUE"""),FALSE)</f>
        <v>0</v>
      </c>
      <c r="AM81" s="182" t="b">
        <f>IFERROR(__xludf.DUMMYFUNCTION("""COMPUTED_VALUE"""),FALSE)</f>
        <v>0</v>
      </c>
      <c r="AN81" s="187">
        <f>IFERROR(__xludf.DUMMYFUNCTION("""COMPUTED_VALUE"""),45801.0)</f>
        <v>45801</v>
      </c>
      <c r="AO81" s="182" t="b">
        <f>IFERROR(__xludf.DUMMYFUNCTION("""COMPUTED_VALUE"""),FALSE)</f>
        <v>0</v>
      </c>
      <c r="AP81" s="182" t="str">
        <f>IFERROR(__xludf.DUMMYFUNCTION("""COMPUTED_VALUE"""),"Y")</f>
        <v>Y</v>
      </c>
      <c r="AQ81" s="182"/>
      <c r="AR81" s="187">
        <f>IFERROR(__xludf.DUMMYFUNCTION("""COMPUTED_VALUE"""),45801.0)</f>
        <v>45801</v>
      </c>
      <c r="AS81" s="182" t="b">
        <f>IFERROR(__xludf.DUMMYFUNCTION("""COMPUTED_VALUE"""),FALSE)</f>
        <v>0</v>
      </c>
      <c r="AT81" s="182"/>
      <c r="AU81" s="182"/>
      <c r="AV81" s="187">
        <f>IFERROR(__xludf.DUMMYFUNCTION("""COMPUTED_VALUE"""),45801.0)</f>
        <v>45801</v>
      </c>
      <c r="AW81" s="182" t="b">
        <f>IFERROR(__xludf.DUMMYFUNCTION("""COMPUTED_VALUE"""),FALSE)</f>
        <v>0</v>
      </c>
      <c r="AX81" s="182"/>
      <c r="AY81" s="182"/>
      <c r="AZ81" s="187">
        <f>IFERROR(__xludf.DUMMYFUNCTION("""COMPUTED_VALUE"""),45827.0)</f>
        <v>45827</v>
      </c>
      <c r="BA81" s="182" t="b">
        <f>IFERROR(__xludf.DUMMYFUNCTION("""COMPUTED_VALUE"""),FALSE)</f>
        <v>0</v>
      </c>
      <c r="BB81" s="187">
        <f>IFERROR(__xludf.DUMMYFUNCTION("""COMPUTED_VALUE"""),45827.0)</f>
        <v>45827</v>
      </c>
    </row>
    <row r="82">
      <c r="A82" s="184" t="str">
        <f t="shared" si="1"/>
        <v>#VALUE!</v>
      </c>
      <c r="B82" s="69" t="str">
        <f t="shared" si="2"/>
        <v>#VALUE!</v>
      </c>
      <c r="C82" s="182" t="str">
        <f>IFERROR(__xludf.DUMMYFUNCTION("""COMPUTED_VALUE"""),"JP")</f>
        <v>JP</v>
      </c>
      <c r="D82" s="182" t="str">
        <f>IFERROR(__xludf.DUMMYFUNCTION("""COMPUTED_VALUE"""),"MP")</f>
        <v>MP</v>
      </c>
      <c r="E82" s="182" t="str">
        <f>IFERROR(__xludf.DUMMYFUNCTION("""COMPUTED_VALUE"""),"Press")</f>
        <v>Press</v>
      </c>
      <c r="F82" s="182" t="str">
        <f>IFERROR(__xludf.DUMMYFUNCTION("""COMPUTED_VALUE"""),"GA10799-JP-N")</f>
        <v>GA10799-JP-N</v>
      </c>
      <c r="G82" s="182" t="str">
        <f>IFERROR(__xludf.DUMMYFUNCTION("""COMPUTED_VALUE"""),"GN4F5")</f>
        <v>GN4F5</v>
      </c>
      <c r="H82" s="182">
        <f>IFERROR(__xludf.DUMMYFUNCTION("""COMPUTED_VALUE"""),8.40353937727E11)</f>
        <v>840353937727</v>
      </c>
      <c r="I82" s="185" t="str">
        <f>IFERROR(__xludf.DUMMYFUNCTION("""COMPUTED_VALUE"""),"0840353937727")</f>
        <v>0840353937727</v>
      </c>
      <c r="J82" s="182"/>
      <c r="K82" s="182"/>
      <c r="L82" s="182"/>
      <c r="M82" s="188" t="str">
        <f>IFERROR(__xludf.DUMMYFUNCTION("""COMPUTED_VALUE"""),"G990-08529-41-02")</f>
        <v>G990-08529-41-02</v>
      </c>
      <c r="N82" s="182"/>
      <c r="O82" s="188" t="str">
        <f>IFERROR(__xludf.DUMMYFUNCTION("""COMPUTED_VALUE"""),"G990-08495-00-01")</f>
        <v>G990-08495-00-01</v>
      </c>
      <c r="P82" s="182"/>
      <c r="Q82" s="182" t="str">
        <f>IFERROR(__xludf.DUMMYFUNCTION("""COMPUTED_VALUE"""),"128GB")</f>
        <v>128GB</v>
      </c>
      <c r="R82" s="182" t="str">
        <f>IFERROR(__xludf.DUMMYFUNCTION("""COMPUTED_VALUE"""),"Jade")</f>
        <v>Jade</v>
      </c>
      <c r="S82" s="182" t="str">
        <f>IFERROR(__xludf.DUMMYFUNCTION("""COMPUTED_VALUE"""),"Smokey Green")</f>
        <v>Smokey Green</v>
      </c>
      <c r="T82" s="182" t="str">
        <f>IFERROR(__xludf.DUMMYFUNCTION("""COMPUTED_VALUE"""),"JP")</f>
        <v>JP</v>
      </c>
      <c r="U82" s="182" t="str">
        <f>IFERROR(__xludf.DUMMYFUNCTION("""COMPUTED_VALUE"""),"SKU,CLR4, GOOD, SUB6, JP, PRESS, BZ5")</f>
        <v>SKU,CLR4, GOOD, SUB6, JP, PRESS, BZ5</v>
      </c>
      <c r="V82" s="182"/>
      <c r="W82" s="183" t="str">
        <f>IFERROR(__xludf.DUMMYFUNCTION("""COMPUTED_VALUE"""),"#NUM!")</f>
        <v>#NUM!</v>
      </c>
      <c r="X82" s="186">
        <f>IFERROR(__xludf.DUMMYFUNCTION("""COMPUTED_VALUE"""),45831.0)</f>
        <v>45831</v>
      </c>
      <c r="Y82" s="187">
        <f>IFERROR(__xludf.DUMMYFUNCTION("""COMPUTED_VALUE"""),45780.0)</f>
        <v>45780</v>
      </c>
      <c r="Z82" s="182" t="b">
        <f>IFERROR(__xludf.DUMMYFUNCTION("""COMPUTED_VALUE"""),FALSE)</f>
        <v>0</v>
      </c>
      <c r="AA82" s="187">
        <f>IFERROR(__xludf.DUMMYFUNCTION("""COMPUTED_VALUE"""),45780.0)</f>
        <v>45780</v>
      </c>
      <c r="AB82" s="182" t="b">
        <f>IFERROR(__xludf.DUMMYFUNCTION("""COMPUTED_VALUE"""),FALSE)</f>
        <v>0</v>
      </c>
      <c r="AC82" s="187">
        <f>IFERROR(__xludf.DUMMYFUNCTION("""COMPUTED_VALUE"""),45787.0)</f>
        <v>45787</v>
      </c>
      <c r="AD82" s="187">
        <f>IFERROR(__xludf.DUMMYFUNCTION("""COMPUTED_VALUE"""),45787.0)</f>
        <v>45787</v>
      </c>
      <c r="AE82" s="182"/>
      <c r="AF82" s="182"/>
      <c r="AG82" s="182"/>
      <c r="AH82" s="182"/>
      <c r="AI82" s="188" t="str">
        <f>IFERROR(__xludf.DUMMYFUNCTION("""COMPUTED_VALUE"""),"GA10799-JP-N")</f>
        <v>GA10799-JP-N</v>
      </c>
      <c r="AJ82" s="187">
        <f>IFERROR(__xludf.DUMMYFUNCTION("""COMPUTED_VALUE"""),45793.0)</f>
        <v>45793</v>
      </c>
      <c r="AK82" s="187">
        <f>IFERROR(__xludf.DUMMYFUNCTION("""COMPUTED_VALUE"""),45801.0)</f>
        <v>45801</v>
      </c>
      <c r="AL82" s="182" t="b">
        <f>IFERROR(__xludf.DUMMYFUNCTION("""COMPUTED_VALUE"""),FALSE)</f>
        <v>0</v>
      </c>
      <c r="AM82" s="182" t="b">
        <f>IFERROR(__xludf.DUMMYFUNCTION("""COMPUTED_VALUE"""),FALSE)</f>
        <v>0</v>
      </c>
      <c r="AN82" s="187">
        <f>IFERROR(__xludf.DUMMYFUNCTION("""COMPUTED_VALUE"""),45801.0)</f>
        <v>45801</v>
      </c>
      <c r="AO82" s="182" t="b">
        <f>IFERROR(__xludf.DUMMYFUNCTION("""COMPUTED_VALUE"""),FALSE)</f>
        <v>0</v>
      </c>
      <c r="AP82" s="182"/>
      <c r="AQ82" s="182"/>
      <c r="AR82" s="187">
        <f>IFERROR(__xludf.DUMMYFUNCTION("""COMPUTED_VALUE"""),45801.0)</f>
        <v>45801</v>
      </c>
      <c r="AS82" s="182"/>
      <c r="AT82" s="182"/>
      <c r="AU82" s="182"/>
      <c r="AV82" s="187">
        <f>IFERROR(__xludf.DUMMYFUNCTION("""COMPUTED_VALUE"""),45801.0)</f>
        <v>45801</v>
      </c>
      <c r="AW82" s="182" t="b">
        <f>IFERROR(__xludf.DUMMYFUNCTION("""COMPUTED_VALUE"""),FALSE)</f>
        <v>0</v>
      </c>
      <c r="AX82" s="182"/>
      <c r="AY82" s="182"/>
      <c r="AZ82" s="187">
        <f>IFERROR(__xludf.DUMMYFUNCTION("""COMPUTED_VALUE"""),45827.0)</f>
        <v>45827</v>
      </c>
      <c r="BA82" s="182" t="b">
        <f>IFERROR(__xludf.DUMMYFUNCTION("""COMPUTED_VALUE"""),FALSE)</f>
        <v>0</v>
      </c>
      <c r="BB82" s="187">
        <f>IFERROR(__xludf.DUMMYFUNCTION("""COMPUTED_VALUE"""),45827.0)</f>
        <v>45827</v>
      </c>
    </row>
    <row r="83">
      <c r="A83" s="184" t="str">
        <f t="shared" si="1"/>
        <v>#VALUE!</v>
      </c>
      <c r="B83" s="69" t="str">
        <f t="shared" si="2"/>
        <v>#VALUE!</v>
      </c>
      <c r="C83" s="182" t="str">
        <f>IFERROR(__xludf.DUMMYFUNCTION("""COMPUTED_VALUE"""),"JP")</f>
        <v>JP</v>
      </c>
      <c r="D83" s="182" t="str">
        <f>IFERROR(__xludf.DUMMYFUNCTION("""COMPUTED_VALUE"""),"MP")</f>
        <v>MP</v>
      </c>
      <c r="E83" s="182" t="str">
        <f>IFERROR(__xludf.DUMMYFUNCTION("""COMPUTED_VALUE"""),"Press")</f>
        <v>Press</v>
      </c>
      <c r="F83" s="182" t="str">
        <f>IFERROR(__xludf.DUMMYFUNCTION("""COMPUTED_VALUE"""),"GA10800-JP-N")</f>
        <v>GA10800-JP-N</v>
      </c>
      <c r="G83" s="182" t="str">
        <f>IFERROR(__xludf.DUMMYFUNCTION("""COMPUTED_VALUE"""),"GN4F5")</f>
        <v>GN4F5</v>
      </c>
      <c r="H83" s="182">
        <f>IFERROR(__xludf.DUMMYFUNCTION("""COMPUTED_VALUE"""),8.40353937765E11)</f>
        <v>840353937765</v>
      </c>
      <c r="I83" s="185" t="str">
        <f>IFERROR(__xludf.DUMMYFUNCTION("""COMPUTED_VALUE"""),"0840353937765")</f>
        <v>0840353937765</v>
      </c>
      <c r="J83" s="182"/>
      <c r="K83" s="182"/>
      <c r="L83" s="182"/>
      <c r="M83" s="188" t="str">
        <f>IFERROR(__xludf.DUMMYFUNCTION("""COMPUTED_VALUE"""),"G990-08529-12-02")</f>
        <v>G990-08529-12-02</v>
      </c>
      <c r="N83" s="182"/>
      <c r="O83" s="188" t="str">
        <f>IFERROR(__xludf.DUMMYFUNCTION("""COMPUTED_VALUE"""),"G990-08495-00-01")</f>
        <v>G990-08495-00-01</v>
      </c>
      <c r="P83" s="182"/>
      <c r="Q83" s="182" t="str">
        <f>IFERROR(__xludf.DUMMYFUNCTION("""COMPUTED_VALUE"""),"256GB")</f>
        <v>256GB</v>
      </c>
      <c r="R83" s="182" t="str">
        <f>IFERROR(__xludf.DUMMYFUNCTION("""COMPUTED_VALUE"""),"Obsidian")</f>
        <v>Obsidian</v>
      </c>
      <c r="S83" s="182" t="str">
        <f>IFERROR(__xludf.DUMMYFUNCTION("""COMPUTED_VALUE"""),"Midnight")</f>
        <v>Midnight</v>
      </c>
      <c r="T83" s="182" t="str">
        <f>IFERROR(__xludf.DUMMYFUNCTION("""COMPUTED_VALUE"""),"JP")</f>
        <v>JP</v>
      </c>
      <c r="U83" s="182" t="str">
        <f>IFERROR(__xludf.DUMMYFUNCTION("""COMPUTED_VALUE"""),"SKU,CLR1, BETTER, SUB6, JP, PRESS, BZ5")</f>
        <v>SKU,CLR1, BETTER, SUB6, JP, PRESS, BZ5</v>
      </c>
      <c r="V83" s="182"/>
      <c r="W83" s="183" t="str">
        <f>IFERROR(__xludf.DUMMYFUNCTION("""COMPUTED_VALUE"""),"#NUM!")</f>
        <v>#NUM!</v>
      </c>
      <c r="X83" s="186">
        <f>IFERROR(__xludf.DUMMYFUNCTION("""COMPUTED_VALUE"""),45831.0)</f>
        <v>45831</v>
      </c>
      <c r="Y83" s="187">
        <f>IFERROR(__xludf.DUMMYFUNCTION("""COMPUTED_VALUE"""),45780.0)</f>
        <v>45780</v>
      </c>
      <c r="Z83" s="182" t="b">
        <f>IFERROR(__xludf.DUMMYFUNCTION("""COMPUTED_VALUE"""),FALSE)</f>
        <v>0</v>
      </c>
      <c r="AA83" s="187">
        <f>IFERROR(__xludf.DUMMYFUNCTION("""COMPUTED_VALUE"""),45780.0)</f>
        <v>45780</v>
      </c>
      <c r="AB83" s="182" t="b">
        <f>IFERROR(__xludf.DUMMYFUNCTION("""COMPUTED_VALUE"""),FALSE)</f>
        <v>0</v>
      </c>
      <c r="AC83" s="187">
        <f>IFERROR(__xludf.DUMMYFUNCTION("""COMPUTED_VALUE"""),45787.0)</f>
        <v>45787</v>
      </c>
      <c r="AD83" s="187">
        <f>IFERROR(__xludf.DUMMYFUNCTION("""COMPUTED_VALUE"""),45787.0)</f>
        <v>45787</v>
      </c>
      <c r="AE83" s="182"/>
      <c r="AF83" s="182"/>
      <c r="AG83" s="182"/>
      <c r="AH83" s="182"/>
      <c r="AI83" s="188" t="str">
        <f>IFERROR(__xludf.DUMMYFUNCTION("""COMPUTED_VALUE"""),"GA10800-JP-N")</f>
        <v>GA10800-JP-N</v>
      </c>
      <c r="AJ83" s="187">
        <f>IFERROR(__xludf.DUMMYFUNCTION("""COMPUTED_VALUE"""),45793.0)</f>
        <v>45793</v>
      </c>
      <c r="AK83" s="187">
        <f>IFERROR(__xludf.DUMMYFUNCTION("""COMPUTED_VALUE"""),45801.0)</f>
        <v>45801</v>
      </c>
      <c r="AL83" s="182" t="b">
        <f>IFERROR(__xludf.DUMMYFUNCTION("""COMPUTED_VALUE"""),FALSE)</f>
        <v>0</v>
      </c>
      <c r="AM83" s="182" t="b">
        <f>IFERROR(__xludf.DUMMYFUNCTION("""COMPUTED_VALUE"""),FALSE)</f>
        <v>0</v>
      </c>
      <c r="AN83" s="187">
        <f>IFERROR(__xludf.DUMMYFUNCTION("""COMPUTED_VALUE"""),45801.0)</f>
        <v>45801</v>
      </c>
      <c r="AO83" s="182" t="b">
        <f>IFERROR(__xludf.DUMMYFUNCTION("""COMPUTED_VALUE"""),FALSE)</f>
        <v>0</v>
      </c>
      <c r="AP83" s="182"/>
      <c r="AQ83" s="182"/>
      <c r="AR83" s="187">
        <f>IFERROR(__xludf.DUMMYFUNCTION("""COMPUTED_VALUE"""),45801.0)</f>
        <v>45801</v>
      </c>
      <c r="AS83" s="182"/>
      <c r="AT83" s="182"/>
      <c r="AU83" s="182"/>
      <c r="AV83" s="187">
        <f>IFERROR(__xludf.DUMMYFUNCTION("""COMPUTED_VALUE"""),45801.0)</f>
        <v>45801</v>
      </c>
      <c r="AW83" s="182" t="b">
        <f>IFERROR(__xludf.DUMMYFUNCTION("""COMPUTED_VALUE"""),FALSE)</f>
        <v>0</v>
      </c>
      <c r="AX83" s="182"/>
      <c r="AY83" s="182"/>
      <c r="AZ83" s="187">
        <f>IFERROR(__xludf.DUMMYFUNCTION("""COMPUTED_VALUE"""),45827.0)</f>
        <v>45827</v>
      </c>
      <c r="BA83" s="182" t="b">
        <f>IFERROR(__xludf.DUMMYFUNCTION("""COMPUTED_VALUE"""),FALSE)</f>
        <v>0</v>
      </c>
      <c r="BB83" s="187">
        <f>IFERROR(__xludf.DUMMYFUNCTION("""COMPUTED_VALUE"""),45827.0)</f>
        <v>45827</v>
      </c>
    </row>
    <row r="84">
      <c r="A84" s="184" t="str">
        <f t="shared" si="1"/>
        <v>#VALUE!</v>
      </c>
      <c r="B84" s="69" t="str">
        <f t="shared" si="2"/>
        <v>#VALUE!</v>
      </c>
      <c r="C84" s="182" t="str">
        <f>IFERROR(__xludf.DUMMYFUNCTION("""COMPUTED_VALUE"""),"JP")</f>
        <v>JP</v>
      </c>
      <c r="D84" s="182" t="str">
        <f>IFERROR(__xludf.DUMMYFUNCTION("""COMPUTED_VALUE"""),"MP")</f>
        <v>MP</v>
      </c>
      <c r="E84" s="182" t="str">
        <f>IFERROR(__xludf.DUMMYFUNCTION("""COMPUTED_VALUE"""),"Press")</f>
        <v>Press</v>
      </c>
      <c r="F84" s="182" t="str">
        <f>IFERROR(__xludf.DUMMYFUNCTION("""COMPUTED_VALUE"""),"GA10801-JP-N")</f>
        <v>GA10801-JP-N</v>
      </c>
      <c r="G84" s="182" t="str">
        <f>IFERROR(__xludf.DUMMYFUNCTION("""COMPUTED_VALUE"""),"GN4F5")</f>
        <v>GN4F5</v>
      </c>
      <c r="H84" s="182">
        <f>IFERROR(__xludf.DUMMYFUNCTION("""COMPUTED_VALUE"""),8.40353937802E11)</f>
        <v>840353937802</v>
      </c>
      <c r="I84" s="185" t="str">
        <f>IFERROR(__xludf.DUMMYFUNCTION("""COMPUTED_VALUE"""),"0840353937802")</f>
        <v>0840353937802</v>
      </c>
      <c r="J84" s="182"/>
      <c r="K84" s="182"/>
      <c r="L84" s="182"/>
      <c r="M84" s="188" t="str">
        <f>IFERROR(__xludf.DUMMYFUNCTION("""COMPUTED_VALUE"""),"G990-08529-22-02")</f>
        <v>G990-08529-22-02</v>
      </c>
      <c r="N84" s="182"/>
      <c r="O84" s="188" t="str">
        <f>IFERROR(__xludf.DUMMYFUNCTION("""COMPUTED_VALUE"""),"G990-08495-00-01")</f>
        <v>G990-08495-00-01</v>
      </c>
      <c r="P84" s="182"/>
      <c r="Q84" s="182" t="str">
        <f>IFERROR(__xludf.DUMMYFUNCTION("""COMPUTED_VALUE"""),"256GB")</f>
        <v>256GB</v>
      </c>
      <c r="R84" s="182" t="str">
        <f>IFERROR(__xludf.DUMMYFUNCTION("""COMPUTED_VALUE"""),"Porcelain")</f>
        <v>Porcelain</v>
      </c>
      <c r="S84" s="182" t="str">
        <f>IFERROR(__xludf.DUMMYFUNCTION("""COMPUTED_VALUE"""),"Light Porcelain")</f>
        <v>Light Porcelain</v>
      </c>
      <c r="T84" s="182" t="str">
        <f>IFERROR(__xludf.DUMMYFUNCTION("""COMPUTED_VALUE"""),"JP")</f>
        <v>JP</v>
      </c>
      <c r="U84" s="182" t="str">
        <f>IFERROR(__xludf.DUMMYFUNCTION("""COMPUTED_VALUE"""),"SKU,CLR2, BETTER, SUB6, JP, PRESS, BZ5")</f>
        <v>SKU,CLR2, BETTER, SUB6, JP, PRESS, BZ5</v>
      </c>
      <c r="V84" s="182"/>
      <c r="W84" s="183" t="str">
        <f>IFERROR(__xludf.DUMMYFUNCTION("""COMPUTED_VALUE"""),"#NUM!")</f>
        <v>#NUM!</v>
      </c>
      <c r="X84" s="186">
        <f>IFERROR(__xludf.DUMMYFUNCTION("""COMPUTED_VALUE"""),45831.0)</f>
        <v>45831</v>
      </c>
      <c r="Y84" s="187">
        <f>IFERROR(__xludf.DUMMYFUNCTION("""COMPUTED_VALUE"""),45780.0)</f>
        <v>45780</v>
      </c>
      <c r="Z84" s="182" t="b">
        <f>IFERROR(__xludf.DUMMYFUNCTION("""COMPUTED_VALUE"""),FALSE)</f>
        <v>0</v>
      </c>
      <c r="AA84" s="187">
        <f>IFERROR(__xludf.DUMMYFUNCTION("""COMPUTED_VALUE"""),45780.0)</f>
        <v>45780</v>
      </c>
      <c r="AB84" s="182" t="b">
        <f>IFERROR(__xludf.DUMMYFUNCTION("""COMPUTED_VALUE"""),FALSE)</f>
        <v>0</v>
      </c>
      <c r="AC84" s="187">
        <f>IFERROR(__xludf.DUMMYFUNCTION("""COMPUTED_VALUE"""),45787.0)</f>
        <v>45787</v>
      </c>
      <c r="AD84" s="187">
        <f>IFERROR(__xludf.DUMMYFUNCTION("""COMPUTED_VALUE"""),45787.0)</f>
        <v>45787</v>
      </c>
      <c r="AE84" s="182"/>
      <c r="AF84" s="182"/>
      <c r="AG84" s="182"/>
      <c r="AH84" s="182"/>
      <c r="AI84" s="188" t="str">
        <f>IFERROR(__xludf.DUMMYFUNCTION("""COMPUTED_VALUE"""),"GA10801-JP-N")</f>
        <v>GA10801-JP-N</v>
      </c>
      <c r="AJ84" s="187">
        <f>IFERROR(__xludf.DUMMYFUNCTION("""COMPUTED_VALUE"""),45793.0)</f>
        <v>45793</v>
      </c>
      <c r="AK84" s="187">
        <f>IFERROR(__xludf.DUMMYFUNCTION("""COMPUTED_VALUE"""),45801.0)</f>
        <v>45801</v>
      </c>
      <c r="AL84" s="182" t="b">
        <f>IFERROR(__xludf.DUMMYFUNCTION("""COMPUTED_VALUE"""),FALSE)</f>
        <v>0</v>
      </c>
      <c r="AM84" s="182" t="b">
        <f>IFERROR(__xludf.DUMMYFUNCTION("""COMPUTED_VALUE"""),FALSE)</f>
        <v>0</v>
      </c>
      <c r="AN84" s="187">
        <f>IFERROR(__xludf.DUMMYFUNCTION("""COMPUTED_VALUE"""),45801.0)</f>
        <v>45801</v>
      </c>
      <c r="AO84" s="182" t="b">
        <f>IFERROR(__xludf.DUMMYFUNCTION("""COMPUTED_VALUE"""),FALSE)</f>
        <v>0</v>
      </c>
      <c r="AP84" s="182"/>
      <c r="AQ84" s="182"/>
      <c r="AR84" s="187">
        <f>IFERROR(__xludf.DUMMYFUNCTION("""COMPUTED_VALUE"""),45801.0)</f>
        <v>45801</v>
      </c>
      <c r="AS84" s="182"/>
      <c r="AT84" s="182"/>
      <c r="AU84" s="182"/>
      <c r="AV84" s="187">
        <f>IFERROR(__xludf.DUMMYFUNCTION("""COMPUTED_VALUE"""),45801.0)</f>
        <v>45801</v>
      </c>
      <c r="AW84" s="182" t="b">
        <f>IFERROR(__xludf.DUMMYFUNCTION("""COMPUTED_VALUE"""),FALSE)</f>
        <v>0</v>
      </c>
      <c r="AX84" s="182"/>
      <c r="AY84" s="182"/>
      <c r="AZ84" s="187">
        <f>IFERROR(__xludf.DUMMYFUNCTION("""COMPUTED_VALUE"""),45827.0)</f>
        <v>45827</v>
      </c>
      <c r="BA84" s="182" t="b">
        <f>IFERROR(__xludf.DUMMYFUNCTION("""COMPUTED_VALUE"""),FALSE)</f>
        <v>0</v>
      </c>
      <c r="BB84" s="187">
        <f>IFERROR(__xludf.DUMMYFUNCTION("""COMPUTED_VALUE"""),45827.0)</f>
        <v>45827</v>
      </c>
    </row>
    <row r="85">
      <c r="A85" s="184" t="str">
        <f t="shared" si="1"/>
        <v>#VALUE!</v>
      </c>
      <c r="B85" s="69" t="str">
        <f t="shared" si="2"/>
        <v>#VALUE!</v>
      </c>
      <c r="C85" s="182" t="str">
        <f>IFERROR(__xludf.DUMMYFUNCTION("""COMPUTED_VALUE"""),"JP")</f>
        <v>JP</v>
      </c>
      <c r="D85" s="182" t="str">
        <f>IFERROR(__xludf.DUMMYFUNCTION("""COMPUTED_VALUE"""),"MP")</f>
        <v>MP</v>
      </c>
      <c r="E85" s="182" t="str">
        <f>IFERROR(__xludf.DUMMYFUNCTION("""COMPUTED_VALUE"""),"Press")</f>
        <v>Press</v>
      </c>
      <c r="F85" s="182" t="str">
        <f>IFERROR(__xludf.DUMMYFUNCTION("""COMPUTED_VALUE"""),"GA10802-JP-N")</f>
        <v>GA10802-JP-N</v>
      </c>
      <c r="G85" s="182" t="str">
        <f>IFERROR(__xludf.DUMMYFUNCTION("""COMPUTED_VALUE"""),"GN4F5")</f>
        <v>GN4F5</v>
      </c>
      <c r="H85" s="182">
        <f>IFERROR(__xludf.DUMMYFUNCTION("""COMPUTED_VALUE"""),8.4035393784E11)</f>
        <v>840353937840</v>
      </c>
      <c r="I85" s="185" t="str">
        <f>IFERROR(__xludf.DUMMYFUNCTION("""COMPUTED_VALUE"""),"0840353937840")</f>
        <v>0840353937840</v>
      </c>
      <c r="J85" s="182"/>
      <c r="K85" s="182"/>
      <c r="L85" s="182"/>
      <c r="M85" s="188" t="str">
        <f>IFERROR(__xludf.DUMMYFUNCTION("""COMPUTED_VALUE"""),"G990-08529-32-02")</f>
        <v>G990-08529-32-02</v>
      </c>
      <c r="N85" s="182"/>
      <c r="O85" s="188" t="str">
        <f>IFERROR(__xludf.DUMMYFUNCTION("""COMPUTED_VALUE"""),"G990-08495-00-01")</f>
        <v>G990-08495-00-01</v>
      </c>
      <c r="P85" s="182"/>
      <c r="Q85" s="182" t="str">
        <f>IFERROR(__xludf.DUMMYFUNCTION("""COMPUTED_VALUE"""),"256GB")</f>
        <v>256GB</v>
      </c>
      <c r="R85" s="182" t="str">
        <f>IFERROR(__xludf.DUMMYFUNCTION("""COMPUTED_VALUE"""),"Moonstone")</f>
        <v>Moonstone</v>
      </c>
      <c r="S85" s="182" t="str">
        <f>IFERROR(__xludf.DUMMYFUNCTION("""COMPUTED_VALUE"""),"Sterling")</f>
        <v>Sterling</v>
      </c>
      <c r="T85" s="182" t="str">
        <f>IFERROR(__xludf.DUMMYFUNCTION("""COMPUTED_VALUE"""),"JP")</f>
        <v>JP</v>
      </c>
      <c r="U85" s="182" t="str">
        <f>IFERROR(__xludf.DUMMYFUNCTION("""COMPUTED_VALUE"""),"SKU,CLR3, BETTER, SUB6, JP, PRESS, BZ5")</f>
        <v>SKU,CLR3, BETTER, SUB6, JP, PRESS, BZ5</v>
      </c>
      <c r="V85" s="182"/>
      <c r="W85" s="183" t="str">
        <f>IFERROR(__xludf.DUMMYFUNCTION("""COMPUTED_VALUE"""),"#NUM!")</f>
        <v>#NUM!</v>
      </c>
      <c r="X85" s="186">
        <f>IFERROR(__xludf.DUMMYFUNCTION("""COMPUTED_VALUE"""),45831.0)</f>
        <v>45831</v>
      </c>
      <c r="Y85" s="187">
        <f>IFERROR(__xludf.DUMMYFUNCTION("""COMPUTED_VALUE"""),45780.0)</f>
        <v>45780</v>
      </c>
      <c r="Z85" s="182" t="b">
        <f>IFERROR(__xludf.DUMMYFUNCTION("""COMPUTED_VALUE"""),FALSE)</f>
        <v>0</v>
      </c>
      <c r="AA85" s="187">
        <f>IFERROR(__xludf.DUMMYFUNCTION("""COMPUTED_VALUE"""),45780.0)</f>
        <v>45780</v>
      </c>
      <c r="AB85" s="182" t="b">
        <f>IFERROR(__xludf.DUMMYFUNCTION("""COMPUTED_VALUE"""),FALSE)</f>
        <v>0</v>
      </c>
      <c r="AC85" s="187">
        <f>IFERROR(__xludf.DUMMYFUNCTION("""COMPUTED_VALUE"""),45787.0)</f>
        <v>45787</v>
      </c>
      <c r="AD85" s="187">
        <f>IFERROR(__xludf.DUMMYFUNCTION("""COMPUTED_VALUE"""),45787.0)</f>
        <v>45787</v>
      </c>
      <c r="AE85" s="182"/>
      <c r="AF85" s="182"/>
      <c r="AG85" s="182"/>
      <c r="AH85" s="182"/>
      <c r="AI85" s="188" t="str">
        <f>IFERROR(__xludf.DUMMYFUNCTION("""COMPUTED_VALUE"""),"GA10802-JP-N")</f>
        <v>GA10802-JP-N</v>
      </c>
      <c r="AJ85" s="187">
        <f>IFERROR(__xludf.DUMMYFUNCTION("""COMPUTED_VALUE"""),45793.0)</f>
        <v>45793</v>
      </c>
      <c r="AK85" s="187">
        <f>IFERROR(__xludf.DUMMYFUNCTION("""COMPUTED_VALUE"""),45801.0)</f>
        <v>45801</v>
      </c>
      <c r="AL85" s="182" t="b">
        <f>IFERROR(__xludf.DUMMYFUNCTION("""COMPUTED_VALUE"""),FALSE)</f>
        <v>0</v>
      </c>
      <c r="AM85" s="182" t="b">
        <f>IFERROR(__xludf.DUMMYFUNCTION("""COMPUTED_VALUE"""),FALSE)</f>
        <v>0</v>
      </c>
      <c r="AN85" s="187">
        <f>IFERROR(__xludf.DUMMYFUNCTION("""COMPUTED_VALUE"""),45801.0)</f>
        <v>45801</v>
      </c>
      <c r="AO85" s="182" t="b">
        <f>IFERROR(__xludf.DUMMYFUNCTION("""COMPUTED_VALUE"""),FALSE)</f>
        <v>0</v>
      </c>
      <c r="AP85" s="182"/>
      <c r="AQ85" s="182"/>
      <c r="AR85" s="187">
        <f>IFERROR(__xludf.DUMMYFUNCTION("""COMPUTED_VALUE"""),45801.0)</f>
        <v>45801</v>
      </c>
      <c r="AS85" s="182"/>
      <c r="AT85" s="182"/>
      <c r="AU85" s="182"/>
      <c r="AV85" s="187">
        <f>IFERROR(__xludf.DUMMYFUNCTION("""COMPUTED_VALUE"""),45801.0)</f>
        <v>45801</v>
      </c>
      <c r="AW85" s="182" t="b">
        <f>IFERROR(__xludf.DUMMYFUNCTION("""COMPUTED_VALUE"""),FALSE)</f>
        <v>0</v>
      </c>
      <c r="AX85" s="182"/>
      <c r="AY85" s="182"/>
      <c r="AZ85" s="187">
        <f>IFERROR(__xludf.DUMMYFUNCTION("""COMPUTED_VALUE"""),45827.0)</f>
        <v>45827</v>
      </c>
      <c r="BA85" s="182" t="b">
        <f>IFERROR(__xludf.DUMMYFUNCTION("""COMPUTED_VALUE"""),FALSE)</f>
        <v>0</v>
      </c>
      <c r="BB85" s="187">
        <f>IFERROR(__xludf.DUMMYFUNCTION("""COMPUTED_VALUE"""),45827.0)</f>
        <v>45827</v>
      </c>
    </row>
    <row r="86">
      <c r="A86" s="184" t="str">
        <f t="shared" si="1"/>
        <v>#VALUE!</v>
      </c>
      <c r="B86" s="69" t="str">
        <f t="shared" si="2"/>
        <v>#VALUE!</v>
      </c>
      <c r="C86" s="182" t="str">
        <f>IFERROR(__xludf.DUMMYFUNCTION("""COMPUTED_VALUE"""),"JP")</f>
        <v>JP</v>
      </c>
      <c r="D86" s="182" t="str">
        <f>IFERROR(__xludf.DUMMYFUNCTION("""COMPUTED_VALUE"""),"MP")</f>
        <v>MP</v>
      </c>
      <c r="E86" s="182" t="str">
        <f>IFERROR(__xludf.DUMMYFUNCTION("""COMPUTED_VALUE"""),"Press")</f>
        <v>Press</v>
      </c>
      <c r="F86" s="182" t="str">
        <f>IFERROR(__xludf.DUMMYFUNCTION("""COMPUTED_VALUE"""),"GA10803-JP-N")</f>
        <v>GA10803-JP-N</v>
      </c>
      <c r="G86" s="182" t="str">
        <f>IFERROR(__xludf.DUMMYFUNCTION("""COMPUTED_VALUE"""),"GN4F5")</f>
        <v>GN4F5</v>
      </c>
      <c r="H86" s="182">
        <f>IFERROR(__xludf.DUMMYFUNCTION("""COMPUTED_VALUE"""),8.40353937888E11)</f>
        <v>840353937888</v>
      </c>
      <c r="I86" s="185" t="str">
        <f>IFERROR(__xludf.DUMMYFUNCTION("""COMPUTED_VALUE"""),"0840353937888")</f>
        <v>0840353937888</v>
      </c>
      <c r="J86" s="182"/>
      <c r="K86" s="182" t="str">
        <f>IFERROR(__xludf.DUMMYFUNCTION("""COMPUTED_VALUE"""),"ROW Master Carton Label (UPC)")</f>
        <v>ROW Master Carton Label (UPC)</v>
      </c>
      <c r="L86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86" s="188" t="str">
        <f>IFERROR(__xludf.DUMMYFUNCTION("""COMPUTED_VALUE"""),"G990-08529-42-02")</f>
        <v>G990-08529-42-02</v>
      </c>
      <c r="N86" s="182"/>
      <c r="O86" s="188" t="str">
        <f>IFERROR(__xludf.DUMMYFUNCTION("""COMPUTED_VALUE"""),"G990-08495-00-01")</f>
        <v>G990-08495-00-01</v>
      </c>
      <c r="P86" s="182"/>
      <c r="Q86" s="182" t="str">
        <f>IFERROR(__xludf.DUMMYFUNCTION("""COMPUTED_VALUE"""),"256GB")</f>
        <v>256GB</v>
      </c>
      <c r="R86" s="182" t="str">
        <f>IFERROR(__xludf.DUMMYFUNCTION("""COMPUTED_VALUE"""),"Jade")</f>
        <v>Jade</v>
      </c>
      <c r="S86" s="182" t="str">
        <f>IFERROR(__xludf.DUMMYFUNCTION("""COMPUTED_VALUE"""),"Smokey Green")</f>
        <v>Smokey Green</v>
      </c>
      <c r="T86" s="182" t="str">
        <f>IFERROR(__xludf.DUMMYFUNCTION("""COMPUTED_VALUE"""),"JP")</f>
        <v>JP</v>
      </c>
      <c r="U86" s="182" t="str">
        <f>IFERROR(__xludf.DUMMYFUNCTION("""COMPUTED_VALUE"""),"SKU,CLR4, BETTER, SUB6, JP, PRESS, BZ5")</f>
        <v>SKU,CLR4, BETTER, SUB6, JP, PRESS, BZ5</v>
      </c>
      <c r="V86" s="182"/>
      <c r="W86" s="183" t="str">
        <f>IFERROR(__xludf.DUMMYFUNCTION("""COMPUTED_VALUE"""),"#NUM!")</f>
        <v>#NUM!</v>
      </c>
      <c r="X86" s="186">
        <f>IFERROR(__xludf.DUMMYFUNCTION("""COMPUTED_VALUE"""),45831.0)</f>
        <v>45831</v>
      </c>
      <c r="Y86" s="187">
        <f>IFERROR(__xludf.DUMMYFUNCTION("""COMPUTED_VALUE"""),45780.0)</f>
        <v>45780</v>
      </c>
      <c r="Z86" s="182" t="b">
        <f>IFERROR(__xludf.DUMMYFUNCTION("""COMPUTED_VALUE"""),FALSE)</f>
        <v>0</v>
      </c>
      <c r="AA86" s="187">
        <f>IFERROR(__xludf.DUMMYFUNCTION("""COMPUTED_VALUE"""),45780.0)</f>
        <v>45780</v>
      </c>
      <c r="AB86" s="182" t="b">
        <f>IFERROR(__xludf.DUMMYFUNCTION("""COMPUTED_VALUE"""),FALSE)</f>
        <v>0</v>
      </c>
      <c r="AC86" s="187">
        <f>IFERROR(__xludf.DUMMYFUNCTION("""COMPUTED_VALUE"""),45787.0)</f>
        <v>45787</v>
      </c>
      <c r="AD86" s="187">
        <f>IFERROR(__xludf.DUMMYFUNCTION("""COMPUTED_VALUE"""),45787.0)</f>
        <v>45787</v>
      </c>
      <c r="AE86" s="188" t="str">
        <f>IFERROR(__xludf.DUMMYFUNCTION("""COMPUTED_VALUE"""),"GA10803-JP-N")</f>
        <v>GA10803-JP-N</v>
      </c>
      <c r="AF86" s="182"/>
      <c r="AG86" s="188" t="str">
        <f>IFERROR(__xludf.DUMMYFUNCTION("""COMPUTED_VALUE"""),"GA10803-JP-N")</f>
        <v>GA10803-JP-N</v>
      </c>
      <c r="AH86" s="188" t="str">
        <f>IFERROR(__xludf.DUMMYFUNCTION("""COMPUTED_VALUE"""),"GA10803-JP-N")</f>
        <v>GA10803-JP-N</v>
      </c>
      <c r="AI86" s="188" t="str">
        <f>IFERROR(__xludf.DUMMYFUNCTION("""COMPUTED_VALUE"""),"GA10803-JP-N")</f>
        <v>GA10803-JP-N</v>
      </c>
      <c r="AJ86" s="187">
        <f>IFERROR(__xludf.DUMMYFUNCTION("""COMPUTED_VALUE"""),45793.0)</f>
        <v>45793</v>
      </c>
      <c r="AK86" s="187">
        <f>IFERROR(__xludf.DUMMYFUNCTION("""COMPUTED_VALUE"""),45801.0)</f>
        <v>45801</v>
      </c>
      <c r="AL86" s="182" t="b">
        <f>IFERROR(__xludf.DUMMYFUNCTION("""COMPUTED_VALUE"""),FALSE)</f>
        <v>0</v>
      </c>
      <c r="AM86" s="182" t="b">
        <f>IFERROR(__xludf.DUMMYFUNCTION("""COMPUTED_VALUE"""),FALSE)</f>
        <v>0</v>
      </c>
      <c r="AN86" s="187">
        <f>IFERROR(__xludf.DUMMYFUNCTION("""COMPUTED_VALUE"""),45801.0)</f>
        <v>45801</v>
      </c>
      <c r="AO86" s="182" t="b">
        <f>IFERROR(__xludf.DUMMYFUNCTION("""COMPUTED_VALUE"""),FALSE)</f>
        <v>0</v>
      </c>
      <c r="AP86" s="182" t="str">
        <f>IFERROR(__xludf.DUMMYFUNCTION("""COMPUTED_VALUE"""),"N")</f>
        <v>N</v>
      </c>
      <c r="AQ86" s="182"/>
      <c r="AR86" s="187">
        <f>IFERROR(__xludf.DUMMYFUNCTION("""COMPUTED_VALUE"""),45801.0)</f>
        <v>45801</v>
      </c>
      <c r="AS86" s="182" t="b">
        <f>IFERROR(__xludf.DUMMYFUNCTION("""COMPUTED_VALUE"""),FALSE)</f>
        <v>0</v>
      </c>
      <c r="AT86" s="182"/>
      <c r="AU86" s="182"/>
      <c r="AV86" s="187">
        <f>IFERROR(__xludf.DUMMYFUNCTION("""COMPUTED_VALUE"""),45801.0)</f>
        <v>45801</v>
      </c>
      <c r="AW86" s="182" t="b">
        <f>IFERROR(__xludf.DUMMYFUNCTION("""COMPUTED_VALUE"""),FALSE)</f>
        <v>0</v>
      </c>
      <c r="AX86" s="182"/>
      <c r="AY86" s="182"/>
      <c r="AZ86" s="187">
        <f>IFERROR(__xludf.DUMMYFUNCTION("""COMPUTED_VALUE"""),45827.0)</f>
        <v>45827</v>
      </c>
      <c r="BA86" s="182" t="b">
        <f>IFERROR(__xludf.DUMMYFUNCTION("""COMPUTED_VALUE"""),FALSE)</f>
        <v>0</v>
      </c>
      <c r="BB86" s="187">
        <f>IFERROR(__xludf.DUMMYFUNCTION("""COMPUTED_VALUE"""),45827.0)</f>
        <v>45827</v>
      </c>
    </row>
    <row r="87">
      <c r="A87" s="184" t="str">
        <f t="shared" si="1"/>
        <v>#VALUE!</v>
      </c>
      <c r="B87" s="69" t="str">
        <f t="shared" si="2"/>
        <v>#VALUE!</v>
      </c>
      <c r="C87" s="182" t="str">
        <f>IFERROR(__xludf.DUMMYFUNCTION("""COMPUTED_VALUE"""),"CA/TW/SG/AU/MY/MX")</f>
        <v>CA/TW/SG/AU/MY/MX</v>
      </c>
      <c r="D87" s="182" t="str">
        <f>IFERROR(__xludf.DUMMYFUNCTION("""COMPUTED_VALUE"""),"MP")</f>
        <v>MP</v>
      </c>
      <c r="E87" s="182" t="str">
        <f>IFERROR(__xludf.DUMMYFUNCTION("""COMPUTED_VALUE"""),"Press")</f>
        <v>Press</v>
      </c>
      <c r="F87" s="182" t="str">
        <f>IFERROR(__xludf.DUMMYFUNCTION("""COMPUTED_VALUE"""),"GA10796-CA-N")</f>
        <v>GA10796-CA-N</v>
      </c>
      <c r="G87" s="182" t="str">
        <f>IFERROR(__xludf.DUMMYFUNCTION("""COMPUTED_VALUE"""),"GEHN3")</f>
        <v>GEHN3</v>
      </c>
      <c r="H87" s="182">
        <f>IFERROR(__xludf.DUMMYFUNCTION("""COMPUTED_VALUE"""),8.40353937611E11)</f>
        <v>840353937611</v>
      </c>
      <c r="I87" s="185" t="str">
        <f>IFERROR(__xludf.DUMMYFUNCTION("""COMPUTED_VALUE"""),"0840353937611")</f>
        <v>0840353937611</v>
      </c>
      <c r="J87" s="182"/>
      <c r="K87" s="182" t="str">
        <f>IFERROR(__xludf.DUMMYFUNCTION("""COMPUTED_VALUE"""),"ROW Master Carton Label (UPC)")</f>
        <v>ROW Master Carton Label (UPC)</v>
      </c>
      <c r="L87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87" s="188" t="str">
        <f>IFERROR(__xludf.DUMMYFUNCTION("""COMPUTED_VALUE"""),"G990-08528-11-02")</f>
        <v>G990-08528-11-02</v>
      </c>
      <c r="N87" s="182"/>
      <c r="O87" s="188" t="str">
        <f>IFERROR(__xludf.DUMMYFUNCTION("""COMPUTED_VALUE"""),"G990-08494-00-01")</f>
        <v>G990-08494-00-01</v>
      </c>
      <c r="P87" s="182"/>
      <c r="Q87" s="182" t="str">
        <f>IFERROR(__xludf.DUMMYFUNCTION("""COMPUTED_VALUE"""),"128GB")</f>
        <v>128GB</v>
      </c>
      <c r="R87" s="182" t="str">
        <f>IFERROR(__xludf.DUMMYFUNCTION("""COMPUTED_VALUE"""),"Obsidian")</f>
        <v>Obsidian</v>
      </c>
      <c r="S87" s="182" t="str">
        <f>IFERROR(__xludf.DUMMYFUNCTION("""COMPUTED_VALUE"""),"Midnight")</f>
        <v>Midnight</v>
      </c>
      <c r="T87" s="182" t="str">
        <f>IFERROR(__xludf.DUMMYFUNCTION("""COMPUTED_VALUE"""),"CA/TW/SG/AU/MY/MX")</f>
        <v>CA/TW/SG/AU/MY/MX</v>
      </c>
      <c r="U87" s="182" t="str">
        <f>IFERROR(__xludf.DUMMYFUNCTION("""COMPUTED_VALUE"""),"SKU,CLR1, GOOD, SUB6, CA/TW/SG/AU/MY/MX, PRESS, BZ5")</f>
        <v>SKU,CLR1, GOOD, SUB6, CA/TW/SG/AU/MY/MX, PRESS, BZ5</v>
      </c>
      <c r="V87" s="182"/>
      <c r="W87" s="183" t="str">
        <f>IFERROR(__xludf.DUMMYFUNCTION("""COMPUTED_VALUE"""),"#NUM!")</f>
        <v>#NUM!</v>
      </c>
      <c r="X87" s="186">
        <f>IFERROR(__xludf.DUMMYFUNCTION("""COMPUTED_VALUE"""),45831.0)</f>
        <v>45831</v>
      </c>
      <c r="Y87" s="187">
        <f>IFERROR(__xludf.DUMMYFUNCTION("""COMPUTED_VALUE"""),45780.0)</f>
        <v>45780</v>
      </c>
      <c r="Z87" s="182" t="b">
        <f>IFERROR(__xludf.DUMMYFUNCTION("""COMPUTED_VALUE"""),FALSE)</f>
        <v>0</v>
      </c>
      <c r="AA87" s="187">
        <f>IFERROR(__xludf.DUMMYFUNCTION("""COMPUTED_VALUE"""),45780.0)</f>
        <v>45780</v>
      </c>
      <c r="AB87" s="182" t="b">
        <f>IFERROR(__xludf.DUMMYFUNCTION("""COMPUTED_VALUE"""),FALSE)</f>
        <v>0</v>
      </c>
      <c r="AC87" s="187">
        <f>IFERROR(__xludf.DUMMYFUNCTION("""COMPUTED_VALUE"""),45787.0)</f>
        <v>45787</v>
      </c>
      <c r="AD87" s="187">
        <f>IFERROR(__xludf.DUMMYFUNCTION("""COMPUTED_VALUE"""),45787.0)</f>
        <v>45787</v>
      </c>
      <c r="AE87" s="188" t="str">
        <f>IFERROR(__xludf.DUMMYFUNCTION("""COMPUTED_VALUE"""),"GA10796-CA-N")</f>
        <v>GA10796-CA-N</v>
      </c>
      <c r="AF87" s="182"/>
      <c r="AG87" s="188" t="str">
        <f>IFERROR(__xludf.DUMMYFUNCTION("""COMPUTED_VALUE"""),"GA10796-CA-N")</f>
        <v>GA10796-CA-N</v>
      </c>
      <c r="AH87" s="188" t="str">
        <f>IFERROR(__xludf.DUMMYFUNCTION("""COMPUTED_VALUE"""),"GA10796-CA-N")</f>
        <v>GA10796-CA-N</v>
      </c>
      <c r="AI87" s="188" t="str">
        <f>IFERROR(__xludf.DUMMYFUNCTION("""COMPUTED_VALUE"""),"GA10796-CA-N")</f>
        <v>GA10796-CA-N</v>
      </c>
      <c r="AJ87" s="187">
        <f>IFERROR(__xludf.DUMMYFUNCTION("""COMPUTED_VALUE"""),45793.0)</f>
        <v>45793</v>
      </c>
      <c r="AK87" s="187">
        <f>IFERROR(__xludf.DUMMYFUNCTION("""COMPUTED_VALUE"""),45801.0)</f>
        <v>45801</v>
      </c>
      <c r="AL87" s="182" t="b">
        <f>IFERROR(__xludf.DUMMYFUNCTION("""COMPUTED_VALUE"""),FALSE)</f>
        <v>0</v>
      </c>
      <c r="AM87" s="182" t="b">
        <f>IFERROR(__xludf.DUMMYFUNCTION("""COMPUTED_VALUE"""),FALSE)</f>
        <v>0</v>
      </c>
      <c r="AN87" s="187">
        <f>IFERROR(__xludf.DUMMYFUNCTION("""COMPUTED_VALUE"""),45801.0)</f>
        <v>45801</v>
      </c>
      <c r="AO87" s="182" t="b">
        <f>IFERROR(__xludf.DUMMYFUNCTION("""COMPUTED_VALUE"""),FALSE)</f>
        <v>0</v>
      </c>
      <c r="AP87" s="182" t="str">
        <f>IFERROR(__xludf.DUMMYFUNCTION("""COMPUTED_VALUE"""),"N")</f>
        <v>N</v>
      </c>
      <c r="AQ87" s="182"/>
      <c r="AR87" s="187">
        <f>IFERROR(__xludf.DUMMYFUNCTION("""COMPUTED_VALUE"""),45801.0)</f>
        <v>45801</v>
      </c>
      <c r="AS87" s="182" t="b">
        <f>IFERROR(__xludf.DUMMYFUNCTION("""COMPUTED_VALUE"""),FALSE)</f>
        <v>0</v>
      </c>
      <c r="AT87" s="182"/>
      <c r="AU87" s="182"/>
      <c r="AV87" s="187">
        <f>IFERROR(__xludf.DUMMYFUNCTION("""COMPUTED_VALUE"""),45801.0)</f>
        <v>45801</v>
      </c>
      <c r="AW87" s="182" t="b">
        <f>IFERROR(__xludf.DUMMYFUNCTION("""COMPUTED_VALUE"""),FALSE)</f>
        <v>0</v>
      </c>
      <c r="AX87" s="182"/>
      <c r="AY87" s="182"/>
      <c r="AZ87" s="187">
        <f>IFERROR(__xludf.DUMMYFUNCTION("""COMPUTED_VALUE"""),45827.0)</f>
        <v>45827</v>
      </c>
      <c r="BA87" s="182" t="b">
        <f>IFERROR(__xludf.DUMMYFUNCTION("""COMPUTED_VALUE"""),FALSE)</f>
        <v>0</v>
      </c>
      <c r="BB87" s="187">
        <f>IFERROR(__xludf.DUMMYFUNCTION("""COMPUTED_VALUE"""),45827.0)</f>
        <v>45827</v>
      </c>
    </row>
    <row r="88">
      <c r="A88" s="184" t="str">
        <f t="shared" si="1"/>
        <v>#VALUE!</v>
      </c>
      <c r="B88" s="69" t="str">
        <f t="shared" si="2"/>
        <v>#VALUE!</v>
      </c>
      <c r="C88" s="182" t="str">
        <f>IFERROR(__xludf.DUMMYFUNCTION("""COMPUTED_VALUE"""),"CA/TW/SG/AU/MY/MX")</f>
        <v>CA/TW/SG/AU/MY/MX</v>
      </c>
      <c r="D88" s="182" t="str">
        <f>IFERROR(__xludf.DUMMYFUNCTION("""COMPUTED_VALUE"""),"MP")</f>
        <v>MP</v>
      </c>
      <c r="E88" s="182" t="str">
        <f>IFERROR(__xludf.DUMMYFUNCTION("""COMPUTED_VALUE"""),"Press")</f>
        <v>Press</v>
      </c>
      <c r="F88" s="182" t="str">
        <f>IFERROR(__xludf.DUMMYFUNCTION("""COMPUTED_VALUE"""),"GA10797-CA-N")</f>
        <v>GA10797-CA-N</v>
      </c>
      <c r="G88" s="182" t="str">
        <f>IFERROR(__xludf.DUMMYFUNCTION("""COMPUTED_VALUE"""),"GEHN3")</f>
        <v>GEHN3</v>
      </c>
      <c r="H88" s="182">
        <f>IFERROR(__xludf.DUMMYFUNCTION("""COMPUTED_VALUE"""),8.40353937659E11)</f>
        <v>840353937659</v>
      </c>
      <c r="I88" s="185" t="str">
        <f>IFERROR(__xludf.DUMMYFUNCTION("""COMPUTED_VALUE"""),"0840353937659")</f>
        <v>0840353937659</v>
      </c>
      <c r="J88" s="182"/>
      <c r="K88" s="182" t="str">
        <f>IFERROR(__xludf.DUMMYFUNCTION("""COMPUTED_VALUE"""),"ROW Master Carton Label (UPC)")</f>
        <v>ROW Master Carton Label (UPC)</v>
      </c>
      <c r="L88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88" s="188" t="str">
        <f>IFERROR(__xludf.DUMMYFUNCTION("""COMPUTED_VALUE"""),"G990-08528-21-02")</f>
        <v>G990-08528-21-02</v>
      </c>
      <c r="N88" s="182"/>
      <c r="O88" s="188" t="str">
        <f>IFERROR(__xludf.DUMMYFUNCTION("""COMPUTED_VALUE"""),"G990-08494-00-01")</f>
        <v>G990-08494-00-01</v>
      </c>
      <c r="P88" s="182"/>
      <c r="Q88" s="182" t="str">
        <f>IFERROR(__xludf.DUMMYFUNCTION("""COMPUTED_VALUE"""),"128GB")</f>
        <v>128GB</v>
      </c>
      <c r="R88" s="182" t="str">
        <f>IFERROR(__xludf.DUMMYFUNCTION("""COMPUTED_VALUE"""),"Porcelain")</f>
        <v>Porcelain</v>
      </c>
      <c r="S88" s="182" t="str">
        <f>IFERROR(__xludf.DUMMYFUNCTION("""COMPUTED_VALUE"""),"Light Porcelain")</f>
        <v>Light Porcelain</v>
      </c>
      <c r="T88" s="182" t="str">
        <f>IFERROR(__xludf.DUMMYFUNCTION("""COMPUTED_VALUE"""),"CA/TW/SG/AU/MY/MX")</f>
        <v>CA/TW/SG/AU/MY/MX</v>
      </c>
      <c r="U88" s="182" t="str">
        <f>IFERROR(__xludf.DUMMYFUNCTION("""COMPUTED_VALUE"""),"SKU,CLR2, GOOD, SUB6, CA/TW/SG/AU/MY/MX, PRESS, BZ5")</f>
        <v>SKU,CLR2, GOOD, SUB6, CA/TW/SG/AU/MY/MX, PRESS, BZ5</v>
      </c>
      <c r="V88" s="182"/>
      <c r="W88" s="183" t="str">
        <f>IFERROR(__xludf.DUMMYFUNCTION("""COMPUTED_VALUE"""),"#NUM!")</f>
        <v>#NUM!</v>
      </c>
      <c r="X88" s="186">
        <f>IFERROR(__xludf.DUMMYFUNCTION("""COMPUTED_VALUE"""),45831.0)</f>
        <v>45831</v>
      </c>
      <c r="Y88" s="187">
        <f>IFERROR(__xludf.DUMMYFUNCTION("""COMPUTED_VALUE"""),45780.0)</f>
        <v>45780</v>
      </c>
      <c r="Z88" s="182" t="b">
        <f>IFERROR(__xludf.DUMMYFUNCTION("""COMPUTED_VALUE"""),FALSE)</f>
        <v>0</v>
      </c>
      <c r="AA88" s="187">
        <f>IFERROR(__xludf.DUMMYFUNCTION("""COMPUTED_VALUE"""),45780.0)</f>
        <v>45780</v>
      </c>
      <c r="AB88" s="182" t="b">
        <f>IFERROR(__xludf.DUMMYFUNCTION("""COMPUTED_VALUE"""),FALSE)</f>
        <v>0</v>
      </c>
      <c r="AC88" s="187">
        <f>IFERROR(__xludf.DUMMYFUNCTION("""COMPUTED_VALUE"""),45787.0)</f>
        <v>45787</v>
      </c>
      <c r="AD88" s="187">
        <f>IFERROR(__xludf.DUMMYFUNCTION("""COMPUTED_VALUE"""),45787.0)</f>
        <v>45787</v>
      </c>
      <c r="AE88" s="188" t="str">
        <f>IFERROR(__xludf.DUMMYFUNCTION("""COMPUTED_VALUE"""),"GA10797-CA-N")</f>
        <v>GA10797-CA-N</v>
      </c>
      <c r="AF88" s="182"/>
      <c r="AG88" s="188" t="str">
        <f>IFERROR(__xludf.DUMMYFUNCTION("""COMPUTED_VALUE"""),"GA10797-CA-N")</f>
        <v>GA10797-CA-N</v>
      </c>
      <c r="AH88" s="188" t="str">
        <f>IFERROR(__xludf.DUMMYFUNCTION("""COMPUTED_VALUE"""),"GA10797-CA-N")</f>
        <v>GA10797-CA-N</v>
      </c>
      <c r="AI88" s="188" t="str">
        <f>IFERROR(__xludf.DUMMYFUNCTION("""COMPUTED_VALUE"""),"GA10797-CA-N")</f>
        <v>GA10797-CA-N</v>
      </c>
      <c r="AJ88" s="187">
        <f>IFERROR(__xludf.DUMMYFUNCTION("""COMPUTED_VALUE"""),45793.0)</f>
        <v>45793</v>
      </c>
      <c r="AK88" s="187">
        <f>IFERROR(__xludf.DUMMYFUNCTION("""COMPUTED_VALUE"""),45801.0)</f>
        <v>45801</v>
      </c>
      <c r="AL88" s="182" t="b">
        <f>IFERROR(__xludf.DUMMYFUNCTION("""COMPUTED_VALUE"""),FALSE)</f>
        <v>0</v>
      </c>
      <c r="AM88" s="182" t="b">
        <f>IFERROR(__xludf.DUMMYFUNCTION("""COMPUTED_VALUE"""),FALSE)</f>
        <v>0</v>
      </c>
      <c r="AN88" s="187">
        <f>IFERROR(__xludf.DUMMYFUNCTION("""COMPUTED_VALUE"""),45801.0)</f>
        <v>45801</v>
      </c>
      <c r="AO88" s="182" t="b">
        <f>IFERROR(__xludf.DUMMYFUNCTION("""COMPUTED_VALUE"""),FALSE)</f>
        <v>0</v>
      </c>
      <c r="AP88" s="182" t="str">
        <f>IFERROR(__xludf.DUMMYFUNCTION("""COMPUTED_VALUE"""),"Y")</f>
        <v>Y</v>
      </c>
      <c r="AQ88" s="182"/>
      <c r="AR88" s="187">
        <f>IFERROR(__xludf.DUMMYFUNCTION("""COMPUTED_VALUE"""),45801.0)</f>
        <v>45801</v>
      </c>
      <c r="AS88" s="182" t="b">
        <f>IFERROR(__xludf.DUMMYFUNCTION("""COMPUTED_VALUE"""),FALSE)</f>
        <v>0</v>
      </c>
      <c r="AT88" s="182"/>
      <c r="AU88" s="182"/>
      <c r="AV88" s="187">
        <f>IFERROR(__xludf.DUMMYFUNCTION("""COMPUTED_VALUE"""),45801.0)</f>
        <v>45801</v>
      </c>
      <c r="AW88" s="182" t="b">
        <f>IFERROR(__xludf.DUMMYFUNCTION("""COMPUTED_VALUE"""),FALSE)</f>
        <v>0</v>
      </c>
      <c r="AX88" s="182"/>
      <c r="AY88" s="182"/>
      <c r="AZ88" s="187">
        <f>IFERROR(__xludf.DUMMYFUNCTION("""COMPUTED_VALUE"""),45827.0)</f>
        <v>45827</v>
      </c>
      <c r="BA88" s="182" t="b">
        <f>IFERROR(__xludf.DUMMYFUNCTION("""COMPUTED_VALUE"""),FALSE)</f>
        <v>0</v>
      </c>
      <c r="BB88" s="187">
        <f>IFERROR(__xludf.DUMMYFUNCTION("""COMPUTED_VALUE"""),45827.0)</f>
        <v>45827</v>
      </c>
    </row>
    <row r="89">
      <c r="A89" s="184" t="str">
        <f t="shared" si="1"/>
        <v>#VALUE!</v>
      </c>
      <c r="B89" s="69" t="str">
        <f t="shared" si="2"/>
        <v>#VALUE!</v>
      </c>
      <c r="C89" s="182" t="str">
        <f>IFERROR(__xludf.DUMMYFUNCTION("""COMPUTED_VALUE"""),"CA/TW/SG/AU/MY/MX")</f>
        <v>CA/TW/SG/AU/MY/MX</v>
      </c>
      <c r="D89" s="182" t="str">
        <f>IFERROR(__xludf.DUMMYFUNCTION("""COMPUTED_VALUE"""),"MP")</f>
        <v>MP</v>
      </c>
      <c r="E89" s="182" t="str">
        <f>IFERROR(__xludf.DUMMYFUNCTION("""COMPUTED_VALUE"""),"Press")</f>
        <v>Press</v>
      </c>
      <c r="F89" s="182" t="str">
        <f>IFERROR(__xludf.DUMMYFUNCTION("""COMPUTED_VALUE"""),"GA10798-CA-N")</f>
        <v>GA10798-CA-N</v>
      </c>
      <c r="G89" s="182" t="str">
        <f>IFERROR(__xludf.DUMMYFUNCTION("""COMPUTED_VALUE"""),"GEHN3")</f>
        <v>GEHN3</v>
      </c>
      <c r="H89" s="182">
        <f>IFERROR(__xludf.DUMMYFUNCTION("""COMPUTED_VALUE"""),8.40353937697E11)</f>
        <v>840353937697</v>
      </c>
      <c r="I89" s="185" t="str">
        <f>IFERROR(__xludf.DUMMYFUNCTION("""COMPUTED_VALUE"""),"0840353937697")</f>
        <v>0840353937697</v>
      </c>
      <c r="J89" s="182"/>
      <c r="K89" s="182" t="str">
        <f>IFERROR(__xludf.DUMMYFUNCTION("""COMPUTED_VALUE"""),"ROW Master Carton Label (UPC)")</f>
        <v>ROW Master Carton Label (UPC)</v>
      </c>
      <c r="L89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89" s="188" t="str">
        <f>IFERROR(__xludf.DUMMYFUNCTION("""COMPUTED_VALUE"""),"G990-08528-31-02")</f>
        <v>G990-08528-31-02</v>
      </c>
      <c r="N89" s="182"/>
      <c r="O89" s="188" t="str">
        <f>IFERROR(__xludf.DUMMYFUNCTION("""COMPUTED_VALUE"""),"G990-08494-00-01")</f>
        <v>G990-08494-00-01</v>
      </c>
      <c r="P89" s="182"/>
      <c r="Q89" s="182" t="str">
        <f>IFERROR(__xludf.DUMMYFUNCTION("""COMPUTED_VALUE"""),"128GB")</f>
        <v>128GB</v>
      </c>
      <c r="R89" s="182" t="str">
        <f>IFERROR(__xludf.DUMMYFUNCTION("""COMPUTED_VALUE"""),"Moonstone")</f>
        <v>Moonstone</v>
      </c>
      <c r="S89" s="182" t="str">
        <f>IFERROR(__xludf.DUMMYFUNCTION("""COMPUTED_VALUE"""),"Sterling")</f>
        <v>Sterling</v>
      </c>
      <c r="T89" s="182" t="str">
        <f>IFERROR(__xludf.DUMMYFUNCTION("""COMPUTED_VALUE"""),"CA/TW/SG/AU/MY/MX")</f>
        <v>CA/TW/SG/AU/MY/MX</v>
      </c>
      <c r="U89" s="182" t="str">
        <f>IFERROR(__xludf.DUMMYFUNCTION("""COMPUTED_VALUE"""),"SKU,CLR3, GOOD, SUB6, CA/TW/SG/AU/MY/MX, PRESS, BZ5")</f>
        <v>SKU,CLR3, GOOD, SUB6, CA/TW/SG/AU/MY/MX, PRESS, BZ5</v>
      </c>
      <c r="V89" s="182"/>
      <c r="W89" s="183" t="str">
        <f>IFERROR(__xludf.DUMMYFUNCTION("""COMPUTED_VALUE"""),"#NUM!")</f>
        <v>#NUM!</v>
      </c>
      <c r="X89" s="186">
        <f>IFERROR(__xludf.DUMMYFUNCTION("""COMPUTED_VALUE"""),45831.0)</f>
        <v>45831</v>
      </c>
      <c r="Y89" s="187">
        <f>IFERROR(__xludf.DUMMYFUNCTION("""COMPUTED_VALUE"""),45780.0)</f>
        <v>45780</v>
      </c>
      <c r="Z89" s="182" t="b">
        <f>IFERROR(__xludf.DUMMYFUNCTION("""COMPUTED_VALUE"""),FALSE)</f>
        <v>0</v>
      </c>
      <c r="AA89" s="187">
        <f>IFERROR(__xludf.DUMMYFUNCTION("""COMPUTED_VALUE"""),45780.0)</f>
        <v>45780</v>
      </c>
      <c r="AB89" s="182" t="b">
        <f>IFERROR(__xludf.DUMMYFUNCTION("""COMPUTED_VALUE"""),FALSE)</f>
        <v>0</v>
      </c>
      <c r="AC89" s="187">
        <f>IFERROR(__xludf.DUMMYFUNCTION("""COMPUTED_VALUE"""),45787.0)</f>
        <v>45787</v>
      </c>
      <c r="AD89" s="187">
        <f>IFERROR(__xludf.DUMMYFUNCTION("""COMPUTED_VALUE"""),45787.0)</f>
        <v>45787</v>
      </c>
      <c r="AE89" s="188" t="str">
        <f>IFERROR(__xludf.DUMMYFUNCTION("""COMPUTED_VALUE"""),"GA10798-CA-N")</f>
        <v>GA10798-CA-N</v>
      </c>
      <c r="AF89" s="182"/>
      <c r="AG89" s="188" t="str">
        <f>IFERROR(__xludf.DUMMYFUNCTION("""COMPUTED_VALUE"""),"GA10798-CA-N")</f>
        <v>GA10798-CA-N</v>
      </c>
      <c r="AH89" s="188" t="str">
        <f>IFERROR(__xludf.DUMMYFUNCTION("""COMPUTED_VALUE"""),"GA10798-CA-N")</f>
        <v>GA10798-CA-N</v>
      </c>
      <c r="AI89" s="188" t="str">
        <f>IFERROR(__xludf.DUMMYFUNCTION("""COMPUTED_VALUE"""),"GA10798-CA-N")</f>
        <v>GA10798-CA-N</v>
      </c>
      <c r="AJ89" s="187">
        <f>IFERROR(__xludf.DUMMYFUNCTION("""COMPUTED_VALUE"""),45793.0)</f>
        <v>45793</v>
      </c>
      <c r="AK89" s="187">
        <f>IFERROR(__xludf.DUMMYFUNCTION("""COMPUTED_VALUE"""),45801.0)</f>
        <v>45801</v>
      </c>
      <c r="AL89" s="182" t="b">
        <f>IFERROR(__xludf.DUMMYFUNCTION("""COMPUTED_VALUE"""),FALSE)</f>
        <v>0</v>
      </c>
      <c r="AM89" s="182" t="b">
        <f>IFERROR(__xludf.DUMMYFUNCTION("""COMPUTED_VALUE"""),FALSE)</f>
        <v>0</v>
      </c>
      <c r="AN89" s="187">
        <f>IFERROR(__xludf.DUMMYFUNCTION("""COMPUTED_VALUE"""),45801.0)</f>
        <v>45801</v>
      </c>
      <c r="AO89" s="182" t="b">
        <f>IFERROR(__xludf.DUMMYFUNCTION("""COMPUTED_VALUE"""),FALSE)</f>
        <v>0</v>
      </c>
      <c r="AP89" s="182" t="str">
        <f>IFERROR(__xludf.DUMMYFUNCTION("""COMPUTED_VALUE"""),"N")</f>
        <v>N</v>
      </c>
      <c r="AQ89" s="182"/>
      <c r="AR89" s="187">
        <f>IFERROR(__xludf.DUMMYFUNCTION("""COMPUTED_VALUE"""),45801.0)</f>
        <v>45801</v>
      </c>
      <c r="AS89" s="182" t="b">
        <f>IFERROR(__xludf.DUMMYFUNCTION("""COMPUTED_VALUE"""),FALSE)</f>
        <v>0</v>
      </c>
      <c r="AT89" s="182"/>
      <c r="AU89" s="182"/>
      <c r="AV89" s="187">
        <f>IFERROR(__xludf.DUMMYFUNCTION("""COMPUTED_VALUE"""),45801.0)</f>
        <v>45801</v>
      </c>
      <c r="AW89" s="182" t="b">
        <f>IFERROR(__xludf.DUMMYFUNCTION("""COMPUTED_VALUE"""),FALSE)</f>
        <v>0</v>
      </c>
      <c r="AX89" s="182"/>
      <c r="AY89" s="182"/>
      <c r="AZ89" s="187">
        <f>IFERROR(__xludf.DUMMYFUNCTION("""COMPUTED_VALUE"""),45827.0)</f>
        <v>45827</v>
      </c>
      <c r="BA89" s="182" t="b">
        <f>IFERROR(__xludf.DUMMYFUNCTION("""COMPUTED_VALUE"""),FALSE)</f>
        <v>0</v>
      </c>
      <c r="BB89" s="187">
        <f>IFERROR(__xludf.DUMMYFUNCTION("""COMPUTED_VALUE"""),45827.0)</f>
        <v>45827</v>
      </c>
    </row>
    <row r="90">
      <c r="A90" s="184" t="str">
        <f t="shared" si="1"/>
        <v>#VALUE!</v>
      </c>
      <c r="B90" s="69" t="str">
        <f t="shared" si="2"/>
        <v>#VALUE!</v>
      </c>
      <c r="C90" s="182" t="str">
        <f>IFERROR(__xludf.DUMMYFUNCTION("""COMPUTED_VALUE"""),"CA/TW/SG/AU/MY/MX")</f>
        <v>CA/TW/SG/AU/MY/MX</v>
      </c>
      <c r="D90" s="182" t="str">
        <f>IFERROR(__xludf.DUMMYFUNCTION("""COMPUTED_VALUE"""),"MP")</f>
        <v>MP</v>
      </c>
      <c r="E90" s="182" t="str">
        <f>IFERROR(__xludf.DUMMYFUNCTION("""COMPUTED_VALUE"""),"Press")</f>
        <v>Press</v>
      </c>
      <c r="F90" s="182" t="str">
        <f>IFERROR(__xludf.DUMMYFUNCTION("""COMPUTED_VALUE"""),"GA10799-CA-N")</f>
        <v>GA10799-CA-N</v>
      </c>
      <c r="G90" s="182" t="str">
        <f>IFERROR(__xludf.DUMMYFUNCTION("""COMPUTED_VALUE"""),"GEHN3")</f>
        <v>GEHN3</v>
      </c>
      <c r="H90" s="182">
        <f>IFERROR(__xludf.DUMMYFUNCTION("""COMPUTED_VALUE"""),8.40353937734E11)</f>
        <v>840353937734</v>
      </c>
      <c r="I90" s="185" t="str">
        <f>IFERROR(__xludf.DUMMYFUNCTION("""COMPUTED_VALUE"""),"0840353937734")</f>
        <v>0840353937734</v>
      </c>
      <c r="J90" s="182"/>
      <c r="K90" s="182"/>
      <c r="L90" s="182"/>
      <c r="M90" s="188" t="str">
        <f>IFERROR(__xludf.DUMMYFUNCTION("""COMPUTED_VALUE"""),"G990-08528-41-02")</f>
        <v>G990-08528-41-02</v>
      </c>
      <c r="N90" s="182"/>
      <c r="O90" s="188" t="str">
        <f>IFERROR(__xludf.DUMMYFUNCTION("""COMPUTED_VALUE"""),"G990-08494-00-01")</f>
        <v>G990-08494-00-01</v>
      </c>
      <c r="P90" s="182"/>
      <c r="Q90" s="182" t="str">
        <f>IFERROR(__xludf.DUMMYFUNCTION("""COMPUTED_VALUE"""),"128GB")</f>
        <v>128GB</v>
      </c>
      <c r="R90" s="182" t="str">
        <f>IFERROR(__xludf.DUMMYFUNCTION("""COMPUTED_VALUE"""),"Jade")</f>
        <v>Jade</v>
      </c>
      <c r="S90" s="182" t="str">
        <f>IFERROR(__xludf.DUMMYFUNCTION("""COMPUTED_VALUE"""),"Smokey Green")</f>
        <v>Smokey Green</v>
      </c>
      <c r="T90" s="182" t="str">
        <f>IFERROR(__xludf.DUMMYFUNCTION("""COMPUTED_VALUE"""),"CA/TW/SG/AU/MY/MX")</f>
        <v>CA/TW/SG/AU/MY/MX</v>
      </c>
      <c r="U90" s="182" t="str">
        <f>IFERROR(__xludf.DUMMYFUNCTION("""COMPUTED_VALUE"""),"SKU,CLR4, GOOD, SUB6, CA/TW/SG/AU/MY/MX, PRESS, BZ5")</f>
        <v>SKU,CLR4, GOOD, SUB6, CA/TW/SG/AU/MY/MX, PRESS, BZ5</v>
      </c>
      <c r="V90" s="182"/>
      <c r="W90" s="183" t="str">
        <f>IFERROR(__xludf.DUMMYFUNCTION("""COMPUTED_VALUE"""),"#NUM!")</f>
        <v>#NUM!</v>
      </c>
      <c r="X90" s="186">
        <f>IFERROR(__xludf.DUMMYFUNCTION("""COMPUTED_VALUE"""),45831.0)</f>
        <v>45831</v>
      </c>
      <c r="Y90" s="187">
        <f>IFERROR(__xludf.DUMMYFUNCTION("""COMPUTED_VALUE"""),45780.0)</f>
        <v>45780</v>
      </c>
      <c r="Z90" s="182" t="b">
        <f>IFERROR(__xludf.DUMMYFUNCTION("""COMPUTED_VALUE"""),FALSE)</f>
        <v>0</v>
      </c>
      <c r="AA90" s="187">
        <f>IFERROR(__xludf.DUMMYFUNCTION("""COMPUTED_VALUE"""),45780.0)</f>
        <v>45780</v>
      </c>
      <c r="AB90" s="182" t="b">
        <f>IFERROR(__xludf.DUMMYFUNCTION("""COMPUTED_VALUE"""),FALSE)</f>
        <v>0</v>
      </c>
      <c r="AC90" s="187">
        <f>IFERROR(__xludf.DUMMYFUNCTION("""COMPUTED_VALUE"""),45787.0)</f>
        <v>45787</v>
      </c>
      <c r="AD90" s="187">
        <f>IFERROR(__xludf.DUMMYFUNCTION("""COMPUTED_VALUE"""),45787.0)</f>
        <v>45787</v>
      </c>
      <c r="AE90" s="182"/>
      <c r="AF90" s="182"/>
      <c r="AG90" s="182"/>
      <c r="AH90" s="182"/>
      <c r="AI90" s="188" t="str">
        <f>IFERROR(__xludf.DUMMYFUNCTION("""COMPUTED_VALUE"""),"GA10799-CA-N")</f>
        <v>GA10799-CA-N</v>
      </c>
      <c r="AJ90" s="187">
        <f>IFERROR(__xludf.DUMMYFUNCTION("""COMPUTED_VALUE"""),45793.0)</f>
        <v>45793</v>
      </c>
      <c r="AK90" s="187">
        <f>IFERROR(__xludf.DUMMYFUNCTION("""COMPUTED_VALUE"""),45801.0)</f>
        <v>45801</v>
      </c>
      <c r="AL90" s="182" t="b">
        <f>IFERROR(__xludf.DUMMYFUNCTION("""COMPUTED_VALUE"""),FALSE)</f>
        <v>0</v>
      </c>
      <c r="AM90" s="182" t="b">
        <f>IFERROR(__xludf.DUMMYFUNCTION("""COMPUTED_VALUE"""),FALSE)</f>
        <v>0</v>
      </c>
      <c r="AN90" s="187">
        <f>IFERROR(__xludf.DUMMYFUNCTION("""COMPUTED_VALUE"""),45801.0)</f>
        <v>45801</v>
      </c>
      <c r="AO90" s="182" t="b">
        <f>IFERROR(__xludf.DUMMYFUNCTION("""COMPUTED_VALUE"""),FALSE)</f>
        <v>0</v>
      </c>
      <c r="AP90" s="182"/>
      <c r="AQ90" s="182"/>
      <c r="AR90" s="187">
        <f>IFERROR(__xludf.DUMMYFUNCTION("""COMPUTED_VALUE"""),45801.0)</f>
        <v>45801</v>
      </c>
      <c r="AS90" s="182"/>
      <c r="AT90" s="182"/>
      <c r="AU90" s="182"/>
      <c r="AV90" s="187">
        <f>IFERROR(__xludf.DUMMYFUNCTION("""COMPUTED_VALUE"""),45801.0)</f>
        <v>45801</v>
      </c>
      <c r="AW90" s="182" t="b">
        <f>IFERROR(__xludf.DUMMYFUNCTION("""COMPUTED_VALUE"""),FALSE)</f>
        <v>0</v>
      </c>
      <c r="AX90" s="182"/>
      <c r="AY90" s="182"/>
      <c r="AZ90" s="187">
        <f>IFERROR(__xludf.DUMMYFUNCTION("""COMPUTED_VALUE"""),45827.0)</f>
        <v>45827</v>
      </c>
      <c r="BA90" s="182" t="b">
        <f>IFERROR(__xludf.DUMMYFUNCTION("""COMPUTED_VALUE"""),FALSE)</f>
        <v>0</v>
      </c>
      <c r="BB90" s="187">
        <f>IFERROR(__xludf.DUMMYFUNCTION("""COMPUTED_VALUE"""),45827.0)</f>
        <v>45827</v>
      </c>
    </row>
    <row r="91">
      <c r="A91" s="184" t="str">
        <f t="shared" si="1"/>
        <v>#VALUE!</v>
      </c>
      <c r="B91" s="69" t="str">
        <f t="shared" si="2"/>
        <v>#VALUE!</v>
      </c>
      <c r="C91" s="182" t="str">
        <f>IFERROR(__xludf.DUMMYFUNCTION("""COMPUTED_VALUE"""),"CA/TW/SG/AU/MY/MX")</f>
        <v>CA/TW/SG/AU/MY/MX</v>
      </c>
      <c r="D91" s="182" t="str">
        <f>IFERROR(__xludf.DUMMYFUNCTION("""COMPUTED_VALUE"""),"MP")</f>
        <v>MP</v>
      </c>
      <c r="E91" s="182" t="str">
        <f>IFERROR(__xludf.DUMMYFUNCTION("""COMPUTED_VALUE"""),"Press")</f>
        <v>Press</v>
      </c>
      <c r="F91" s="182" t="str">
        <f>IFERROR(__xludf.DUMMYFUNCTION("""COMPUTED_VALUE"""),"GA10800-CA-N")</f>
        <v>GA10800-CA-N</v>
      </c>
      <c r="G91" s="182" t="str">
        <f>IFERROR(__xludf.DUMMYFUNCTION("""COMPUTED_VALUE"""),"GEHN3")</f>
        <v>GEHN3</v>
      </c>
      <c r="H91" s="182">
        <f>IFERROR(__xludf.DUMMYFUNCTION("""COMPUTED_VALUE"""),8.40353937772E11)</f>
        <v>840353937772</v>
      </c>
      <c r="I91" s="185" t="str">
        <f>IFERROR(__xludf.DUMMYFUNCTION("""COMPUTED_VALUE"""),"0840353937772")</f>
        <v>0840353937772</v>
      </c>
      <c r="J91" s="182"/>
      <c r="K91" s="182"/>
      <c r="L91" s="182"/>
      <c r="M91" s="188" t="str">
        <f>IFERROR(__xludf.DUMMYFUNCTION("""COMPUTED_VALUE"""),"G990-08528-12-02")</f>
        <v>G990-08528-12-02</v>
      </c>
      <c r="N91" s="182"/>
      <c r="O91" s="188" t="str">
        <f>IFERROR(__xludf.DUMMYFUNCTION("""COMPUTED_VALUE"""),"G990-08494-00-01")</f>
        <v>G990-08494-00-01</v>
      </c>
      <c r="P91" s="182"/>
      <c r="Q91" s="182" t="str">
        <f>IFERROR(__xludf.DUMMYFUNCTION("""COMPUTED_VALUE"""),"256GB")</f>
        <v>256GB</v>
      </c>
      <c r="R91" s="182" t="str">
        <f>IFERROR(__xludf.DUMMYFUNCTION("""COMPUTED_VALUE"""),"Obsidian")</f>
        <v>Obsidian</v>
      </c>
      <c r="S91" s="182" t="str">
        <f>IFERROR(__xludf.DUMMYFUNCTION("""COMPUTED_VALUE"""),"Midnight")</f>
        <v>Midnight</v>
      </c>
      <c r="T91" s="182" t="str">
        <f>IFERROR(__xludf.DUMMYFUNCTION("""COMPUTED_VALUE"""),"CA/TW/SG/AU/MY/MX")</f>
        <v>CA/TW/SG/AU/MY/MX</v>
      </c>
      <c r="U91" s="182" t="str">
        <f>IFERROR(__xludf.DUMMYFUNCTION("""COMPUTED_VALUE"""),"SKU,CLR1, BETTER, SUB6, CA/TW/SG/AU/MY/MX, PRESS, BZ5")</f>
        <v>SKU,CLR1, BETTER, SUB6, CA/TW/SG/AU/MY/MX, PRESS, BZ5</v>
      </c>
      <c r="V91" s="182"/>
      <c r="W91" s="183" t="str">
        <f>IFERROR(__xludf.DUMMYFUNCTION("""COMPUTED_VALUE"""),"#NUM!")</f>
        <v>#NUM!</v>
      </c>
      <c r="X91" s="186">
        <f>IFERROR(__xludf.DUMMYFUNCTION("""COMPUTED_VALUE"""),45831.0)</f>
        <v>45831</v>
      </c>
      <c r="Y91" s="187">
        <f>IFERROR(__xludf.DUMMYFUNCTION("""COMPUTED_VALUE"""),45780.0)</f>
        <v>45780</v>
      </c>
      <c r="Z91" s="182" t="b">
        <f>IFERROR(__xludf.DUMMYFUNCTION("""COMPUTED_VALUE"""),FALSE)</f>
        <v>0</v>
      </c>
      <c r="AA91" s="187">
        <f>IFERROR(__xludf.DUMMYFUNCTION("""COMPUTED_VALUE"""),45780.0)</f>
        <v>45780</v>
      </c>
      <c r="AB91" s="182" t="b">
        <f>IFERROR(__xludf.DUMMYFUNCTION("""COMPUTED_VALUE"""),FALSE)</f>
        <v>0</v>
      </c>
      <c r="AC91" s="187">
        <f>IFERROR(__xludf.DUMMYFUNCTION("""COMPUTED_VALUE"""),45787.0)</f>
        <v>45787</v>
      </c>
      <c r="AD91" s="187">
        <f>IFERROR(__xludf.DUMMYFUNCTION("""COMPUTED_VALUE"""),45787.0)</f>
        <v>45787</v>
      </c>
      <c r="AE91" s="182"/>
      <c r="AF91" s="182"/>
      <c r="AG91" s="182"/>
      <c r="AH91" s="182"/>
      <c r="AI91" s="188" t="str">
        <f>IFERROR(__xludf.DUMMYFUNCTION("""COMPUTED_VALUE"""),"GA10800-CA-N")</f>
        <v>GA10800-CA-N</v>
      </c>
      <c r="AJ91" s="187">
        <f>IFERROR(__xludf.DUMMYFUNCTION("""COMPUTED_VALUE"""),45793.0)</f>
        <v>45793</v>
      </c>
      <c r="AK91" s="187">
        <f>IFERROR(__xludf.DUMMYFUNCTION("""COMPUTED_VALUE"""),45801.0)</f>
        <v>45801</v>
      </c>
      <c r="AL91" s="182" t="b">
        <f>IFERROR(__xludf.DUMMYFUNCTION("""COMPUTED_VALUE"""),FALSE)</f>
        <v>0</v>
      </c>
      <c r="AM91" s="182" t="b">
        <f>IFERROR(__xludf.DUMMYFUNCTION("""COMPUTED_VALUE"""),FALSE)</f>
        <v>0</v>
      </c>
      <c r="AN91" s="187">
        <f>IFERROR(__xludf.DUMMYFUNCTION("""COMPUTED_VALUE"""),45801.0)</f>
        <v>45801</v>
      </c>
      <c r="AO91" s="182" t="b">
        <f>IFERROR(__xludf.DUMMYFUNCTION("""COMPUTED_VALUE"""),FALSE)</f>
        <v>0</v>
      </c>
      <c r="AP91" s="182"/>
      <c r="AQ91" s="182"/>
      <c r="AR91" s="187">
        <f>IFERROR(__xludf.DUMMYFUNCTION("""COMPUTED_VALUE"""),45801.0)</f>
        <v>45801</v>
      </c>
      <c r="AS91" s="182"/>
      <c r="AT91" s="182"/>
      <c r="AU91" s="182"/>
      <c r="AV91" s="187">
        <f>IFERROR(__xludf.DUMMYFUNCTION("""COMPUTED_VALUE"""),45801.0)</f>
        <v>45801</v>
      </c>
      <c r="AW91" s="182" t="b">
        <f>IFERROR(__xludf.DUMMYFUNCTION("""COMPUTED_VALUE"""),FALSE)</f>
        <v>0</v>
      </c>
      <c r="AX91" s="182"/>
      <c r="AY91" s="182"/>
      <c r="AZ91" s="187">
        <f>IFERROR(__xludf.DUMMYFUNCTION("""COMPUTED_VALUE"""),45827.0)</f>
        <v>45827</v>
      </c>
      <c r="BA91" s="182" t="b">
        <f>IFERROR(__xludf.DUMMYFUNCTION("""COMPUTED_VALUE"""),FALSE)</f>
        <v>0</v>
      </c>
      <c r="BB91" s="187">
        <f>IFERROR(__xludf.DUMMYFUNCTION("""COMPUTED_VALUE"""),45827.0)</f>
        <v>45827</v>
      </c>
    </row>
    <row r="92">
      <c r="A92" s="184" t="str">
        <f t="shared" si="1"/>
        <v>#VALUE!</v>
      </c>
      <c r="B92" s="69" t="str">
        <f t="shared" si="2"/>
        <v>#VALUE!</v>
      </c>
      <c r="C92" s="182" t="str">
        <f>IFERROR(__xludf.DUMMYFUNCTION("""COMPUTED_VALUE"""),"CA/TW/SG/AU/MY/MX")</f>
        <v>CA/TW/SG/AU/MY/MX</v>
      </c>
      <c r="D92" s="182" t="str">
        <f>IFERROR(__xludf.DUMMYFUNCTION("""COMPUTED_VALUE"""),"MP")</f>
        <v>MP</v>
      </c>
      <c r="E92" s="182" t="str">
        <f>IFERROR(__xludf.DUMMYFUNCTION("""COMPUTED_VALUE"""),"Press")</f>
        <v>Press</v>
      </c>
      <c r="F92" s="182" t="str">
        <f>IFERROR(__xludf.DUMMYFUNCTION("""COMPUTED_VALUE"""),"GA10801-CA-N")</f>
        <v>GA10801-CA-N</v>
      </c>
      <c r="G92" s="182" t="str">
        <f>IFERROR(__xludf.DUMMYFUNCTION("""COMPUTED_VALUE"""),"GEHN3")</f>
        <v>GEHN3</v>
      </c>
      <c r="H92" s="182">
        <f>IFERROR(__xludf.DUMMYFUNCTION("""COMPUTED_VALUE"""),8.40353937819E11)</f>
        <v>840353937819</v>
      </c>
      <c r="I92" s="185" t="str">
        <f>IFERROR(__xludf.DUMMYFUNCTION("""COMPUTED_VALUE"""),"0840353937819")</f>
        <v>0840353937819</v>
      </c>
      <c r="J92" s="182"/>
      <c r="K92" s="182"/>
      <c r="L92" s="182"/>
      <c r="M92" s="188" t="str">
        <f>IFERROR(__xludf.DUMMYFUNCTION("""COMPUTED_VALUE"""),"G990-08528-22-02")</f>
        <v>G990-08528-22-02</v>
      </c>
      <c r="N92" s="182"/>
      <c r="O92" s="188" t="str">
        <f>IFERROR(__xludf.DUMMYFUNCTION("""COMPUTED_VALUE"""),"G990-08494-00-01")</f>
        <v>G990-08494-00-01</v>
      </c>
      <c r="P92" s="182"/>
      <c r="Q92" s="182" t="str">
        <f>IFERROR(__xludf.DUMMYFUNCTION("""COMPUTED_VALUE"""),"256GB")</f>
        <v>256GB</v>
      </c>
      <c r="R92" s="182" t="str">
        <f>IFERROR(__xludf.DUMMYFUNCTION("""COMPUTED_VALUE"""),"Porcelain")</f>
        <v>Porcelain</v>
      </c>
      <c r="S92" s="182" t="str">
        <f>IFERROR(__xludf.DUMMYFUNCTION("""COMPUTED_VALUE"""),"Light Porcelain")</f>
        <v>Light Porcelain</v>
      </c>
      <c r="T92" s="182" t="str">
        <f>IFERROR(__xludf.DUMMYFUNCTION("""COMPUTED_VALUE"""),"CA/TW/SG/AU/MY/MX")</f>
        <v>CA/TW/SG/AU/MY/MX</v>
      </c>
      <c r="U92" s="182" t="str">
        <f>IFERROR(__xludf.DUMMYFUNCTION("""COMPUTED_VALUE"""),"SKU,CLR2, BETTER, SUB6, CA/TW/SG/AU/MY/MX, PRESS, BZ5")</f>
        <v>SKU,CLR2, BETTER, SUB6, CA/TW/SG/AU/MY/MX, PRESS, BZ5</v>
      </c>
      <c r="V92" s="182"/>
      <c r="W92" s="183" t="str">
        <f>IFERROR(__xludf.DUMMYFUNCTION("""COMPUTED_VALUE"""),"#NUM!")</f>
        <v>#NUM!</v>
      </c>
      <c r="X92" s="186">
        <f>IFERROR(__xludf.DUMMYFUNCTION("""COMPUTED_VALUE"""),45831.0)</f>
        <v>45831</v>
      </c>
      <c r="Y92" s="187">
        <f>IFERROR(__xludf.DUMMYFUNCTION("""COMPUTED_VALUE"""),45780.0)</f>
        <v>45780</v>
      </c>
      <c r="Z92" s="182" t="b">
        <f>IFERROR(__xludf.DUMMYFUNCTION("""COMPUTED_VALUE"""),FALSE)</f>
        <v>0</v>
      </c>
      <c r="AA92" s="187">
        <f>IFERROR(__xludf.DUMMYFUNCTION("""COMPUTED_VALUE"""),45780.0)</f>
        <v>45780</v>
      </c>
      <c r="AB92" s="182" t="b">
        <f>IFERROR(__xludf.DUMMYFUNCTION("""COMPUTED_VALUE"""),FALSE)</f>
        <v>0</v>
      </c>
      <c r="AC92" s="187">
        <f>IFERROR(__xludf.DUMMYFUNCTION("""COMPUTED_VALUE"""),45787.0)</f>
        <v>45787</v>
      </c>
      <c r="AD92" s="187">
        <f>IFERROR(__xludf.DUMMYFUNCTION("""COMPUTED_VALUE"""),45787.0)</f>
        <v>45787</v>
      </c>
      <c r="AE92" s="182"/>
      <c r="AF92" s="182"/>
      <c r="AG92" s="182"/>
      <c r="AH92" s="182"/>
      <c r="AI92" s="182"/>
      <c r="AJ92" s="187">
        <f>IFERROR(__xludf.DUMMYFUNCTION("""COMPUTED_VALUE"""),45793.0)</f>
        <v>45793</v>
      </c>
      <c r="AK92" s="187">
        <f>IFERROR(__xludf.DUMMYFUNCTION("""COMPUTED_VALUE"""),45801.0)</f>
        <v>45801</v>
      </c>
      <c r="AL92" s="182" t="b">
        <f>IFERROR(__xludf.DUMMYFUNCTION("""COMPUTED_VALUE"""),FALSE)</f>
        <v>0</v>
      </c>
      <c r="AM92" s="182" t="b">
        <f>IFERROR(__xludf.DUMMYFUNCTION("""COMPUTED_VALUE"""),FALSE)</f>
        <v>0</v>
      </c>
      <c r="AN92" s="187">
        <f>IFERROR(__xludf.DUMMYFUNCTION("""COMPUTED_VALUE"""),45801.0)</f>
        <v>45801</v>
      </c>
      <c r="AO92" s="182" t="b">
        <f>IFERROR(__xludf.DUMMYFUNCTION("""COMPUTED_VALUE"""),FALSE)</f>
        <v>0</v>
      </c>
      <c r="AP92" s="182"/>
      <c r="AQ92" s="182"/>
      <c r="AR92" s="187">
        <f>IFERROR(__xludf.DUMMYFUNCTION("""COMPUTED_VALUE"""),45801.0)</f>
        <v>45801</v>
      </c>
      <c r="AS92" s="182"/>
      <c r="AT92" s="182"/>
      <c r="AU92" s="182"/>
      <c r="AV92" s="187">
        <f>IFERROR(__xludf.DUMMYFUNCTION("""COMPUTED_VALUE"""),45801.0)</f>
        <v>45801</v>
      </c>
      <c r="AW92" s="182" t="b">
        <f>IFERROR(__xludf.DUMMYFUNCTION("""COMPUTED_VALUE"""),FALSE)</f>
        <v>0</v>
      </c>
      <c r="AX92" s="182"/>
      <c r="AY92" s="182"/>
      <c r="AZ92" s="187">
        <f>IFERROR(__xludf.DUMMYFUNCTION("""COMPUTED_VALUE"""),45827.0)</f>
        <v>45827</v>
      </c>
      <c r="BA92" s="182" t="b">
        <f>IFERROR(__xludf.DUMMYFUNCTION("""COMPUTED_VALUE"""),FALSE)</f>
        <v>0</v>
      </c>
      <c r="BB92" s="187">
        <f>IFERROR(__xludf.DUMMYFUNCTION("""COMPUTED_VALUE"""),45827.0)</f>
        <v>45827</v>
      </c>
    </row>
    <row r="93">
      <c r="A93" s="184" t="str">
        <f t="shared" si="1"/>
        <v>#VALUE!</v>
      </c>
      <c r="B93" s="69" t="str">
        <f t="shared" si="2"/>
        <v>#VALUE!</v>
      </c>
      <c r="C93" s="182" t="str">
        <f>IFERROR(__xludf.DUMMYFUNCTION("""COMPUTED_VALUE"""),"CA/TW/SG/AU/MY/MX")</f>
        <v>CA/TW/SG/AU/MY/MX</v>
      </c>
      <c r="D93" s="182" t="str">
        <f>IFERROR(__xludf.DUMMYFUNCTION("""COMPUTED_VALUE"""),"MP")</f>
        <v>MP</v>
      </c>
      <c r="E93" s="182" t="str">
        <f>IFERROR(__xludf.DUMMYFUNCTION("""COMPUTED_VALUE"""),"Press")</f>
        <v>Press</v>
      </c>
      <c r="F93" s="182" t="str">
        <f>IFERROR(__xludf.DUMMYFUNCTION("""COMPUTED_VALUE"""),"GA10802-CA-N")</f>
        <v>GA10802-CA-N</v>
      </c>
      <c r="G93" s="182" t="str">
        <f>IFERROR(__xludf.DUMMYFUNCTION("""COMPUTED_VALUE"""),"GEHN3")</f>
        <v>GEHN3</v>
      </c>
      <c r="H93" s="182">
        <f>IFERROR(__xludf.DUMMYFUNCTION("""COMPUTED_VALUE"""),8.40353937857E11)</f>
        <v>840353937857</v>
      </c>
      <c r="I93" s="185" t="str">
        <f>IFERROR(__xludf.DUMMYFUNCTION("""COMPUTED_VALUE"""),"0840353937857")</f>
        <v>0840353937857</v>
      </c>
      <c r="J93" s="182"/>
      <c r="K93" s="182"/>
      <c r="L93" s="182"/>
      <c r="M93" s="188" t="str">
        <f>IFERROR(__xludf.DUMMYFUNCTION("""COMPUTED_VALUE"""),"G990-08528-32-02")</f>
        <v>G990-08528-32-02</v>
      </c>
      <c r="N93" s="182"/>
      <c r="O93" s="188" t="str">
        <f>IFERROR(__xludf.DUMMYFUNCTION("""COMPUTED_VALUE"""),"G990-08494-00-01")</f>
        <v>G990-08494-00-01</v>
      </c>
      <c r="P93" s="182"/>
      <c r="Q93" s="182" t="str">
        <f>IFERROR(__xludf.DUMMYFUNCTION("""COMPUTED_VALUE"""),"256GB")</f>
        <v>256GB</v>
      </c>
      <c r="R93" s="182" t="str">
        <f>IFERROR(__xludf.DUMMYFUNCTION("""COMPUTED_VALUE"""),"Moonstone")</f>
        <v>Moonstone</v>
      </c>
      <c r="S93" s="182" t="str">
        <f>IFERROR(__xludf.DUMMYFUNCTION("""COMPUTED_VALUE"""),"Sterling")</f>
        <v>Sterling</v>
      </c>
      <c r="T93" s="182" t="str">
        <f>IFERROR(__xludf.DUMMYFUNCTION("""COMPUTED_VALUE"""),"CA/TW/SG/AU/MY/MX")</f>
        <v>CA/TW/SG/AU/MY/MX</v>
      </c>
      <c r="U93" s="182" t="str">
        <f>IFERROR(__xludf.DUMMYFUNCTION("""COMPUTED_VALUE"""),"SKU,CLR3, BETTER, SUB6, CA/TW/SG/AU/MY/MX, PRESS, BZ5")</f>
        <v>SKU,CLR3, BETTER, SUB6, CA/TW/SG/AU/MY/MX, PRESS, BZ5</v>
      </c>
      <c r="V93" s="182"/>
      <c r="W93" s="183" t="str">
        <f>IFERROR(__xludf.DUMMYFUNCTION("""COMPUTED_VALUE"""),"#NUM!")</f>
        <v>#NUM!</v>
      </c>
      <c r="X93" s="186">
        <f>IFERROR(__xludf.DUMMYFUNCTION("""COMPUTED_VALUE"""),45831.0)</f>
        <v>45831</v>
      </c>
      <c r="Y93" s="187">
        <f>IFERROR(__xludf.DUMMYFUNCTION("""COMPUTED_VALUE"""),45780.0)</f>
        <v>45780</v>
      </c>
      <c r="Z93" s="182" t="b">
        <f>IFERROR(__xludf.DUMMYFUNCTION("""COMPUTED_VALUE"""),FALSE)</f>
        <v>0</v>
      </c>
      <c r="AA93" s="187">
        <f>IFERROR(__xludf.DUMMYFUNCTION("""COMPUTED_VALUE"""),45780.0)</f>
        <v>45780</v>
      </c>
      <c r="AB93" s="182" t="b">
        <f>IFERROR(__xludf.DUMMYFUNCTION("""COMPUTED_VALUE"""),FALSE)</f>
        <v>0</v>
      </c>
      <c r="AC93" s="187">
        <f>IFERROR(__xludf.DUMMYFUNCTION("""COMPUTED_VALUE"""),45787.0)</f>
        <v>45787</v>
      </c>
      <c r="AD93" s="187">
        <f>IFERROR(__xludf.DUMMYFUNCTION("""COMPUTED_VALUE"""),45787.0)</f>
        <v>45787</v>
      </c>
      <c r="AE93" s="182"/>
      <c r="AF93" s="182"/>
      <c r="AG93" s="182"/>
      <c r="AH93" s="182"/>
      <c r="AI93" s="188" t="str">
        <f>IFERROR(__xludf.DUMMYFUNCTION("""COMPUTED_VALUE"""),"GA10802-CA-N")</f>
        <v>GA10802-CA-N</v>
      </c>
      <c r="AJ93" s="187">
        <f>IFERROR(__xludf.DUMMYFUNCTION("""COMPUTED_VALUE"""),45793.0)</f>
        <v>45793</v>
      </c>
      <c r="AK93" s="187">
        <f>IFERROR(__xludf.DUMMYFUNCTION("""COMPUTED_VALUE"""),45801.0)</f>
        <v>45801</v>
      </c>
      <c r="AL93" s="182" t="b">
        <f>IFERROR(__xludf.DUMMYFUNCTION("""COMPUTED_VALUE"""),FALSE)</f>
        <v>0</v>
      </c>
      <c r="AM93" s="182" t="b">
        <f>IFERROR(__xludf.DUMMYFUNCTION("""COMPUTED_VALUE"""),FALSE)</f>
        <v>0</v>
      </c>
      <c r="AN93" s="187">
        <f>IFERROR(__xludf.DUMMYFUNCTION("""COMPUTED_VALUE"""),45801.0)</f>
        <v>45801</v>
      </c>
      <c r="AO93" s="182" t="b">
        <f>IFERROR(__xludf.DUMMYFUNCTION("""COMPUTED_VALUE"""),FALSE)</f>
        <v>0</v>
      </c>
      <c r="AP93" s="182"/>
      <c r="AQ93" s="182"/>
      <c r="AR93" s="187">
        <f>IFERROR(__xludf.DUMMYFUNCTION("""COMPUTED_VALUE"""),45801.0)</f>
        <v>45801</v>
      </c>
      <c r="AS93" s="182"/>
      <c r="AT93" s="182"/>
      <c r="AU93" s="182"/>
      <c r="AV93" s="187">
        <f>IFERROR(__xludf.DUMMYFUNCTION("""COMPUTED_VALUE"""),45801.0)</f>
        <v>45801</v>
      </c>
      <c r="AW93" s="182" t="b">
        <f>IFERROR(__xludf.DUMMYFUNCTION("""COMPUTED_VALUE"""),FALSE)</f>
        <v>0</v>
      </c>
      <c r="AX93" s="182"/>
      <c r="AY93" s="182"/>
      <c r="AZ93" s="187">
        <f>IFERROR(__xludf.DUMMYFUNCTION("""COMPUTED_VALUE"""),45827.0)</f>
        <v>45827</v>
      </c>
      <c r="BA93" s="182" t="b">
        <f>IFERROR(__xludf.DUMMYFUNCTION("""COMPUTED_VALUE"""),FALSE)</f>
        <v>0</v>
      </c>
      <c r="BB93" s="187">
        <f>IFERROR(__xludf.DUMMYFUNCTION("""COMPUTED_VALUE"""),45827.0)</f>
        <v>45827</v>
      </c>
    </row>
    <row r="94">
      <c r="A94" s="184" t="str">
        <f t="shared" si="1"/>
        <v>#VALUE!</v>
      </c>
      <c r="B94" s="69" t="str">
        <f t="shared" si="2"/>
        <v>#VALUE!</v>
      </c>
      <c r="C94" s="182" t="str">
        <f>IFERROR(__xludf.DUMMYFUNCTION("""COMPUTED_VALUE"""),"CA/TW/SG/AU/MY/MX")</f>
        <v>CA/TW/SG/AU/MY/MX</v>
      </c>
      <c r="D94" s="182" t="str">
        <f>IFERROR(__xludf.DUMMYFUNCTION("""COMPUTED_VALUE"""),"MP")</f>
        <v>MP</v>
      </c>
      <c r="E94" s="182" t="str">
        <f>IFERROR(__xludf.DUMMYFUNCTION("""COMPUTED_VALUE"""),"Press")</f>
        <v>Press</v>
      </c>
      <c r="F94" s="182" t="str">
        <f>IFERROR(__xludf.DUMMYFUNCTION("""COMPUTED_VALUE"""),"GA10803-CA-N")</f>
        <v>GA10803-CA-N</v>
      </c>
      <c r="G94" s="182" t="str">
        <f>IFERROR(__xludf.DUMMYFUNCTION("""COMPUTED_VALUE"""),"GEHN3")</f>
        <v>GEHN3</v>
      </c>
      <c r="H94" s="182">
        <f>IFERROR(__xludf.DUMMYFUNCTION("""COMPUTED_VALUE"""),8.40353937895E11)</f>
        <v>840353937895</v>
      </c>
      <c r="I94" s="185" t="str">
        <f>IFERROR(__xludf.DUMMYFUNCTION("""COMPUTED_VALUE"""),"0840353937895")</f>
        <v>0840353937895</v>
      </c>
      <c r="J94" s="182"/>
      <c r="K94" s="182" t="str">
        <f>IFERROR(__xludf.DUMMYFUNCTION("""COMPUTED_VALUE"""),"ROW Master Carton Label (UPC)")</f>
        <v>ROW Master Carton Label (UPC)</v>
      </c>
      <c r="L94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94" s="188" t="str">
        <f>IFERROR(__xludf.DUMMYFUNCTION("""COMPUTED_VALUE"""),"G990-08528-42-02")</f>
        <v>G990-08528-42-02</v>
      </c>
      <c r="N94" s="182"/>
      <c r="O94" s="188" t="str">
        <f>IFERROR(__xludf.DUMMYFUNCTION("""COMPUTED_VALUE"""),"G990-08494-00-01")</f>
        <v>G990-08494-00-01</v>
      </c>
      <c r="P94" s="182"/>
      <c r="Q94" s="182" t="str">
        <f>IFERROR(__xludf.DUMMYFUNCTION("""COMPUTED_VALUE"""),"256GB")</f>
        <v>256GB</v>
      </c>
      <c r="R94" s="182" t="str">
        <f>IFERROR(__xludf.DUMMYFUNCTION("""COMPUTED_VALUE"""),"Jade")</f>
        <v>Jade</v>
      </c>
      <c r="S94" s="182" t="str">
        <f>IFERROR(__xludf.DUMMYFUNCTION("""COMPUTED_VALUE"""),"Smokey Green")</f>
        <v>Smokey Green</v>
      </c>
      <c r="T94" s="182" t="str">
        <f>IFERROR(__xludf.DUMMYFUNCTION("""COMPUTED_VALUE"""),"CA/TW/SG/AU/MY/MX")</f>
        <v>CA/TW/SG/AU/MY/MX</v>
      </c>
      <c r="U94" s="182" t="str">
        <f>IFERROR(__xludf.DUMMYFUNCTION("""COMPUTED_VALUE"""),"SKU,CLR4, BETTER, SUB6, CA/TW/SG/AU/MY/MX, PRESS, BZ5")</f>
        <v>SKU,CLR4, BETTER, SUB6, CA/TW/SG/AU/MY/MX, PRESS, BZ5</v>
      </c>
      <c r="V94" s="182"/>
      <c r="W94" s="183" t="str">
        <f>IFERROR(__xludf.DUMMYFUNCTION("""COMPUTED_VALUE"""),"#NUM!")</f>
        <v>#NUM!</v>
      </c>
      <c r="X94" s="186">
        <f>IFERROR(__xludf.DUMMYFUNCTION("""COMPUTED_VALUE"""),45831.0)</f>
        <v>45831</v>
      </c>
      <c r="Y94" s="187">
        <f>IFERROR(__xludf.DUMMYFUNCTION("""COMPUTED_VALUE"""),45780.0)</f>
        <v>45780</v>
      </c>
      <c r="Z94" s="182" t="b">
        <f>IFERROR(__xludf.DUMMYFUNCTION("""COMPUTED_VALUE"""),FALSE)</f>
        <v>0</v>
      </c>
      <c r="AA94" s="187">
        <f>IFERROR(__xludf.DUMMYFUNCTION("""COMPUTED_VALUE"""),45780.0)</f>
        <v>45780</v>
      </c>
      <c r="AB94" s="182" t="b">
        <f>IFERROR(__xludf.DUMMYFUNCTION("""COMPUTED_VALUE"""),FALSE)</f>
        <v>0</v>
      </c>
      <c r="AC94" s="187">
        <f>IFERROR(__xludf.DUMMYFUNCTION("""COMPUTED_VALUE"""),45787.0)</f>
        <v>45787</v>
      </c>
      <c r="AD94" s="187">
        <f>IFERROR(__xludf.DUMMYFUNCTION("""COMPUTED_VALUE"""),45787.0)</f>
        <v>45787</v>
      </c>
      <c r="AE94" s="188" t="str">
        <f>IFERROR(__xludf.DUMMYFUNCTION("""COMPUTED_VALUE"""),"GA10803-CA-N")</f>
        <v>GA10803-CA-N</v>
      </c>
      <c r="AF94" s="182"/>
      <c r="AG94" s="188" t="str">
        <f>IFERROR(__xludf.DUMMYFUNCTION("""COMPUTED_VALUE"""),"GA10803-CA-N")</f>
        <v>GA10803-CA-N</v>
      </c>
      <c r="AH94" s="188" t="str">
        <f>IFERROR(__xludf.DUMMYFUNCTION("""COMPUTED_VALUE"""),"GA10803-CA-N")</f>
        <v>GA10803-CA-N</v>
      </c>
      <c r="AI94" s="188" t="str">
        <f>IFERROR(__xludf.DUMMYFUNCTION("""COMPUTED_VALUE"""),"GA10803-CA-N")</f>
        <v>GA10803-CA-N</v>
      </c>
      <c r="AJ94" s="187">
        <f>IFERROR(__xludf.DUMMYFUNCTION("""COMPUTED_VALUE"""),45793.0)</f>
        <v>45793</v>
      </c>
      <c r="AK94" s="187">
        <f>IFERROR(__xludf.DUMMYFUNCTION("""COMPUTED_VALUE"""),45801.0)</f>
        <v>45801</v>
      </c>
      <c r="AL94" s="182" t="b">
        <f>IFERROR(__xludf.DUMMYFUNCTION("""COMPUTED_VALUE"""),FALSE)</f>
        <v>0</v>
      </c>
      <c r="AM94" s="182" t="b">
        <f>IFERROR(__xludf.DUMMYFUNCTION("""COMPUTED_VALUE"""),FALSE)</f>
        <v>0</v>
      </c>
      <c r="AN94" s="187">
        <f>IFERROR(__xludf.DUMMYFUNCTION("""COMPUTED_VALUE"""),45801.0)</f>
        <v>45801</v>
      </c>
      <c r="AO94" s="182" t="b">
        <f>IFERROR(__xludf.DUMMYFUNCTION("""COMPUTED_VALUE"""),FALSE)</f>
        <v>0</v>
      </c>
      <c r="AP94" s="182" t="str">
        <f>IFERROR(__xludf.DUMMYFUNCTION("""COMPUTED_VALUE"""),"N")</f>
        <v>N</v>
      </c>
      <c r="AQ94" s="182"/>
      <c r="AR94" s="187">
        <f>IFERROR(__xludf.DUMMYFUNCTION("""COMPUTED_VALUE"""),45801.0)</f>
        <v>45801</v>
      </c>
      <c r="AS94" s="182" t="b">
        <f>IFERROR(__xludf.DUMMYFUNCTION("""COMPUTED_VALUE"""),FALSE)</f>
        <v>0</v>
      </c>
      <c r="AT94" s="182"/>
      <c r="AU94" s="182"/>
      <c r="AV94" s="187">
        <f>IFERROR(__xludf.DUMMYFUNCTION("""COMPUTED_VALUE"""),45801.0)</f>
        <v>45801</v>
      </c>
      <c r="AW94" s="182" t="b">
        <f>IFERROR(__xludf.DUMMYFUNCTION("""COMPUTED_VALUE"""),FALSE)</f>
        <v>0</v>
      </c>
      <c r="AX94" s="182"/>
      <c r="AY94" s="182"/>
      <c r="AZ94" s="187">
        <f>IFERROR(__xludf.DUMMYFUNCTION("""COMPUTED_VALUE"""),45827.0)</f>
        <v>45827</v>
      </c>
      <c r="BA94" s="182" t="b">
        <f>IFERROR(__xludf.DUMMYFUNCTION("""COMPUTED_VALUE"""),FALSE)</f>
        <v>0</v>
      </c>
      <c r="BB94" s="187">
        <f>IFERROR(__xludf.DUMMYFUNCTION("""COMPUTED_VALUE"""),45827.0)</f>
        <v>45827</v>
      </c>
    </row>
    <row r="95">
      <c r="A95" s="184" t="str">
        <f t="shared" si="1"/>
        <v>#VALUE!</v>
      </c>
      <c r="B95" s="69" t="str">
        <f t="shared" si="2"/>
        <v>#VALUE!</v>
      </c>
      <c r="C95" s="182" t="str">
        <f>IFERROR(__xludf.DUMMYFUNCTION("""COMPUTED_VALUE"""),"EU")</f>
        <v>EU</v>
      </c>
      <c r="D95" s="182" t="str">
        <f>IFERROR(__xludf.DUMMYFUNCTION("""COMPUTED_VALUE"""),"MP")</f>
        <v>MP</v>
      </c>
      <c r="E95" s="182" t="str">
        <f>IFERROR(__xludf.DUMMYFUNCTION("""COMPUTED_VALUE"""),"Press")</f>
        <v>Press</v>
      </c>
      <c r="F95" s="182" t="str">
        <f>IFERROR(__xludf.DUMMYFUNCTION("""COMPUTED_VALUE"""),"GA10796-GB-N")</f>
        <v>GA10796-GB-N</v>
      </c>
      <c r="G95" s="182" t="str">
        <f>IFERROR(__xludf.DUMMYFUNCTION("""COMPUTED_VALUE"""),"GEHN3")</f>
        <v>GEHN3</v>
      </c>
      <c r="H95" s="182">
        <f>IFERROR(__xludf.DUMMYFUNCTION("""COMPUTED_VALUE"""),8.40353937628E11)</f>
        <v>840353937628</v>
      </c>
      <c r="I95" s="185" t="str">
        <f>IFERROR(__xludf.DUMMYFUNCTION("""COMPUTED_VALUE"""),"0840353937628")</f>
        <v>0840353937628</v>
      </c>
      <c r="J95" s="182"/>
      <c r="K95" s="182" t="str">
        <f>IFERROR(__xludf.DUMMYFUNCTION("""COMPUTED_VALUE"""),"ROW Master Carton Label (EAN)")</f>
        <v>ROW Master Carton Label (EAN)</v>
      </c>
      <c r="L95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95" s="188" t="str">
        <f>IFERROR(__xludf.DUMMYFUNCTION("""COMPUTED_VALUE"""),"G990-08531-11-03")</f>
        <v>G990-08531-11-03</v>
      </c>
      <c r="N95" s="182"/>
      <c r="O95" s="188" t="str">
        <f>IFERROR(__xludf.DUMMYFUNCTION("""COMPUTED_VALUE"""),"G990-09736-00-A")</f>
        <v>G990-09736-00-A</v>
      </c>
      <c r="P95" s="182"/>
      <c r="Q95" s="182" t="str">
        <f>IFERROR(__xludf.DUMMYFUNCTION("""COMPUTED_VALUE"""),"128GB")</f>
        <v>128GB</v>
      </c>
      <c r="R95" s="182" t="str">
        <f>IFERROR(__xludf.DUMMYFUNCTION("""COMPUTED_VALUE"""),"Obsidian")</f>
        <v>Obsidian</v>
      </c>
      <c r="S95" s="182" t="str">
        <f>IFERROR(__xludf.DUMMYFUNCTION("""COMPUTED_VALUE"""),"Midnight")</f>
        <v>Midnight</v>
      </c>
      <c r="T95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95" s="182" t="str">
        <f>IFERROR(__xludf.DUMMYFUNCTION("""COMPUTED_VALUE"""),"SKU,CLR1, GOOD, SUB6, UK/EU, PRESS, BZ5")</f>
        <v>SKU,CLR1, GOOD, SUB6, UK/EU, PRESS, BZ5</v>
      </c>
      <c r="V95" s="182"/>
      <c r="W95" s="183" t="str">
        <f>IFERROR(__xludf.DUMMYFUNCTION("""COMPUTED_VALUE"""),"#NUM!")</f>
        <v>#NUM!</v>
      </c>
      <c r="X95" s="186">
        <f>IFERROR(__xludf.DUMMYFUNCTION("""COMPUTED_VALUE"""),45831.0)</f>
        <v>45831</v>
      </c>
      <c r="Y95" s="187">
        <f>IFERROR(__xludf.DUMMYFUNCTION("""COMPUTED_VALUE"""),45780.0)</f>
        <v>45780</v>
      </c>
      <c r="Z95" s="182" t="b">
        <f>IFERROR(__xludf.DUMMYFUNCTION("""COMPUTED_VALUE"""),FALSE)</f>
        <v>0</v>
      </c>
      <c r="AA95" s="187">
        <f>IFERROR(__xludf.DUMMYFUNCTION("""COMPUTED_VALUE"""),45780.0)</f>
        <v>45780</v>
      </c>
      <c r="AB95" s="182" t="b">
        <f>IFERROR(__xludf.DUMMYFUNCTION("""COMPUTED_VALUE"""),FALSE)</f>
        <v>0</v>
      </c>
      <c r="AC95" s="187">
        <f>IFERROR(__xludf.DUMMYFUNCTION("""COMPUTED_VALUE"""),45787.0)</f>
        <v>45787</v>
      </c>
      <c r="AD95" s="187">
        <f>IFERROR(__xludf.DUMMYFUNCTION("""COMPUTED_VALUE"""),45787.0)</f>
        <v>45787</v>
      </c>
      <c r="AE95" s="188" t="str">
        <f>IFERROR(__xludf.DUMMYFUNCTION("""COMPUTED_VALUE"""),"GA10796-GB-N")</f>
        <v>GA10796-GB-N</v>
      </c>
      <c r="AF95" s="182"/>
      <c r="AG95" s="188" t="str">
        <f>IFERROR(__xludf.DUMMYFUNCTION("""COMPUTED_VALUE"""),"GA10796-GB-N")</f>
        <v>GA10796-GB-N</v>
      </c>
      <c r="AH95" s="188" t="str">
        <f>IFERROR(__xludf.DUMMYFUNCTION("""COMPUTED_VALUE"""),"GA10796-GB-N")</f>
        <v>GA10796-GB-N</v>
      </c>
      <c r="AI95" s="188" t="str">
        <f>IFERROR(__xludf.DUMMYFUNCTION("""COMPUTED_VALUE"""),"GA10796-GB-N")</f>
        <v>GA10796-GB-N</v>
      </c>
      <c r="AJ95" s="187">
        <f>IFERROR(__xludf.DUMMYFUNCTION("""COMPUTED_VALUE"""),45793.0)</f>
        <v>45793</v>
      </c>
      <c r="AK95" s="187">
        <f>IFERROR(__xludf.DUMMYFUNCTION("""COMPUTED_VALUE"""),45801.0)</f>
        <v>45801</v>
      </c>
      <c r="AL95" s="182" t="b">
        <f>IFERROR(__xludf.DUMMYFUNCTION("""COMPUTED_VALUE"""),FALSE)</f>
        <v>0</v>
      </c>
      <c r="AM95" s="182" t="b">
        <f>IFERROR(__xludf.DUMMYFUNCTION("""COMPUTED_VALUE"""),FALSE)</f>
        <v>0</v>
      </c>
      <c r="AN95" s="187">
        <f>IFERROR(__xludf.DUMMYFUNCTION("""COMPUTED_VALUE"""),45801.0)</f>
        <v>45801</v>
      </c>
      <c r="AO95" s="182" t="b">
        <f>IFERROR(__xludf.DUMMYFUNCTION("""COMPUTED_VALUE"""),FALSE)</f>
        <v>0</v>
      </c>
      <c r="AP95" s="182" t="str">
        <f>IFERROR(__xludf.DUMMYFUNCTION("""COMPUTED_VALUE"""),"N")</f>
        <v>N</v>
      </c>
      <c r="AQ95" s="182"/>
      <c r="AR95" s="187">
        <f>IFERROR(__xludf.DUMMYFUNCTION("""COMPUTED_VALUE"""),45801.0)</f>
        <v>45801</v>
      </c>
      <c r="AS95" s="182" t="b">
        <f>IFERROR(__xludf.DUMMYFUNCTION("""COMPUTED_VALUE"""),FALSE)</f>
        <v>0</v>
      </c>
      <c r="AT95" s="182"/>
      <c r="AU95" s="182"/>
      <c r="AV95" s="187">
        <f>IFERROR(__xludf.DUMMYFUNCTION("""COMPUTED_VALUE"""),45801.0)</f>
        <v>45801</v>
      </c>
      <c r="AW95" s="182" t="b">
        <f>IFERROR(__xludf.DUMMYFUNCTION("""COMPUTED_VALUE"""),FALSE)</f>
        <v>0</v>
      </c>
      <c r="AX95" s="182"/>
      <c r="AY95" s="182"/>
      <c r="AZ95" s="187">
        <f>IFERROR(__xludf.DUMMYFUNCTION("""COMPUTED_VALUE"""),45827.0)</f>
        <v>45827</v>
      </c>
      <c r="BA95" s="182" t="b">
        <f>IFERROR(__xludf.DUMMYFUNCTION("""COMPUTED_VALUE"""),FALSE)</f>
        <v>0</v>
      </c>
      <c r="BB95" s="187">
        <f>IFERROR(__xludf.DUMMYFUNCTION("""COMPUTED_VALUE"""),45827.0)</f>
        <v>45827</v>
      </c>
    </row>
    <row r="96">
      <c r="A96" s="184" t="str">
        <f t="shared" si="1"/>
        <v>#VALUE!</v>
      </c>
      <c r="B96" s="69" t="str">
        <f t="shared" si="2"/>
        <v>#VALUE!</v>
      </c>
      <c r="C96" s="182" t="str">
        <f>IFERROR(__xludf.DUMMYFUNCTION("""COMPUTED_VALUE"""),"EU")</f>
        <v>EU</v>
      </c>
      <c r="D96" s="182" t="str">
        <f>IFERROR(__xludf.DUMMYFUNCTION("""COMPUTED_VALUE"""),"MP")</f>
        <v>MP</v>
      </c>
      <c r="E96" s="182" t="str">
        <f>IFERROR(__xludf.DUMMYFUNCTION("""COMPUTED_VALUE"""),"Press")</f>
        <v>Press</v>
      </c>
      <c r="F96" s="182" t="str">
        <f>IFERROR(__xludf.DUMMYFUNCTION("""COMPUTED_VALUE"""),"GA10797-GB-N")</f>
        <v>GA10797-GB-N</v>
      </c>
      <c r="G96" s="182" t="str">
        <f>IFERROR(__xludf.DUMMYFUNCTION("""COMPUTED_VALUE"""),"GEHN3")</f>
        <v>GEHN3</v>
      </c>
      <c r="H96" s="182">
        <f>IFERROR(__xludf.DUMMYFUNCTION("""COMPUTED_VALUE"""),8.40353937666E11)</f>
        <v>840353937666</v>
      </c>
      <c r="I96" s="185" t="str">
        <f>IFERROR(__xludf.DUMMYFUNCTION("""COMPUTED_VALUE"""),"0840353937666")</f>
        <v>0840353937666</v>
      </c>
      <c r="J96" s="182"/>
      <c r="K96" s="182" t="str">
        <f>IFERROR(__xludf.DUMMYFUNCTION("""COMPUTED_VALUE"""),"ROW Master Carton Label (EAN)")</f>
        <v>ROW Master Carton Label (EAN)</v>
      </c>
      <c r="L96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96" s="188" t="str">
        <f>IFERROR(__xludf.DUMMYFUNCTION("""COMPUTED_VALUE"""),"G990-08531-21-03")</f>
        <v>G990-08531-21-03</v>
      </c>
      <c r="N96" s="182"/>
      <c r="O96" s="188" t="str">
        <f>IFERROR(__xludf.DUMMYFUNCTION("""COMPUTED_VALUE"""),"G990-09736-00-A")</f>
        <v>G990-09736-00-A</v>
      </c>
      <c r="P96" s="182"/>
      <c r="Q96" s="182" t="str">
        <f>IFERROR(__xludf.DUMMYFUNCTION("""COMPUTED_VALUE"""),"128GB")</f>
        <v>128GB</v>
      </c>
      <c r="R96" s="182" t="str">
        <f>IFERROR(__xludf.DUMMYFUNCTION("""COMPUTED_VALUE"""),"Porcelain")</f>
        <v>Porcelain</v>
      </c>
      <c r="S96" s="182" t="str">
        <f>IFERROR(__xludf.DUMMYFUNCTION("""COMPUTED_VALUE"""),"Light Porcelain")</f>
        <v>Light Porcelain</v>
      </c>
      <c r="T96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96" s="182" t="str">
        <f>IFERROR(__xludf.DUMMYFUNCTION("""COMPUTED_VALUE"""),"SKU,CLR2, GOOD, SUB6, UK/EU, PRESS, BZ5")</f>
        <v>SKU,CLR2, GOOD, SUB6, UK/EU, PRESS, BZ5</v>
      </c>
      <c r="V96" s="182"/>
      <c r="W96" s="183" t="str">
        <f>IFERROR(__xludf.DUMMYFUNCTION("""COMPUTED_VALUE"""),"#NUM!")</f>
        <v>#NUM!</v>
      </c>
      <c r="X96" s="186">
        <f>IFERROR(__xludf.DUMMYFUNCTION("""COMPUTED_VALUE"""),45831.0)</f>
        <v>45831</v>
      </c>
      <c r="Y96" s="187">
        <f>IFERROR(__xludf.DUMMYFUNCTION("""COMPUTED_VALUE"""),45780.0)</f>
        <v>45780</v>
      </c>
      <c r="Z96" s="182" t="b">
        <f>IFERROR(__xludf.DUMMYFUNCTION("""COMPUTED_VALUE"""),FALSE)</f>
        <v>0</v>
      </c>
      <c r="AA96" s="187">
        <f>IFERROR(__xludf.DUMMYFUNCTION("""COMPUTED_VALUE"""),45780.0)</f>
        <v>45780</v>
      </c>
      <c r="AB96" s="182" t="b">
        <f>IFERROR(__xludf.DUMMYFUNCTION("""COMPUTED_VALUE"""),FALSE)</f>
        <v>0</v>
      </c>
      <c r="AC96" s="187">
        <f>IFERROR(__xludf.DUMMYFUNCTION("""COMPUTED_VALUE"""),45787.0)</f>
        <v>45787</v>
      </c>
      <c r="AD96" s="187">
        <f>IFERROR(__xludf.DUMMYFUNCTION("""COMPUTED_VALUE"""),45787.0)</f>
        <v>45787</v>
      </c>
      <c r="AE96" s="188" t="str">
        <f>IFERROR(__xludf.DUMMYFUNCTION("""COMPUTED_VALUE"""),"GA10797-GB-N")</f>
        <v>GA10797-GB-N</v>
      </c>
      <c r="AF96" s="182"/>
      <c r="AG96" s="188" t="str">
        <f>IFERROR(__xludf.DUMMYFUNCTION("""COMPUTED_VALUE"""),"GA10797-GB-N")</f>
        <v>GA10797-GB-N</v>
      </c>
      <c r="AH96" s="188" t="str">
        <f>IFERROR(__xludf.DUMMYFUNCTION("""COMPUTED_VALUE"""),"GA10797-GB-N")</f>
        <v>GA10797-GB-N</v>
      </c>
      <c r="AI96" s="188" t="str">
        <f>IFERROR(__xludf.DUMMYFUNCTION("""COMPUTED_VALUE"""),"GA10797-GB-N")</f>
        <v>GA10797-GB-N</v>
      </c>
      <c r="AJ96" s="187">
        <f>IFERROR(__xludf.DUMMYFUNCTION("""COMPUTED_VALUE"""),45793.0)</f>
        <v>45793</v>
      </c>
      <c r="AK96" s="187">
        <f>IFERROR(__xludf.DUMMYFUNCTION("""COMPUTED_VALUE"""),45801.0)</f>
        <v>45801</v>
      </c>
      <c r="AL96" s="182" t="b">
        <f>IFERROR(__xludf.DUMMYFUNCTION("""COMPUTED_VALUE"""),FALSE)</f>
        <v>0</v>
      </c>
      <c r="AM96" s="182" t="b">
        <f>IFERROR(__xludf.DUMMYFUNCTION("""COMPUTED_VALUE"""),FALSE)</f>
        <v>0</v>
      </c>
      <c r="AN96" s="187">
        <f>IFERROR(__xludf.DUMMYFUNCTION("""COMPUTED_VALUE"""),45801.0)</f>
        <v>45801</v>
      </c>
      <c r="AO96" s="182" t="b">
        <f>IFERROR(__xludf.DUMMYFUNCTION("""COMPUTED_VALUE"""),FALSE)</f>
        <v>0</v>
      </c>
      <c r="AP96" s="182" t="str">
        <f>IFERROR(__xludf.DUMMYFUNCTION("""COMPUTED_VALUE"""),"N")</f>
        <v>N</v>
      </c>
      <c r="AQ96" s="182"/>
      <c r="AR96" s="187">
        <f>IFERROR(__xludf.DUMMYFUNCTION("""COMPUTED_VALUE"""),45801.0)</f>
        <v>45801</v>
      </c>
      <c r="AS96" s="182" t="b">
        <f>IFERROR(__xludf.DUMMYFUNCTION("""COMPUTED_VALUE"""),FALSE)</f>
        <v>0</v>
      </c>
      <c r="AT96" s="182"/>
      <c r="AU96" s="182"/>
      <c r="AV96" s="187">
        <f>IFERROR(__xludf.DUMMYFUNCTION("""COMPUTED_VALUE"""),45801.0)</f>
        <v>45801</v>
      </c>
      <c r="AW96" s="182" t="b">
        <f>IFERROR(__xludf.DUMMYFUNCTION("""COMPUTED_VALUE"""),FALSE)</f>
        <v>0</v>
      </c>
      <c r="AX96" s="182"/>
      <c r="AY96" s="182"/>
      <c r="AZ96" s="187">
        <f>IFERROR(__xludf.DUMMYFUNCTION("""COMPUTED_VALUE"""),45827.0)</f>
        <v>45827</v>
      </c>
      <c r="BA96" s="182" t="b">
        <f>IFERROR(__xludf.DUMMYFUNCTION("""COMPUTED_VALUE"""),FALSE)</f>
        <v>0</v>
      </c>
      <c r="BB96" s="187">
        <f>IFERROR(__xludf.DUMMYFUNCTION("""COMPUTED_VALUE"""),45827.0)</f>
        <v>45827</v>
      </c>
    </row>
    <row r="97">
      <c r="A97" s="184" t="str">
        <f t="shared" si="1"/>
        <v>#VALUE!</v>
      </c>
      <c r="B97" s="69" t="str">
        <f t="shared" si="2"/>
        <v>#VALUE!</v>
      </c>
      <c r="C97" s="182" t="str">
        <f>IFERROR(__xludf.DUMMYFUNCTION("""COMPUTED_VALUE"""),"EU")</f>
        <v>EU</v>
      </c>
      <c r="D97" s="182" t="str">
        <f>IFERROR(__xludf.DUMMYFUNCTION("""COMPUTED_VALUE"""),"MP")</f>
        <v>MP</v>
      </c>
      <c r="E97" s="182" t="str">
        <f>IFERROR(__xludf.DUMMYFUNCTION("""COMPUTED_VALUE"""),"Press")</f>
        <v>Press</v>
      </c>
      <c r="F97" s="182" t="str">
        <f>IFERROR(__xludf.DUMMYFUNCTION("""COMPUTED_VALUE"""),"GA10798-GB-N")</f>
        <v>GA10798-GB-N</v>
      </c>
      <c r="G97" s="182" t="str">
        <f>IFERROR(__xludf.DUMMYFUNCTION("""COMPUTED_VALUE"""),"GEHN3")</f>
        <v>GEHN3</v>
      </c>
      <c r="H97" s="182">
        <f>IFERROR(__xludf.DUMMYFUNCTION("""COMPUTED_VALUE"""),8.40353937703E11)</f>
        <v>840353937703</v>
      </c>
      <c r="I97" s="185" t="str">
        <f>IFERROR(__xludf.DUMMYFUNCTION("""COMPUTED_VALUE"""),"0840353937703")</f>
        <v>0840353937703</v>
      </c>
      <c r="J97" s="182"/>
      <c r="K97" s="182" t="str">
        <f>IFERROR(__xludf.DUMMYFUNCTION("""COMPUTED_VALUE"""),"ROW Master Carton Label (EAN)")</f>
        <v>ROW Master Carton Label (EAN)</v>
      </c>
      <c r="L97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97" s="188" t="str">
        <f>IFERROR(__xludf.DUMMYFUNCTION("""COMPUTED_VALUE"""),"G990-08531-31-03")</f>
        <v>G990-08531-31-03</v>
      </c>
      <c r="N97" s="182"/>
      <c r="O97" s="188" t="str">
        <f>IFERROR(__xludf.DUMMYFUNCTION("""COMPUTED_VALUE"""),"G990-09736-00-A")</f>
        <v>G990-09736-00-A</v>
      </c>
      <c r="P97" s="182"/>
      <c r="Q97" s="182" t="str">
        <f>IFERROR(__xludf.DUMMYFUNCTION("""COMPUTED_VALUE"""),"128GB")</f>
        <v>128GB</v>
      </c>
      <c r="R97" s="182" t="str">
        <f>IFERROR(__xludf.DUMMYFUNCTION("""COMPUTED_VALUE"""),"Moonstone")</f>
        <v>Moonstone</v>
      </c>
      <c r="S97" s="182" t="str">
        <f>IFERROR(__xludf.DUMMYFUNCTION("""COMPUTED_VALUE"""),"Sterling")</f>
        <v>Sterling</v>
      </c>
      <c r="T97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97" s="182" t="str">
        <f>IFERROR(__xludf.DUMMYFUNCTION("""COMPUTED_VALUE"""),"SKU,CLR3, GOOD, SUB6, UK/EU, PRESS, BZ5")</f>
        <v>SKU,CLR3, GOOD, SUB6, UK/EU, PRESS, BZ5</v>
      </c>
      <c r="V97" s="182"/>
      <c r="W97" s="183" t="str">
        <f>IFERROR(__xludf.DUMMYFUNCTION("""COMPUTED_VALUE"""),"#NUM!")</f>
        <v>#NUM!</v>
      </c>
      <c r="X97" s="186">
        <f>IFERROR(__xludf.DUMMYFUNCTION("""COMPUTED_VALUE"""),45831.0)</f>
        <v>45831</v>
      </c>
      <c r="Y97" s="187">
        <f>IFERROR(__xludf.DUMMYFUNCTION("""COMPUTED_VALUE"""),45780.0)</f>
        <v>45780</v>
      </c>
      <c r="Z97" s="182" t="b">
        <f>IFERROR(__xludf.DUMMYFUNCTION("""COMPUTED_VALUE"""),FALSE)</f>
        <v>0</v>
      </c>
      <c r="AA97" s="187">
        <f>IFERROR(__xludf.DUMMYFUNCTION("""COMPUTED_VALUE"""),45780.0)</f>
        <v>45780</v>
      </c>
      <c r="AB97" s="182" t="b">
        <f>IFERROR(__xludf.DUMMYFUNCTION("""COMPUTED_VALUE"""),FALSE)</f>
        <v>0</v>
      </c>
      <c r="AC97" s="187">
        <f>IFERROR(__xludf.DUMMYFUNCTION("""COMPUTED_VALUE"""),45787.0)</f>
        <v>45787</v>
      </c>
      <c r="AD97" s="187">
        <f>IFERROR(__xludf.DUMMYFUNCTION("""COMPUTED_VALUE"""),45787.0)</f>
        <v>45787</v>
      </c>
      <c r="AE97" s="188" t="str">
        <f>IFERROR(__xludf.DUMMYFUNCTION("""COMPUTED_VALUE"""),"GA10798-GB-N")</f>
        <v>GA10798-GB-N</v>
      </c>
      <c r="AF97" s="182"/>
      <c r="AG97" s="188" t="str">
        <f>IFERROR(__xludf.DUMMYFUNCTION("""COMPUTED_VALUE"""),"GA10798-GB-N")</f>
        <v>GA10798-GB-N</v>
      </c>
      <c r="AH97" s="188" t="str">
        <f>IFERROR(__xludf.DUMMYFUNCTION("""COMPUTED_VALUE"""),"GA10798-GB-N")</f>
        <v>GA10798-GB-N</v>
      </c>
      <c r="AI97" s="188" t="str">
        <f>IFERROR(__xludf.DUMMYFUNCTION("""COMPUTED_VALUE"""),"GA10798-GB-N")</f>
        <v>GA10798-GB-N</v>
      </c>
      <c r="AJ97" s="187">
        <f>IFERROR(__xludf.DUMMYFUNCTION("""COMPUTED_VALUE"""),45793.0)</f>
        <v>45793</v>
      </c>
      <c r="AK97" s="187">
        <f>IFERROR(__xludf.DUMMYFUNCTION("""COMPUTED_VALUE"""),45801.0)</f>
        <v>45801</v>
      </c>
      <c r="AL97" s="182" t="b">
        <f>IFERROR(__xludf.DUMMYFUNCTION("""COMPUTED_VALUE"""),FALSE)</f>
        <v>0</v>
      </c>
      <c r="AM97" s="182" t="b">
        <f>IFERROR(__xludf.DUMMYFUNCTION("""COMPUTED_VALUE"""),FALSE)</f>
        <v>0</v>
      </c>
      <c r="AN97" s="187">
        <f>IFERROR(__xludf.DUMMYFUNCTION("""COMPUTED_VALUE"""),45801.0)</f>
        <v>45801</v>
      </c>
      <c r="AO97" s="182" t="b">
        <f>IFERROR(__xludf.DUMMYFUNCTION("""COMPUTED_VALUE"""),FALSE)</f>
        <v>0</v>
      </c>
      <c r="AP97" s="182" t="str">
        <f>IFERROR(__xludf.DUMMYFUNCTION("""COMPUTED_VALUE"""),"Y")</f>
        <v>Y</v>
      </c>
      <c r="AQ97" s="182"/>
      <c r="AR97" s="187">
        <f>IFERROR(__xludf.DUMMYFUNCTION("""COMPUTED_VALUE"""),45801.0)</f>
        <v>45801</v>
      </c>
      <c r="AS97" s="182" t="b">
        <f>IFERROR(__xludf.DUMMYFUNCTION("""COMPUTED_VALUE"""),FALSE)</f>
        <v>0</v>
      </c>
      <c r="AT97" s="182"/>
      <c r="AU97" s="182"/>
      <c r="AV97" s="187">
        <f>IFERROR(__xludf.DUMMYFUNCTION("""COMPUTED_VALUE"""),45801.0)</f>
        <v>45801</v>
      </c>
      <c r="AW97" s="182" t="b">
        <f>IFERROR(__xludf.DUMMYFUNCTION("""COMPUTED_VALUE"""),FALSE)</f>
        <v>0</v>
      </c>
      <c r="AX97" s="182"/>
      <c r="AY97" s="182"/>
      <c r="AZ97" s="187">
        <f>IFERROR(__xludf.DUMMYFUNCTION("""COMPUTED_VALUE"""),45827.0)</f>
        <v>45827</v>
      </c>
      <c r="BA97" s="182" t="b">
        <f>IFERROR(__xludf.DUMMYFUNCTION("""COMPUTED_VALUE"""),FALSE)</f>
        <v>0</v>
      </c>
      <c r="BB97" s="187">
        <f>IFERROR(__xludf.DUMMYFUNCTION("""COMPUTED_VALUE"""),45827.0)</f>
        <v>45827</v>
      </c>
    </row>
    <row r="98">
      <c r="A98" s="184" t="str">
        <f t="shared" si="1"/>
        <v>#VALUE!</v>
      </c>
      <c r="B98" s="69" t="str">
        <f t="shared" si="2"/>
        <v>#VALUE!</v>
      </c>
      <c r="C98" s="182" t="str">
        <f>IFERROR(__xludf.DUMMYFUNCTION("""COMPUTED_VALUE"""),"EU")</f>
        <v>EU</v>
      </c>
      <c r="D98" s="182" t="str">
        <f>IFERROR(__xludf.DUMMYFUNCTION("""COMPUTED_VALUE"""),"MP")</f>
        <v>MP</v>
      </c>
      <c r="E98" s="182" t="str">
        <f>IFERROR(__xludf.DUMMYFUNCTION("""COMPUTED_VALUE"""),"Press")</f>
        <v>Press</v>
      </c>
      <c r="F98" s="182" t="str">
        <f>IFERROR(__xludf.DUMMYFUNCTION("""COMPUTED_VALUE"""),"GA10799-GB-N")</f>
        <v>GA10799-GB-N</v>
      </c>
      <c r="G98" s="182" t="str">
        <f>IFERROR(__xludf.DUMMYFUNCTION("""COMPUTED_VALUE"""),"GEHN3")</f>
        <v>GEHN3</v>
      </c>
      <c r="H98" s="182">
        <f>IFERROR(__xludf.DUMMYFUNCTION("""COMPUTED_VALUE"""),8.40353937741E11)</f>
        <v>840353937741</v>
      </c>
      <c r="I98" s="185" t="str">
        <f>IFERROR(__xludf.DUMMYFUNCTION("""COMPUTED_VALUE"""),"0840353937741")</f>
        <v>0840353937741</v>
      </c>
      <c r="J98" s="182"/>
      <c r="K98" s="182"/>
      <c r="L98" s="182"/>
      <c r="M98" s="188" t="str">
        <f>IFERROR(__xludf.DUMMYFUNCTION("""COMPUTED_VALUE"""),"G990-08531-41-03")</f>
        <v>G990-08531-41-03</v>
      </c>
      <c r="N98" s="182"/>
      <c r="O98" s="188" t="str">
        <f>IFERROR(__xludf.DUMMYFUNCTION("""COMPUTED_VALUE"""),"G990-09736-00-A")</f>
        <v>G990-09736-00-A</v>
      </c>
      <c r="P98" s="182"/>
      <c r="Q98" s="182" t="str">
        <f>IFERROR(__xludf.DUMMYFUNCTION("""COMPUTED_VALUE"""),"128GB")</f>
        <v>128GB</v>
      </c>
      <c r="R98" s="182" t="str">
        <f>IFERROR(__xludf.DUMMYFUNCTION("""COMPUTED_VALUE"""),"Jade")</f>
        <v>Jade</v>
      </c>
      <c r="S98" s="182" t="str">
        <f>IFERROR(__xludf.DUMMYFUNCTION("""COMPUTED_VALUE"""),"Smokey Green")</f>
        <v>Smokey Green</v>
      </c>
      <c r="T98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98" s="182" t="str">
        <f>IFERROR(__xludf.DUMMYFUNCTION("""COMPUTED_VALUE"""),"SKU,CLR4, GOOD, SUB6, UK/EU, PRESS, BZ5")</f>
        <v>SKU,CLR4, GOOD, SUB6, UK/EU, PRESS, BZ5</v>
      </c>
      <c r="V98" s="182"/>
      <c r="W98" s="183" t="str">
        <f>IFERROR(__xludf.DUMMYFUNCTION("""COMPUTED_VALUE"""),"#NUM!")</f>
        <v>#NUM!</v>
      </c>
      <c r="X98" s="186">
        <f>IFERROR(__xludf.DUMMYFUNCTION("""COMPUTED_VALUE"""),45831.0)</f>
        <v>45831</v>
      </c>
      <c r="Y98" s="187">
        <f>IFERROR(__xludf.DUMMYFUNCTION("""COMPUTED_VALUE"""),45780.0)</f>
        <v>45780</v>
      </c>
      <c r="Z98" s="182" t="b">
        <f>IFERROR(__xludf.DUMMYFUNCTION("""COMPUTED_VALUE"""),FALSE)</f>
        <v>0</v>
      </c>
      <c r="AA98" s="187">
        <f>IFERROR(__xludf.DUMMYFUNCTION("""COMPUTED_VALUE"""),45780.0)</f>
        <v>45780</v>
      </c>
      <c r="AB98" s="182" t="b">
        <f>IFERROR(__xludf.DUMMYFUNCTION("""COMPUTED_VALUE"""),FALSE)</f>
        <v>0</v>
      </c>
      <c r="AC98" s="187">
        <f>IFERROR(__xludf.DUMMYFUNCTION("""COMPUTED_VALUE"""),45787.0)</f>
        <v>45787</v>
      </c>
      <c r="AD98" s="187">
        <f>IFERROR(__xludf.DUMMYFUNCTION("""COMPUTED_VALUE"""),45787.0)</f>
        <v>45787</v>
      </c>
      <c r="AE98" s="182"/>
      <c r="AF98" s="182"/>
      <c r="AG98" s="182"/>
      <c r="AH98" s="182"/>
      <c r="AI98" s="188" t="str">
        <f>IFERROR(__xludf.DUMMYFUNCTION("""COMPUTED_VALUE"""),"GA10799-GB-N")</f>
        <v>GA10799-GB-N</v>
      </c>
      <c r="AJ98" s="187">
        <f>IFERROR(__xludf.DUMMYFUNCTION("""COMPUTED_VALUE"""),45793.0)</f>
        <v>45793</v>
      </c>
      <c r="AK98" s="187">
        <f>IFERROR(__xludf.DUMMYFUNCTION("""COMPUTED_VALUE"""),45801.0)</f>
        <v>45801</v>
      </c>
      <c r="AL98" s="182" t="b">
        <f>IFERROR(__xludf.DUMMYFUNCTION("""COMPUTED_VALUE"""),FALSE)</f>
        <v>0</v>
      </c>
      <c r="AM98" s="182" t="b">
        <f>IFERROR(__xludf.DUMMYFUNCTION("""COMPUTED_VALUE"""),FALSE)</f>
        <v>0</v>
      </c>
      <c r="AN98" s="187">
        <f>IFERROR(__xludf.DUMMYFUNCTION("""COMPUTED_VALUE"""),45801.0)</f>
        <v>45801</v>
      </c>
      <c r="AO98" s="182" t="b">
        <f>IFERROR(__xludf.DUMMYFUNCTION("""COMPUTED_VALUE"""),FALSE)</f>
        <v>0</v>
      </c>
      <c r="AP98" s="182"/>
      <c r="AQ98" s="182"/>
      <c r="AR98" s="187">
        <f>IFERROR(__xludf.DUMMYFUNCTION("""COMPUTED_VALUE"""),45801.0)</f>
        <v>45801</v>
      </c>
      <c r="AS98" s="182"/>
      <c r="AT98" s="182"/>
      <c r="AU98" s="182"/>
      <c r="AV98" s="187">
        <f>IFERROR(__xludf.DUMMYFUNCTION("""COMPUTED_VALUE"""),45801.0)</f>
        <v>45801</v>
      </c>
      <c r="AW98" s="182" t="b">
        <f>IFERROR(__xludf.DUMMYFUNCTION("""COMPUTED_VALUE"""),FALSE)</f>
        <v>0</v>
      </c>
      <c r="AX98" s="182"/>
      <c r="AY98" s="182"/>
      <c r="AZ98" s="187">
        <f>IFERROR(__xludf.DUMMYFUNCTION("""COMPUTED_VALUE"""),45827.0)</f>
        <v>45827</v>
      </c>
      <c r="BA98" s="182" t="b">
        <f>IFERROR(__xludf.DUMMYFUNCTION("""COMPUTED_VALUE"""),FALSE)</f>
        <v>0</v>
      </c>
      <c r="BB98" s="187">
        <f>IFERROR(__xludf.DUMMYFUNCTION("""COMPUTED_VALUE"""),45827.0)</f>
        <v>45827</v>
      </c>
    </row>
    <row r="99">
      <c r="A99" s="184" t="str">
        <f t="shared" si="1"/>
        <v>#VALUE!</v>
      </c>
      <c r="B99" s="69" t="str">
        <f t="shared" si="2"/>
        <v>#VALUE!</v>
      </c>
      <c r="C99" s="182" t="str">
        <f>IFERROR(__xludf.DUMMYFUNCTION("""COMPUTED_VALUE"""),"EU")</f>
        <v>EU</v>
      </c>
      <c r="D99" s="182" t="str">
        <f>IFERROR(__xludf.DUMMYFUNCTION("""COMPUTED_VALUE"""),"MP")</f>
        <v>MP</v>
      </c>
      <c r="E99" s="182" t="str">
        <f>IFERROR(__xludf.DUMMYFUNCTION("""COMPUTED_VALUE"""),"Press")</f>
        <v>Press</v>
      </c>
      <c r="F99" s="182" t="str">
        <f>IFERROR(__xludf.DUMMYFUNCTION("""COMPUTED_VALUE"""),"GA10800-GB-N")</f>
        <v>GA10800-GB-N</v>
      </c>
      <c r="G99" s="182" t="str">
        <f>IFERROR(__xludf.DUMMYFUNCTION("""COMPUTED_VALUE"""),"GEHN3")</f>
        <v>GEHN3</v>
      </c>
      <c r="H99" s="182">
        <f>IFERROR(__xludf.DUMMYFUNCTION("""COMPUTED_VALUE"""),8.40353937789E11)</f>
        <v>840353937789</v>
      </c>
      <c r="I99" s="185" t="str">
        <f>IFERROR(__xludf.DUMMYFUNCTION("""COMPUTED_VALUE"""),"0840353937789")</f>
        <v>0840353937789</v>
      </c>
      <c r="J99" s="182"/>
      <c r="K99" s="182"/>
      <c r="L99" s="182"/>
      <c r="M99" s="188" t="str">
        <f>IFERROR(__xludf.DUMMYFUNCTION("""COMPUTED_VALUE"""),"G990-08531-12-03")</f>
        <v>G990-08531-12-03</v>
      </c>
      <c r="N99" s="182"/>
      <c r="O99" s="188" t="str">
        <f>IFERROR(__xludf.DUMMYFUNCTION("""COMPUTED_VALUE"""),"G990-09736-00-A")</f>
        <v>G990-09736-00-A</v>
      </c>
      <c r="P99" s="182"/>
      <c r="Q99" s="182" t="str">
        <f>IFERROR(__xludf.DUMMYFUNCTION("""COMPUTED_VALUE"""),"256GB")</f>
        <v>256GB</v>
      </c>
      <c r="R99" s="182" t="str">
        <f>IFERROR(__xludf.DUMMYFUNCTION("""COMPUTED_VALUE"""),"Obsidian")</f>
        <v>Obsidian</v>
      </c>
      <c r="S99" s="182" t="str">
        <f>IFERROR(__xludf.DUMMYFUNCTION("""COMPUTED_VALUE"""),"Midnight")</f>
        <v>Midnight</v>
      </c>
      <c r="T99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99" s="182" t="str">
        <f>IFERROR(__xludf.DUMMYFUNCTION("""COMPUTED_VALUE"""),"SKU,CLR1, BETTER, SUB6, UK/EU, PRESS, BZ5")</f>
        <v>SKU,CLR1, BETTER, SUB6, UK/EU, PRESS, BZ5</v>
      </c>
      <c r="V99" s="182"/>
      <c r="W99" s="183" t="str">
        <f>IFERROR(__xludf.DUMMYFUNCTION("""COMPUTED_VALUE"""),"#NUM!")</f>
        <v>#NUM!</v>
      </c>
      <c r="X99" s="186">
        <f>IFERROR(__xludf.DUMMYFUNCTION("""COMPUTED_VALUE"""),45831.0)</f>
        <v>45831</v>
      </c>
      <c r="Y99" s="187">
        <f>IFERROR(__xludf.DUMMYFUNCTION("""COMPUTED_VALUE"""),45780.0)</f>
        <v>45780</v>
      </c>
      <c r="Z99" s="182" t="b">
        <f>IFERROR(__xludf.DUMMYFUNCTION("""COMPUTED_VALUE"""),FALSE)</f>
        <v>0</v>
      </c>
      <c r="AA99" s="187">
        <f>IFERROR(__xludf.DUMMYFUNCTION("""COMPUTED_VALUE"""),45780.0)</f>
        <v>45780</v>
      </c>
      <c r="AB99" s="182" t="b">
        <f>IFERROR(__xludf.DUMMYFUNCTION("""COMPUTED_VALUE"""),FALSE)</f>
        <v>0</v>
      </c>
      <c r="AC99" s="187">
        <f>IFERROR(__xludf.DUMMYFUNCTION("""COMPUTED_VALUE"""),45787.0)</f>
        <v>45787</v>
      </c>
      <c r="AD99" s="187">
        <f>IFERROR(__xludf.DUMMYFUNCTION("""COMPUTED_VALUE"""),45787.0)</f>
        <v>45787</v>
      </c>
      <c r="AE99" s="182"/>
      <c r="AF99" s="182"/>
      <c r="AG99" s="182"/>
      <c r="AH99" s="182"/>
      <c r="AI99" s="188" t="str">
        <f>IFERROR(__xludf.DUMMYFUNCTION("""COMPUTED_VALUE"""),"GA10800-GB-N")</f>
        <v>GA10800-GB-N</v>
      </c>
      <c r="AJ99" s="187">
        <f>IFERROR(__xludf.DUMMYFUNCTION("""COMPUTED_VALUE"""),45793.0)</f>
        <v>45793</v>
      </c>
      <c r="AK99" s="187">
        <f>IFERROR(__xludf.DUMMYFUNCTION("""COMPUTED_VALUE"""),45801.0)</f>
        <v>45801</v>
      </c>
      <c r="AL99" s="182" t="b">
        <f>IFERROR(__xludf.DUMMYFUNCTION("""COMPUTED_VALUE"""),FALSE)</f>
        <v>0</v>
      </c>
      <c r="AM99" s="182" t="b">
        <f>IFERROR(__xludf.DUMMYFUNCTION("""COMPUTED_VALUE"""),FALSE)</f>
        <v>0</v>
      </c>
      <c r="AN99" s="187">
        <f>IFERROR(__xludf.DUMMYFUNCTION("""COMPUTED_VALUE"""),45801.0)</f>
        <v>45801</v>
      </c>
      <c r="AO99" s="182" t="b">
        <f>IFERROR(__xludf.DUMMYFUNCTION("""COMPUTED_VALUE"""),FALSE)</f>
        <v>0</v>
      </c>
      <c r="AP99" s="182"/>
      <c r="AQ99" s="182"/>
      <c r="AR99" s="187">
        <f>IFERROR(__xludf.DUMMYFUNCTION("""COMPUTED_VALUE"""),45801.0)</f>
        <v>45801</v>
      </c>
      <c r="AS99" s="182"/>
      <c r="AT99" s="182"/>
      <c r="AU99" s="182"/>
      <c r="AV99" s="187">
        <f>IFERROR(__xludf.DUMMYFUNCTION("""COMPUTED_VALUE"""),45801.0)</f>
        <v>45801</v>
      </c>
      <c r="AW99" s="182" t="b">
        <f>IFERROR(__xludf.DUMMYFUNCTION("""COMPUTED_VALUE"""),FALSE)</f>
        <v>0</v>
      </c>
      <c r="AX99" s="182"/>
      <c r="AY99" s="182"/>
      <c r="AZ99" s="187">
        <f>IFERROR(__xludf.DUMMYFUNCTION("""COMPUTED_VALUE"""),45827.0)</f>
        <v>45827</v>
      </c>
      <c r="BA99" s="182" t="b">
        <f>IFERROR(__xludf.DUMMYFUNCTION("""COMPUTED_VALUE"""),FALSE)</f>
        <v>0</v>
      </c>
      <c r="BB99" s="187">
        <f>IFERROR(__xludf.DUMMYFUNCTION("""COMPUTED_VALUE"""),45827.0)</f>
        <v>45827</v>
      </c>
    </row>
    <row r="100">
      <c r="A100" s="184" t="str">
        <f t="shared" si="1"/>
        <v>#VALUE!</v>
      </c>
      <c r="B100" s="69" t="str">
        <f t="shared" si="2"/>
        <v>#VALUE!</v>
      </c>
      <c r="C100" s="182" t="str">
        <f>IFERROR(__xludf.DUMMYFUNCTION("""COMPUTED_VALUE"""),"EU")</f>
        <v>EU</v>
      </c>
      <c r="D100" s="182" t="str">
        <f>IFERROR(__xludf.DUMMYFUNCTION("""COMPUTED_VALUE"""),"MP")</f>
        <v>MP</v>
      </c>
      <c r="E100" s="182" t="str">
        <f>IFERROR(__xludf.DUMMYFUNCTION("""COMPUTED_VALUE"""),"Press")</f>
        <v>Press</v>
      </c>
      <c r="F100" s="182" t="str">
        <f>IFERROR(__xludf.DUMMYFUNCTION("""COMPUTED_VALUE"""),"GA10801-GB-N")</f>
        <v>GA10801-GB-N</v>
      </c>
      <c r="G100" s="182" t="str">
        <f>IFERROR(__xludf.DUMMYFUNCTION("""COMPUTED_VALUE"""),"GEHN3")</f>
        <v>GEHN3</v>
      </c>
      <c r="H100" s="182">
        <f>IFERROR(__xludf.DUMMYFUNCTION("""COMPUTED_VALUE"""),8.40353937826E11)</f>
        <v>840353937826</v>
      </c>
      <c r="I100" s="185" t="str">
        <f>IFERROR(__xludf.DUMMYFUNCTION("""COMPUTED_VALUE"""),"0840353937826")</f>
        <v>0840353937826</v>
      </c>
      <c r="J100" s="182"/>
      <c r="K100" s="182"/>
      <c r="L100" s="182"/>
      <c r="M100" s="188" t="str">
        <f>IFERROR(__xludf.DUMMYFUNCTION("""COMPUTED_VALUE"""),"G990-08531-22-03")</f>
        <v>G990-08531-22-03</v>
      </c>
      <c r="N100" s="182"/>
      <c r="O100" s="188" t="str">
        <f>IFERROR(__xludf.DUMMYFUNCTION("""COMPUTED_VALUE"""),"G990-09736-00-A")</f>
        <v>G990-09736-00-A</v>
      </c>
      <c r="P100" s="182"/>
      <c r="Q100" s="182" t="str">
        <f>IFERROR(__xludf.DUMMYFUNCTION("""COMPUTED_VALUE"""),"256GB")</f>
        <v>256GB</v>
      </c>
      <c r="R100" s="182" t="str">
        <f>IFERROR(__xludf.DUMMYFUNCTION("""COMPUTED_VALUE"""),"Porcelain")</f>
        <v>Porcelain</v>
      </c>
      <c r="S100" s="182" t="str">
        <f>IFERROR(__xludf.DUMMYFUNCTION("""COMPUTED_VALUE"""),"Light Porcelain")</f>
        <v>Light Porcelain</v>
      </c>
      <c r="T100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00" s="182" t="str">
        <f>IFERROR(__xludf.DUMMYFUNCTION("""COMPUTED_VALUE"""),"SKU,CLR2, BETTER, SUB6, UK/EU, PRESS, BZ5")</f>
        <v>SKU,CLR2, BETTER, SUB6, UK/EU, PRESS, BZ5</v>
      </c>
      <c r="V100" s="182"/>
      <c r="W100" s="183" t="str">
        <f>IFERROR(__xludf.DUMMYFUNCTION("""COMPUTED_VALUE"""),"#NUM!")</f>
        <v>#NUM!</v>
      </c>
      <c r="X100" s="186">
        <f>IFERROR(__xludf.DUMMYFUNCTION("""COMPUTED_VALUE"""),45831.0)</f>
        <v>45831</v>
      </c>
      <c r="Y100" s="187">
        <f>IFERROR(__xludf.DUMMYFUNCTION("""COMPUTED_VALUE"""),45780.0)</f>
        <v>45780</v>
      </c>
      <c r="Z100" s="182" t="b">
        <f>IFERROR(__xludf.DUMMYFUNCTION("""COMPUTED_VALUE"""),FALSE)</f>
        <v>0</v>
      </c>
      <c r="AA100" s="187">
        <f>IFERROR(__xludf.DUMMYFUNCTION("""COMPUTED_VALUE"""),45780.0)</f>
        <v>45780</v>
      </c>
      <c r="AB100" s="182" t="b">
        <f>IFERROR(__xludf.DUMMYFUNCTION("""COMPUTED_VALUE"""),FALSE)</f>
        <v>0</v>
      </c>
      <c r="AC100" s="187">
        <f>IFERROR(__xludf.DUMMYFUNCTION("""COMPUTED_VALUE"""),45787.0)</f>
        <v>45787</v>
      </c>
      <c r="AD100" s="187">
        <f>IFERROR(__xludf.DUMMYFUNCTION("""COMPUTED_VALUE"""),45787.0)</f>
        <v>45787</v>
      </c>
      <c r="AE100" s="182"/>
      <c r="AF100" s="182"/>
      <c r="AG100" s="182"/>
      <c r="AH100" s="182"/>
      <c r="AI100" s="188" t="str">
        <f>IFERROR(__xludf.DUMMYFUNCTION("""COMPUTED_VALUE"""),"GA10801-GB-N")</f>
        <v>GA10801-GB-N</v>
      </c>
      <c r="AJ100" s="187">
        <f>IFERROR(__xludf.DUMMYFUNCTION("""COMPUTED_VALUE"""),45793.0)</f>
        <v>45793</v>
      </c>
      <c r="AK100" s="187">
        <f>IFERROR(__xludf.DUMMYFUNCTION("""COMPUTED_VALUE"""),45801.0)</f>
        <v>45801</v>
      </c>
      <c r="AL100" s="182" t="b">
        <f>IFERROR(__xludf.DUMMYFUNCTION("""COMPUTED_VALUE"""),FALSE)</f>
        <v>0</v>
      </c>
      <c r="AM100" s="182" t="b">
        <f>IFERROR(__xludf.DUMMYFUNCTION("""COMPUTED_VALUE"""),FALSE)</f>
        <v>0</v>
      </c>
      <c r="AN100" s="187">
        <f>IFERROR(__xludf.DUMMYFUNCTION("""COMPUTED_VALUE"""),45801.0)</f>
        <v>45801</v>
      </c>
      <c r="AO100" s="182" t="b">
        <f>IFERROR(__xludf.DUMMYFUNCTION("""COMPUTED_VALUE"""),FALSE)</f>
        <v>0</v>
      </c>
      <c r="AP100" s="182"/>
      <c r="AQ100" s="182"/>
      <c r="AR100" s="187">
        <f>IFERROR(__xludf.DUMMYFUNCTION("""COMPUTED_VALUE"""),45801.0)</f>
        <v>45801</v>
      </c>
      <c r="AS100" s="182"/>
      <c r="AT100" s="182"/>
      <c r="AU100" s="182"/>
      <c r="AV100" s="187">
        <f>IFERROR(__xludf.DUMMYFUNCTION("""COMPUTED_VALUE"""),45801.0)</f>
        <v>45801</v>
      </c>
      <c r="AW100" s="182" t="b">
        <f>IFERROR(__xludf.DUMMYFUNCTION("""COMPUTED_VALUE"""),FALSE)</f>
        <v>0</v>
      </c>
      <c r="AX100" s="182"/>
      <c r="AY100" s="182"/>
      <c r="AZ100" s="187">
        <f>IFERROR(__xludf.DUMMYFUNCTION("""COMPUTED_VALUE"""),45827.0)</f>
        <v>45827</v>
      </c>
      <c r="BA100" s="182" t="b">
        <f>IFERROR(__xludf.DUMMYFUNCTION("""COMPUTED_VALUE"""),FALSE)</f>
        <v>0</v>
      </c>
      <c r="BB100" s="187">
        <f>IFERROR(__xludf.DUMMYFUNCTION("""COMPUTED_VALUE"""),45827.0)</f>
        <v>45827</v>
      </c>
    </row>
    <row r="101">
      <c r="A101" s="184" t="str">
        <f t="shared" si="1"/>
        <v>#VALUE!</v>
      </c>
      <c r="B101" s="69" t="str">
        <f t="shared" si="2"/>
        <v>#VALUE!</v>
      </c>
      <c r="C101" s="182" t="str">
        <f>IFERROR(__xludf.DUMMYFUNCTION("""COMPUTED_VALUE"""),"EU")</f>
        <v>EU</v>
      </c>
      <c r="D101" s="182" t="str">
        <f>IFERROR(__xludf.DUMMYFUNCTION("""COMPUTED_VALUE"""),"MP")</f>
        <v>MP</v>
      </c>
      <c r="E101" s="182" t="str">
        <f>IFERROR(__xludf.DUMMYFUNCTION("""COMPUTED_VALUE"""),"Press")</f>
        <v>Press</v>
      </c>
      <c r="F101" s="182" t="str">
        <f>IFERROR(__xludf.DUMMYFUNCTION("""COMPUTED_VALUE"""),"GA10802-GB-N")</f>
        <v>GA10802-GB-N</v>
      </c>
      <c r="G101" s="182" t="str">
        <f>IFERROR(__xludf.DUMMYFUNCTION("""COMPUTED_VALUE"""),"GEHN3")</f>
        <v>GEHN3</v>
      </c>
      <c r="H101" s="182">
        <f>IFERROR(__xludf.DUMMYFUNCTION("""COMPUTED_VALUE"""),8.40353937864E11)</f>
        <v>840353937864</v>
      </c>
      <c r="I101" s="185" t="str">
        <f>IFERROR(__xludf.DUMMYFUNCTION("""COMPUTED_VALUE"""),"0840353937864")</f>
        <v>0840353937864</v>
      </c>
      <c r="J101" s="182"/>
      <c r="K101" s="182"/>
      <c r="L101" s="182"/>
      <c r="M101" s="188" t="str">
        <f>IFERROR(__xludf.DUMMYFUNCTION("""COMPUTED_VALUE"""),"G990-08531-32-03")</f>
        <v>G990-08531-32-03</v>
      </c>
      <c r="N101" s="182"/>
      <c r="O101" s="188" t="str">
        <f>IFERROR(__xludf.DUMMYFUNCTION("""COMPUTED_VALUE"""),"G990-09736-00-A")</f>
        <v>G990-09736-00-A</v>
      </c>
      <c r="P101" s="182"/>
      <c r="Q101" s="182" t="str">
        <f>IFERROR(__xludf.DUMMYFUNCTION("""COMPUTED_VALUE"""),"256GB")</f>
        <v>256GB</v>
      </c>
      <c r="R101" s="182" t="str">
        <f>IFERROR(__xludf.DUMMYFUNCTION("""COMPUTED_VALUE"""),"Moonstone")</f>
        <v>Moonstone</v>
      </c>
      <c r="S101" s="182" t="str">
        <f>IFERROR(__xludf.DUMMYFUNCTION("""COMPUTED_VALUE"""),"Sterling")</f>
        <v>Sterling</v>
      </c>
      <c r="T101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01" s="182" t="str">
        <f>IFERROR(__xludf.DUMMYFUNCTION("""COMPUTED_VALUE"""),"SKU,CLR3, BETTER, SUB6, UK/EU, PRESS, BZ5")</f>
        <v>SKU,CLR3, BETTER, SUB6, UK/EU, PRESS, BZ5</v>
      </c>
      <c r="V101" s="182"/>
      <c r="W101" s="183" t="str">
        <f>IFERROR(__xludf.DUMMYFUNCTION("""COMPUTED_VALUE"""),"#NUM!")</f>
        <v>#NUM!</v>
      </c>
      <c r="X101" s="186">
        <f>IFERROR(__xludf.DUMMYFUNCTION("""COMPUTED_VALUE"""),45831.0)</f>
        <v>45831</v>
      </c>
      <c r="Y101" s="187">
        <f>IFERROR(__xludf.DUMMYFUNCTION("""COMPUTED_VALUE"""),45780.0)</f>
        <v>45780</v>
      </c>
      <c r="Z101" s="182" t="b">
        <f>IFERROR(__xludf.DUMMYFUNCTION("""COMPUTED_VALUE"""),FALSE)</f>
        <v>0</v>
      </c>
      <c r="AA101" s="187">
        <f>IFERROR(__xludf.DUMMYFUNCTION("""COMPUTED_VALUE"""),45780.0)</f>
        <v>45780</v>
      </c>
      <c r="AB101" s="182" t="b">
        <f>IFERROR(__xludf.DUMMYFUNCTION("""COMPUTED_VALUE"""),FALSE)</f>
        <v>0</v>
      </c>
      <c r="AC101" s="187">
        <f>IFERROR(__xludf.DUMMYFUNCTION("""COMPUTED_VALUE"""),45787.0)</f>
        <v>45787</v>
      </c>
      <c r="AD101" s="187">
        <f>IFERROR(__xludf.DUMMYFUNCTION("""COMPUTED_VALUE"""),45787.0)</f>
        <v>45787</v>
      </c>
      <c r="AE101" s="182"/>
      <c r="AF101" s="182"/>
      <c r="AG101" s="182"/>
      <c r="AH101" s="182"/>
      <c r="AI101" s="188" t="str">
        <f>IFERROR(__xludf.DUMMYFUNCTION("""COMPUTED_VALUE"""),"GA10802-GB-N")</f>
        <v>GA10802-GB-N</v>
      </c>
      <c r="AJ101" s="187">
        <f>IFERROR(__xludf.DUMMYFUNCTION("""COMPUTED_VALUE"""),45793.0)</f>
        <v>45793</v>
      </c>
      <c r="AK101" s="187">
        <f>IFERROR(__xludf.DUMMYFUNCTION("""COMPUTED_VALUE"""),45801.0)</f>
        <v>45801</v>
      </c>
      <c r="AL101" s="182" t="b">
        <f>IFERROR(__xludf.DUMMYFUNCTION("""COMPUTED_VALUE"""),FALSE)</f>
        <v>0</v>
      </c>
      <c r="AM101" s="182" t="b">
        <f>IFERROR(__xludf.DUMMYFUNCTION("""COMPUTED_VALUE"""),FALSE)</f>
        <v>0</v>
      </c>
      <c r="AN101" s="187">
        <f>IFERROR(__xludf.DUMMYFUNCTION("""COMPUTED_VALUE"""),45801.0)</f>
        <v>45801</v>
      </c>
      <c r="AO101" s="182" t="b">
        <f>IFERROR(__xludf.DUMMYFUNCTION("""COMPUTED_VALUE"""),FALSE)</f>
        <v>0</v>
      </c>
      <c r="AP101" s="182"/>
      <c r="AQ101" s="182"/>
      <c r="AR101" s="187">
        <f>IFERROR(__xludf.DUMMYFUNCTION("""COMPUTED_VALUE"""),45801.0)</f>
        <v>45801</v>
      </c>
      <c r="AS101" s="182"/>
      <c r="AT101" s="182"/>
      <c r="AU101" s="182"/>
      <c r="AV101" s="187">
        <f>IFERROR(__xludf.DUMMYFUNCTION("""COMPUTED_VALUE"""),45801.0)</f>
        <v>45801</v>
      </c>
      <c r="AW101" s="182" t="b">
        <f>IFERROR(__xludf.DUMMYFUNCTION("""COMPUTED_VALUE"""),FALSE)</f>
        <v>0</v>
      </c>
      <c r="AX101" s="182"/>
      <c r="AY101" s="182"/>
      <c r="AZ101" s="187">
        <f>IFERROR(__xludf.DUMMYFUNCTION("""COMPUTED_VALUE"""),45827.0)</f>
        <v>45827</v>
      </c>
      <c r="BA101" s="182" t="b">
        <f>IFERROR(__xludf.DUMMYFUNCTION("""COMPUTED_VALUE"""),FALSE)</f>
        <v>0</v>
      </c>
      <c r="BB101" s="187">
        <f>IFERROR(__xludf.DUMMYFUNCTION("""COMPUTED_VALUE"""),45827.0)</f>
        <v>45827</v>
      </c>
    </row>
    <row r="102">
      <c r="A102" s="184" t="str">
        <f t="shared" si="1"/>
        <v>#VALUE!</v>
      </c>
      <c r="B102" s="69" t="str">
        <f t="shared" si="2"/>
        <v>#VALUE!</v>
      </c>
      <c r="C102" s="182" t="str">
        <f>IFERROR(__xludf.DUMMYFUNCTION("""COMPUTED_VALUE"""),"EU")</f>
        <v>EU</v>
      </c>
      <c r="D102" s="182" t="str">
        <f>IFERROR(__xludf.DUMMYFUNCTION("""COMPUTED_VALUE"""),"MP")</f>
        <v>MP</v>
      </c>
      <c r="E102" s="182" t="str">
        <f>IFERROR(__xludf.DUMMYFUNCTION("""COMPUTED_VALUE"""),"Press")</f>
        <v>Press</v>
      </c>
      <c r="F102" s="182" t="str">
        <f>IFERROR(__xludf.DUMMYFUNCTION("""COMPUTED_VALUE"""),"GA10803-GB-N")</f>
        <v>GA10803-GB-N</v>
      </c>
      <c r="G102" s="182" t="str">
        <f>IFERROR(__xludf.DUMMYFUNCTION("""COMPUTED_VALUE"""),"GEHN3")</f>
        <v>GEHN3</v>
      </c>
      <c r="H102" s="182">
        <f>IFERROR(__xludf.DUMMYFUNCTION("""COMPUTED_VALUE"""),8.40353937901E11)</f>
        <v>840353937901</v>
      </c>
      <c r="I102" s="185" t="str">
        <f>IFERROR(__xludf.DUMMYFUNCTION("""COMPUTED_VALUE"""),"0840353937901")</f>
        <v>0840353937901</v>
      </c>
      <c r="J102" s="182"/>
      <c r="K102" s="182" t="str">
        <f>IFERROR(__xludf.DUMMYFUNCTION("""COMPUTED_VALUE"""),"ROW Master Carton Label (EAN)")</f>
        <v>ROW Master Carton Label (EAN)</v>
      </c>
      <c r="L102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02" s="188" t="str">
        <f>IFERROR(__xludf.DUMMYFUNCTION("""COMPUTED_VALUE"""),"G990-08531-42-03")</f>
        <v>G990-08531-42-03</v>
      </c>
      <c r="N102" s="182"/>
      <c r="O102" s="188" t="str">
        <f>IFERROR(__xludf.DUMMYFUNCTION("""COMPUTED_VALUE"""),"G990-09736-00-A")</f>
        <v>G990-09736-00-A</v>
      </c>
      <c r="P102" s="182"/>
      <c r="Q102" s="182" t="str">
        <f>IFERROR(__xludf.DUMMYFUNCTION("""COMPUTED_VALUE"""),"256GB")</f>
        <v>256GB</v>
      </c>
      <c r="R102" s="182" t="str">
        <f>IFERROR(__xludf.DUMMYFUNCTION("""COMPUTED_VALUE"""),"Jade")</f>
        <v>Jade</v>
      </c>
      <c r="S102" s="182" t="str">
        <f>IFERROR(__xludf.DUMMYFUNCTION("""COMPUTED_VALUE"""),"Smokey Green")</f>
        <v>Smokey Green</v>
      </c>
      <c r="T102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02" s="182" t="str">
        <f>IFERROR(__xludf.DUMMYFUNCTION("""COMPUTED_VALUE"""),"SKU,CLR4, BETTER, SUB6, UK/EU, PRESS, BZ5")</f>
        <v>SKU,CLR4, BETTER, SUB6, UK/EU, PRESS, BZ5</v>
      </c>
      <c r="V102" s="182"/>
      <c r="W102" s="183" t="str">
        <f>IFERROR(__xludf.DUMMYFUNCTION("""COMPUTED_VALUE"""),"#NUM!")</f>
        <v>#NUM!</v>
      </c>
      <c r="X102" s="186">
        <f>IFERROR(__xludf.DUMMYFUNCTION("""COMPUTED_VALUE"""),45831.0)</f>
        <v>45831</v>
      </c>
      <c r="Y102" s="187">
        <f>IFERROR(__xludf.DUMMYFUNCTION("""COMPUTED_VALUE"""),45780.0)</f>
        <v>45780</v>
      </c>
      <c r="Z102" s="182" t="b">
        <f>IFERROR(__xludf.DUMMYFUNCTION("""COMPUTED_VALUE"""),FALSE)</f>
        <v>0</v>
      </c>
      <c r="AA102" s="187">
        <f>IFERROR(__xludf.DUMMYFUNCTION("""COMPUTED_VALUE"""),45780.0)</f>
        <v>45780</v>
      </c>
      <c r="AB102" s="182" t="b">
        <f>IFERROR(__xludf.DUMMYFUNCTION("""COMPUTED_VALUE"""),FALSE)</f>
        <v>0</v>
      </c>
      <c r="AC102" s="187">
        <f>IFERROR(__xludf.DUMMYFUNCTION("""COMPUTED_VALUE"""),45787.0)</f>
        <v>45787</v>
      </c>
      <c r="AD102" s="187">
        <f>IFERROR(__xludf.DUMMYFUNCTION("""COMPUTED_VALUE"""),45787.0)</f>
        <v>45787</v>
      </c>
      <c r="AE102" s="188" t="str">
        <f>IFERROR(__xludf.DUMMYFUNCTION("""COMPUTED_VALUE"""),"GA10803-GB-N")</f>
        <v>GA10803-GB-N</v>
      </c>
      <c r="AF102" s="182"/>
      <c r="AG102" s="188" t="str">
        <f>IFERROR(__xludf.DUMMYFUNCTION("""COMPUTED_VALUE"""),"GA10803-GB-N")</f>
        <v>GA10803-GB-N</v>
      </c>
      <c r="AH102" s="188" t="str">
        <f>IFERROR(__xludf.DUMMYFUNCTION("""COMPUTED_VALUE"""),"GA10803-GB-N")</f>
        <v>GA10803-GB-N</v>
      </c>
      <c r="AI102" s="188" t="str">
        <f>IFERROR(__xludf.DUMMYFUNCTION("""COMPUTED_VALUE"""),"GA10803-GB-N")</f>
        <v>GA10803-GB-N</v>
      </c>
      <c r="AJ102" s="187">
        <f>IFERROR(__xludf.DUMMYFUNCTION("""COMPUTED_VALUE"""),45793.0)</f>
        <v>45793</v>
      </c>
      <c r="AK102" s="187">
        <f>IFERROR(__xludf.DUMMYFUNCTION("""COMPUTED_VALUE"""),45801.0)</f>
        <v>45801</v>
      </c>
      <c r="AL102" s="182" t="b">
        <f>IFERROR(__xludf.DUMMYFUNCTION("""COMPUTED_VALUE"""),FALSE)</f>
        <v>0</v>
      </c>
      <c r="AM102" s="182" t="b">
        <f>IFERROR(__xludf.DUMMYFUNCTION("""COMPUTED_VALUE"""),FALSE)</f>
        <v>0</v>
      </c>
      <c r="AN102" s="187">
        <f>IFERROR(__xludf.DUMMYFUNCTION("""COMPUTED_VALUE"""),45801.0)</f>
        <v>45801</v>
      </c>
      <c r="AO102" s="182" t="b">
        <f>IFERROR(__xludf.DUMMYFUNCTION("""COMPUTED_VALUE"""),FALSE)</f>
        <v>0</v>
      </c>
      <c r="AP102" s="182" t="str">
        <f>IFERROR(__xludf.DUMMYFUNCTION("""COMPUTED_VALUE"""),"N")</f>
        <v>N</v>
      </c>
      <c r="AQ102" s="182"/>
      <c r="AR102" s="187">
        <f>IFERROR(__xludf.DUMMYFUNCTION("""COMPUTED_VALUE"""),45801.0)</f>
        <v>45801</v>
      </c>
      <c r="AS102" s="182" t="b">
        <f>IFERROR(__xludf.DUMMYFUNCTION("""COMPUTED_VALUE"""),FALSE)</f>
        <v>0</v>
      </c>
      <c r="AT102" s="182"/>
      <c r="AU102" s="182"/>
      <c r="AV102" s="187">
        <f>IFERROR(__xludf.DUMMYFUNCTION("""COMPUTED_VALUE"""),45801.0)</f>
        <v>45801</v>
      </c>
      <c r="AW102" s="182" t="b">
        <f>IFERROR(__xludf.DUMMYFUNCTION("""COMPUTED_VALUE"""),FALSE)</f>
        <v>0</v>
      </c>
      <c r="AX102" s="182"/>
      <c r="AY102" s="182"/>
      <c r="AZ102" s="187">
        <f>IFERROR(__xludf.DUMMYFUNCTION("""COMPUTED_VALUE"""),45827.0)</f>
        <v>45827</v>
      </c>
      <c r="BA102" s="182" t="b">
        <f>IFERROR(__xludf.DUMMYFUNCTION("""COMPUTED_VALUE"""),FALSE)</f>
        <v>0</v>
      </c>
      <c r="BB102" s="187">
        <f>IFERROR(__xludf.DUMMYFUNCTION("""COMPUTED_VALUE"""),45827.0)</f>
        <v>45827</v>
      </c>
    </row>
    <row r="103">
      <c r="A103" s="184" t="str">
        <f t="shared" si="1"/>
        <v>#VALUE!</v>
      </c>
      <c r="B103" s="69" t="str">
        <f t="shared" si="2"/>
        <v>#VALUE!</v>
      </c>
      <c r="C103" s="182" t="str">
        <f>IFERROR(__xludf.DUMMYFUNCTION("""COMPUTED_VALUE"""),"GSTORE")</f>
        <v>GSTORE</v>
      </c>
      <c r="D103" s="182" t="str">
        <f>IFERROR(__xludf.DUMMYFUNCTION("""COMPUTED_VALUE"""),"MP")</f>
        <v>MP</v>
      </c>
      <c r="E103" s="182" t="str">
        <f>IFERROR(__xludf.DUMMYFUNCTION("""COMPUTED_VALUE"""),"DEMO")</f>
        <v>DEMO</v>
      </c>
      <c r="F103" s="182" t="str">
        <f>IFERROR(__xludf.DUMMYFUNCTION("""COMPUTED_VALUE"""),"GA10782-US")</f>
        <v>GA10782-US</v>
      </c>
      <c r="G103" s="182" t="str">
        <f>IFERROR(__xludf.DUMMYFUNCTION("""COMPUTED_VALUE"""),"G4QUR")</f>
        <v>G4QUR</v>
      </c>
      <c r="H103" s="182">
        <f>IFERROR(__xludf.DUMMYFUNCTION("""COMPUTED_VALUE"""),8.40353937932E11)</f>
        <v>840353937932</v>
      </c>
      <c r="I103" s="185" t="str">
        <f>IFERROR(__xludf.DUMMYFUNCTION("""COMPUTED_VALUE"""),"0840353937932")</f>
        <v>0840353937932</v>
      </c>
      <c r="J103" s="182"/>
      <c r="K103" s="182" t="str">
        <f>IFERROR(__xludf.DUMMYFUNCTION("""COMPUTED_VALUE"""),"ROW Master Carton Label (UPC)")</f>
        <v>ROW Master Carton Label (UPC)</v>
      </c>
      <c r="L103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03" s="188" t="str">
        <f>IFERROR(__xludf.DUMMYFUNCTION("""COMPUTED_VALUE"""),"G990-08499-11-02")</f>
        <v>G990-08499-11-02</v>
      </c>
      <c r="N103" s="182"/>
      <c r="O103" s="188" t="str">
        <f>IFERROR(__xludf.DUMMYFUNCTION("""COMPUTED_VALUE"""),"G990-09737-00-01")</f>
        <v>G990-09737-00-01</v>
      </c>
      <c r="P103" s="182"/>
      <c r="Q103" s="182" t="str">
        <f>IFERROR(__xludf.DUMMYFUNCTION("""COMPUTED_VALUE"""),"128GB")</f>
        <v>128GB</v>
      </c>
      <c r="R103" s="182" t="str">
        <f>IFERROR(__xludf.DUMMYFUNCTION("""COMPUTED_VALUE"""),"Obsidian")</f>
        <v>Obsidian</v>
      </c>
      <c r="S103" s="182" t="str">
        <f>IFERROR(__xludf.DUMMYFUNCTION("""COMPUTED_VALUE"""),"Midnight")</f>
        <v>Midnight</v>
      </c>
      <c r="T103" s="182" t="str">
        <f>IFERROR(__xludf.DUMMYFUNCTION("""COMPUTED_VALUE"""),"US GStore")</f>
        <v>US GStore</v>
      </c>
      <c r="U103" s="182" t="str">
        <f>IFERROR(__xludf.DUMMYFUNCTION("""COMPUTED_VALUE"""),"SKU,CLR1, GOOD, MMWAVE, US GSTORE, DEMO, BZ5")</f>
        <v>SKU,CLR1, GOOD, MMWAVE, US GSTORE, DEMO, BZ5</v>
      </c>
      <c r="V103" s="182"/>
      <c r="W103" s="183" t="str">
        <f>IFERROR(__xludf.DUMMYFUNCTION("""COMPUTED_VALUE"""),"#NUM!")</f>
        <v>#NUM!</v>
      </c>
      <c r="X103" s="186">
        <f>IFERROR(__xludf.DUMMYFUNCTION("""COMPUTED_VALUE"""),45831.0)</f>
        <v>45831</v>
      </c>
      <c r="Y103" s="187">
        <f>IFERROR(__xludf.DUMMYFUNCTION("""COMPUTED_VALUE"""),45780.0)</f>
        <v>45780</v>
      </c>
      <c r="Z103" s="182" t="b">
        <f>IFERROR(__xludf.DUMMYFUNCTION("""COMPUTED_VALUE"""),FALSE)</f>
        <v>0</v>
      </c>
      <c r="AA103" s="187">
        <f>IFERROR(__xludf.DUMMYFUNCTION("""COMPUTED_VALUE"""),45780.0)</f>
        <v>45780</v>
      </c>
      <c r="AB103" s="182" t="b">
        <f>IFERROR(__xludf.DUMMYFUNCTION("""COMPUTED_VALUE"""),FALSE)</f>
        <v>0</v>
      </c>
      <c r="AC103" s="187">
        <f>IFERROR(__xludf.DUMMYFUNCTION("""COMPUTED_VALUE"""),45787.0)</f>
        <v>45787</v>
      </c>
      <c r="AD103" s="187">
        <f>IFERROR(__xludf.DUMMYFUNCTION("""COMPUTED_VALUE"""),45787.0)</f>
        <v>45787</v>
      </c>
      <c r="AE103" s="188" t="str">
        <f>IFERROR(__xludf.DUMMYFUNCTION("""COMPUTED_VALUE"""),"GA10782-US")</f>
        <v>GA10782-US</v>
      </c>
      <c r="AF103" s="182"/>
      <c r="AG103" s="188" t="str">
        <f>IFERROR(__xludf.DUMMYFUNCTION("""COMPUTED_VALUE"""),"GA10782-US")</f>
        <v>GA10782-US</v>
      </c>
      <c r="AH103" s="188" t="str">
        <f>IFERROR(__xludf.DUMMYFUNCTION("""COMPUTED_VALUE"""),"GA10782-US")</f>
        <v>GA10782-US</v>
      </c>
      <c r="AI103" s="188" t="str">
        <f>IFERROR(__xludf.DUMMYFUNCTION("""COMPUTED_VALUE"""),"GA10782-US")</f>
        <v>GA10782-US</v>
      </c>
      <c r="AJ103" s="187">
        <f>IFERROR(__xludf.DUMMYFUNCTION("""COMPUTED_VALUE"""),45793.0)</f>
        <v>45793</v>
      </c>
      <c r="AK103" s="187">
        <f>IFERROR(__xludf.DUMMYFUNCTION("""COMPUTED_VALUE"""),45801.0)</f>
        <v>45801</v>
      </c>
      <c r="AL103" s="182" t="b">
        <f>IFERROR(__xludf.DUMMYFUNCTION("""COMPUTED_VALUE"""),FALSE)</f>
        <v>0</v>
      </c>
      <c r="AM103" s="182" t="b">
        <f>IFERROR(__xludf.DUMMYFUNCTION("""COMPUTED_VALUE"""),FALSE)</f>
        <v>0</v>
      </c>
      <c r="AN103" s="187">
        <f>IFERROR(__xludf.DUMMYFUNCTION("""COMPUTED_VALUE"""),45801.0)</f>
        <v>45801</v>
      </c>
      <c r="AO103" s="182" t="b">
        <f>IFERROR(__xludf.DUMMYFUNCTION("""COMPUTED_VALUE"""),FALSE)</f>
        <v>0</v>
      </c>
      <c r="AP103" s="182" t="str">
        <f>IFERROR(__xludf.DUMMYFUNCTION("""COMPUTED_VALUE"""),"Y")</f>
        <v>Y</v>
      </c>
      <c r="AQ103" s="182"/>
      <c r="AR103" s="187">
        <f>IFERROR(__xludf.DUMMYFUNCTION("""COMPUTED_VALUE"""),45801.0)</f>
        <v>45801</v>
      </c>
      <c r="AS103" s="182" t="b">
        <f>IFERROR(__xludf.DUMMYFUNCTION("""COMPUTED_VALUE"""),FALSE)</f>
        <v>0</v>
      </c>
      <c r="AT103" s="182"/>
      <c r="AU103" s="182"/>
      <c r="AV103" s="187">
        <f>IFERROR(__xludf.DUMMYFUNCTION("""COMPUTED_VALUE"""),45801.0)</f>
        <v>45801</v>
      </c>
      <c r="AW103" s="182" t="b">
        <f>IFERROR(__xludf.DUMMYFUNCTION("""COMPUTED_VALUE"""),FALSE)</f>
        <v>0</v>
      </c>
      <c r="AX103" s="182"/>
      <c r="AY103" s="182"/>
      <c r="AZ103" s="187">
        <f>IFERROR(__xludf.DUMMYFUNCTION("""COMPUTED_VALUE"""),45827.0)</f>
        <v>45827</v>
      </c>
      <c r="BA103" s="182" t="b">
        <f>IFERROR(__xludf.DUMMYFUNCTION("""COMPUTED_VALUE"""),FALSE)</f>
        <v>0</v>
      </c>
      <c r="BB103" s="187">
        <f>IFERROR(__xludf.DUMMYFUNCTION("""COMPUTED_VALUE"""),45827.0)</f>
        <v>45827</v>
      </c>
    </row>
    <row r="104">
      <c r="A104" s="184" t="str">
        <f t="shared" si="1"/>
        <v>#VALUE!</v>
      </c>
      <c r="B104" s="69" t="str">
        <f t="shared" si="2"/>
        <v>#VALUE!</v>
      </c>
      <c r="C104" s="182" t="str">
        <f>IFERROR(__xludf.DUMMYFUNCTION("""COMPUTED_VALUE"""),"GSTORE")</f>
        <v>GSTORE</v>
      </c>
      <c r="D104" s="182" t="str">
        <f>IFERROR(__xludf.DUMMYFUNCTION("""COMPUTED_VALUE"""),"MP")</f>
        <v>MP</v>
      </c>
      <c r="E104" s="182" t="str">
        <f>IFERROR(__xludf.DUMMYFUNCTION("""COMPUTED_VALUE"""),"DEMO")</f>
        <v>DEMO</v>
      </c>
      <c r="F104" s="182" t="str">
        <f>IFERROR(__xludf.DUMMYFUNCTION("""COMPUTED_VALUE"""),"GA10785-US")</f>
        <v>GA10785-US</v>
      </c>
      <c r="G104" s="182" t="str">
        <f>IFERROR(__xludf.DUMMYFUNCTION("""COMPUTED_VALUE"""),"G4QUR")</f>
        <v>G4QUR</v>
      </c>
      <c r="H104" s="182">
        <f>IFERROR(__xludf.DUMMYFUNCTION("""COMPUTED_VALUE"""),8.40353938038E11)</f>
        <v>840353938038</v>
      </c>
      <c r="I104" s="185" t="str">
        <f>IFERROR(__xludf.DUMMYFUNCTION("""COMPUTED_VALUE"""),"0840353938038")</f>
        <v>0840353938038</v>
      </c>
      <c r="J104" s="182"/>
      <c r="K104" s="182" t="str">
        <f>IFERROR(__xludf.DUMMYFUNCTION("""COMPUTED_VALUE"""),"ROW Master Carton Label (UPC)")</f>
        <v>ROW Master Carton Label (UPC)</v>
      </c>
      <c r="L104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04" s="188" t="str">
        <f>IFERROR(__xludf.DUMMYFUNCTION("""COMPUTED_VALUE"""),"G990-08499-21-02")</f>
        <v>G990-08499-21-02</v>
      </c>
      <c r="N104" s="182"/>
      <c r="O104" s="188" t="str">
        <f>IFERROR(__xludf.DUMMYFUNCTION("""COMPUTED_VALUE"""),"G990-09737-00-01")</f>
        <v>G990-09737-00-01</v>
      </c>
      <c r="P104" s="182"/>
      <c r="Q104" s="182" t="str">
        <f>IFERROR(__xludf.DUMMYFUNCTION("""COMPUTED_VALUE"""),"128GB")</f>
        <v>128GB</v>
      </c>
      <c r="R104" s="182" t="str">
        <f>IFERROR(__xludf.DUMMYFUNCTION("""COMPUTED_VALUE"""),"Porcelain")</f>
        <v>Porcelain</v>
      </c>
      <c r="S104" s="182" t="str">
        <f>IFERROR(__xludf.DUMMYFUNCTION("""COMPUTED_VALUE"""),"Light Porcelain")</f>
        <v>Light Porcelain</v>
      </c>
      <c r="T104" s="182" t="str">
        <f>IFERROR(__xludf.DUMMYFUNCTION("""COMPUTED_VALUE"""),"US GStore")</f>
        <v>US GStore</v>
      </c>
      <c r="U104" s="182" t="str">
        <f>IFERROR(__xludf.DUMMYFUNCTION("""COMPUTED_VALUE"""),"SKU,CLR2, GOOD, MMWAVE, US GSTORE, DEMO, BZ5")</f>
        <v>SKU,CLR2, GOOD, MMWAVE, US GSTORE, DEMO, BZ5</v>
      </c>
      <c r="V104" s="182"/>
      <c r="W104" s="183" t="str">
        <f>IFERROR(__xludf.DUMMYFUNCTION("""COMPUTED_VALUE"""),"#NUM!")</f>
        <v>#NUM!</v>
      </c>
      <c r="X104" s="186">
        <f>IFERROR(__xludf.DUMMYFUNCTION("""COMPUTED_VALUE"""),45831.0)</f>
        <v>45831</v>
      </c>
      <c r="Y104" s="187">
        <f>IFERROR(__xludf.DUMMYFUNCTION("""COMPUTED_VALUE"""),45780.0)</f>
        <v>45780</v>
      </c>
      <c r="Z104" s="182" t="b">
        <f>IFERROR(__xludf.DUMMYFUNCTION("""COMPUTED_VALUE"""),FALSE)</f>
        <v>0</v>
      </c>
      <c r="AA104" s="187">
        <f>IFERROR(__xludf.DUMMYFUNCTION("""COMPUTED_VALUE"""),45780.0)</f>
        <v>45780</v>
      </c>
      <c r="AB104" s="182" t="b">
        <f>IFERROR(__xludf.DUMMYFUNCTION("""COMPUTED_VALUE"""),FALSE)</f>
        <v>0</v>
      </c>
      <c r="AC104" s="187">
        <f>IFERROR(__xludf.DUMMYFUNCTION("""COMPUTED_VALUE"""),45787.0)</f>
        <v>45787</v>
      </c>
      <c r="AD104" s="187">
        <f>IFERROR(__xludf.DUMMYFUNCTION("""COMPUTED_VALUE"""),45787.0)</f>
        <v>45787</v>
      </c>
      <c r="AE104" s="188" t="str">
        <f>IFERROR(__xludf.DUMMYFUNCTION("""COMPUTED_VALUE"""),"GA10785-US")</f>
        <v>GA10785-US</v>
      </c>
      <c r="AF104" s="182"/>
      <c r="AG104" s="188" t="str">
        <f>IFERROR(__xludf.DUMMYFUNCTION("""COMPUTED_VALUE"""),"GA10785-US")</f>
        <v>GA10785-US</v>
      </c>
      <c r="AH104" s="188" t="str">
        <f>IFERROR(__xludf.DUMMYFUNCTION("""COMPUTED_VALUE"""),"GA10785-US")</f>
        <v>GA10785-US</v>
      </c>
      <c r="AI104" s="188" t="str">
        <f>IFERROR(__xludf.DUMMYFUNCTION("""COMPUTED_VALUE"""),"GA10785-US")</f>
        <v>GA10785-US</v>
      </c>
      <c r="AJ104" s="187">
        <f>IFERROR(__xludf.DUMMYFUNCTION("""COMPUTED_VALUE"""),45793.0)</f>
        <v>45793</v>
      </c>
      <c r="AK104" s="187">
        <f>IFERROR(__xludf.DUMMYFUNCTION("""COMPUTED_VALUE"""),45801.0)</f>
        <v>45801</v>
      </c>
      <c r="AL104" s="182" t="b">
        <f>IFERROR(__xludf.DUMMYFUNCTION("""COMPUTED_VALUE"""),FALSE)</f>
        <v>0</v>
      </c>
      <c r="AM104" s="182" t="b">
        <f>IFERROR(__xludf.DUMMYFUNCTION("""COMPUTED_VALUE"""),FALSE)</f>
        <v>0</v>
      </c>
      <c r="AN104" s="187">
        <f>IFERROR(__xludf.DUMMYFUNCTION("""COMPUTED_VALUE"""),45801.0)</f>
        <v>45801</v>
      </c>
      <c r="AO104" s="182" t="b">
        <f>IFERROR(__xludf.DUMMYFUNCTION("""COMPUTED_VALUE"""),FALSE)</f>
        <v>0</v>
      </c>
      <c r="AP104" s="182" t="str">
        <f>IFERROR(__xludf.DUMMYFUNCTION("""COMPUTED_VALUE"""),"N")</f>
        <v>N</v>
      </c>
      <c r="AQ104" s="182"/>
      <c r="AR104" s="187">
        <f>IFERROR(__xludf.DUMMYFUNCTION("""COMPUTED_VALUE"""),45801.0)</f>
        <v>45801</v>
      </c>
      <c r="AS104" s="182" t="b">
        <f>IFERROR(__xludf.DUMMYFUNCTION("""COMPUTED_VALUE"""),FALSE)</f>
        <v>0</v>
      </c>
      <c r="AT104" s="182"/>
      <c r="AU104" s="182"/>
      <c r="AV104" s="187">
        <f>IFERROR(__xludf.DUMMYFUNCTION("""COMPUTED_VALUE"""),45801.0)</f>
        <v>45801</v>
      </c>
      <c r="AW104" s="182" t="b">
        <f>IFERROR(__xludf.DUMMYFUNCTION("""COMPUTED_VALUE"""),FALSE)</f>
        <v>0</v>
      </c>
      <c r="AX104" s="182"/>
      <c r="AY104" s="182"/>
      <c r="AZ104" s="187">
        <f>IFERROR(__xludf.DUMMYFUNCTION("""COMPUTED_VALUE"""),45827.0)</f>
        <v>45827</v>
      </c>
      <c r="BA104" s="182" t="b">
        <f>IFERROR(__xludf.DUMMYFUNCTION("""COMPUTED_VALUE"""),FALSE)</f>
        <v>0</v>
      </c>
      <c r="BB104" s="187">
        <f>IFERROR(__xludf.DUMMYFUNCTION("""COMPUTED_VALUE"""),45827.0)</f>
        <v>45827</v>
      </c>
    </row>
    <row r="105">
      <c r="A105" s="184" t="str">
        <f t="shared" si="1"/>
        <v>#VALUE!</v>
      </c>
      <c r="B105" s="69" t="str">
        <f t="shared" si="2"/>
        <v>#VALUE!</v>
      </c>
      <c r="C105" s="182" t="str">
        <f>IFERROR(__xludf.DUMMYFUNCTION("""COMPUTED_VALUE"""),"GSTORE")</f>
        <v>GSTORE</v>
      </c>
      <c r="D105" s="182" t="str">
        <f>IFERROR(__xludf.DUMMYFUNCTION("""COMPUTED_VALUE"""),"MP")</f>
        <v>MP</v>
      </c>
      <c r="E105" s="182" t="str">
        <f>IFERROR(__xludf.DUMMYFUNCTION("""COMPUTED_VALUE"""),"DEMO")</f>
        <v>DEMO</v>
      </c>
      <c r="F105" s="182" t="str">
        <f>IFERROR(__xludf.DUMMYFUNCTION("""COMPUTED_VALUE"""),"GA10788-US")</f>
        <v>GA10788-US</v>
      </c>
      <c r="G105" s="182" t="str">
        <f>IFERROR(__xludf.DUMMYFUNCTION("""COMPUTED_VALUE"""),"G4QUR")</f>
        <v>G4QUR</v>
      </c>
      <c r="H105" s="182">
        <f>IFERROR(__xludf.DUMMYFUNCTION("""COMPUTED_VALUE"""),8.4035393809E11)</f>
        <v>840353938090</v>
      </c>
      <c r="I105" s="185" t="str">
        <f>IFERROR(__xludf.DUMMYFUNCTION("""COMPUTED_VALUE"""),"0840353938090")</f>
        <v>0840353938090</v>
      </c>
      <c r="J105" s="182"/>
      <c r="K105" s="182" t="str">
        <f>IFERROR(__xludf.DUMMYFUNCTION("""COMPUTED_VALUE"""),"ROW Master Carton Label (UPC)")</f>
        <v>ROW Master Carton Label (UPC)</v>
      </c>
      <c r="L105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05" s="188" t="str">
        <f>IFERROR(__xludf.DUMMYFUNCTION("""COMPUTED_VALUE"""),"G990-08499-31-02")</f>
        <v>G990-08499-31-02</v>
      </c>
      <c r="N105" s="182"/>
      <c r="O105" s="188" t="str">
        <f>IFERROR(__xludf.DUMMYFUNCTION("""COMPUTED_VALUE"""),"G990-09737-00-01")</f>
        <v>G990-09737-00-01</v>
      </c>
      <c r="P105" s="182"/>
      <c r="Q105" s="182" t="str">
        <f>IFERROR(__xludf.DUMMYFUNCTION("""COMPUTED_VALUE"""),"128GB")</f>
        <v>128GB</v>
      </c>
      <c r="R105" s="182" t="str">
        <f>IFERROR(__xludf.DUMMYFUNCTION("""COMPUTED_VALUE"""),"Moonstone")</f>
        <v>Moonstone</v>
      </c>
      <c r="S105" s="182" t="str">
        <f>IFERROR(__xludf.DUMMYFUNCTION("""COMPUTED_VALUE"""),"Sterling")</f>
        <v>Sterling</v>
      </c>
      <c r="T105" s="182" t="str">
        <f>IFERROR(__xludf.DUMMYFUNCTION("""COMPUTED_VALUE"""),"US GStore")</f>
        <v>US GStore</v>
      </c>
      <c r="U105" s="182" t="str">
        <f>IFERROR(__xludf.DUMMYFUNCTION("""COMPUTED_VALUE"""),"SKU,CLR3, GOOD, MMWAVE, US GSTORE, DEMO, BZ5")</f>
        <v>SKU,CLR3, GOOD, MMWAVE, US GSTORE, DEMO, BZ5</v>
      </c>
      <c r="V105" s="182"/>
      <c r="W105" s="183" t="str">
        <f>IFERROR(__xludf.DUMMYFUNCTION("""COMPUTED_VALUE"""),"#NUM!")</f>
        <v>#NUM!</v>
      </c>
      <c r="X105" s="186">
        <f>IFERROR(__xludf.DUMMYFUNCTION("""COMPUTED_VALUE"""),45831.0)</f>
        <v>45831</v>
      </c>
      <c r="Y105" s="187">
        <f>IFERROR(__xludf.DUMMYFUNCTION("""COMPUTED_VALUE"""),45780.0)</f>
        <v>45780</v>
      </c>
      <c r="Z105" s="182" t="b">
        <f>IFERROR(__xludf.DUMMYFUNCTION("""COMPUTED_VALUE"""),FALSE)</f>
        <v>0</v>
      </c>
      <c r="AA105" s="187">
        <f>IFERROR(__xludf.DUMMYFUNCTION("""COMPUTED_VALUE"""),45780.0)</f>
        <v>45780</v>
      </c>
      <c r="AB105" s="182" t="b">
        <f>IFERROR(__xludf.DUMMYFUNCTION("""COMPUTED_VALUE"""),FALSE)</f>
        <v>0</v>
      </c>
      <c r="AC105" s="187">
        <f>IFERROR(__xludf.DUMMYFUNCTION("""COMPUTED_VALUE"""),45787.0)</f>
        <v>45787</v>
      </c>
      <c r="AD105" s="187">
        <f>IFERROR(__xludf.DUMMYFUNCTION("""COMPUTED_VALUE"""),45787.0)</f>
        <v>45787</v>
      </c>
      <c r="AE105" s="188" t="str">
        <f>IFERROR(__xludf.DUMMYFUNCTION("""COMPUTED_VALUE"""),"GA10788-US")</f>
        <v>GA10788-US</v>
      </c>
      <c r="AF105" s="182"/>
      <c r="AG105" s="188" t="str">
        <f>IFERROR(__xludf.DUMMYFUNCTION("""COMPUTED_VALUE"""),"GA10788-US")</f>
        <v>GA10788-US</v>
      </c>
      <c r="AH105" s="188" t="str">
        <f>IFERROR(__xludf.DUMMYFUNCTION("""COMPUTED_VALUE"""),"GA10788-US")</f>
        <v>GA10788-US</v>
      </c>
      <c r="AI105" s="188" t="str">
        <f>IFERROR(__xludf.DUMMYFUNCTION("""COMPUTED_VALUE"""),"GA10788-US")</f>
        <v>GA10788-US</v>
      </c>
      <c r="AJ105" s="187">
        <f>IFERROR(__xludf.DUMMYFUNCTION("""COMPUTED_VALUE"""),45793.0)</f>
        <v>45793</v>
      </c>
      <c r="AK105" s="187">
        <f>IFERROR(__xludf.DUMMYFUNCTION("""COMPUTED_VALUE"""),45801.0)</f>
        <v>45801</v>
      </c>
      <c r="AL105" s="182" t="b">
        <f>IFERROR(__xludf.DUMMYFUNCTION("""COMPUTED_VALUE"""),FALSE)</f>
        <v>0</v>
      </c>
      <c r="AM105" s="182" t="b">
        <f>IFERROR(__xludf.DUMMYFUNCTION("""COMPUTED_VALUE"""),FALSE)</f>
        <v>0</v>
      </c>
      <c r="AN105" s="187">
        <f>IFERROR(__xludf.DUMMYFUNCTION("""COMPUTED_VALUE"""),45801.0)</f>
        <v>45801</v>
      </c>
      <c r="AO105" s="182" t="b">
        <f>IFERROR(__xludf.DUMMYFUNCTION("""COMPUTED_VALUE"""),FALSE)</f>
        <v>0</v>
      </c>
      <c r="AP105" s="182" t="str">
        <f>IFERROR(__xludf.DUMMYFUNCTION("""COMPUTED_VALUE"""),"N")</f>
        <v>N</v>
      </c>
      <c r="AQ105" s="182"/>
      <c r="AR105" s="187">
        <f>IFERROR(__xludf.DUMMYFUNCTION("""COMPUTED_VALUE"""),45801.0)</f>
        <v>45801</v>
      </c>
      <c r="AS105" s="182" t="b">
        <f>IFERROR(__xludf.DUMMYFUNCTION("""COMPUTED_VALUE"""),FALSE)</f>
        <v>0</v>
      </c>
      <c r="AT105" s="182"/>
      <c r="AU105" s="182"/>
      <c r="AV105" s="187">
        <f>IFERROR(__xludf.DUMMYFUNCTION("""COMPUTED_VALUE"""),45801.0)</f>
        <v>45801</v>
      </c>
      <c r="AW105" s="182" t="b">
        <f>IFERROR(__xludf.DUMMYFUNCTION("""COMPUTED_VALUE"""),FALSE)</f>
        <v>0</v>
      </c>
      <c r="AX105" s="182"/>
      <c r="AY105" s="182"/>
      <c r="AZ105" s="187">
        <f>IFERROR(__xludf.DUMMYFUNCTION("""COMPUTED_VALUE"""),45827.0)</f>
        <v>45827</v>
      </c>
      <c r="BA105" s="182" t="b">
        <f>IFERROR(__xludf.DUMMYFUNCTION("""COMPUTED_VALUE"""),FALSE)</f>
        <v>0</v>
      </c>
      <c r="BB105" s="187">
        <f>IFERROR(__xludf.DUMMYFUNCTION("""COMPUTED_VALUE"""),45827.0)</f>
        <v>45827</v>
      </c>
    </row>
    <row r="106">
      <c r="A106" s="184" t="str">
        <f t="shared" si="1"/>
        <v>#VALUE!</v>
      </c>
      <c r="B106" s="69" t="str">
        <f t="shared" si="2"/>
        <v>#VALUE!</v>
      </c>
      <c r="C106" s="182" t="str">
        <f>IFERROR(__xludf.DUMMYFUNCTION("""COMPUTED_VALUE"""),"GSTORE")</f>
        <v>GSTORE</v>
      </c>
      <c r="D106" s="182" t="str">
        <f>IFERROR(__xludf.DUMMYFUNCTION("""COMPUTED_VALUE"""),"MP")</f>
        <v>MP</v>
      </c>
      <c r="E106" s="182" t="str">
        <f>IFERROR(__xludf.DUMMYFUNCTION("""COMPUTED_VALUE"""),"DEMO")</f>
        <v>DEMO</v>
      </c>
      <c r="F106" s="182" t="str">
        <f>IFERROR(__xludf.DUMMYFUNCTION("""COMPUTED_VALUE"""),"GA10791-US")</f>
        <v>GA10791-US</v>
      </c>
      <c r="G106" s="182" t="str">
        <f>IFERROR(__xludf.DUMMYFUNCTION("""COMPUTED_VALUE"""),"G4QUR")</f>
        <v>G4QUR</v>
      </c>
      <c r="H106" s="182">
        <f>IFERROR(__xludf.DUMMYFUNCTION("""COMPUTED_VALUE"""),8.40353938151E11)</f>
        <v>840353938151</v>
      </c>
      <c r="I106" s="185" t="str">
        <f>IFERROR(__xludf.DUMMYFUNCTION("""COMPUTED_VALUE"""),"0840353938151")</f>
        <v>0840353938151</v>
      </c>
      <c r="J106" s="182"/>
      <c r="K106" s="182" t="str">
        <f>IFERROR(__xludf.DUMMYFUNCTION("""COMPUTED_VALUE"""),"ROW Master Carton Label (UPC)")</f>
        <v>ROW Master Carton Label (UPC)</v>
      </c>
      <c r="L106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06" s="188" t="str">
        <f>IFERROR(__xludf.DUMMYFUNCTION("""COMPUTED_VALUE"""),"G990-08499-42-02")</f>
        <v>G990-08499-42-02</v>
      </c>
      <c r="N106" s="182"/>
      <c r="O106" s="188" t="str">
        <f>IFERROR(__xludf.DUMMYFUNCTION("""COMPUTED_VALUE"""),"G990-09737-00-01")</f>
        <v>G990-09737-00-01</v>
      </c>
      <c r="P106" s="182"/>
      <c r="Q106" s="182" t="str">
        <f>IFERROR(__xludf.DUMMYFUNCTION("""COMPUTED_VALUE"""),"256GB")</f>
        <v>256GB</v>
      </c>
      <c r="R106" s="182" t="str">
        <f>IFERROR(__xludf.DUMMYFUNCTION("""COMPUTED_VALUE"""),"Jade")</f>
        <v>Jade</v>
      </c>
      <c r="S106" s="182" t="str">
        <f>IFERROR(__xludf.DUMMYFUNCTION("""COMPUTED_VALUE"""),"Smokey Green")</f>
        <v>Smokey Green</v>
      </c>
      <c r="T106" s="182" t="str">
        <f>IFERROR(__xludf.DUMMYFUNCTION("""COMPUTED_VALUE"""),"US GStore")</f>
        <v>US GStore</v>
      </c>
      <c r="U106" s="182" t="str">
        <f>IFERROR(__xludf.DUMMYFUNCTION("""COMPUTED_VALUE"""),"SKU,CLR4, BETTER, MMWAVE, US GSTORE, DEMO, BZ5")</f>
        <v>SKU,CLR4, BETTER, MMWAVE, US GSTORE, DEMO, BZ5</v>
      </c>
      <c r="V106" s="182"/>
      <c r="W106" s="183" t="str">
        <f>IFERROR(__xludf.DUMMYFUNCTION("""COMPUTED_VALUE"""),"#NUM!")</f>
        <v>#NUM!</v>
      </c>
      <c r="X106" s="186">
        <f>IFERROR(__xludf.DUMMYFUNCTION("""COMPUTED_VALUE"""),45831.0)</f>
        <v>45831</v>
      </c>
      <c r="Y106" s="187">
        <f>IFERROR(__xludf.DUMMYFUNCTION("""COMPUTED_VALUE"""),45780.0)</f>
        <v>45780</v>
      </c>
      <c r="Z106" s="182" t="b">
        <f>IFERROR(__xludf.DUMMYFUNCTION("""COMPUTED_VALUE"""),FALSE)</f>
        <v>0</v>
      </c>
      <c r="AA106" s="187">
        <f>IFERROR(__xludf.DUMMYFUNCTION("""COMPUTED_VALUE"""),45780.0)</f>
        <v>45780</v>
      </c>
      <c r="AB106" s="182" t="b">
        <f>IFERROR(__xludf.DUMMYFUNCTION("""COMPUTED_VALUE"""),FALSE)</f>
        <v>0</v>
      </c>
      <c r="AC106" s="187">
        <f>IFERROR(__xludf.DUMMYFUNCTION("""COMPUTED_VALUE"""),45787.0)</f>
        <v>45787</v>
      </c>
      <c r="AD106" s="187">
        <f>IFERROR(__xludf.DUMMYFUNCTION("""COMPUTED_VALUE"""),45787.0)</f>
        <v>45787</v>
      </c>
      <c r="AE106" s="188" t="str">
        <f>IFERROR(__xludf.DUMMYFUNCTION("""COMPUTED_VALUE"""),"GA10791-US")</f>
        <v>GA10791-US</v>
      </c>
      <c r="AF106" s="182"/>
      <c r="AG106" s="188" t="str">
        <f>IFERROR(__xludf.DUMMYFUNCTION("""COMPUTED_VALUE"""),"GA10791-US")</f>
        <v>GA10791-US</v>
      </c>
      <c r="AH106" s="188" t="str">
        <f>IFERROR(__xludf.DUMMYFUNCTION("""COMPUTED_VALUE"""),"GA10791-US")</f>
        <v>GA10791-US</v>
      </c>
      <c r="AI106" s="188" t="str">
        <f>IFERROR(__xludf.DUMMYFUNCTION("""COMPUTED_VALUE"""),"GA10791-US")</f>
        <v>GA10791-US</v>
      </c>
      <c r="AJ106" s="187">
        <f>IFERROR(__xludf.DUMMYFUNCTION("""COMPUTED_VALUE"""),45793.0)</f>
        <v>45793</v>
      </c>
      <c r="AK106" s="187">
        <f>IFERROR(__xludf.DUMMYFUNCTION("""COMPUTED_VALUE"""),45801.0)</f>
        <v>45801</v>
      </c>
      <c r="AL106" s="182" t="b">
        <f>IFERROR(__xludf.DUMMYFUNCTION("""COMPUTED_VALUE"""),FALSE)</f>
        <v>0</v>
      </c>
      <c r="AM106" s="182" t="b">
        <f>IFERROR(__xludf.DUMMYFUNCTION("""COMPUTED_VALUE"""),FALSE)</f>
        <v>0</v>
      </c>
      <c r="AN106" s="187">
        <f>IFERROR(__xludf.DUMMYFUNCTION("""COMPUTED_VALUE"""),45801.0)</f>
        <v>45801</v>
      </c>
      <c r="AO106" s="182" t="b">
        <f>IFERROR(__xludf.DUMMYFUNCTION("""COMPUTED_VALUE"""),FALSE)</f>
        <v>0</v>
      </c>
      <c r="AP106" s="182" t="str">
        <f>IFERROR(__xludf.DUMMYFUNCTION("""COMPUTED_VALUE"""),"N")</f>
        <v>N</v>
      </c>
      <c r="AQ106" s="182"/>
      <c r="AR106" s="187">
        <f>IFERROR(__xludf.DUMMYFUNCTION("""COMPUTED_VALUE"""),45801.0)</f>
        <v>45801</v>
      </c>
      <c r="AS106" s="182" t="b">
        <f>IFERROR(__xludf.DUMMYFUNCTION("""COMPUTED_VALUE"""),FALSE)</f>
        <v>0</v>
      </c>
      <c r="AT106" s="182"/>
      <c r="AU106" s="182"/>
      <c r="AV106" s="187">
        <f>IFERROR(__xludf.DUMMYFUNCTION("""COMPUTED_VALUE"""),45801.0)</f>
        <v>45801</v>
      </c>
      <c r="AW106" s="182" t="b">
        <f>IFERROR(__xludf.DUMMYFUNCTION("""COMPUTED_VALUE"""),FALSE)</f>
        <v>0</v>
      </c>
      <c r="AX106" s="182"/>
      <c r="AY106" s="182"/>
      <c r="AZ106" s="187">
        <f>IFERROR(__xludf.DUMMYFUNCTION("""COMPUTED_VALUE"""),45827.0)</f>
        <v>45827</v>
      </c>
      <c r="BA106" s="182" t="b">
        <f>IFERROR(__xludf.DUMMYFUNCTION("""COMPUTED_VALUE"""),FALSE)</f>
        <v>0</v>
      </c>
      <c r="BB106" s="187">
        <f>IFERROR(__xludf.DUMMYFUNCTION("""COMPUTED_VALUE"""),45827.0)</f>
        <v>45827</v>
      </c>
    </row>
    <row r="107">
      <c r="A107" s="184" t="str">
        <f t="shared" si="1"/>
        <v>#VALUE!</v>
      </c>
      <c r="B107" s="69" t="str">
        <f t="shared" si="2"/>
        <v>#VALUE!</v>
      </c>
      <c r="C107" s="182" t="str">
        <f>IFERROR(__xludf.DUMMYFUNCTION("""COMPUTED_VALUE"""),"JP")</f>
        <v>JP</v>
      </c>
      <c r="D107" s="182" t="str">
        <f>IFERROR(__xludf.DUMMYFUNCTION("""COMPUTED_VALUE"""),"MP")</f>
        <v>MP</v>
      </c>
      <c r="E107" s="182" t="str">
        <f>IFERROR(__xludf.DUMMYFUNCTION("""COMPUTED_VALUE"""),"DEMO")</f>
        <v>DEMO</v>
      </c>
      <c r="F107" s="182" t="str">
        <f>IFERROR(__xludf.DUMMYFUNCTION("""COMPUTED_VALUE"""),"GA10782-JP")</f>
        <v>GA10782-JP</v>
      </c>
      <c r="G107" s="182" t="str">
        <f>IFERROR(__xludf.DUMMYFUNCTION("""COMPUTED_VALUE"""),"GN4F5")</f>
        <v>GN4F5</v>
      </c>
      <c r="H107" s="182">
        <f>IFERROR(__xludf.DUMMYFUNCTION("""COMPUTED_VALUE"""),8.40353937949E11)</f>
        <v>840353937949</v>
      </c>
      <c r="I107" s="185" t="str">
        <f>IFERROR(__xludf.DUMMYFUNCTION("""COMPUTED_VALUE"""),"0840353937949")</f>
        <v>0840353937949</v>
      </c>
      <c r="J107" s="182"/>
      <c r="K107" s="182" t="str">
        <f>IFERROR(__xludf.DUMMYFUNCTION("""COMPUTED_VALUE"""),"ROW Master Carton Label (UPC)")</f>
        <v>ROW Master Carton Label (UPC)</v>
      </c>
      <c r="L107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07" s="188" t="str">
        <f>IFERROR(__xludf.DUMMYFUNCTION("""COMPUTED_VALUE"""),"G990-08529-11-02")</f>
        <v>G990-08529-11-02</v>
      </c>
      <c r="N107" s="182"/>
      <c r="O107" s="188" t="str">
        <f>IFERROR(__xludf.DUMMYFUNCTION("""COMPUTED_VALUE"""),"G990-09739-00-01")</f>
        <v>G990-09739-00-01</v>
      </c>
      <c r="P107" s="182"/>
      <c r="Q107" s="182" t="str">
        <f>IFERROR(__xludf.DUMMYFUNCTION("""COMPUTED_VALUE"""),"128GB")</f>
        <v>128GB</v>
      </c>
      <c r="R107" s="182" t="str">
        <f>IFERROR(__xludf.DUMMYFUNCTION("""COMPUTED_VALUE"""),"Obsidian")</f>
        <v>Obsidian</v>
      </c>
      <c r="S107" s="182" t="str">
        <f>IFERROR(__xludf.DUMMYFUNCTION("""COMPUTED_VALUE"""),"Midnight")</f>
        <v>Midnight</v>
      </c>
      <c r="T107" s="182" t="str">
        <f>IFERROR(__xludf.DUMMYFUNCTION("""COMPUTED_VALUE"""),"JP")</f>
        <v>JP</v>
      </c>
      <c r="U107" s="182" t="str">
        <f>IFERROR(__xludf.DUMMYFUNCTION("""COMPUTED_VALUE"""),"SKU,CLR1, GOOD, SUB6, JP, DEMO, BZ5")</f>
        <v>SKU,CLR1, GOOD, SUB6, JP, DEMO, BZ5</v>
      </c>
      <c r="V107" s="182"/>
      <c r="W107" s="183" t="str">
        <f>IFERROR(__xludf.DUMMYFUNCTION("""COMPUTED_VALUE"""),"#NUM!")</f>
        <v>#NUM!</v>
      </c>
      <c r="X107" s="186">
        <f>IFERROR(__xludf.DUMMYFUNCTION("""COMPUTED_VALUE"""),45831.0)</f>
        <v>45831</v>
      </c>
      <c r="Y107" s="187">
        <f>IFERROR(__xludf.DUMMYFUNCTION("""COMPUTED_VALUE"""),45780.0)</f>
        <v>45780</v>
      </c>
      <c r="Z107" s="182" t="b">
        <f>IFERROR(__xludf.DUMMYFUNCTION("""COMPUTED_VALUE"""),FALSE)</f>
        <v>0</v>
      </c>
      <c r="AA107" s="187">
        <f>IFERROR(__xludf.DUMMYFUNCTION("""COMPUTED_VALUE"""),45780.0)</f>
        <v>45780</v>
      </c>
      <c r="AB107" s="182" t="b">
        <f>IFERROR(__xludf.DUMMYFUNCTION("""COMPUTED_VALUE"""),FALSE)</f>
        <v>0</v>
      </c>
      <c r="AC107" s="187">
        <f>IFERROR(__xludf.DUMMYFUNCTION("""COMPUTED_VALUE"""),45787.0)</f>
        <v>45787</v>
      </c>
      <c r="AD107" s="187">
        <f>IFERROR(__xludf.DUMMYFUNCTION("""COMPUTED_VALUE"""),45787.0)</f>
        <v>45787</v>
      </c>
      <c r="AE107" s="188" t="str">
        <f>IFERROR(__xludf.DUMMYFUNCTION("""COMPUTED_VALUE"""),"GA10782-JP")</f>
        <v>GA10782-JP</v>
      </c>
      <c r="AF107" s="182"/>
      <c r="AG107" s="188" t="str">
        <f>IFERROR(__xludf.DUMMYFUNCTION("""COMPUTED_VALUE"""),"GA10782-JP")</f>
        <v>GA10782-JP</v>
      </c>
      <c r="AH107" s="188" t="str">
        <f>IFERROR(__xludf.DUMMYFUNCTION("""COMPUTED_VALUE"""),"GA10782-JP")</f>
        <v>GA10782-JP</v>
      </c>
      <c r="AI107" s="188" t="str">
        <f>IFERROR(__xludf.DUMMYFUNCTION("""COMPUTED_VALUE"""),"GA10782-JP")</f>
        <v>GA10782-JP</v>
      </c>
      <c r="AJ107" s="187">
        <f>IFERROR(__xludf.DUMMYFUNCTION("""COMPUTED_VALUE"""),45793.0)</f>
        <v>45793</v>
      </c>
      <c r="AK107" s="187">
        <f>IFERROR(__xludf.DUMMYFUNCTION("""COMPUTED_VALUE"""),45801.0)</f>
        <v>45801</v>
      </c>
      <c r="AL107" s="182" t="b">
        <f>IFERROR(__xludf.DUMMYFUNCTION("""COMPUTED_VALUE"""),FALSE)</f>
        <v>0</v>
      </c>
      <c r="AM107" s="182" t="b">
        <f>IFERROR(__xludf.DUMMYFUNCTION("""COMPUTED_VALUE"""),FALSE)</f>
        <v>0</v>
      </c>
      <c r="AN107" s="187">
        <f>IFERROR(__xludf.DUMMYFUNCTION("""COMPUTED_VALUE"""),45801.0)</f>
        <v>45801</v>
      </c>
      <c r="AO107" s="182" t="b">
        <f>IFERROR(__xludf.DUMMYFUNCTION("""COMPUTED_VALUE"""),FALSE)</f>
        <v>0</v>
      </c>
      <c r="AP107" s="182" t="str">
        <f>IFERROR(__xludf.DUMMYFUNCTION("""COMPUTED_VALUE"""),"Y")</f>
        <v>Y</v>
      </c>
      <c r="AQ107" s="182"/>
      <c r="AR107" s="187">
        <f>IFERROR(__xludf.DUMMYFUNCTION("""COMPUTED_VALUE"""),45801.0)</f>
        <v>45801</v>
      </c>
      <c r="AS107" s="182" t="b">
        <f>IFERROR(__xludf.DUMMYFUNCTION("""COMPUTED_VALUE"""),FALSE)</f>
        <v>0</v>
      </c>
      <c r="AT107" s="182"/>
      <c r="AU107" s="182"/>
      <c r="AV107" s="187">
        <f>IFERROR(__xludf.DUMMYFUNCTION("""COMPUTED_VALUE"""),45801.0)</f>
        <v>45801</v>
      </c>
      <c r="AW107" s="182" t="b">
        <f>IFERROR(__xludf.DUMMYFUNCTION("""COMPUTED_VALUE"""),FALSE)</f>
        <v>0</v>
      </c>
      <c r="AX107" s="182"/>
      <c r="AY107" s="182"/>
      <c r="AZ107" s="187">
        <f>IFERROR(__xludf.DUMMYFUNCTION("""COMPUTED_VALUE"""),45827.0)</f>
        <v>45827</v>
      </c>
      <c r="BA107" s="182" t="b">
        <f>IFERROR(__xludf.DUMMYFUNCTION("""COMPUTED_VALUE"""),FALSE)</f>
        <v>0</v>
      </c>
      <c r="BB107" s="187">
        <f>IFERROR(__xludf.DUMMYFUNCTION("""COMPUTED_VALUE"""),45827.0)</f>
        <v>45827</v>
      </c>
    </row>
    <row r="108">
      <c r="A108" s="184" t="str">
        <f t="shared" si="1"/>
        <v>#VALUE!</v>
      </c>
      <c r="B108" s="69" t="str">
        <f t="shared" si="2"/>
        <v>#VALUE!</v>
      </c>
      <c r="C108" s="182" t="str">
        <f>IFERROR(__xludf.DUMMYFUNCTION("""COMPUTED_VALUE"""),"JP")</f>
        <v>JP</v>
      </c>
      <c r="D108" s="182" t="str">
        <f>IFERROR(__xludf.DUMMYFUNCTION("""COMPUTED_VALUE"""),"MP")</f>
        <v>MP</v>
      </c>
      <c r="E108" s="182" t="str">
        <f>IFERROR(__xludf.DUMMYFUNCTION("""COMPUTED_VALUE"""),"DEMO")</f>
        <v>DEMO</v>
      </c>
      <c r="F108" s="182" t="str">
        <f>IFERROR(__xludf.DUMMYFUNCTION("""COMPUTED_VALUE"""),"GA10785-JP")</f>
        <v>GA10785-JP</v>
      </c>
      <c r="G108" s="182" t="str">
        <f>IFERROR(__xludf.DUMMYFUNCTION("""COMPUTED_VALUE"""),"GN4F5")</f>
        <v>GN4F5</v>
      </c>
      <c r="H108" s="182">
        <f>IFERROR(__xludf.DUMMYFUNCTION("""COMPUTED_VALUE"""),8.40353938045E11)</f>
        <v>840353938045</v>
      </c>
      <c r="I108" s="185" t="str">
        <f>IFERROR(__xludf.DUMMYFUNCTION("""COMPUTED_VALUE"""),"0840353938045")</f>
        <v>0840353938045</v>
      </c>
      <c r="J108" s="182"/>
      <c r="K108" s="182" t="str">
        <f>IFERROR(__xludf.DUMMYFUNCTION("""COMPUTED_VALUE"""),"ROW Master Carton Label (UPC)")</f>
        <v>ROW Master Carton Label (UPC)</v>
      </c>
      <c r="L108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08" s="188" t="str">
        <f>IFERROR(__xludf.DUMMYFUNCTION("""COMPUTED_VALUE"""),"G990-08529-21-02")</f>
        <v>G990-08529-21-02</v>
      </c>
      <c r="N108" s="182"/>
      <c r="O108" s="188" t="str">
        <f>IFERROR(__xludf.DUMMYFUNCTION("""COMPUTED_VALUE"""),"G990-09739-00-01")</f>
        <v>G990-09739-00-01</v>
      </c>
      <c r="P108" s="182"/>
      <c r="Q108" s="182" t="str">
        <f>IFERROR(__xludf.DUMMYFUNCTION("""COMPUTED_VALUE"""),"128GB")</f>
        <v>128GB</v>
      </c>
      <c r="R108" s="182" t="str">
        <f>IFERROR(__xludf.DUMMYFUNCTION("""COMPUTED_VALUE"""),"Porcelain")</f>
        <v>Porcelain</v>
      </c>
      <c r="S108" s="182" t="str">
        <f>IFERROR(__xludf.DUMMYFUNCTION("""COMPUTED_VALUE"""),"Light Porcelain")</f>
        <v>Light Porcelain</v>
      </c>
      <c r="T108" s="182" t="str">
        <f>IFERROR(__xludf.DUMMYFUNCTION("""COMPUTED_VALUE"""),"JP")</f>
        <v>JP</v>
      </c>
      <c r="U108" s="182" t="str">
        <f>IFERROR(__xludf.DUMMYFUNCTION("""COMPUTED_VALUE"""),"SKU,CLR2, GOOD, SUB6, JP, DEMO, BZ5")</f>
        <v>SKU,CLR2, GOOD, SUB6, JP, DEMO, BZ5</v>
      </c>
      <c r="V108" s="182"/>
      <c r="W108" s="183" t="str">
        <f>IFERROR(__xludf.DUMMYFUNCTION("""COMPUTED_VALUE"""),"#NUM!")</f>
        <v>#NUM!</v>
      </c>
      <c r="X108" s="186">
        <f>IFERROR(__xludf.DUMMYFUNCTION("""COMPUTED_VALUE"""),45831.0)</f>
        <v>45831</v>
      </c>
      <c r="Y108" s="187">
        <f>IFERROR(__xludf.DUMMYFUNCTION("""COMPUTED_VALUE"""),45780.0)</f>
        <v>45780</v>
      </c>
      <c r="Z108" s="182" t="b">
        <f>IFERROR(__xludf.DUMMYFUNCTION("""COMPUTED_VALUE"""),FALSE)</f>
        <v>0</v>
      </c>
      <c r="AA108" s="187">
        <f>IFERROR(__xludf.DUMMYFUNCTION("""COMPUTED_VALUE"""),45780.0)</f>
        <v>45780</v>
      </c>
      <c r="AB108" s="182" t="b">
        <f>IFERROR(__xludf.DUMMYFUNCTION("""COMPUTED_VALUE"""),FALSE)</f>
        <v>0</v>
      </c>
      <c r="AC108" s="187">
        <f>IFERROR(__xludf.DUMMYFUNCTION("""COMPUTED_VALUE"""),45787.0)</f>
        <v>45787</v>
      </c>
      <c r="AD108" s="187">
        <f>IFERROR(__xludf.DUMMYFUNCTION("""COMPUTED_VALUE"""),45787.0)</f>
        <v>45787</v>
      </c>
      <c r="AE108" s="188" t="str">
        <f>IFERROR(__xludf.DUMMYFUNCTION("""COMPUTED_VALUE"""),"GA10785-JP")</f>
        <v>GA10785-JP</v>
      </c>
      <c r="AF108" s="182"/>
      <c r="AG108" s="188" t="str">
        <f>IFERROR(__xludf.DUMMYFUNCTION("""COMPUTED_VALUE"""),"GA10785-JP")</f>
        <v>GA10785-JP</v>
      </c>
      <c r="AH108" s="188" t="str">
        <f>IFERROR(__xludf.DUMMYFUNCTION("""COMPUTED_VALUE"""),"GA10785-JP")</f>
        <v>GA10785-JP</v>
      </c>
      <c r="AI108" s="188" t="str">
        <f>IFERROR(__xludf.DUMMYFUNCTION("""COMPUTED_VALUE"""),"GA10785-JP")</f>
        <v>GA10785-JP</v>
      </c>
      <c r="AJ108" s="187">
        <f>IFERROR(__xludf.DUMMYFUNCTION("""COMPUTED_VALUE"""),45793.0)</f>
        <v>45793</v>
      </c>
      <c r="AK108" s="187">
        <f>IFERROR(__xludf.DUMMYFUNCTION("""COMPUTED_VALUE"""),45801.0)</f>
        <v>45801</v>
      </c>
      <c r="AL108" s="182" t="b">
        <f>IFERROR(__xludf.DUMMYFUNCTION("""COMPUTED_VALUE"""),FALSE)</f>
        <v>0</v>
      </c>
      <c r="AM108" s="182" t="b">
        <f>IFERROR(__xludf.DUMMYFUNCTION("""COMPUTED_VALUE"""),FALSE)</f>
        <v>0</v>
      </c>
      <c r="AN108" s="187">
        <f>IFERROR(__xludf.DUMMYFUNCTION("""COMPUTED_VALUE"""),45801.0)</f>
        <v>45801</v>
      </c>
      <c r="AO108" s="182" t="b">
        <f>IFERROR(__xludf.DUMMYFUNCTION("""COMPUTED_VALUE"""),FALSE)</f>
        <v>0</v>
      </c>
      <c r="AP108" s="182" t="str">
        <f>IFERROR(__xludf.DUMMYFUNCTION("""COMPUTED_VALUE"""),"N")</f>
        <v>N</v>
      </c>
      <c r="AQ108" s="182"/>
      <c r="AR108" s="187">
        <f>IFERROR(__xludf.DUMMYFUNCTION("""COMPUTED_VALUE"""),45801.0)</f>
        <v>45801</v>
      </c>
      <c r="AS108" s="182" t="b">
        <f>IFERROR(__xludf.DUMMYFUNCTION("""COMPUTED_VALUE"""),FALSE)</f>
        <v>0</v>
      </c>
      <c r="AT108" s="182"/>
      <c r="AU108" s="182"/>
      <c r="AV108" s="187">
        <f>IFERROR(__xludf.DUMMYFUNCTION("""COMPUTED_VALUE"""),45801.0)</f>
        <v>45801</v>
      </c>
      <c r="AW108" s="182" t="b">
        <f>IFERROR(__xludf.DUMMYFUNCTION("""COMPUTED_VALUE"""),FALSE)</f>
        <v>0</v>
      </c>
      <c r="AX108" s="182"/>
      <c r="AY108" s="182"/>
      <c r="AZ108" s="187">
        <f>IFERROR(__xludf.DUMMYFUNCTION("""COMPUTED_VALUE"""),45827.0)</f>
        <v>45827</v>
      </c>
      <c r="BA108" s="182" t="b">
        <f>IFERROR(__xludf.DUMMYFUNCTION("""COMPUTED_VALUE"""),FALSE)</f>
        <v>0</v>
      </c>
      <c r="BB108" s="187">
        <f>IFERROR(__xludf.DUMMYFUNCTION("""COMPUTED_VALUE"""),45827.0)</f>
        <v>45827</v>
      </c>
    </row>
    <row r="109">
      <c r="A109" s="184" t="str">
        <f t="shared" si="1"/>
        <v>#VALUE!</v>
      </c>
      <c r="B109" s="69" t="str">
        <f t="shared" si="2"/>
        <v>#VALUE!</v>
      </c>
      <c r="C109" s="182" t="str">
        <f>IFERROR(__xludf.DUMMYFUNCTION("""COMPUTED_VALUE"""),"JP")</f>
        <v>JP</v>
      </c>
      <c r="D109" s="182" t="str">
        <f>IFERROR(__xludf.DUMMYFUNCTION("""COMPUTED_VALUE"""),"MP")</f>
        <v>MP</v>
      </c>
      <c r="E109" s="182" t="str">
        <f>IFERROR(__xludf.DUMMYFUNCTION("""COMPUTED_VALUE"""),"DEMO")</f>
        <v>DEMO</v>
      </c>
      <c r="F109" s="182" t="str">
        <f>IFERROR(__xludf.DUMMYFUNCTION("""COMPUTED_VALUE"""),"GA10788-JP")</f>
        <v>GA10788-JP</v>
      </c>
      <c r="G109" s="182" t="str">
        <f>IFERROR(__xludf.DUMMYFUNCTION("""COMPUTED_VALUE"""),"GN4F5")</f>
        <v>GN4F5</v>
      </c>
      <c r="H109" s="182">
        <f>IFERROR(__xludf.DUMMYFUNCTION("""COMPUTED_VALUE"""),8.40353938106E11)</f>
        <v>840353938106</v>
      </c>
      <c r="I109" s="185" t="str">
        <f>IFERROR(__xludf.DUMMYFUNCTION("""COMPUTED_VALUE"""),"0840353938106")</f>
        <v>0840353938106</v>
      </c>
      <c r="J109" s="182"/>
      <c r="K109" s="182" t="str">
        <f>IFERROR(__xludf.DUMMYFUNCTION("""COMPUTED_VALUE"""),"ROW Master Carton Label (UPC)")</f>
        <v>ROW Master Carton Label (UPC)</v>
      </c>
      <c r="L109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09" s="188" t="str">
        <f>IFERROR(__xludf.DUMMYFUNCTION("""COMPUTED_VALUE"""),"G990-08529-31-02")</f>
        <v>G990-08529-31-02</v>
      </c>
      <c r="N109" s="182"/>
      <c r="O109" s="188" t="str">
        <f>IFERROR(__xludf.DUMMYFUNCTION("""COMPUTED_VALUE"""),"G990-09739-00-01")</f>
        <v>G990-09739-00-01</v>
      </c>
      <c r="P109" s="182"/>
      <c r="Q109" s="182" t="str">
        <f>IFERROR(__xludf.DUMMYFUNCTION("""COMPUTED_VALUE"""),"128GB")</f>
        <v>128GB</v>
      </c>
      <c r="R109" s="182" t="str">
        <f>IFERROR(__xludf.DUMMYFUNCTION("""COMPUTED_VALUE"""),"Moonstone")</f>
        <v>Moonstone</v>
      </c>
      <c r="S109" s="182" t="str">
        <f>IFERROR(__xludf.DUMMYFUNCTION("""COMPUTED_VALUE"""),"Sterling")</f>
        <v>Sterling</v>
      </c>
      <c r="T109" s="182" t="str">
        <f>IFERROR(__xludf.DUMMYFUNCTION("""COMPUTED_VALUE"""),"JP")</f>
        <v>JP</v>
      </c>
      <c r="U109" s="182" t="str">
        <f>IFERROR(__xludf.DUMMYFUNCTION("""COMPUTED_VALUE"""),"SKU,CLR3, GOOD, SUB6, JP, DEMO, BZ5")</f>
        <v>SKU,CLR3, GOOD, SUB6, JP, DEMO, BZ5</v>
      </c>
      <c r="V109" s="182"/>
      <c r="W109" s="183" t="str">
        <f>IFERROR(__xludf.DUMMYFUNCTION("""COMPUTED_VALUE"""),"#NUM!")</f>
        <v>#NUM!</v>
      </c>
      <c r="X109" s="186">
        <f>IFERROR(__xludf.DUMMYFUNCTION("""COMPUTED_VALUE"""),45831.0)</f>
        <v>45831</v>
      </c>
      <c r="Y109" s="187">
        <f>IFERROR(__xludf.DUMMYFUNCTION("""COMPUTED_VALUE"""),45780.0)</f>
        <v>45780</v>
      </c>
      <c r="Z109" s="182" t="b">
        <f>IFERROR(__xludf.DUMMYFUNCTION("""COMPUTED_VALUE"""),FALSE)</f>
        <v>0</v>
      </c>
      <c r="AA109" s="187">
        <f>IFERROR(__xludf.DUMMYFUNCTION("""COMPUTED_VALUE"""),45780.0)</f>
        <v>45780</v>
      </c>
      <c r="AB109" s="182" t="b">
        <f>IFERROR(__xludf.DUMMYFUNCTION("""COMPUTED_VALUE"""),FALSE)</f>
        <v>0</v>
      </c>
      <c r="AC109" s="187">
        <f>IFERROR(__xludf.DUMMYFUNCTION("""COMPUTED_VALUE"""),45787.0)</f>
        <v>45787</v>
      </c>
      <c r="AD109" s="187">
        <f>IFERROR(__xludf.DUMMYFUNCTION("""COMPUTED_VALUE"""),45787.0)</f>
        <v>45787</v>
      </c>
      <c r="AE109" s="188" t="str">
        <f>IFERROR(__xludf.DUMMYFUNCTION("""COMPUTED_VALUE"""),"GA10788-JP")</f>
        <v>GA10788-JP</v>
      </c>
      <c r="AF109" s="182"/>
      <c r="AG109" s="188" t="str">
        <f>IFERROR(__xludf.DUMMYFUNCTION("""COMPUTED_VALUE"""),"GA10788-JP")</f>
        <v>GA10788-JP</v>
      </c>
      <c r="AH109" s="188" t="str">
        <f>IFERROR(__xludf.DUMMYFUNCTION("""COMPUTED_VALUE"""),"GA10788-JP")</f>
        <v>GA10788-JP</v>
      </c>
      <c r="AI109" s="188" t="str">
        <f>IFERROR(__xludf.DUMMYFUNCTION("""COMPUTED_VALUE"""),"GA10788-JP")</f>
        <v>GA10788-JP</v>
      </c>
      <c r="AJ109" s="187">
        <f>IFERROR(__xludf.DUMMYFUNCTION("""COMPUTED_VALUE"""),45793.0)</f>
        <v>45793</v>
      </c>
      <c r="AK109" s="187">
        <f>IFERROR(__xludf.DUMMYFUNCTION("""COMPUTED_VALUE"""),45801.0)</f>
        <v>45801</v>
      </c>
      <c r="AL109" s="182" t="b">
        <f>IFERROR(__xludf.DUMMYFUNCTION("""COMPUTED_VALUE"""),FALSE)</f>
        <v>0</v>
      </c>
      <c r="AM109" s="182" t="b">
        <f>IFERROR(__xludf.DUMMYFUNCTION("""COMPUTED_VALUE"""),FALSE)</f>
        <v>0</v>
      </c>
      <c r="AN109" s="187">
        <f>IFERROR(__xludf.DUMMYFUNCTION("""COMPUTED_VALUE"""),45801.0)</f>
        <v>45801</v>
      </c>
      <c r="AO109" s="182" t="b">
        <f>IFERROR(__xludf.DUMMYFUNCTION("""COMPUTED_VALUE"""),FALSE)</f>
        <v>0</v>
      </c>
      <c r="AP109" s="182" t="str">
        <f>IFERROR(__xludf.DUMMYFUNCTION("""COMPUTED_VALUE"""),"N")</f>
        <v>N</v>
      </c>
      <c r="AQ109" s="182"/>
      <c r="AR109" s="187">
        <f>IFERROR(__xludf.DUMMYFUNCTION("""COMPUTED_VALUE"""),45801.0)</f>
        <v>45801</v>
      </c>
      <c r="AS109" s="182" t="b">
        <f>IFERROR(__xludf.DUMMYFUNCTION("""COMPUTED_VALUE"""),FALSE)</f>
        <v>0</v>
      </c>
      <c r="AT109" s="182"/>
      <c r="AU109" s="182"/>
      <c r="AV109" s="187">
        <f>IFERROR(__xludf.DUMMYFUNCTION("""COMPUTED_VALUE"""),45801.0)</f>
        <v>45801</v>
      </c>
      <c r="AW109" s="182" t="b">
        <f>IFERROR(__xludf.DUMMYFUNCTION("""COMPUTED_VALUE"""),FALSE)</f>
        <v>0</v>
      </c>
      <c r="AX109" s="182"/>
      <c r="AY109" s="182"/>
      <c r="AZ109" s="187">
        <f>IFERROR(__xludf.DUMMYFUNCTION("""COMPUTED_VALUE"""),45827.0)</f>
        <v>45827</v>
      </c>
      <c r="BA109" s="182" t="b">
        <f>IFERROR(__xludf.DUMMYFUNCTION("""COMPUTED_VALUE"""),FALSE)</f>
        <v>0</v>
      </c>
      <c r="BB109" s="187">
        <f>IFERROR(__xludf.DUMMYFUNCTION("""COMPUTED_VALUE"""),45827.0)</f>
        <v>45827</v>
      </c>
    </row>
    <row r="110">
      <c r="A110" s="184" t="str">
        <f t="shared" si="1"/>
        <v>#VALUE!</v>
      </c>
      <c r="B110" s="69" t="str">
        <f t="shared" si="2"/>
        <v>#VALUE!</v>
      </c>
      <c r="C110" s="182" t="str">
        <f>IFERROR(__xludf.DUMMYFUNCTION("""COMPUTED_VALUE"""),"JP")</f>
        <v>JP</v>
      </c>
      <c r="D110" s="182" t="str">
        <f>IFERROR(__xludf.DUMMYFUNCTION("""COMPUTED_VALUE"""),"MP")</f>
        <v>MP</v>
      </c>
      <c r="E110" s="182" t="str">
        <f>IFERROR(__xludf.DUMMYFUNCTION("""COMPUTED_VALUE"""),"DEMO")</f>
        <v>DEMO</v>
      </c>
      <c r="F110" s="182" t="str">
        <f>IFERROR(__xludf.DUMMYFUNCTION("""COMPUTED_VALUE"""),"GA10791-JP")</f>
        <v>GA10791-JP</v>
      </c>
      <c r="G110" s="182" t="str">
        <f>IFERROR(__xludf.DUMMYFUNCTION("""COMPUTED_VALUE"""),"GN4F5")</f>
        <v>GN4F5</v>
      </c>
      <c r="H110" s="182">
        <f>IFERROR(__xludf.DUMMYFUNCTION("""COMPUTED_VALUE"""),8.40353938168E11)</f>
        <v>840353938168</v>
      </c>
      <c r="I110" s="185" t="str">
        <f>IFERROR(__xludf.DUMMYFUNCTION("""COMPUTED_VALUE"""),"0840353938168")</f>
        <v>0840353938168</v>
      </c>
      <c r="J110" s="182"/>
      <c r="K110" s="182" t="str">
        <f>IFERROR(__xludf.DUMMYFUNCTION("""COMPUTED_VALUE"""),"ROW Master Carton Label (UPC)")</f>
        <v>ROW Master Carton Label (UPC)</v>
      </c>
      <c r="L110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10" s="188" t="str">
        <f>IFERROR(__xludf.DUMMYFUNCTION("""COMPUTED_VALUE"""),"G990-08529-42-02")</f>
        <v>G990-08529-42-02</v>
      </c>
      <c r="N110" s="182"/>
      <c r="O110" s="188" t="str">
        <f>IFERROR(__xludf.DUMMYFUNCTION("""COMPUTED_VALUE"""),"G990-09739-00-01")</f>
        <v>G990-09739-00-01</v>
      </c>
      <c r="P110" s="182"/>
      <c r="Q110" s="182" t="str">
        <f>IFERROR(__xludf.DUMMYFUNCTION("""COMPUTED_VALUE"""),"256GB")</f>
        <v>256GB</v>
      </c>
      <c r="R110" s="182" t="str">
        <f>IFERROR(__xludf.DUMMYFUNCTION("""COMPUTED_VALUE"""),"Jade")</f>
        <v>Jade</v>
      </c>
      <c r="S110" s="182" t="str">
        <f>IFERROR(__xludf.DUMMYFUNCTION("""COMPUTED_VALUE"""),"Smokey Green")</f>
        <v>Smokey Green</v>
      </c>
      <c r="T110" s="182" t="str">
        <f>IFERROR(__xludf.DUMMYFUNCTION("""COMPUTED_VALUE"""),"JP")</f>
        <v>JP</v>
      </c>
      <c r="U110" s="182" t="str">
        <f>IFERROR(__xludf.DUMMYFUNCTION("""COMPUTED_VALUE"""),"SKU,CLR4, BETTER, SUB6, JP, DEMO, BZ5")</f>
        <v>SKU,CLR4, BETTER, SUB6, JP, DEMO, BZ5</v>
      </c>
      <c r="V110" s="182"/>
      <c r="W110" s="183" t="str">
        <f>IFERROR(__xludf.DUMMYFUNCTION("""COMPUTED_VALUE"""),"#NUM!")</f>
        <v>#NUM!</v>
      </c>
      <c r="X110" s="186">
        <f>IFERROR(__xludf.DUMMYFUNCTION("""COMPUTED_VALUE"""),45831.0)</f>
        <v>45831</v>
      </c>
      <c r="Y110" s="187">
        <f>IFERROR(__xludf.DUMMYFUNCTION("""COMPUTED_VALUE"""),45780.0)</f>
        <v>45780</v>
      </c>
      <c r="Z110" s="182" t="b">
        <f>IFERROR(__xludf.DUMMYFUNCTION("""COMPUTED_VALUE"""),FALSE)</f>
        <v>0</v>
      </c>
      <c r="AA110" s="187">
        <f>IFERROR(__xludf.DUMMYFUNCTION("""COMPUTED_VALUE"""),45780.0)</f>
        <v>45780</v>
      </c>
      <c r="AB110" s="182" t="b">
        <f>IFERROR(__xludf.DUMMYFUNCTION("""COMPUTED_VALUE"""),FALSE)</f>
        <v>0</v>
      </c>
      <c r="AC110" s="187">
        <f>IFERROR(__xludf.DUMMYFUNCTION("""COMPUTED_VALUE"""),45787.0)</f>
        <v>45787</v>
      </c>
      <c r="AD110" s="187">
        <f>IFERROR(__xludf.DUMMYFUNCTION("""COMPUTED_VALUE"""),45787.0)</f>
        <v>45787</v>
      </c>
      <c r="AE110" s="188" t="str">
        <f>IFERROR(__xludf.DUMMYFUNCTION("""COMPUTED_VALUE"""),"GA10791-JP")</f>
        <v>GA10791-JP</v>
      </c>
      <c r="AF110" s="182"/>
      <c r="AG110" s="188" t="str">
        <f>IFERROR(__xludf.DUMMYFUNCTION("""COMPUTED_VALUE"""),"GA10791-JP")</f>
        <v>GA10791-JP</v>
      </c>
      <c r="AH110" s="188" t="str">
        <f>IFERROR(__xludf.DUMMYFUNCTION("""COMPUTED_VALUE"""),"GA10791-JP")</f>
        <v>GA10791-JP</v>
      </c>
      <c r="AI110" s="188" t="str">
        <f>IFERROR(__xludf.DUMMYFUNCTION("""COMPUTED_VALUE"""),"GA10791-JP")</f>
        <v>GA10791-JP</v>
      </c>
      <c r="AJ110" s="187">
        <f>IFERROR(__xludf.DUMMYFUNCTION("""COMPUTED_VALUE"""),45793.0)</f>
        <v>45793</v>
      </c>
      <c r="AK110" s="187">
        <f>IFERROR(__xludf.DUMMYFUNCTION("""COMPUTED_VALUE"""),45801.0)</f>
        <v>45801</v>
      </c>
      <c r="AL110" s="182" t="b">
        <f>IFERROR(__xludf.DUMMYFUNCTION("""COMPUTED_VALUE"""),FALSE)</f>
        <v>0</v>
      </c>
      <c r="AM110" s="182" t="b">
        <f>IFERROR(__xludf.DUMMYFUNCTION("""COMPUTED_VALUE"""),FALSE)</f>
        <v>0</v>
      </c>
      <c r="AN110" s="187">
        <f>IFERROR(__xludf.DUMMYFUNCTION("""COMPUTED_VALUE"""),45801.0)</f>
        <v>45801</v>
      </c>
      <c r="AO110" s="182" t="b">
        <f>IFERROR(__xludf.DUMMYFUNCTION("""COMPUTED_VALUE"""),FALSE)</f>
        <v>0</v>
      </c>
      <c r="AP110" s="182" t="str">
        <f>IFERROR(__xludf.DUMMYFUNCTION("""COMPUTED_VALUE"""),"N")</f>
        <v>N</v>
      </c>
      <c r="AQ110" s="182"/>
      <c r="AR110" s="187">
        <f>IFERROR(__xludf.DUMMYFUNCTION("""COMPUTED_VALUE"""),45801.0)</f>
        <v>45801</v>
      </c>
      <c r="AS110" s="182" t="b">
        <f>IFERROR(__xludf.DUMMYFUNCTION("""COMPUTED_VALUE"""),FALSE)</f>
        <v>0</v>
      </c>
      <c r="AT110" s="182"/>
      <c r="AU110" s="182"/>
      <c r="AV110" s="187">
        <f>IFERROR(__xludf.DUMMYFUNCTION("""COMPUTED_VALUE"""),45801.0)</f>
        <v>45801</v>
      </c>
      <c r="AW110" s="182" t="b">
        <f>IFERROR(__xludf.DUMMYFUNCTION("""COMPUTED_VALUE"""),FALSE)</f>
        <v>0</v>
      </c>
      <c r="AX110" s="182"/>
      <c r="AY110" s="182"/>
      <c r="AZ110" s="187">
        <f>IFERROR(__xludf.DUMMYFUNCTION("""COMPUTED_VALUE"""),45827.0)</f>
        <v>45827</v>
      </c>
      <c r="BA110" s="182" t="b">
        <f>IFERROR(__xludf.DUMMYFUNCTION("""COMPUTED_VALUE"""),FALSE)</f>
        <v>0</v>
      </c>
      <c r="BB110" s="187">
        <f>IFERROR(__xludf.DUMMYFUNCTION("""COMPUTED_VALUE"""),45827.0)</f>
        <v>45827</v>
      </c>
    </row>
    <row r="111">
      <c r="A111" s="184" t="str">
        <f t="shared" si="1"/>
        <v>#VALUE!</v>
      </c>
      <c r="B111" s="69" t="str">
        <f t="shared" si="2"/>
        <v>#VALUE!</v>
      </c>
      <c r="C111" s="182" t="str">
        <f>IFERROR(__xludf.DUMMYFUNCTION("""COMPUTED_VALUE"""),"CA/TW/SG/AU/MY/MX")</f>
        <v>CA/TW/SG/AU/MY/MX</v>
      </c>
      <c r="D111" s="182" t="str">
        <f>IFERROR(__xludf.DUMMYFUNCTION("""COMPUTED_VALUE"""),"MP")</f>
        <v>MP</v>
      </c>
      <c r="E111" s="182" t="str">
        <f>IFERROR(__xludf.DUMMYFUNCTION("""COMPUTED_VALUE"""),"DEMO")</f>
        <v>DEMO</v>
      </c>
      <c r="F111" s="182" t="str">
        <f>IFERROR(__xludf.DUMMYFUNCTION("""COMPUTED_VALUE"""),"GA10782-CA")</f>
        <v>GA10782-CA</v>
      </c>
      <c r="G111" s="182" t="str">
        <f>IFERROR(__xludf.DUMMYFUNCTION("""COMPUTED_VALUE"""),"GEHN3")</f>
        <v>GEHN3</v>
      </c>
      <c r="H111" s="182">
        <f>IFERROR(__xludf.DUMMYFUNCTION("""COMPUTED_VALUE"""),8.40353937956E11)</f>
        <v>840353937956</v>
      </c>
      <c r="I111" s="185" t="str">
        <f>IFERROR(__xludf.DUMMYFUNCTION("""COMPUTED_VALUE"""),"0840353937956")</f>
        <v>0840353937956</v>
      </c>
      <c r="J111" s="182"/>
      <c r="K111" s="182" t="str">
        <f>IFERROR(__xludf.DUMMYFUNCTION("""COMPUTED_VALUE"""),"ROW Master Carton Label (UPC)")</f>
        <v>ROW Master Carton Label (UPC)</v>
      </c>
      <c r="L111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11" s="188" t="str">
        <f>IFERROR(__xludf.DUMMYFUNCTION("""COMPUTED_VALUE"""),"G990-08528-11-02")</f>
        <v>G990-08528-11-02</v>
      </c>
      <c r="N111" s="182"/>
      <c r="O111" s="188" t="str">
        <f>IFERROR(__xludf.DUMMYFUNCTION("""COMPUTED_VALUE"""),"G990-09738-00-01")</f>
        <v>G990-09738-00-01</v>
      </c>
      <c r="P111" s="182"/>
      <c r="Q111" s="182" t="str">
        <f>IFERROR(__xludf.DUMMYFUNCTION("""COMPUTED_VALUE"""),"128GB")</f>
        <v>128GB</v>
      </c>
      <c r="R111" s="182" t="str">
        <f>IFERROR(__xludf.DUMMYFUNCTION("""COMPUTED_VALUE"""),"Obsidian")</f>
        <v>Obsidian</v>
      </c>
      <c r="S111" s="182" t="str">
        <f>IFERROR(__xludf.DUMMYFUNCTION("""COMPUTED_VALUE"""),"Midnight")</f>
        <v>Midnight</v>
      </c>
      <c r="T111" s="182" t="str">
        <f>IFERROR(__xludf.DUMMYFUNCTION("""COMPUTED_VALUE"""),"CA/TW/SG/AU/MY/MX")</f>
        <v>CA/TW/SG/AU/MY/MX</v>
      </c>
      <c r="U111" s="182" t="str">
        <f>IFERROR(__xludf.DUMMYFUNCTION("""COMPUTED_VALUE"""),"SKU,CLR1, GOOD, SUB6, CA/TW/SG/AU/MY/MX, DEMO, BZ5")</f>
        <v>SKU,CLR1, GOOD, SUB6, CA/TW/SG/AU/MY/MX, DEMO, BZ5</v>
      </c>
      <c r="V111" s="182"/>
      <c r="W111" s="183" t="str">
        <f>IFERROR(__xludf.DUMMYFUNCTION("""COMPUTED_VALUE"""),"#NUM!")</f>
        <v>#NUM!</v>
      </c>
      <c r="X111" s="186">
        <f>IFERROR(__xludf.DUMMYFUNCTION("""COMPUTED_VALUE"""),45831.0)</f>
        <v>45831</v>
      </c>
      <c r="Y111" s="187">
        <f>IFERROR(__xludf.DUMMYFUNCTION("""COMPUTED_VALUE"""),45780.0)</f>
        <v>45780</v>
      </c>
      <c r="Z111" s="182" t="b">
        <f>IFERROR(__xludf.DUMMYFUNCTION("""COMPUTED_VALUE"""),FALSE)</f>
        <v>0</v>
      </c>
      <c r="AA111" s="187">
        <f>IFERROR(__xludf.DUMMYFUNCTION("""COMPUTED_VALUE"""),45780.0)</f>
        <v>45780</v>
      </c>
      <c r="AB111" s="182" t="b">
        <f>IFERROR(__xludf.DUMMYFUNCTION("""COMPUTED_VALUE"""),FALSE)</f>
        <v>0</v>
      </c>
      <c r="AC111" s="187">
        <f>IFERROR(__xludf.DUMMYFUNCTION("""COMPUTED_VALUE"""),45787.0)</f>
        <v>45787</v>
      </c>
      <c r="AD111" s="187">
        <f>IFERROR(__xludf.DUMMYFUNCTION("""COMPUTED_VALUE"""),45787.0)</f>
        <v>45787</v>
      </c>
      <c r="AE111" s="188" t="str">
        <f>IFERROR(__xludf.DUMMYFUNCTION("""COMPUTED_VALUE"""),"GA10782-CA")</f>
        <v>GA10782-CA</v>
      </c>
      <c r="AF111" s="182"/>
      <c r="AG111" s="188" t="str">
        <f>IFERROR(__xludf.DUMMYFUNCTION("""COMPUTED_VALUE"""),"GA10782-CA")</f>
        <v>GA10782-CA</v>
      </c>
      <c r="AH111" s="188" t="str">
        <f>IFERROR(__xludf.DUMMYFUNCTION("""COMPUTED_VALUE"""),"GA10782-CA")</f>
        <v>GA10782-CA</v>
      </c>
      <c r="AI111" s="188" t="str">
        <f>IFERROR(__xludf.DUMMYFUNCTION("""COMPUTED_VALUE"""),"GA10782-CA")</f>
        <v>GA10782-CA</v>
      </c>
      <c r="AJ111" s="187">
        <f>IFERROR(__xludf.DUMMYFUNCTION("""COMPUTED_VALUE"""),45793.0)</f>
        <v>45793</v>
      </c>
      <c r="AK111" s="187">
        <f>IFERROR(__xludf.DUMMYFUNCTION("""COMPUTED_VALUE"""),45801.0)</f>
        <v>45801</v>
      </c>
      <c r="AL111" s="182" t="b">
        <f>IFERROR(__xludf.DUMMYFUNCTION("""COMPUTED_VALUE"""),FALSE)</f>
        <v>0</v>
      </c>
      <c r="AM111" s="182" t="b">
        <f>IFERROR(__xludf.DUMMYFUNCTION("""COMPUTED_VALUE"""),FALSE)</f>
        <v>0</v>
      </c>
      <c r="AN111" s="187">
        <f>IFERROR(__xludf.DUMMYFUNCTION("""COMPUTED_VALUE"""),45801.0)</f>
        <v>45801</v>
      </c>
      <c r="AO111" s="182" t="b">
        <f>IFERROR(__xludf.DUMMYFUNCTION("""COMPUTED_VALUE"""),FALSE)</f>
        <v>0</v>
      </c>
      <c r="AP111" s="182" t="str">
        <f>IFERROR(__xludf.DUMMYFUNCTION("""COMPUTED_VALUE"""),"Y")</f>
        <v>Y</v>
      </c>
      <c r="AQ111" s="182"/>
      <c r="AR111" s="187">
        <f>IFERROR(__xludf.DUMMYFUNCTION("""COMPUTED_VALUE"""),45801.0)</f>
        <v>45801</v>
      </c>
      <c r="AS111" s="182" t="b">
        <f>IFERROR(__xludf.DUMMYFUNCTION("""COMPUTED_VALUE"""),FALSE)</f>
        <v>0</v>
      </c>
      <c r="AT111" s="182"/>
      <c r="AU111" s="182"/>
      <c r="AV111" s="187">
        <f>IFERROR(__xludf.DUMMYFUNCTION("""COMPUTED_VALUE"""),45801.0)</f>
        <v>45801</v>
      </c>
      <c r="AW111" s="182" t="b">
        <f>IFERROR(__xludf.DUMMYFUNCTION("""COMPUTED_VALUE"""),FALSE)</f>
        <v>0</v>
      </c>
      <c r="AX111" s="182"/>
      <c r="AY111" s="182"/>
      <c r="AZ111" s="187">
        <f>IFERROR(__xludf.DUMMYFUNCTION("""COMPUTED_VALUE"""),45827.0)</f>
        <v>45827</v>
      </c>
      <c r="BA111" s="182" t="b">
        <f>IFERROR(__xludf.DUMMYFUNCTION("""COMPUTED_VALUE"""),FALSE)</f>
        <v>0</v>
      </c>
      <c r="BB111" s="187">
        <f>IFERROR(__xludf.DUMMYFUNCTION("""COMPUTED_VALUE"""),45827.0)</f>
        <v>45827</v>
      </c>
    </row>
    <row r="112">
      <c r="A112" s="184" t="str">
        <f t="shared" si="1"/>
        <v>#VALUE!</v>
      </c>
      <c r="B112" s="69" t="str">
        <f t="shared" si="2"/>
        <v>#VALUE!</v>
      </c>
      <c r="C112" s="182" t="str">
        <f>IFERROR(__xludf.DUMMYFUNCTION("""COMPUTED_VALUE"""),"CA/TW/SG/AU/MY/MX")</f>
        <v>CA/TW/SG/AU/MY/MX</v>
      </c>
      <c r="D112" s="182" t="str">
        <f>IFERROR(__xludf.DUMMYFUNCTION("""COMPUTED_VALUE"""),"MP")</f>
        <v>MP</v>
      </c>
      <c r="E112" s="182" t="str">
        <f>IFERROR(__xludf.DUMMYFUNCTION("""COMPUTED_VALUE"""),"DEMO")</f>
        <v>DEMO</v>
      </c>
      <c r="F112" s="182" t="str">
        <f>IFERROR(__xludf.DUMMYFUNCTION("""COMPUTED_VALUE"""),"GA10785-CA")</f>
        <v>GA10785-CA</v>
      </c>
      <c r="G112" s="182" t="str">
        <f>IFERROR(__xludf.DUMMYFUNCTION("""COMPUTED_VALUE"""),"GEHN3")</f>
        <v>GEHN3</v>
      </c>
      <c r="H112" s="182">
        <f>IFERROR(__xludf.DUMMYFUNCTION("""COMPUTED_VALUE"""),8.40353938052E11)</f>
        <v>840353938052</v>
      </c>
      <c r="I112" s="185" t="str">
        <f>IFERROR(__xludf.DUMMYFUNCTION("""COMPUTED_VALUE"""),"0840353938052")</f>
        <v>0840353938052</v>
      </c>
      <c r="J112" s="182"/>
      <c r="K112" s="182" t="str">
        <f>IFERROR(__xludf.DUMMYFUNCTION("""COMPUTED_VALUE"""),"ROW Master Carton Label (UPC)")</f>
        <v>ROW Master Carton Label (UPC)</v>
      </c>
      <c r="L112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12" s="188" t="str">
        <f>IFERROR(__xludf.DUMMYFUNCTION("""COMPUTED_VALUE"""),"G990-08528-21-02")</f>
        <v>G990-08528-21-02</v>
      </c>
      <c r="N112" s="182"/>
      <c r="O112" s="188" t="str">
        <f>IFERROR(__xludf.DUMMYFUNCTION("""COMPUTED_VALUE"""),"G990-09738-00-01")</f>
        <v>G990-09738-00-01</v>
      </c>
      <c r="P112" s="182"/>
      <c r="Q112" s="182" t="str">
        <f>IFERROR(__xludf.DUMMYFUNCTION("""COMPUTED_VALUE"""),"128GB")</f>
        <v>128GB</v>
      </c>
      <c r="R112" s="182" t="str">
        <f>IFERROR(__xludf.DUMMYFUNCTION("""COMPUTED_VALUE"""),"Porcelain")</f>
        <v>Porcelain</v>
      </c>
      <c r="S112" s="182" t="str">
        <f>IFERROR(__xludf.DUMMYFUNCTION("""COMPUTED_VALUE"""),"Light Porcelain")</f>
        <v>Light Porcelain</v>
      </c>
      <c r="T112" s="182" t="str">
        <f>IFERROR(__xludf.DUMMYFUNCTION("""COMPUTED_VALUE"""),"CA/TW/SG/AU/MY/MX")</f>
        <v>CA/TW/SG/AU/MY/MX</v>
      </c>
      <c r="U112" s="182" t="str">
        <f>IFERROR(__xludf.DUMMYFUNCTION("""COMPUTED_VALUE"""),"SKU,CLR2, GOOD, SUB6, CA/TW/SG/AU/MY/MX, DEMO, BZ5")</f>
        <v>SKU,CLR2, GOOD, SUB6, CA/TW/SG/AU/MY/MX, DEMO, BZ5</v>
      </c>
      <c r="V112" s="182"/>
      <c r="W112" s="183" t="str">
        <f>IFERROR(__xludf.DUMMYFUNCTION("""COMPUTED_VALUE"""),"#NUM!")</f>
        <v>#NUM!</v>
      </c>
      <c r="X112" s="186">
        <f>IFERROR(__xludf.DUMMYFUNCTION("""COMPUTED_VALUE"""),45831.0)</f>
        <v>45831</v>
      </c>
      <c r="Y112" s="187">
        <f>IFERROR(__xludf.DUMMYFUNCTION("""COMPUTED_VALUE"""),45780.0)</f>
        <v>45780</v>
      </c>
      <c r="Z112" s="182" t="b">
        <f>IFERROR(__xludf.DUMMYFUNCTION("""COMPUTED_VALUE"""),FALSE)</f>
        <v>0</v>
      </c>
      <c r="AA112" s="187">
        <f>IFERROR(__xludf.DUMMYFUNCTION("""COMPUTED_VALUE"""),45780.0)</f>
        <v>45780</v>
      </c>
      <c r="AB112" s="182" t="b">
        <f>IFERROR(__xludf.DUMMYFUNCTION("""COMPUTED_VALUE"""),FALSE)</f>
        <v>0</v>
      </c>
      <c r="AC112" s="187">
        <f>IFERROR(__xludf.DUMMYFUNCTION("""COMPUTED_VALUE"""),45787.0)</f>
        <v>45787</v>
      </c>
      <c r="AD112" s="187">
        <f>IFERROR(__xludf.DUMMYFUNCTION("""COMPUTED_VALUE"""),45787.0)</f>
        <v>45787</v>
      </c>
      <c r="AE112" s="188" t="str">
        <f>IFERROR(__xludf.DUMMYFUNCTION("""COMPUTED_VALUE"""),"GA10785-CA")</f>
        <v>GA10785-CA</v>
      </c>
      <c r="AF112" s="182"/>
      <c r="AG112" s="188" t="str">
        <f>IFERROR(__xludf.DUMMYFUNCTION("""COMPUTED_VALUE"""),"GA10785-CA")</f>
        <v>GA10785-CA</v>
      </c>
      <c r="AH112" s="188" t="str">
        <f>IFERROR(__xludf.DUMMYFUNCTION("""COMPUTED_VALUE"""),"GA10785-CA")</f>
        <v>GA10785-CA</v>
      </c>
      <c r="AI112" s="188" t="str">
        <f>IFERROR(__xludf.DUMMYFUNCTION("""COMPUTED_VALUE"""),"GA10785-CA")</f>
        <v>GA10785-CA</v>
      </c>
      <c r="AJ112" s="187">
        <f>IFERROR(__xludf.DUMMYFUNCTION("""COMPUTED_VALUE"""),45793.0)</f>
        <v>45793</v>
      </c>
      <c r="AK112" s="187">
        <f>IFERROR(__xludf.DUMMYFUNCTION("""COMPUTED_VALUE"""),45801.0)</f>
        <v>45801</v>
      </c>
      <c r="AL112" s="182" t="b">
        <f>IFERROR(__xludf.DUMMYFUNCTION("""COMPUTED_VALUE"""),FALSE)</f>
        <v>0</v>
      </c>
      <c r="AM112" s="182" t="b">
        <f>IFERROR(__xludf.DUMMYFUNCTION("""COMPUTED_VALUE"""),FALSE)</f>
        <v>0</v>
      </c>
      <c r="AN112" s="187">
        <f>IFERROR(__xludf.DUMMYFUNCTION("""COMPUTED_VALUE"""),45801.0)</f>
        <v>45801</v>
      </c>
      <c r="AO112" s="182" t="b">
        <f>IFERROR(__xludf.DUMMYFUNCTION("""COMPUTED_VALUE"""),FALSE)</f>
        <v>0</v>
      </c>
      <c r="AP112" s="182" t="str">
        <f>IFERROR(__xludf.DUMMYFUNCTION("""COMPUTED_VALUE"""),"N")</f>
        <v>N</v>
      </c>
      <c r="AQ112" s="182"/>
      <c r="AR112" s="187">
        <f>IFERROR(__xludf.DUMMYFUNCTION("""COMPUTED_VALUE"""),45801.0)</f>
        <v>45801</v>
      </c>
      <c r="AS112" s="182" t="b">
        <f>IFERROR(__xludf.DUMMYFUNCTION("""COMPUTED_VALUE"""),FALSE)</f>
        <v>0</v>
      </c>
      <c r="AT112" s="182"/>
      <c r="AU112" s="182"/>
      <c r="AV112" s="187">
        <f>IFERROR(__xludf.DUMMYFUNCTION("""COMPUTED_VALUE"""),45801.0)</f>
        <v>45801</v>
      </c>
      <c r="AW112" s="182" t="b">
        <f>IFERROR(__xludf.DUMMYFUNCTION("""COMPUTED_VALUE"""),FALSE)</f>
        <v>0</v>
      </c>
      <c r="AX112" s="182"/>
      <c r="AY112" s="182"/>
      <c r="AZ112" s="187">
        <f>IFERROR(__xludf.DUMMYFUNCTION("""COMPUTED_VALUE"""),45827.0)</f>
        <v>45827</v>
      </c>
      <c r="BA112" s="182" t="b">
        <f>IFERROR(__xludf.DUMMYFUNCTION("""COMPUTED_VALUE"""),FALSE)</f>
        <v>0</v>
      </c>
      <c r="BB112" s="187">
        <f>IFERROR(__xludf.DUMMYFUNCTION("""COMPUTED_VALUE"""),45827.0)</f>
        <v>45827</v>
      </c>
    </row>
    <row r="113">
      <c r="A113" s="184" t="str">
        <f t="shared" si="1"/>
        <v>#VALUE!</v>
      </c>
      <c r="B113" s="69" t="str">
        <f t="shared" si="2"/>
        <v>#VALUE!</v>
      </c>
      <c r="C113" s="182" t="str">
        <f>IFERROR(__xludf.DUMMYFUNCTION("""COMPUTED_VALUE"""),"CA/TW/SG/AU/MY/MX")</f>
        <v>CA/TW/SG/AU/MY/MX</v>
      </c>
      <c r="D113" s="182" t="str">
        <f>IFERROR(__xludf.DUMMYFUNCTION("""COMPUTED_VALUE"""),"MP")</f>
        <v>MP</v>
      </c>
      <c r="E113" s="182" t="str">
        <f>IFERROR(__xludf.DUMMYFUNCTION("""COMPUTED_VALUE"""),"DEMO")</f>
        <v>DEMO</v>
      </c>
      <c r="F113" s="182" t="str">
        <f>IFERROR(__xludf.DUMMYFUNCTION("""COMPUTED_VALUE"""),"GA10788-CA")</f>
        <v>GA10788-CA</v>
      </c>
      <c r="G113" s="182" t="str">
        <f>IFERROR(__xludf.DUMMYFUNCTION("""COMPUTED_VALUE"""),"GEHN3")</f>
        <v>GEHN3</v>
      </c>
      <c r="H113" s="182">
        <f>IFERROR(__xludf.DUMMYFUNCTION("""COMPUTED_VALUE"""),8.40353938113E11)</f>
        <v>840353938113</v>
      </c>
      <c r="I113" s="185" t="str">
        <f>IFERROR(__xludf.DUMMYFUNCTION("""COMPUTED_VALUE"""),"0840353938113")</f>
        <v>0840353938113</v>
      </c>
      <c r="J113" s="182"/>
      <c r="K113" s="182" t="str">
        <f>IFERROR(__xludf.DUMMYFUNCTION("""COMPUTED_VALUE"""),"ROW Master Carton Label (UPC)")</f>
        <v>ROW Master Carton Label (UPC)</v>
      </c>
      <c r="L113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13" s="188" t="str">
        <f>IFERROR(__xludf.DUMMYFUNCTION("""COMPUTED_VALUE"""),"G990-08528-31-02")</f>
        <v>G990-08528-31-02</v>
      </c>
      <c r="N113" s="182"/>
      <c r="O113" s="188" t="str">
        <f>IFERROR(__xludf.DUMMYFUNCTION("""COMPUTED_VALUE"""),"G990-09738-00-01")</f>
        <v>G990-09738-00-01</v>
      </c>
      <c r="P113" s="182"/>
      <c r="Q113" s="182" t="str">
        <f>IFERROR(__xludf.DUMMYFUNCTION("""COMPUTED_VALUE"""),"128GB")</f>
        <v>128GB</v>
      </c>
      <c r="R113" s="182" t="str">
        <f>IFERROR(__xludf.DUMMYFUNCTION("""COMPUTED_VALUE"""),"Moonstone")</f>
        <v>Moonstone</v>
      </c>
      <c r="S113" s="182" t="str">
        <f>IFERROR(__xludf.DUMMYFUNCTION("""COMPUTED_VALUE"""),"Sterling")</f>
        <v>Sterling</v>
      </c>
      <c r="T113" s="182" t="str">
        <f>IFERROR(__xludf.DUMMYFUNCTION("""COMPUTED_VALUE"""),"CA/TW/SG/AU/MY/MX")</f>
        <v>CA/TW/SG/AU/MY/MX</v>
      </c>
      <c r="U113" s="182" t="str">
        <f>IFERROR(__xludf.DUMMYFUNCTION("""COMPUTED_VALUE"""),"SKU,CLR3, GOOD, SUB6, CA/TW/SG/AU/MY/MX, DEMO, BZ5")</f>
        <v>SKU,CLR3, GOOD, SUB6, CA/TW/SG/AU/MY/MX, DEMO, BZ5</v>
      </c>
      <c r="V113" s="182"/>
      <c r="W113" s="183" t="str">
        <f>IFERROR(__xludf.DUMMYFUNCTION("""COMPUTED_VALUE"""),"#NUM!")</f>
        <v>#NUM!</v>
      </c>
      <c r="X113" s="186">
        <f>IFERROR(__xludf.DUMMYFUNCTION("""COMPUTED_VALUE"""),45831.0)</f>
        <v>45831</v>
      </c>
      <c r="Y113" s="187">
        <f>IFERROR(__xludf.DUMMYFUNCTION("""COMPUTED_VALUE"""),45780.0)</f>
        <v>45780</v>
      </c>
      <c r="Z113" s="182" t="b">
        <f>IFERROR(__xludf.DUMMYFUNCTION("""COMPUTED_VALUE"""),FALSE)</f>
        <v>0</v>
      </c>
      <c r="AA113" s="187">
        <f>IFERROR(__xludf.DUMMYFUNCTION("""COMPUTED_VALUE"""),45780.0)</f>
        <v>45780</v>
      </c>
      <c r="AB113" s="182" t="b">
        <f>IFERROR(__xludf.DUMMYFUNCTION("""COMPUTED_VALUE"""),FALSE)</f>
        <v>0</v>
      </c>
      <c r="AC113" s="187">
        <f>IFERROR(__xludf.DUMMYFUNCTION("""COMPUTED_VALUE"""),45787.0)</f>
        <v>45787</v>
      </c>
      <c r="AD113" s="187">
        <f>IFERROR(__xludf.DUMMYFUNCTION("""COMPUTED_VALUE"""),45787.0)</f>
        <v>45787</v>
      </c>
      <c r="AE113" s="188" t="str">
        <f>IFERROR(__xludf.DUMMYFUNCTION("""COMPUTED_VALUE"""),"GA10788-CA")</f>
        <v>GA10788-CA</v>
      </c>
      <c r="AF113" s="182"/>
      <c r="AG113" s="188" t="str">
        <f>IFERROR(__xludf.DUMMYFUNCTION("""COMPUTED_VALUE"""),"GA10788-CA")</f>
        <v>GA10788-CA</v>
      </c>
      <c r="AH113" s="188" t="str">
        <f>IFERROR(__xludf.DUMMYFUNCTION("""COMPUTED_VALUE"""),"GA10788-CA")</f>
        <v>GA10788-CA</v>
      </c>
      <c r="AI113" s="188" t="str">
        <f>IFERROR(__xludf.DUMMYFUNCTION("""COMPUTED_VALUE"""),"GA10788-CA")</f>
        <v>GA10788-CA</v>
      </c>
      <c r="AJ113" s="187">
        <f>IFERROR(__xludf.DUMMYFUNCTION("""COMPUTED_VALUE"""),45793.0)</f>
        <v>45793</v>
      </c>
      <c r="AK113" s="187">
        <f>IFERROR(__xludf.DUMMYFUNCTION("""COMPUTED_VALUE"""),45801.0)</f>
        <v>45801</v>
      </c>
      <c r="AL113" s="182" t="b">
        <f>IFERROR(__xludf.DUMMYFUNCTION("""COMPUTED_VALUE"""),FALSE)</f>
        <v>0</v>
      </c>
      <c r="AM113" s="182" t="b">
        <f>IFERROR(__xludf.DUMMYFUNCTION("""COMPUTED_VALUE"""),FALSE)</f>
        <v>0</v>
      </c>
      <c r="AN113" s="187">
        <f>IFERROR(__xludf.DUMMYFUNCTION("""COMPUTED_VALUE"""),45801.0)</f>
        <v>45801</v>
      </c>
      <c r="AO113" s="182" t="b">
        <f>IFERROR(__xludf.DUMMYFUNCTION("""COMPUTED_VALUE"""),FALSE)</f>
        <v>0</v>
      </c>
      <c r="AP113" s="182" t="str">
        <f>IFERROR(__xludf.DUMMYFUNCTION("""COMPUTED_VALUE"""),"N")</f>
        <v>N</v>
      </c>
      <c r="AQ113" s="182"/>
      <c r="AR113" s="187">
        <f>IFERROR(__xludf.DUMMYFUNCTION("""COMPUTED_VALUE"""),45801.0)</f>
        <v>45801</v>
      </c>
      <c r="AS113" s="182" t="b">
        <f>IFERROR(__xludf.DUMMYFUNCTION("""COMPUTED_VALUE"""),FALSE)</f>
        <v>0</v>
      </c>
      <c r="AT113" s="182"/>
      <c r="AU113" s="182"/>
      <c r="AV113" s="187">
        <f>IFERROR(__xludf.DUMMYFUNCTION("""COMPUTED_VALUE"""),45801.0)</f>
        <v>45801</v>
      </c>
      <c r="AW113" s="182" t="b">
        <f>IFERROR(__xludf.DUMMYFUNCTION("""COMPUTED_VALUE"""),FALSE)</f>
        <v>0</v>
      </c>
      <c r="AX113" s="182"/>
      <c r="AY113" s="182"/>
      <c r="AZ113" s="187">
        <f>IFERROR(__xludf.DUMMYFUNCTION("""COMPUTED_VALUE"""),45827.0)</f>
        <v>45827</v>
      </c>
      <c r="BA113" s="182" t="b">
        <f>IFERROR(__xludf.DUMMYFUNCTION("""COMPUTED_VALUE"""),FALSE)</f>
        <v>0</v>
      </c>
      <c r="BB113" s="187">
        <f>IFERROR(__xludf.DUMMYFUNCTION("""COMPUTED_VALUE"""),45827.0)</f>
        <v>45827</v>
      </c>
    </row>
    <row r="114">
      <c r="A114" s="184" t="str">
        <f t="shared" si="1"/>
        <v>#VALUE!</v>
      </c>
      <c r="B114" s="69" t="str">
        <f t="shared" si="2"/>
        <v>#VALUE!</v>
      </c>
      <c r="C114" s="182" t="str">
        <f>IFERROR(__xludf.DUMMYFUNCTION("""COMPUTED_VALUE"""),"CA/TW/SG/AU/MY/MX")</f>
        <v>CA/TW/SG/AU/MY/MX</v>
      </c>
      <c r="D114" s="182" t="str">
        <f>IFERROR(__xludf.DUMMYFUNCTION("""COMPUTED_VALUE"""),"MP")</f>
        <v>MP</v>
      </c>
      <c r="E114" s="182" t="str">
        <f>IFERROR(__xludf.DUMMYFUNCTION("""COMPUTED_VALUE"""),"DEMO")</f>
        <v>DEMO</v>
      </c>
      <c r="F114" s="182" t="str">
        <f>IFERROR(__xludf.DUMMYFUNCTION("""COMPUTED_VALUE"""),"GA10791-CA")</f>
        <v>GA10791-CA</v>
      </c>
      <c r="G114" s="182" t="str">
        <f>IFERROR(__xludf.DUMMYFUNCTION("""COMPUTED_VALUE"""),"GEHN3")</f>
        <v>GEHN3</v>
      </c>
      <c r="H114" s="182">
        <f>IFERROR(__xludf.DUMMYFUNCTION("""COMPUTED_VALUE"""),8.40353938175E11)</f>
        <v>840353938175</v>
      </c>
      <c r="I114" s="185" t="str">
        <f>IFERROR(__xludf.DUMMYFUNCTION("""COMPUTED_VALUE"""),"0840353938175")</f>
        <v>0840353938175</v>
      </c>
      <c r="J114" s="182"/>
      <c r="K114" s="182" t="str">
        <f>IFERROR(__xludf.DUMMYFUNCTION("""COMPUTED_VALUE"""),"ROW Master Carton Label (UPC)")</f>
        <v>ROW Master Carton Label (UPC)</v>
      </c>
      <c r="L114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14" s="188" t="str">
        <f>IFERROR(__xludf.DUMMYFUNCTION("""COMPUTED_VALUE"""),"G990-08528-42-02")</f>
        <v>G990-08528-42-02</v>
      </c>
      <c r="N114" s="182"/>
      <c r="O114" s="188" t="str">
        <f>IFERROR(__xludf.DUMMYFUNCTION("""COMPUTED_VALUE"""),"G990-09738-00-01")</f>
        <v>G990-09738-00-01</v>
      </c>
      <c r="P114" s="182"/>
      <c r="Q114" s="182" t="str">
        <f>IFERROR(__xludf.DUMMYFUNCTION("""COMPUTED_VALUE"""),"256GB")</f>
        <v>256GB</v>
      </c>
      <c r="R114" s="182" t="str">
        <f>IFERROR(__xludf.DUMMYFUNCTION("""COMPUTED_VALUE"""),"Jade")</f>
        <v>Jade</v>
      </c>
      <c r="S114" s="182" t="str">
        <f>IFERROR(__xludf.DUMMYFUNCTION("""COMPUTED_VALUE"""),"Smokey Green")</f>
        <v>Smokey Green</v>
      </c>
      <c r="T114" s="182" t="str">
        <f>IFERROR(__xludf.DUMMYFUNCTION("""COMPUTED_VALUE"""),"CA/TW/SG/AU/MY/MX")</f>
        <v>CA/TW/SG/AU/MY/MX</v>
      </c>
      <c r="U114" s="182" t="str">
        <f>IFERROR(__xludf.DUMMYFUNCTION("""COMPUTED_VALUE"""),"SKU,CLR4, BETTER, SUB6, CA/TW/SG/AU/MY/MX, DEMO, BZ5")</f>
        <v>SKU,CLR4, BETTER, SUB6, CA/TW/SG/AU/MY/MX, DEMO, BZ5</v>
      </c>
      <c r="V114" s="182"/>
      <c r="W114" s="183" t="str">
        <f>IFERROR(__xludf.DUMMYFUNCTION("""COMPUTED_VALUE"""),"#NUM!")</f>
        <v>#NUM!</v>
      </c>
      <c r="X114" s="186">
        <f>IFERROR(__xludf.DUMMYFUNCTION("""COMPUTED_VALUE"""),45831.0)</f>
        <v>45831</v>
      </c>
      <c r="Y114" s="187">
        <f>IFERROR(__xludf.DUMMYFUNCTION("""COMPUTED_VALUE"""),45780.0)</f>
        <v>45780</v>
      </c>
      <c r="Z114" s="182" t="b">
        <f>IFERROR(__xludf.DUMMYFUNCTION("""COMPUTED_VALUE"""),FALSE)</f>
        <v>0</v>
      </c>
      <c r="AA114" s="187">
        <f>IFERROR(__xludf.DUMMYFUNCTION("""COMPUTED_VALUE"""),45780.0)</f>
        <v>45780</v>
      </c>
      <c r="AB114" s="182" t="b">
        <f>IFERROR(__xludf.DUMMYFUNCTION("""COMPUTED_VALUE"""),FALSE)</f>
        <v>0</v>
      </c>
      <c r="AC114" s="187">
        <f>IFERROR(__xludf.DUMMYFUNCTION("""COMPUTED_VALUE"""),45787.0)</f>
        <v>45787</v>
      </c>
      <c r="AD114" s="187">
        <f>IFERROR(__xludf.DUMMYFUNCTION("""COMPUTED_VALUE"""),45787.0)</f>
        <v>45787</v>
      </c>
      <c r="AE114" s="188" t="str">
        <f>IFERROR(__xludf.DUMMYFUNCTION("""COMPUTED_VALUE"""),"GA10791-CA")</f>
        <v>GA10791-CA</v>
      </c>
      <c r="AF114" s="182"/>
      <c r="AG114" s="188" t="str">
        <f>IFERROR(__xludf.DUMMYFUNCTION("""COMPUTED_VALUE"""),"GA10791-CA")</f>
        <v>GA10791-CA</v>
      </c>
      <c r="AH114" s="188" t="str">
        <f>IFERROR(__xludf.DUMMYFUNCTION("""COMPUTED_VALUE"""),"GA10791-CA")</f>
        <v>GA10791-CA</v>
      </c>
      <c r="AI114" s="188" t="str">
        <f>IFERROR(__xludf.DUMMYFUNCTION("""COMPUTED_VALUE"""),"GA10791-CA")</f>
        <v>GA10791-CA</v>
      </c>
      <c r="AJ114" s="187">
        <f>IFERROR(__xludf.DUMMYFUNCTION("""COMPUTED_VALUE"""),45793.0)</f>
        <v>45793</v>
      </c>
      <c r="AK114" s="187">
        <f>IFERROR(__xludf.DUMMYFUNCTION("""COMPUTED_VALUE"""),45801.0)</f>
        <v>45801</v>
      </c>
      <c r="AL114" s="182" t="b">
        <f>IFERROR(__xludf.DUMMYFUNCTION("""COMPUTED_VALUE"""),FALSE)</f>
        <v>0</v>
      </c>
      <c r="AM114" s="182" t="b">
        <f>IFERROR(__xludf.DUMMYFUNCTION("""COMPUTED_VALUE"""),FALSE)</f>
        <v>0</v>
      </c>
      <c r="AN114" s="187">
        <f>IFERROR(__xludf.DUMMYFUNCTION("""COMPUTED_VALUE"""),45801.0)</f>
        <v>45801</v>
      </c>
      <c r="AO114" s="182" t="b">
        <f>IFERROR(__xludf.DUMMYFUNCTION("""COMPUTED_VALUE"""),FALSE)</f>
        <v>0</v>
      </c>
      <c r="AP114" s="182" t="str">
        <f>IFERROR(__xludf.DUMMYFUNCTION("""COMPUTED_VALUE"""),"N")</f>
        <v>N</v>
      </c>
      <c r="AQ114" s="182"/>
      <c r="AR114" s="187">
        <f>IFERROR(__xludf.DUMMYFUNCTION("""COMPUTED_VALUE"""),45801.0)</f>
        <v>45801</v>
      </c>
      <c r="AS114" s="182" t="b">
        <f>IFERROR(__xludf.DUMMYFUNCTION("""COMPUTED_VALUE"""),FALSE)</f>
        <v>0</v>
      </c>
      <c r="AT114" s="182"/>
      <c r="AU114" s="182"/>
      <c r="AV114" s="187">
        <f>IFERROR(__xludf.DUMMYFUNCTION("""COMPUTED_VALUE"""),45801.0)</f>
        <v>45801</v>
      </c>
      <c r="AW114" s="182" t="b">
        <f>IFERROR(__xludf.DUMMYFUNCTION("""COMPUTED_VALUE"""),FALSE)</f>
        <v>0</v>
      </c>
      <c r="AX114" s="182"/>
      <c r="AY114" s="182"/>
      <c r="AZ114" s="187">
        <f>IFERROR(__xludf.DUMMYFUNCTION("""COMPUTED_VALUE"""),45827.0)</f>
        <v>45827</v>
      </c>
      <c r="BA114" s="182" t="b">
        <f>IFERROR(__xludf.DUMMYFUNCTION("""COMPUTED_VALUE"""),FALSE)</f>
        <v>0</v>
      </c>
      <c r="BB114" s="187">
        <f>IFERROR(__xludf.DUMMYFUNCTION("""COMPUTED_VALUE"""),45827.0)</f>
        <v>45827</v>
      </c>
    </row>
    <row r="115">
      <c r="A115" s="184" t="str">
        <f t="shared" si="1"/>
        <v>#VALUE!</v>
      </c>
      <c r="B115" s="69" t="str">
        <f t="shared" si="2"/>
        <v>#VALUE!</v>
      </c>
      <c r="C115" s="182" t="str">
        <f>IFERROR(__xludf.DUMMYFUNCTION("""COMPUTED_VALUE"""),"EU")</f>
        <v>EU</v>
      </c>
      <c r="D115" s="182" t="str">
        <f>IFERROR(__xludf.DUMMYFUNCTION("""COMPUTED_VALUE"""),"MP")</f>
        <v>MP</v>
      </c>
      <c r="E115" s="182" t="str">
        <f>IFERROR(__xludf.DUMMYFUNCTION("""COMPUTED_VALUE"""),"DEMO")</f>
        <v>DEMO</v>
      </c>
      <c r="F115" s="182" t="str">
        <f>IFERROR(__xludf.DUMMYFUNCTION("""COMPUTED_VALUE"""),"GA10782-GB")</f>
        <v>GA10782-GB</v>
      </c>
      <c r="G115" s="182" t="str">
        <f>IFERROR(__xludf.DUMMYFUNCTION("""COMPUTED_VALUE"""),"GEHN3")</f>
        <v>GEHN3</v>
      </c>
      <c r="H115" s="182">
        <f>IFERROR(__xludf.DUMMYFUNCTION("""COMPUTED_VALUE"""),8.40353937963E11)</f>
        <v>840353937963</v>
      </c>
      <c r="I115" s="185" t="str">
        <f>IFERROR(__xludf.DUMMYFUNCTION("""COMPUTED_VALUE"""),"0840353937963")</f>
        <v>0840353937963</v>
      </c>
      <c r="J115" s="182"/>
      <c r="K115" s="182" t="str">
        <f>IFERROR(__xludf.DUMMYFUNCTION("""COMPUTED_VALUE"""),"ROW Master Carton Label (EAN)")</f>
        <v>ROW Master Carton Label (EAN)</v>
      </c>
      <c r="L115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15" s="188" t="str">
        <f>IFERROR(__xludf.DUMMYFUNCTION("""COMPUTED_VALUE"""),"G990-08531-11-03")</f>
        <v>G990-08531-11-03</v>
      </c>
      <c r="N115" s="182"/>
      <c r="O115" s="188" t="str">
        <f>IFERROR(__xludf.DUMMYFUNCTION("""COMPUTED_VALUE"""),"G990-09740-00-01")</f>
        <v>G990-09740-00-01</v>
      </c>
      <c r="P115" s="182"/>
      <c r="Q115" s="182" t="str">
        <f>IFERROR(__xludf.DUMMYFUNCTION("""COMPUTED_VALUE"""),"128GB")</f>
        <v>128GB</v>
      </c>
      <c r="R115" s="182" t="str">
        <f>IFERROR(__xludf.DUMMYFUNCTION("""COMPUTED_VALUE"""),"Obsidian")</f>
        <v>Obsidian</v>
      </c>
      <c r="S115" s="182" t="str">
        <f>IFERROR(__xludf.DUMMYFUNCTION("""COMPUTED_VALUE"""),"Midnight")</f>
        <v>Midnight</v>
      </c>
      <c r="T115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15" s="182" t="str">
        <f>IFERROR(__xludf.DUMMYFUNCTION("""COMPUTED_VALUE"""),"SKU,CLR1, GOOD, SUB6, UK/EU, DEMO, BZ5")</f>
        <v>SKU,CLR1, GOOD, SUB6, UK/EU, DEMO, BZ5</v>
      </c>
      <c r="V115" s="182"/>
      <c r="W115" s="183" t="str">
        <f>IFERROR(__xludf.DUMMYFUNCTION("""COMPUTED_VALUE"""),"#NUM!")</f>
        <v>#NUM!</v>
      </c>
      <c r="X115" s="186">
        <f>IFERROR(__xludf.DUMMYFUNCTION("""COMPUTED_VALUE"""),45831.0)</f>
        <v>45831</v>
      </c>
      <c r="Y115" s="187">
        <f>IFERROR(__xludf.DUMMYFUNCTION("""COMPUTED_VALUE"""),45780.0)</f>
        <v>45780</v>
      </c>
      <c r="Z115" s="182" t="b">
        <f>IFERROR(__xludf.DUMMYFUNCTION("""COMPUTED_VALUE"""),FALSE)</f>
        <v>0</v>
      </c>
      <c r="AA115" s="187">
        <f>IFERROR(__xludf.DUMMYFUNCTION("""COMPUTED_VALUE"""),45780.0)</f>
        <v>45780</v>
      </c>
      <c r="AB115" s="182" t="b">
        <f>IFERROR(__xludf.DUMMYFUNCTION("""COMPUTED_VALUE"""),FALSE)</f>
        <v>0</v>
      </c>
      <c r="AC115" s="187">
        <f>IFERROR(__xludf.DUMMYFUNCTION("""COMPUTED_VALUE"""),45787.0)</f>
        <v>45787</v>
      </c>
      <c r="AD115" s="187">
        <f>IFERROR(__xludf.DUMMYFUNCTION("""COMPUTED_VALUE"""),45787.0)</f>
        <v>45787</v>
      </c>
      <c r="AE115" s="188" t="str">
        <f>IFERROR(__xludf.DUMMYFUNCTION("""COMPUTED_VALUE"""),"GA10782-GB")</f>
        <v>GA10782-GB</v>
      </c>
      <c r="AF115" s="182"/>
      <c r="AG115" s="188" t="str">
        <f>IFERROR(__xludf.DUMMYFUNCTION("""COMPUTED_VALUE"""),"GA10782-GB")</f>
        <v>GA10782-GB</v>
      </c>
      <c r="AH115" s="188" t="str">
        <f>IFERROR(__xludf.DUMMYFUNCTION("""COMPUTED_VALUE"""),"GA10782-GB")</f>
        <v>GA10782-GB</v>
      </c>
      <c r="AI115" s="188" t="str">
        <f>IFERROR(__xludf.DUMMYFUNCTION("""COMPUTED_VALUE"""),"GA10782-GB")</f>
        <v>GA10782-GB</v>
      </c>
      <c r="AJ115" s="187">
        <f>IFERROR(__xludf.DUMMYFUNCTION("""COMPUTED_VALUE"""),45793.0)</f>
        <v>45793</v>
      </c>
      <c r="AK115" s="187">
        <f>IFERROR(__xludf.DUMMYFUNCTION("""COMPUTED_VALUE"""),45801.0)</f>
        <v>45801</v>
      </c>
      <c r="AL115" s="182" t="b">
        <f>IFERROR(__xludf.DUMMYFUNCTION("""COMPUTED_VALUE"""),FALSE)</f>
        <v>0</v>
      </c>
      <c r="AM115" s="182" t="b">
        <f>IFERROR(__xludf.DUMMYFUNCTION("""COMPUTED_VALUE"""),FALSE)</f>
        <v>0</v>
      </c>
      <c r="AN115" s="187">
        <f>IFERROR(__xludf.DUMMYFUNCTION("""COMPUTED_VALUE"""),45801.0)</f>
        <v>45801</v>
      </c>
      <c r="AO115" s="182" t="b">
        <f>IFERROR(__xludf.DUMMYFUNCTION("""COMPUTED_VALUE"""),FALSE)</f>
        <v>0</v>
      </c>
      <c r="AP115" s="182" t="str">
        <f>IFERROR(__xludf.DUMMYFUNCTION("""COMPUTED_VALUE"""),"N")</f>
        <v>N</v>
      </c>
      <c r="AQ115" s="182"/>
      <c r="AR115" s="187">
        <f>IFERROR(__xludf.DUMMYFUNCTION("""COMPUTED_VALUE"""),45801.0)</f>
        <v>45801</v>
      </c>
      <c r="AS115" s="182" t="b">
        <f>IFERROR(__xludf.DUMMYFUNCTION("""COMPUTED_VALUE"""),FALSE)</f>
        <v>0</v>
      </c>
      <c r="AT115" s="182"/>
      <c r="AU115" s="182"/>
      <c r="AV115" s="187">
        <f>IFERROR(__xludf.DUMMYFUNCTION("""COMPUTED_VALUE"""),45801.0)</f>
        <v>45801</v>
      </c>
      <c r="AW115" s="182" t="b">
        <f>IFERROR(__xludf.DUMMYFUNCTION("""COMPUTED_VALUE"""),FALSE)</f>
        <v>0</v>
      </c>
      <c r="AX115" s="182"/>
      <c r="AY115" s="182"/>
      <c r="AZ115" s="187">
        <f>IFERROR(__xludf.DUMMYFUNCTION("""COMPUTED_VALUE"""),45827.0)</f>
        <v>45827</v>
      </c>
      <c r="BA115" s="182" t="b">
        <f>IFERROR(__xludf.DUMMYFUNCTION("""COMPUTED_VALUE"""),FALSE)</f>
        <v>0</v>
      </c>
      <c r="BB115" s="187">
        <f>IFERROR(__xludf.DUMMYFUNCTION("""COMPUTED_VALUE"""),45827.0)</f>
        <v>45827</v>
      </c>
    </row>
    <row r="116">
      <c r="A116" s="184" t="str">
        <f t="shared" si="1"/>
        <v>#VALUE!</v>
      </c>
      <c r="B116" s="69" t="str">
        <f t="shared" si="2"/>
        <v>#VALUE!</v>
      </c>
      <c r="C116" s="182" t="str">
        <f>IFERROR(__xludf.DUMMYFUNCTION("""COMPUTED_VALUE"""),"EU")</f>
        <v>EU</v>
      </c>
      <c r="D116" s="182" t="str">
        <f>IFERROR(__xludf.DUMMYFUNCTION("""COMPUTED_VALUE"""),"MP")</f>
        <v>MP</v>
      </c>
      <c r="E116" s="182" t="str">
        <f>IFERROR(__xludf.DUMMYFUNCTION("""COMPUTED_VALUE"""),"DEMO")</f>
        <v>DEMO</v>
      </c>
      <c r="F116" s="182" t="str">
        <f>IFERROR(__xludf.DUMMYFUNCTION("""COMPUTED_VALUE"""),"GA10785-GB")</f>
        <v>GA10785-GB</v>
      </c>
      <c r="G116" s="182" t="str">
        <f>IFERROR(__xludf.DUMMYFUNCTION("""COMPUTED_VALUE"""),"GEHN3")</f>
        <v>GEHN3</v>
      </c>
      <c r="H116" s="182">
        <f>IFERROR(__xludf.DUMMYFUNCTION("""COMPUTED_VALUE"""),8.40353938069E11)</f>
        <v>840353938069</v>
      </c>
      <c r="I116" s="185" t="str">
        <f>IFERROR(__xludf.DUMMYFUNCTION("""COMPUTED_VALUE"""),"0840353938069")</f>
        <v>0840353938069</v>
      </c>
      <c r="J116" s="182"/>
      <c r="K116" s="182" t="str">
        <f>IFERROR(__xludf.DUMMYFUNCTION("""COMPUTED_VALUE"""),"ROW Master Carton Label (EAN)")</f>
        <v>ROW Master Carton Label (EAN)</v>
      </c>
      <c r="L116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16" s="188" t="str">
        <f>IFERROR(__xludf.DUMMYFUNCTION("""COMPUTED_VALUE"""),"G990-08531-21-03")</f>
        <v>G990-08531-21-03</v>
      </c>
      <c r="N116" s="182"/>
      <c r="O116" s="188" t="str">
        <f>IFERROR(__xludf.DUMMYFUNCTION("""COMPUTED_VALUE"""),"G990-09740-00-01")</f>
        <v>G990-09740-00-01</v>
      </c>
      <c r="P116" s="182"/>
      <c r="Q116" s="182" t="str">
        <f>IFERROR(__xludf.DUMMYFUNCTION("""COMPUTED_VALUE"""),"128GB")</f>
        <v>128GB</v>
      </c>
      <c r="R116" s="182" t="str">
        <f>IFERROR(__xludf.DUMMYFUNCTION("""COMPUTED_VALUE"""),"Porcelain")</f>
        <v>Porcelain</v>
      </c>
      <c r="S116" s="182" t="str">
        <f>IFERROR(__xludf.DUMMYFUNCTION("""COMPUTED_VALUE"""),"Light Porcelain")</f>
        <v>Light Porcelain</v>
      </c>
      <c r="T116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16" s="182" t="str">
        <f>IFERROR(__xludf.DUMMYFUNCTION("""COMPUTED_VALUE"""),"SKU,CLR2, GOOD, SUB6, UK/EU, DEMO, BZ5")</f>
        <v>SKU,CLR2, GOOD, SUB6, UK/EU, DEMO, BZ5</v>
      </c>
      <c r="V116" s="182"/>
      <c r="W116" s="183" t="str">
        <f>IFERROR(__xludf.DUMMYFUNCTION("""COMPUTED_VALUE"""),"#NUM!")</f>
        <v>#NUM!</v>
      </c>
      <c r="X116" s="186">
        <f>IFERROR(__xludf.DUMMYFUNCTION("""COMPUTED_VALUE"""),45831.0)</f>
        <v>45831</v>
      </c>
      <c r="Y116" s="187">
        <f>IFERROR(__xludf.DUMMYFUNCTION("""COMPUTED_VALUE"""),45780.0)</f>
        <v>45780</v>
      </c>
      <c r="Z116" s="182" t="b">
        <f>IFERROR(__xludf.DUMMYFUNCTION("""COMPUTED_VALUE"""),FALSE)</f>
        <v>0</v>
      </c>
      <c r="AA116" s="187">
        <f>IFERROR(__xludf.DUMMYFUNCTION("""COMPUTED_VALUE"""),45780.0)</f>
        <v>45780</v>
      </c>
      <c r="AB116" s="182" t="b">
        <f>IFERROR(__xludf.DUMMYFUNCTION("""COMPUTED_VALUE"""),FALSE)</f>
        <v>0</v>
      </c>
      <c r="AC116" s="187">
        <f>IFERROR(__xludf.DUMMYFUNCTION("""COMPUTED_VALUE"""),45787.0)</f>
        <v>45787</v>
      </c>
      <c r="AD116" s="187">
        <f>IFERROR(__xludf.DUMMYFUNCTION("""COMPUTED_VALUE"""),45787.0)</f>
        <v>45787</v>
      </c>
      <c r="AE116" s="188" t="str">
        <f>IFERROR(__xludf.DUMMYFUNCTION("""COMPUTED_VALUE"""),"GA10785-GB")</f>
        <v>GA10785-GB</v>
      </c>
      <c r="AF116" s="182"/>
      <c r="AG116" s="188" t="str">
        <f>IFERROR(__xludf.DUMMYFUNCTION("""COMPUTED_VALUE"""),"GA10785-GB")</f>
        <v>GA10785-GB</v>
      </c>
      <c r="AH116" s="188" t="str">
        <f>IFERROR(__xludf.DUMMYFUNCTION("""COMPUTED_VALUE"""),"GA10785-GB")</f>
        <v>GA10785-GB</v>
      </c>
      <c r="AI116" s="188" t="str">
        <f>IFERROR(__xludf.DUMMYFUNCTION("""COMPUTED_VALUE"""),"GA10785-GB")</f>
        <v>GA10785-GB</v>
      </c>
      <c r="AJ116" s="187">
        <f>IFERROR(__xludf.DUMMYFUNCTION("""COMPUTED_VALUE"""),45793.0)</f>
        <v>45793</v>
      </c>
      <c r="AK116" s="187">
        <f>IFERROR(__xludf.DUMMYFUNCTION("""COMPUTED_VALUE"""),45801.0)</f>
        <v>45801</v>
      </c>
      <c r="AL116" s="182" t="b">
        <f>IFERROR(__xludf.DUMMYFUNCTION("""COMPUTED_VALUE"""),FALSE)</f>
        <v>0</v>
      </c>
      <c r="AM116" s="182" t="b">
        <f>IFERROR(__xludf.DUMMYFUNCTION("""COMPUTED_VALUE"""),FALSE)</f>
        <v>0</v>
      </c>
      <c r="AN116" s="187">
        <f>IFERROR(__xludf.DUMMYFUNCTION("""COMPUTED_VALUE"""),45801.0)</f>
        <v>45801</v>
      </c>
      <c r="AO116" s="182" t="b">
        <f>IFERROR(__xludf.DUMMYFUNCTION("""COMPUTED_VALUE"""),FALSE)</f>
        <v>0</v>
      </c>
      <c r="AP116" s="182" t="str">
        <f>IFERROR(__xludf.DUMMYFUNCTION("""COMPUTED_VALUE"""),"Y")</f>
        <v>Y</v>
      </c>
      <c r="AQ116" s="182"/>
      <c r="AR116" s="187">
        <f>IFERROR(__xludf.DUMMYFUNCTION("""COMPUTED_VALUE"""),45801.0)</f>
        <v>45801</v>
      </c>
      <c r="AS116" s="182" t="b">
        <f>IFERROR(__xludf.DUMMYFUNCTION("""COMPUTED_VALUE"""),FALSE)</f>
        <v>0</v>
      </c>
      <c r="AT116" s="182"/>
      <c r="AU116" s="182"/>
      <c r="AV116" s="187">
        <f>IFERROR(__xludf.DUMMYFUNCTION("""COMPUTED_VALUE"""),45801.0)</f>
        <v>45801</v>
      </c>
      <c r="AW116" s="182" t="b">
        <f>IFERROR(__xludf.DUMMYFUNCTION("""COMPUTED_VALUE"""),FALSE)</f>
        <v>0</v>
      </c>
      <c r="AX116" s="182"/>
      <c r="AY116" s="182"/>
      <c r="AZ116" s="187">
        <f>IFERROR(__xludf.DUMMYFUNCTION("""COMPUTED_VALUE"""),45827.0)</f>
        <v>45827</v>
      </c>
      <c r="BA116" s="182" t="b">
        <f>IFERROR(__xludf.DUMMYFUNCTION("""COMPUTED_VALUE"""),FALSE)</f>
        <v>0</v>
      </c>
      <c r="BB116" s="187">
        <f>IFERROR(__xludf.DUMMYFUNCTION("""COMPUTED_VALUE"""),45827.0)</f>
        <v>45827</v>
      </c>
    </row>
    <row r="117">
      <c r="A117" s="184" t="str">
        <f t="shared" si="1"/>
        <v>#VALUE!</v>
      </c>
      <c r="B117" s="69" t="str">
        <f t="shared" si="2"/>
        <v>#VALUE!</v>
      </c>
      <c r="C117" s="182" t="str">
        <f>IFERROR(__xludf.DUMMYFUNCTION("""COMPUTED_VALUE"""),"EU")</f>
        <v>EU</v>
      </c>
      <c r="D117" s="182" t="str">
        <f>IFERROR(__xludf.DUMMYFUNCTION("""COMPUTED_VALUE"""),"MP")</f>
        <v>MP</v>
      </c>
      <c r="E117" s="182" t="str">
        <f>IFERROR(__xludf.DUMMYFUNCTION("""COMPUTED_VALUE"""),"DEMO")</f>
        <v>DEMO</v>
      </c>
      <c r="F117" s="182" t="str">
        <f>IFERROR(__xludf.DUMMYFUNCTION("""COMPUTED_VALUE"""),"GA10788-GB")</f>
        <v>GA10788-GB</v>
      </c>
      <c r="G117" s="182" t="str">
        <f>IFERROR(__xludf.DUMMYFUNCTION("""COMPUTED_VALUE"""),"GEHN3")</f>
        <v>GEHN3</v>
      </c>
      <c r="H117" s="182">
        <f>IFERROR(__xludf.DUMMYFUNCTION("""COMPUTED_VALUE"""),8.4035393812E11)</f>
        <v>840353938120</v>
      </c>
      <c r="I117" s="185" t="str">
        <f>IFERROR(__xludf.DUMMYFUNCTION("""COMPUTED_VALUE"""),"0840353938120")</f>
        <v>0840353938120</v>
      </c>
      <c r="J117" s="182"/>
      <c r="K117" s="182" t="str">
        <f>IFERROR(__xludf.DUMMYFUNCTION("""COMPUTED_VALUE"""),"ROW Master Carton Label (EAN)")</f>
        <v>ROW Master Carton Label (EAN)</v>
      </c>
      <c r="L117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17" s="188" t="str">
        <f>IFERROR(__xludf.DUMMYFUNCTION("""COMPUTED_VALUE"""),"G990-08531-31-03")</f>
        <v>G990-08531-31-03</v>
      </c>
      <c r="N117" s="182"/>
      <c r="O117" s="188" t="str">
        <f>IFERROR(__xludf.DUMMYFUNCTION("""COMPUTED_VALUE"""),"G990-09740-00-01")</f>
        <v>G990-09740-00-01</v>
      </c>
      <c r="P117" s="182"/>
      <c r="Q117" s="182" t="str">
        <f>IFERROR(__xludf.DUMMYFUNCTION("""COMPUTED_VALUE"""),"128GB")</f>
        <v>128GB</v>
      </c>
      <c r="R117" s="182" t="str">
        <f>IFERROR(__xludf.DUMMYFUNCTION("""COMPUTED_VALUE"""),"Moonstone")</f>
        <v>Moonstone</v>
      </c>
      <c r="S117" s="182" t="str">
        <f>IFERROR(__xludf.DUMMYFUNCTION("""COMPUTED_VALUE"""),"Sterling")</f>
        <v>Sterling</v>
      </c>
      <c r="T117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17" s="182" t="str">
        <f>IFERROR(__xludf.DUMMYFUNCTION("""COMPUTED_VALUE"""),"SKU,CLR3, GOOD, SUB6, UK/EU, DEMO, BZ5")</f>
        <v>SKU,CLR3, GOOD, SUB6, UK/EU, DEMO, BZ5</v>
      </c>
      <c r="V117" s="182"/>
      <c r="W117" s="183" t="str">
        <f>IFERROR(__xludf.DUMMYFUNCTION("""COMPUTED_VALUE"""),"#NUM!")</f>
        <v>#NUM!</v>
      </c>
      <c r="X117" s="186">
        <f>IFERROR(__xludf.DUMMYFUNCTION("""COMPUTED_VALUE"""),45831.0)</f>
        <v>45831</v>
      </c>
      <c r="Y117" s="187">
        <f>IFERROR(__xludf.DUMMYFUNCTION("""COMPUTED_VALUE"""),45780.0)</f>
        <v>45780</v>
      </c>
      <c r="Z117" s="182" t="b">
        <f>IFERROR(__xludf.DUMMYFUNCTION("""COMPUTED_VALUE"""),FALSE)</f>
        <v>0</v>
      </c>
      <c r="AA117" s="187">
        <f>IFERROR(__xludf.DUMMYFUNCTION("""COMPUTED_VALUE"""),45780.0)</f>
        <v>45780</v>
      </c>
      <c r="AB117" s="182" t="b">
        <f>IFERROR(__xludf.DUMMYFUNCTION("""COMPUTED_VALUE"""),FALSE)</f>
        <v>0</v>
      </c>
      <c r="AC117" s="187">
        <f>IFERROR(__xludf.DUMMYFUNCTION("""COMPUTED_VALUE"""),45787.0)</f>
        <v>45787</v>
      </c>
      <c r="AD117" s="187">
        <f>IFERROR(__xludf.DUMMYFUNCTION("""COMPUTED_VALUE"""),45787.0)</f>
        <v>45787</v>
      </c>
      <c r="AE117" s="188" t="str">
        <f>IFERROR(__xludf.DUMMYFUNCTION("""COMPUTED_VALUE"""),"GA10788-GB")</f>
        <v>GA10788-GB</v>
      </c>
      <c r="AF117" s="182"/>
      <c r="AG117" s="188" t="str">
        <f>IFERROR(__xludf.DUMMYFUNCTION("""COMPUTED_VALUE"""),"GA10788-GB")</f>
        <v>GA10788-GB</v>
      </c>
      <c r="AH117" s="188" t="str">
        <f>IFERROR(__xludf.DUMMYFUNCTION("""COMPUTED_VALUE"""),"GA10788-GB")</f>
        <v>GA10788-GB</v>
      </c>
      <c r="AI117" s="188" t="str">
        <f>IFERROR(__xludf.DUMMYFUNCTION("""COMPUTED_VALUE"""),"GA10788-GB")</f>
        <v>GA10788-GB</v>
      </c>
      <c r="AJ117" s="187">
        <f>IFERROR(__xludf.DUMMYFUNCTION("""COMPUTED_VALUE"""),45793.0)</f>
        <v>45793</v>
      </c>
      <c r="AK117" s="187">
        <f>IFERROR(__xludf.DUMMYFUNCTION("""COMPUTED_VALUE"""),45801.0)</f>
        <v>45801</v>
      </c>
      <c r="AL117" s="182" t="b">
        <f>IFERROR(__xludf.DUMMYFUNCTION("""COMPUTED_VALUE"""),FALSE)</f>
        <v>0</v>
      </c>
      <c r="AM117" s="182" t="b">
        <f>IFERROR(__xludf.DUMMYFUNCTION("""COMPUTED_VALUE"""),FALSE)</f>
        <v>0</v>
      </c>
      <c r="AN117" s="187">
        <f>IFERROR(__xludf.DUMMYFUNCTION("""COMPUTED_VALUE"""),45801.0)</f>
        <v>45801</v>
      </c>
      <c r="AO117" s="182" t="b">
        <f>IFERROR(__xludf.DUMMYFUNCTION("""COMPUTED_VALUE"""),FALSE)</f>
        <v>0</v>
      </c>
      <c r="AP117" s="182" t="str">
        <f>IFERROR(__xludf.DUMMYFUNCTION("""COMPUTED_VALUE"""),"N")</f>
        <v>N</v>
      </c>
      <c r="AQ117" s="182"/>
      <c r="AR117" s="187">
        <f>IFERROR(__xludf.DUMMYFUNCTION("""COMPUTED_VALUE"""),45801.0)</f>
        <v>45801</v>
      </c>
      <c r="AS117" s="182" t="b">
        <f>IFERROR(__xludf.DUMMYFUNCTION("""COMPUTED_VALUE"""),FALSE)</f>
        <v>0</v>
      </c>
      <c r="AT117" s="182"/>
      <c r="AU117" s="182"/>
      <c r="AV117" s="187">
        <f>IFERROR(__xludf.DUMMYFUNCTION("""COMPUTED_VALUE"""),45801.0)</f>
        <v>45801</v>
      </c>
      <c r="AW117" s="182" t="b">
        <f>IFERROR(__xludf.DUMMYFUNCTION("""COMPUTED_VALUE"""),FALSE)</f>
        <v>0</v>
      </c>
      <c r="AX117" s="182"/>
      <c r="AY117" s="182"/>
      <c r="AZ117" s="187">
        <f>IFERROR(__xludf.DUMMYFUNCTION("""COMPUTED_VALUE"""),45827.0)</f>
        <v>45827</v>
      </c>
      <c r="BA117" s="182" t="b">
        <f>IFERROR(__xludf.DUMMYFUNCTION("""COMPUTED_VALUE"""),FALSE)</f>
        <v>0</v>
      </c>
      <c r="BB117" s="187">
        <f>IFERROR(__xludf.DUMMYFUNCTION("""COMPUTED_VALUE"""),45827.0)</f>
        <v>45827</v>
      </c>
    </row>
    <row r="118">
      <c r="A118" s="184" t="str">
        <f t="shared" si="1"/>
        <v>#VALUE!</v>
      </c>
      <c r="B118" s="69" t="str">
        <f t="shared" si="2"/>
        <v>#VALUE!</v>
      </c>
      <c r="C118" s="182" t="str">
        <f>IFERROR(__xludf.DUMMYFUNCTION("""COMPUTED_VALUE"""),"EU")</f>
        <v>EU</v>
      </c>
      <c r="D118" s="182" t="str">
        <f>IFERROR(__xludf.DUMMYFUNCTION("""COMPUTED_VALUE"""),"MP")</f>
        <v>MP</v>
      </c>
      <c r="E118" s="182" t="str">
        <f>IFERROR(__xludf.DUMMYFUNCTION("""COMPUTED_VALUE"""),"DEMO")</f>
        <v>DEMO</v>
      </c>
      <c r="F118" s="182" t="str">
        <f>IFERROR(__xludf.DUMMYFUNCTION("""COMPUTED_VALUE"""),"GA10791-GB")</f>
        <v>GA10791-GB</v>
      </c>
      <c r="G118" s="182" t="str">
        <f>IFERROR(__xludf.DUMMYFUNCTION("""COMPUTED_VALUE"""),"GEHN3")</f>
        <v>GEHN3</v>
      </c>
      <c r="H118" s="182">
        <f>IFERROR(__xludf.DUMMYFUNCTION("""COMPUTED_VALUE"""),8.40353938182E11)</f>
        <v>840353938182</v>
      </c>
      <c r="I118" s="185" t="str">
        <f>IFERROR(__xludf.DUMMYFUNCTION("""COMPUTED_VALUE"""),"0840353938182")</f>
        <v>0840353938182</v>
      </c>
      <c r="J118" s="182"/>
      <c r="K118" s="182" t="str">
        <f>IFERROR(__xludf.DUMMYFUNCTION("""COMPUTED_VALUE"""),"ROW Master Carton Label (EAN)")</f>
        <v>ROW Master Carton Label (EAN)</v>
      </c>
      <c r="L118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18" s="188" t="str">
        <f>IFERROR(__xludf.DUMMYFUNCTION("""COMPUTED_VALUE"""),"G990-08531-42-03")</f>
        <v>G990-08531-42-03</v>
      </c>
      <c r="N118" s="182"/>
      <c r="O118" s="188" t="str">
        <f>IFERROR(__xludf.DUMMYFUNCTION("""COMPUTED_VALUE"""),"G990-09740-00-01")</f>
        <v>G990-09740-00-01</v>
      </c>
      <c r="P118" s="182"/>
      <c r="Q118" s="182" t="str">
        <f>IFERROR(__xludf.DUMMYFUNCTION("""COMPUTED_VALUE"""),"256GB")</f>
        <v>256GB</v>
      </c>
      <c r="R118" s="182" t="str">
        <f>IFERROR(__xludf.DUMMYFUNCTION("""COMPUTED_VALUE"""),"Jade")</f>
        <v>Jade</v>
      </c>
      <c r="S118" s="182" t="str">
        <f>IFERROR(__xludf.DUMMYFUNCTION("""COMPUTED_VALUE"""),"Smokey Green")</f>
        <v>Smokey Green</v>
      </c>
      <c r="T118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18" s="182" t="str">
        <f>IFERROR(__xludf.DUMMYFUNCTION("""COMPUTED_VALUE"""),"SKU,CLR4, BETTER, SUB6, UK/EU, DEMO, BZ5")</f>
        <v>SKU,CLR4, BETTER, SUB6, UK/EU, DEMO, BZ5</v>
      </c>
      <c r="V118" s="182"/>
      <c r="W118" s="183" t="str">
        <f>IFERROR(__xludf.DUMMYFUNCTION("""COMPUTED_VALUE"""),"#NUM!")</f>
        <v>#NUM!</v>
      </c>
      <c r="X118" s="186">
        <f>IFERROR(__xludf.DUMMYFUNCTION("""COMPUTED_VALUE"""),45831.0)</f>
        <v>45831</v>
      </c>
      <c r="Y118" s="187">
        <f>IFERROR(__xludf.DUMMYFUNCTION("""COMPUTED_VALUE"""),45780.0)</f>
        <v>45780</v>
      </c>
      <c r="Z118" s="182" t="b">
        <f>IFERROR(__xludf.DUMMYFUNCTION("""COMPUTED_VALUE"""),FALSE)</f>
        <v>0</v>
      </c>
      <c r="AA118" s="187">
        <f>IFERROR(__xludf.DUMMYFUNCTION("""COMPUTED_VALUE"""),45780.0)</f>
        <v>45780</v>
      </c>
      <c r="AB118" s="182" t="b">
        <f>IFERROR(__xludf.DUMMYFUNCTION("""COMPUTED_VALUE"""),FALSE)</f>
        <v>0</v>
      </c>
      <c r="AC118" s="187">
        <f>IFERROR(__xludf.DUMMYFUNCTION("""COMPUTED_VALUE"""),45787.0)</f>
        <v>45787</v>
      </c>
      <c r="AD118" s="187">
        <f>IFERROR(__xludf.DUMMYFUNCTION("""COMPUTED_VALUE"""),45787.0)</f>
        <v>45787</v>
      </c>
      <c r="AE118" s="188" t="str">
        <f>IFERROR(__xludf.DUMMYFUNCTION("""COMPUTED_VALUE"""),"GA10791-GB")</f>
        <v>GA10791-GB</v>
      </c>
      <c r="AF118" s="182"/>
      <c r="AG118" s="188" t="str">
        <f>IFERROR(__xludf.DUMMYFUNCTION("""COMPUTED_VALUE"""),"GA10791-GB")</f>
        <v>GA10791-GB</v>
      </c>
      <c r="AH118" s="188" t="str">
        <f>IFERROR(__xludf.DUMMYFUNCTION("""COMPUTED_VALUE"""),"GA10791-GB")</f>
        <v>GA10791-GB</v>
      </c>
      <c r="AI118" s="188" t="str">
        <f>IFERROR(__xludf.DUMMYFUNCTION("""COMPUTED_VALUE"""),"GA10791-GB")</f>
        <v>GA10791-GB</v>
      </c>
      <c r="AJ118" s="187">
        <f>IFERROR(__xludf.DUMMYFUNCTION("""COMPUTED_VALUE"""),45793.0)</f>
        <v>45793</v>
      </c>
      <c r="AK118" s="187">
        <f>IFERROR(__xludf.DUMMYFUNCTION("""COMPUTED_VALUE"""),45801.0)</f>
        <v>45801</v>
      </c>
      <c r="AL118" s="182" t="b">
        <f>IFERROR(__xludf.DUMMYFUNCTION("""COMPUTED_VALUE"""),FALSE)</f>
        <v>0</v>
      </c>
      <c r="AM118" s="182" t="b">
        <f>IFERROR(__xludf.DUMMYFUNCTION("""COMPUTED_VALUE"""),FALSE)</f>
        <v>0</v>
      </c>
      <c r="AN118" s="187">
        <f>IFERROR(__xludf.DUMMYFUNCTION("""COMPUTED_VALUE"""),45801.0)</f>
        <v>45801</v>
      </c>
      <c r="AO118" s="182" t="b">
        <f>IFERROR(__xludf.DUMMYFUNCTION("""COMPUTED_VALUE"""),FALSE)</f>
        <v>0</v>
      </c>
      <c r="AP118" s="182" t="str">
        <f>IFERROR(__xludf.DUMMYFUNCTION("""COMPUTED_VALUE"""),"N")</f>
        <v>N</v>
      </c>
      <c r="AQ118" s="182"/>
      <c r="AR118" s="187">
        <f>IFERROR(__xludf.DUMMYFUNCTION("""COMPUTED_VALUE"""),45801.0)</f>
        <v>45801</v>
      </c>
      <c r="AS118" s="182" t="b">
        <f>IFERROR(__xludf.DUMMYFUNCTION("""COMPUTED_VALUE"""),FALSE)</f>
        <v>0</v>
      </c>
      <c r="AT118" s="182"/>
      <c r="AU118" s="182"/>
      <c r="AV118" s="187">
        <f>IFERROR(__xludf.DUMMYFUNCTION("""COMPUTED_VALUE"""),45801.0)</f>
        <v>45801</v>
      </c>
      <c r="AW118" s="182" t="b">
        <f>IFERROR(__xludf.DUMMYFUNCTION("""COMPUTED_VALUE"""),FALSE)</f>
        <v>0</v>
      </c>
      <c r="AX118" s="182"/>
      <c r="AY118" s="182"/>
      <c r="AZ118" s="187">
        <f>IFERROR(__xludf.DUMMYFUNCTION("""COMPUTED_VALUE"""),45827.0)</f>
        <v>45827</v>
      </c>
      <c r="BA118" s="182" t="b">
        <f>IFERROR(__xludf.DUMMYFUNCTION("""COMPUTED_VALUE"""),FALSE)</f>
        <v>0</v>
      </c>
      <c r="BB118" s="187">
        <f>IFERROR(__xludf.DUMMYFUNCTION("""COMPUTED_VALUE"""),45827.0)</f>
        <v>45827</v>
      </c>
    </row>
    <row r="119">
      <c r="A119" s="184" t="str">
        <f t="shared" si="1"/>
        <v>#VALUE!</v>
      </c>
      <c r="B119" s="69" t="str">
        <f t="shared" si="2"/>
        <v>#VALUE!</v>
      </c>
      <c r="C119" s="182" t="str">
        <f>IFERROR(__xludf.DUMMYFUNCTION("""COMPUTED_VALUE"""),"IN")</f>
        <v>IN</v>
      </c>
      <c r="D119" s="182" t="str">
        <f>IFERROR(__xludf.DUMMYFUNCTION("""COMPUTED_VALUE"""),"MP")</f>
        <v>MP</v>
      </c>
      <c r="E119" s="182" t="str">
        <f>IFERROR(__xludf.DUMMYFUNCTION("""COMPUTED_VALUE"""),"DEMO")</f>
        <v>DEMO</v>
      </c>
      <c r="F119" s="182" t="str">
        <f>IFERROR(__xludf.DUMMYFUNCTION("""COMPUTED_VALUE"""),"GA10792-IN")</f>
        <v>GA10792-IN</v>
      </c>
      <c r="G119" s="182" t="str">
        <f>IFERROR(__xludf.DUMMYFUNCTION("""COMPUTED_VALUE"""),"GEHN3")</f>
        <v>GEHN3</v>
      </c>
      <c r="H119" s="182">
        <f>IFERROR(__xludf.DUMMYFUNCTION("""COMPUTED_VALUE"""),8.4035393797E11)</f>
        <v>840353937970</v>
      </c>
      <c r="I119" s="185" t="str">
        <f>IFERROR(__xludf.DUMMYFUNCTION("""COMPUTED_VALUE"""),"0840353937970")</f>
        <v>0840353937970</v>
      </c>
      <c r="J119" s="182"/>
      <c r="K119" s="182" t="str">
        <f>IFERROR(__xludf.DUMMYFUNCTION("""COMPUTED_VALUE"""),"IN Master Carton Label
(VN factory used)")</f>
        <v>IN Master Carton Label
(VN factory used)</v>
      </c>
      <c r="L119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19" s="188" t="str">
        <f>IFERROR(__xludf.DUMMYFUNCTION("""COMPUTED_VALUE"""),"G990-08530-12-02")</f>
        <v>G990-08530-12-02</v>
      </c>
      <c r="N119" s="182"/>
      <c r="O119" s="188" t="str">
        <f>IFERROR(__xludf.DUMMYFUNCTION("""COMPUTED_VALUE"""),"G990-09739-00-01")</f>
        <v>G990-09739-00-01</v>
      </c>
      <c r="P119" s="182"/>
      <c r="Q119" s="182" t="str">
        <f>IFERROR(__xludf.DUMMYFUNCTION("""COMPUTED_VALUE"""),"256GB")</f>
        <v>256GB</v>
      </c>
      <c r="R119" s="182" t="str">
        <f>IFERROR(__xludf.DUMMYFUNCTION("""COMPUTED_VALUE"""),"Obsidian")</f>
        <v>Obsidian</v>
      </c>
      <c r="S119" s="182" t="str">
        <f>IFERROR(__xludf.DUMMYFUNCTION("""COMPUTED_VALUE"""),"Midnight")</f>
        <v>Midnight</v>
      </c>
      <c r="T119" s="182" t="str">
        <f>IFERROR(__xludf.DUMMYFUNCTION("""COMPUTED_VALUE"""),"IN")</f>
        <v>IN</v>
      </c>
      <c r="U119" s="182" t="str">
        <f>IFERROR(__xludf.DUMMYFUNCTION("""COMPUTED_VALUE"""),"SKU,CLR1, BETTER, SUB6, IN, DEMO, BZ5")</f>
        <v>SKU,CLR1, BETTER, SUB6, IN, DEMO, BZ5</v>
      </c>
      <c r="V119" s="182"/>
      <c r="W119" s="183" t="str">
        <f>IFERROR(__xludf.DUMMYFUNCTION("""COMPUTED_VALUE"""),"#NUM!")</f>
        <v>#NUM!</v>
      </c>
      <c r="X119" s="186">
        <f>IFERROR(__xludf.DUMMYFUNCTION("""COMPUTED_VALUE"""),45831.0)</f>
        <v>45831</v>
      </c>
      <c r="Y119" s="187">
        <f>IFERROR(__xludf.DUMMYFUNCTION("""COMPUTED_VALUE"""),45780.0)</f>
        <v>45780</v>
      </c>
      <c r="Z119" s="182" t="b">
        <f>IFERROR(__xludf.DUMMYFUNCTION("""COMPUTED_VALUE"""),FALSE)</f>
        <v>0</v>
      </c>
      <c r="AA119" s="187">
        <f>IFERROR(__xludf.DUMMYFUNCTION("""COMPUTED_VALUE"""),45780.0)</f>
        <v>45780</v>
      </c>
      <c r="AB119" s="182" t="b">
        <f>IFERROR(__xludf.DUMMYFUNCTION("""COMPUTED_VALUE"""),FALSE)</f>
        <v>0</v>
      </c>
      <c r="AC119" s="187">
        <f>IFERROR(__xludf.DUMMYFUNCTION("""COMPUTED_VALUE"""),45787.0)</f>
        <v>45787</v>
      </c>
      <c r="AD119" s="187">
        <f>IFERROR(__xludf.DUMMYFUNCTION("""COMPUTED_VALUE"""),45787.0)</f>
        <v>45787</v>
      </c>
      <c r="AE119" s="188" t="str">
        <f>IFERROR(__xludf.DUMMYFUNCTION("""COMPUTED_VALUE"""),"GA10792-IN")</f>
        <v>GA10792-IN</v>
      </c>
      <c r="AF119" s="182"/>
      <c r="AG119" s="188" t="str">
        <f>IFERROR(__xludf.DUMMYFUNCTION("""COMPUTED_VALUE"""),"GA10792-IN")</f>
        <v>GA10792-IN</v>
      </c>
      <c r="AH119" s="188" t="str">
        <f>IFERROR(__xludf.DUMMYFUNCTION("""COMPUTED_VALUE"""),"GA10792-IN")</f>
        <v>GA10792-IN</v>
      </c>
      <c r="AI119" s="188" t="str">
        <f>IFERROR(__xludf.DUMMYFUNCTION("""COMPUTED_VALUE"""),"GA10792-IN")</f>
        <v>GA10792-IN</v>
      </c>
      <c r="AJ119" s="187">
        <f>IFERROR(__xludf.DUMMYFUNCTION("""COMPUTED_VALUE"""),45793.0)</f>
        <v>45793</v>
      </c>
      <c r="AK119" s="187">
        <f>IFERROR(__xludf.DUMMYFUNCTION("""COMPUTED_VALUE"""),45801.0)</f>
        <v>45801</v>
      </c>
      <c r="AL119" s="182" t="b">
        <f>IFERROR(__xludf.DUMMYFUNCTION("""COMPUTED_VALUE"""),FALSE)</f>
        <v>0</v>
      </c>
      <c r="AM119" s="182" t="b">
        <f>IFERROR(__xludf.DUMMYFUNCTION("""COMPUTED_VALUE"""),FALSE)</f>
        <v>0</v>
      </c>
      <c r="AN119" s="187">
        <f>IFERROR(__xludf.DUMMYFUNCTION("""COMPUTED_VALUE"""),45801.0)</f>
        <v>45801</v>
      </c>
      <c r="AO119" s="182" t="b">
        <f>IFERROR(__xludf.DUMMYFUNCTION("""COMPUTED_VALUE"""),FALSE)</f>
        <v>0</v>
      </c>
      <c r="AP119" s="182" t="str">
        <f>IFERROR(__xludf.DUMMYFUNCTION("""COMPUTED_VALUE"""),"Y")</f>
        <v>Y</v>
      </c>
      <c r="AQ119" s="182"/>
      <c r="AR119" s="187">
        <f>IFERROR(__xludf.DUMMYFUNCTION("""COMPUTED_VALUE"""),45801.0)</f>
        <v>45801</v>
      </c>
      <c r="AS119" s="182" t="b">
        <f>IFERROR(__xludf.DUMMYFUNCTION("""COMPUTED_VALUE"""),FALSE)</f>
        <v>0</v>
      </c>
      <c r="AT119" s="182"/>
      <c r="AU119" s="182"/>
      <c r="AV119" s="187">
        <f>IFERROR(__xludf.DUMMYFUNCTION("""COMPUTED_VALUE"""),45801.0)</f>
        <v>45801</v>
      </c>
      <c r="AW119" s="182" t="b">
        <f>IFERROR(__xludf.DUMMYFUNCTION("""COMPUTED_VALUE"""),FALSE)</f>
        <v>0</v>
      </c>
      <c r="AX119" s="182"/>
      <c r="AY119" s="182"/>
      <c r="AZ119" s="187">
        <f>IFERROR(__xludf.DUMMYFUNCTION("""COMPUTED_VALUE"""),45827.0)</f>
        <v>45827</v>
      </c>
      <c r="BA119" s="182" t="b">
        <f>IFERROR(__xludf.DUMMYFUNCTION("""COMPUTED_VALUE"""),FALSE)</f>
        <v>0</v>
      </c>
      <c r="BB119" s="187">
        <f>IFERROR(__xludf.DUMMYFUNCTION("""COMPUTED_VALUE"""),45827.0)</f>
        <v>45827</v>
      </c>
    </row>
    <row r="120">
      <c r="A120" s="184" t="str">
        <f t="shared" si="1"/>
        <v>#VALUE!</v>
      </c>
      <c r="B120" s="69" t="str">
        <f t="shared" si="2"/>
        <v>#VALUE!</v>
      </c>
      <c r="C120" s="182" t="str">
        <f>IFERROR(__xludf.DUMMYFUNCTION("""COMPUTED_VALUE"""),"IN")</f>
        <v>IN</v>
      </c>
      <c r="D120" s="182" t="str">
        <f>IFERROR(__xludf.DUMMYFUNCTION("""COMPUTED_VALUE"""),"MP")</f>
        <v>MP</v>
      </c>
      <c r="E120" s="182" t="str">
        <f>IFERROR(__xludf.DUMMYFUNCTION("""COMPUTED_VALUE"""),"DEMO")</f>
        <v>DEMO</v>
      </c>
      <c r="F120" s="182" t="str">
        <f>IFERROR(__xludf.DUMMYFUNCTION("""COMPUTED_VALUE"""),"GA10793-IN")</f>
        <v>GA10793-IN</v>
      </c>
      <c r="G120" s="182" t="str">
        <f>IFERROR(__xludf.DUMMYFUNCTION("""COMPUTED_VALUE"""),"GEHN3")</f>
        <v>GEHN3</v>
      </c>
      <c r="H120" s="182">
        <f>IFERROR(__xludf.DUMMYFUNCTION("""COMPUTED_VALUE"""),8.40353937987E11)</f>
        <v>840353937987</v>
      </c>
      <c r="I120" s="185" t="str">
        <f>IFERROR(__xludf.DUMMYFUNCTION("""COMPUTED_VALUE"""),"0840353937987")</f>
        <v>0840353937987</v>
      </c>
      <c r="J120" s="182"/>
      <c r="K120" s="182" t="str">
        <f>IFERROR(__xludf.DUMMYFUNCTION("""COMPUTED_VALUE"""),"IN Master Carton Label
(VN factory used)")</f>
        <v>IN Master Carton Label
(VN factory used)</v>
      </c>
      <c r="L120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20" s="188" t="str">
        <f>IFERROR(__xludf.DUMMYFUNCTION("""COMPUTED_VALUE"""),"G990-08530-22-02")</f>
        <v>G990-08530-22-02</v>
      </c>
      <c r="N120" s="182"/>
      <c r="O120" s="188" t="str">
        <f>IFERROR(__xludf.DUMMYFUNCTION("""COMPUTED_VALUE"""),"G990-09739-00-01")</f>
        <v>G990-09739-00-01</v>
      </c>
      <c r="P120" s="182"/>
      <c r="Q120" s="182" t="str">
        <f>IFERROR(__xludf.DUMMYFUNCTION("""COMPUTED_VALUE"""),"256GB")</f>
        <v>256GB</v>
      </c>
      <c r="R120" s="182" t="str">
        <f>IFERROR(__xludf.DUMMYFUNCTION("""COMPUTED_VALUE"""),"Porcelain")</f>
        <v>Porcelain</v>
      </c>
      <c r="S120" s="182" t="str">
        <f>IFERROR(__xludf.DUMMYFUNCTION("""COMPUTED_VALUE"""),"Light Porcelain")</f>
        <v>Light Porcelain</v>
      </c>
      <c r="T120" s="182" t="str">
        <f>IFERROR(__xludf.DUMMYFUNCTION("""COMPUTED_VALUE"""),"IN")</f>
        <v>IN</v>
      </c>
      <c r="U120" s="182" t="str">
        <f>IFERROR(__xludf.DUMMYFUNCTION("""COMPUTED_VALUE"""),"SKU,CLR2, BETTER, SUB6, IN, DEMO, BZ5")</f>
        <v>SKU,CLR2, BETTER, SUB6, IN, DEMO, BZ5</v>
      </c>
      <c r="V120" s="182"/>
      <c r="W120" s="183" t="str">
        <f>IFERROR(__xludf.DUMMYFUNCTION("""COMPUTED_VALUE"""),"#NUM!")</f>
        <v>#NUM!</v>
      </c>
      <c r="X120" s="186">
        <f>IFERROR(__xludf.DUMMYFUNCTION("""COMPUTED_VALUE"""),45831.0)</f>
        <v>45831</v>
      </c>
      <c r="Y120" s="187">
        <f>IFERROR(__xludf.DUMMYFUNCTION("""COMPUTED_VALUE"""),45780.0)</f>
        <v>45780</v>
      </c>
      <c r="Z120" s="182" t="b">
        <f>IFERROR(__xludf.DUMMYFUNCTION("""COMPUTED_VALUE"""),FALSE)</f>
        <v>0</v>
      </c>
      <c r="AA120" s="187">
        <f>IFERROR(__xludf.DUMMYFUNCTION("""COMPUTED_VALUE"""),45780.0)</f>
        <v>45780</v>
      </c>
      <c r="AB120" s="182" t="b">
        <f>IFERROR(__xludf.DUMMYFUNCTION("""COMPUTED_VALUE"""),FALSE)</f>
        <v>0</v>
      </c>
      <c r="AC120" s="187">
        <f>IFERROR(__xludf.DUMMYFUNCTION("""COMPUTED_VALUE"""),45787.0)</f>
        <v>45787</v>
      </c>
      <c r="AD120" s="187">
        <f>IFERROR(__xludf.DUMMYFUNCTION("""COMPUTED_VALUE"""),45787.0)</f>
        <v>45787</v>
      </c>
      <c r="AE120" s="188" t="str">
        <f>IFERROR(__xludf.DUMMYFUNCTION("""COMPUTED_VALUE"""),"GA10793-IN")</f>
        <v>GA10793-IN</v>
      </c>
      <c r="AF120" s="182"/>
      <c r="AG120" s="188" t="str">
        <f>IFERROR(__xludf.DUMMYFUNCTION("""COMPUTED_VALUE"""),"GA10793-IN")</f>
        <v>GA10793-IN</v>
      </c>
      <c r="AH120" s="188" t="str">
        <f>IFERROR(__xludf.DUMMYFUNCTION("""COMPUTED_VALUE"""),"GA10793-IN")</f>
        <v>GA10793-IN</v>
      </c>
      <c r="AI120" s="188" t="str">
        <f>IFERROR(__xludf.DUMMYFUNCTION("""COMPUTED_VALUE"""),"GA10793-IN")</f>
        <v>GA10793-IN</v>
      </c>
      <c r="AJ120" s="187">
        <f>IFERROR(__xludf.DUMMYFUNCTION("""COMPUTED_VALUE"""),45793.0)</f>
        <v>45793</v>
      </c>
      <c r="AK120" s="187">
        <f>IFERROR(__xludf.DUMMYFUNCTION("""COMPUTED_VALUE"""),45801.0)</f>
        <v>45801</v>
      </c>
      <c r="AL120" s="182" t="b">
        <f>IFERROR(__xludf.DUMMYFUNCTION("""COMPUTED_VALUE"""),FALSE)</f>
        <v>0</v>
      </c>
      <c r="AM120" s="182" t="b">
        <f>IFERROR(__xludf.DUMMYFUNCTION("""COMPUTED_VALUE"""),FALSE)</f>
        <v>0</v>
      </c>
      <c r="AN120" s="187">
        <f>IFERROR(__xludf.DUMMYFUNCTION("""COMPUTED_VALUE"""),45801.0)</f>
        <v>45801</v>
      </c>
      <c r="AO120" s="182" t="b">
        <f>IFERROR(__xludf.DUMMYFUNCTION("""COMPUTED_VALUE"""),FALSE)</f>
        <v>0</v>
      </c>
      <c r="AP120" s="182" t="str">
        <f>IFERROR(__xludf.DUMMYFUNCTION("""COMPUTED_VALUE"""),"N")</f>
        <v>N</v>
      </c>
      <c r="AQ120" s="182"/>
      <c r="AR120" s="187">
        <f>IFERROR(__xludf.DUMMYFUNCTION("""COMPUTED_VALUE"""),45801.0)</f>
        <v>45801</v>
      </c>
      <c r="AS120" s="182" t="b">
        <f>IFERROR(__xludf.DUMMYFUNCTION("""COMPUTED_VALUE"""),FALSE)</f>
        <v>0</v>
      </c>
      <c r="AT120" s="182"/>
      <c r="AU120" s="182"/>
      <c r="AV120" s="187">
        <f>IFERROR(__xludf.DUMMYFUNCTION("""COMPUTED_VALUE"""),45801.0)</f>
        <v>45801</v>
      </c>
      <c r="AW120" s="182" t="b">
        <f>IFERROR(__xludf.DUMMYFUNCTION("""COMPUTED_VALUE"""),FALSE)</f>
        <v>0</v>
      </c>
      <c r="AX120" s="182"/>
      <c r="AY120" s="182"/>
      <c r="AZ120" s="187">
        <f>IFERROR(__xludf.DUMMYFUNCTION("""COMPUTED_VALUE"""),45827.0)</f>
        <v>45827</v>
      </c>
      <c r="BA120" s="182" t="b">
        <f>IFERROR(__xludf.DUMMYFUNCTION("""COMPUTED_VALUE"""),FALSE)</f>
        <v>0</v>
      </c>
      <c r="BB120" s="187">
        <f>IFERROR(__xludf.DUMMYFUNCTION("""COMPUTED_VALUE"""),45827.0)</f>
        <v>45827</v>
      </c>
    </row>
    <row r="121">
      <c r="A121" s="184" t="str">
        <f t="shared" si="1"/>
        <v>#VALUE!</v>
      </c>
      <c r="B121" s="69" t="str">
        <f t="shared" si="2"/>
        <v>#VALUE!</v>
      </c>
      <c r="C121" s="182" t="str">
        <f>IFERROR(__xludf.DUMMYFUNCTION("""COMPUTED_VALUE"""),"IN")</f>
        <v>IN</v>
      </c>
      <c r="D121" s="182" t="str">
        <f>IFERROR(__xludf.DUMMYFUNCTION("""COMPUTED_VALUE"""),"MP")</f>
        <v>MP</v>
      </c>
      <c r="E121" s="182" t="str">
        <f>IFERROR(__xludf.DUMMYFUNCTION("""COMPUTED_VALUE"""),"DEMO")</f>
        <v>DEMO</v>
      </c>
      <c r="F121" s="182" t="str">
        <f>IFERROR(__xludf.DUMMYFUNCTION("""COMPUTED_VALUE"""),"GA10794-IN")</f>
        <v>GA10794-IN</v>
      </c>
      <c r="G121" s="182" t="str">
        <f>IFERROR(__xludf.DUMMYFUNCTION("""COMPUTED_VALUE"""),"GEHN3")</f>
        <v>GEHN3</v>
      </c>
      <c r="H121" s="182">
        <f>IFERROR(__xludf.DUMMYFUNCTION("""COMPUTED_VALUE"""),8.40353937994E11)</f>
        <v>840353937994</v>
      </c>
      <c r="I121" s="185" t="str">
        <f>IFERROR(__xludf.DUMMYFUNCTION("""COMPUTED_VALUE"""),"0840353937994")</f>
        <v>0840353937994</v>
      </c>
      <c r="J121" s="182"/>
      <c r="K121" s="182" t="str">
        <f>IFERROR(__xludf.DUMMYFUNCTION("""COMPUTED_VALUE"""),"IN Master Carton Label
(VN factory used)")</f>
        <v>IN Master Carton Label
(VN factory used)</v>
      </c>
      <c r="L121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21" s="188" t="str">
        <f>IFERROR(__xludf.DUMMYFUNCTION("""COMPUTED_VALUE"""),"G990-08530-32-02")</f>
        <v>G990-08530-32-02</v>
      </c>
      <c r="N121" s="182"/>
      <c r="O121" s="188" t="str">
        <f>IFERROR(__xludf.DUMMYFUNCTION("""COMPUTED_VALUE"""),"G990-09739-00-01")</f>
        <v>G990-09739-00-01</v>
      </c>
      <c r="P121" s="182"/>
      <c r="Q121" s="182" t="str">
        <f>IFERROR(__xludf.DUMMYFUNCTION("""COMPUTED_VALUE"""),"256GB")</f>
        <v>256GB</v>
      </c>
      <c r="R121" s="182" t="str">
        <f>IFERROR(__xludf.DUMMYFUNCTION("""COMPUTED_VALUE"""),"Moonstone")</f>
        <v>Moonstone</v>
      </c>
      <c r="S121" s="182" t="str">
        <f>IFERROR(__xludf.DUMMYFUNCTION("""COMPUTED_VALUE"""),"Sterling")</f>
        <v>Sterling</v>
      </c>
      <c r="T121" s="182" t="str">
        <f>IFERROR(__xludf.DUMMYFUNCTION("""COMPUTED_VALUE"""),"IN")</f>
        <v>IN</v>
      </c>
      <c r="U121" s="182" t="str">
        <f>IFERROR(__xludf.DUMMYFUNCTION("""COMPUTED_VALUE"""),"SKU,CLR3, BETTER, SUB6, IN, DEMO, BZ5")</f>
        <v>SKU,CLR3, BETTER, SUB6, IN, DEMO, BZ5</v>
      </c>
      <c r="V121" s="182"/>
      <c r="W121" s="183" t="str">
        <f>IFERROR(__xludf.DUMMYFUNCTION("""COMPUTED_VALUE"""),"#NUM!")</f>
        <v>#NUM!</v>
      </c>
      <c r="X121" s="186">
        <f>IFERROR(__xludf.DUMMYFUNCTION("""COMPUTED_VALUE"""),45831.0)</f>
        <v>45831</v>
      </c>
      <c r="Y121" s="187">
        <f>IFERROR(__xludf.DUMMYFUNCTION("""COMPUTED_VALUE"""),45780.0)</f>
        <v>45780</v>
      </c>
      <c r="Z121" s="182" t="b">
        <f>IFERROR(__xludf.DUMMYFUNCTION("""COMPUTED_VALUE"""),FALSE)</f>
        <v>0</v>
      </c>
      <c r="AA121" s="187">
        <f>IFERROR(__xludf.DUMMYFUNCTION("""COMPUTED_VALUE"""),45780.0)</f>
        <v>45780</v>
      </c>
      <c r="AB121" s="182" t="b">
        <f>IFERROR(__xludf.DUMMYFUNCTION("""COMPUTED_VALUE"""),FALSE)</f>
        <v>0</v>
      </c>
      <c r="AC121" s="187">
        <f>IFERROR(__xludf.DUMMYFUNCTION("""COMPUTED_VALUE"""),45787.0)</f>
        <v>45787</v>
      </c>
      <c r="AD121" s="187">
        <f>IFERROR(__xludf.DUMMYFUNCTION("""COMPUTED_VALUE"""),45787.0)</f>
        <v>45787</v>
      </c>
      <c r="AE121" s="188" t="str">
        <f>IFERROR(__xludf.DUMMYFUNCTION("""COMPUTED_VALUE"""),"GA10794-IN")</f>
        <v>GA10794-IN</v>
      </c>
      <c r="AF121" s="182"/>
      <c r="AG121" s="188" t="str">
        <f>IFERROR(__xludf.DUMMYFUNCTION("""COMPUTED_VALUE"""),"GA10794-IN")</f>
        <v>GA10794-IN</v>
      </c>
      <c r="AH121" s="188" t="str">
        <f>IFERROR(__xludf.DUMMYFUNCTION("""COMPUTED_VALUE"""),"GA10794-IN")</f>
        <v>GA10794-IN</v>
      </c>
      <c r="AI121" s="188" t="str">
        <f>IFERROR(__xludf.DUMMYFUNCTION("""COMPUTED_VALUE"""),"GA10794-IN")</f>
        <v>GA10794-IN</v>
      </c>
      <c r="AJ121" s="187">
        <f>IFERROR(__xludf.DUMMYFUNCTION("""COMPUTED_VALUE"""),45793.0)</f>
        <v>45793</v>
      </c>
      <c r="AK121" s="187">
        <f>IFERROR(__xludf.DUMMYFUNCTION("""COMPUTED_VALUE"""),45801.0)</f>
        <v>45801</v>
      </c>
      <c r="AL121" s="182" t="b">
        <f>IFERROR(__xludf.DUMMYFUNCTION("""COMPUTED_VALUE"""),FALSE)</f>
        <v>0</v>
      </c>
      <c r="AM121" s="182" t="b">
        <f>IFERROR(__xludf.DUMMYFUNCTION("""COMPUTED_VALUE"""),FALSE)</f>
        <v>0</v>
      </c>
      <c r="AN121" s="187">
        <f>IFERROR(__xludf.DUMMYFUNCTION("""COMPUTED_VALUE"""),45801.0)</f>
        <v>45801</v>
      </c>
      <c r="AO121" s="182" t="b">
        <f>IFERROR(__xludf.DUMMYFUNCTION("""COMPUTED_VALUE"""),FALSE)</f>
        <v>0</v>
      </c>
      <c r="AP121" s="182" t="str">
        <f>IFERROR(__xludf.DUMMYFUNCTION("""COMPUTED_VALUE"""),"N")</f>
        <v>N</v>
      </c>
      <c r="AQ121" s="182"/>
      <c r="AR121" s="187">
        <f>IFERROR(__xludf.DUMMYFUNCTION("""COMPUTED_VALUE"""),45801.0)</f>
        <v>45801</v>
      </c>
      <c r="AS121" s="182" t="b">
        <f>IFERROR(__xludf.DUMMYFUNCTION("""COMPUTED_VALUE"""),FALSE)</f>
        <v>0</v>
      </c>
      <c r="AT121" s="182"/>
      <c r="AU121" s="182"/>
      <c r="AV121" s="187">
        <f>IFERROR(__xludf.DUMMYFUNCTION("""COMPUTED_VALUE"""),45801.0)</f>
        <v>45801</v>
      </c>
      <c r="AW121" s="182" t="b">
        <f>IFERROR(__xludf.DUMMYFUNCTION("""COMPUTED_VALUE"""),FALSE)</f>
        <v>0</v>
      </c>
      <c r="AX121" s="182"/>
      <c r="AY121" s="182"/>
      <c r="AZ121" s="187">
        <f>IFERROR(__xludf.DUMMYFUNCTION("""COMPUTED_VALUE"""),45827.0)</f>
        <v>45827</v>
      </c>
      <c r="BA121" s="182" t="b">
        <f>IFERROR(__xludf.DUMMYFUNCTION("""COMPUTED_VALUE"""),FALSE)</f>
        <v>0</v>
      </c>
      <c r="BB121" s="187">
        <f>IFERROR(__xludf.DUMMYFUNCTION("""COMPUTED_VALUE"""),45827.0)</f>
        <v>45827</v>
      </c>
    </row>
    <row r="122">
      <c r="A122" s="184" t="str">
        <f t="shared" si="1"/>
        <v>#VALUE!</v>
      </c>
      <c r="B122" s="69" t="str">
        <f t="shared" si="2"/>
        <v>#VALUE!</v>
      </c>
      <c r="C122" s="182" t="str">
        <f>IFERROR(__xludf.DUMMYFUNCTION("""COMPUTED_VALUE"""),"IN")</f>
        <v>IN</v>
      </c>
      <c r="D122" s="182" t="str">
        <f>IFERROR(__xludf.DUMMYFUNCTION("""COMPUTED_VALUE"""),"MP")</f>
        <v>MP</v>
      </c>
      <c r="E122" s="182" t="str">
        <f>IFERROR(__xludf.DUMMYFUNCTION("""COMPUTED_VALUE"""),"DEMO")</f>
        <v>DEMO</v>
      </c>
      <c r="F122" s="182" t="str">
        <f>IFERROR(__xludf.DUMMYFUNCTION("""COMPUTED_VALUE"""),"GA10795-IN")</f>
        <v>GA10795-IN</v>
      </c>
      <c r="G122" s="182" t="str">
        <f>IFERROR(__xludf.DUMMYFUNCTION("""COMPUTED_VALUE"""),"GEHN3")</f>
        <v>GEHN3</v>
      </c>
      <c r="H122" s="182">
        <f>IFERROR(__xludf.DUMMYFUNCTION("""COMPUTED_VALUE"""),8.40353938007E11)</f>
        <v>840353938007</v>
      </c>
      <c r="I122" s="185" t="str">
        <f>IFERROR(__xludf.DUMMYFUNCTION("""COMPUTED_VALUE"""),"0840353938007")</f>
        <v>0840353938007</v>
      </c>
      <c r="J122" s="182"/>
      <c r="K122" s="182" t="str">
        <f>IFERROR(__xludf.DUMMYFUNCTION("""COMPUTED_VALUE"""),"IN Master Carton Label
(VN factory used)")</f>
        <v>IN Master Carton Label
(VN factory used)</v>
      </c>
      <c r="L122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22" s="188" t="str">
        <f>IFERROR(__xludf.DUMMYFUNCTION("""COMPUTED_VALUE"""),"G990-08530-42-02")</f>
        <v>G990-08530-42-02</v>
      </c>
      <c r="N122" s="182"/>
      <c r="O122" s="188" t="str">
        <f>IFERROR(__xludf.DUMMYFUNCTION("""COMPUTED_VALUE"""),"G990-09739-00-01")</f>
        <v>G990-09739-00-01</v>
      </c>
      <c r="P122" s="182"/>
      <c r="Q122" s="182" t="str">
        <f>IFERROR(__xludf.DUMMYFUNCTION("""COMPUTED_VALUE"""),"256GB")</f>
        <v>256GB</v>
      </c>
      <c r="R122" s="182" t="str">
        <f>IFERROR(__xludf.DUMMYFUNCTION("""COMPUTED_VALUE"""),"Jade")</f>
        <v>Jade</v>
      </c>
      <c r="S122" s="182" t="str">
        <f>IFERROR(__xludf.DUMMYFUNCTION("""COMPUTED_VALUE"""),"Smokey Green")</f>
        <v>Smokey Green</v>
      </c>
      <c r="T122" s="182" t="str">
        <f>IFERROR(__xludf.DUMMYFUNCTION("""COMPUTED_VALUE"""),"IN")</f>
        <v>IN</v>
      </c>
      <c r="U122" s="182" t="str">
        <f>IFERROR(__xludf.DUMMYFUNCTION("""COMPUTED_VALUE"""),"SKU,CLR4, BETTER, SUB6, IN, DEMO, BZ5")</f>
        <v>SKU,CLR4, BETTER, SUB6, IN, DEMO, BZ5</v>
      </c>
      <c r="V122" s="182"/>
      <c r="W122" s="183" t="str">
        <f>IFERROR(__xludf.DUMMYFUNCTION("""COMPUTED_VALUE"""),"#NUM!")</f>
        <v>#NUM!</v>
      </c>
      <c r="X122" s="186">
        <f>IFERROR(__xludf.DUMMYFUNCTION("""COMPUTED_VALUE"""),45831.0)</f>
        <v>45831</v>
      </c>
      <c r="Y122" s="187">
        <f>IFERROR(__xludf.DUMMYFUNCTION("""COMPUTED_VALUE"""),45780.0)</f>
        <v>45780</v>
      </c>
      <c r="Z122" s="182" t="b">
        <f>IFERROR(__xludf.DUMMYFUNCTION("""COMPUTED_VALUE"""),FALSE)</f>
        <v>0</v>
      </c>
      <c r="AA122" s="187">
        <f>IFERROR(__xludf.DUMMYFUNCTION("""COMPUTED_VALUE"""),45780.0)</f>
        <v>45780</v>
      </c>
      <c r="AB122" s="182" t="b">
        <f>IFERROR(__xludf.DUMMYFUNCTION("""COMPUTED_VALUE"""),FALSE)</f>
        <v>0</v>
      </c>
      <c r="AC122" s="187">
        <f>IFERROR(__xludf.DUMMYFUNCTION("""COMPUTED_VALUE"""),45787.0)</f>
        <v>45787</v>
      </c>
      <c r="AD122" s="187">
        <f>IFERROR(__xludf.DUMMYFUNCTION("""COMPUTED_VALUE"""),45787.0)</f>
        <v>45787</v>
      </c>
      <c r="AE122" s="188" t="str">
        <f>IFERROR(__xludf.DUMMYFUNCTION("""COMPUTED_VALUE"""),"GA10795-IN")</f>
        <v>GA10795-IN</v>
      </c>
      <c r="AF122" s="182"/>
      <c r="AG122" s="188" t="str">
        <f>IFERROR(__xludf.DUMMYFUNCTION("""COMPUTED_VALUE"""),"GA10795-IN")</f>
        <v>GA10795-IN</v>
      </c>
      <c r="AH122" s="188" t="str">
        <f>IFERROR(__xludf.DUMMYFUNCTION("""COMPUTED_VALUE"""),"GA10795-IN")</f>
        <v>GA10795-IN</v>
      </c>
      <c r="AI122" s="188" t="str">
        <f>IFERROR(__xludf.DUMMYFUNCTION("""COMPUTED_VALUE"""),"GA10795-IN")</f>
        <v>GA10795-IN</v>
      </c>
      <c r="AJ122" s="187">
        <f>IFERROR(__xludf.DUMMYFUNCTION("""COMPUTED_VALUE"""),45793.0)</f>
        <v>45793</v>
      </c>
      <c r="AK122" s="187">
        <f>IFERROR(__xludf.DUMMYFUNCTION("""COMPUTED_VALUE"""),45801.0)</f>
        <v>45801</v>
      </c>
      <c r="AL122" s="182" t="b">
        <f>IFERROR(__xludf.DUMMYFUNCTION("""COMPUTED_VALUE"""),FALSE)</f>
        <v>0</v>
      </c>
      <c r="AM122" s="182" t="b">
        <f>IFERROR(__xludf.DUMMYFUNCTION("""COMPUTED_VALUE"""),FALSE)</f>
        <v>0</v>
      </c>
      <c r="AN122" s="187">
        <f>IFERROR(__xludf.DUMMYFUNCTION("""COMPUTED_VALUE"""),45801.0)</f>
        <v>45801</v>
      </c>
      <c r="AO122" s="182" t="b">
        <f>IFERROR(__xludf.DUMMYFUNCTION("""COMPUTED_VALUE"""),FALSE)</f>
        <v>0</v>
      </c>
      <c r="AP122" s="182" t="str">
        <f>IFERROR(__xludf.DUMMYFUNCTION("""COMPUTED_VALUE"""),"N")</f>
        <v>N</v>
      </c>
      <c r="AQ122" s="182"/>
      <c r="AR122" s="182"/>
      <c r="AS122" s="182" t="b">
        <f>IFERROR(__xludf.DUMMYFUNCTION("""COMPUTED_VALUE"""),FALSE)</f>
        <v>0</v>
      </c>
      <c r="AT122" s="182"/>
      <c r="AU122" s="182"/>
      <c r="AV122" s="187">
        <f>IFERROR(__xludf.DUMMYFUNCTION("""COMPUTED_VALUE"""),45801.0)</f>
        <v>45801</v>
      </c>
      <c r="AW122" s="182" t="b">
        <f>IFERROR(__xludf.DUMMYFUNCTION("""COMPUTED_VALUE"""),FALSE)</f>
        <v>0</v>
      </c>
      <c r="AX122" s="182"/>
      <c r="AY122" s="182"/>
      <c r="AZ122" s="187">
        <f>IFERROR(__xludf.DUMMYFUNCTION("""COMPUTED_VALUE"""),45827.0)</f>
        <v>45827</v>
      </c>
      <c r="BA122" s="182" t="b">
        <f>IFERROR(__xludf.DUMMYFUNCTION("""COMPUTED_VALUE"""),FALSE)</f>
        <v>0</v>
      </c>
      <c r="BB122" s="187">
        <f>IFERROR(__xludf.DUMMYFUNCTION("""COMPUTED_VALUE"""),45827.0)</f>
        <v>45827</v>
      </c>
    </row>
    <row r="123">
      <c r="A123" s="184" t="str">
        <f t="shared" si="1"/>
        <v>#VALUE!</v>
      </c>
      <c r="B123" s="69" t="str">
        <f t="shared" si="2"/>
        <v>#VALUE!</v>
      </c>
      <c r="C123" s="182" t="str">
        <f>IFERROR(__xludf.DUMMYFUNCTION("""COMPUTED_VALUE"""),"GSTORE")</f>
        <v>GSTORE</v>
      </c>
      <c r="D123" s="182" t="str">
        <f>IFERROR(__xludf.DUMMYFUNCTION("""COMPUTED_VALUE"""),"MP")</f>
        <v>MP</v>
      </c>
      <c r="E123" s="182" t="str">
        <f>IFERROR(__xludf.DUMMYFUNCTION("""COMPUTED_VALUE"""),"CLNR")</f>
        <v>CLNR</v>
      </c>
      <c r="F123" s="182" t="str">
        <f>IFERROR(__xludf.DUMMYFUNCTION("""COMPUTED_VALUE"""),"CLNRGA10490")</f>
        <v>CLNRGA10490</v>
      </c>
      <c r="G123" s="182" t="str">
        <f>IFERROR(__xludf.DUMMYFUNCTION("""COMPUTED_VALUE"""),"G4QUR")</f>
        <v>G4QUR</v>
      </c>
      <c r="H123" s="182">
        <f>IFERROR(__xludf.DUMMYFUNCTION("""COMPUTED_VALUE"""),8.40353936737E11)</f>
        <v>840353936737</v>
      </c>
      <c r="I123" s="185" t="str">
        <f>IFERROR(__xludf.DUMMYFUNCTION("""COMPUTED_VALUE"""),"0840353936737")</f>
        <v>0840353936737</v>
      </c>
      <c r="J123" s="182"/>
      <c r="K123" s="182" t="str">
        <f>IFERROR(__xludf.DUMMYFUNCTION("""COMPUTED_VALUE"""),"ROW Master Carton Label (UPC)")</f>
        <v>ROW Master Carton Label (UPC)</v>
      </c>
      <c r="L123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23" s="182" t="str">
        <f>IFERROR(__xludf.DUMMYFUNCTION("""COMPUTED_VALUE"""),"N/A")</f>
        <v>N/A</v>
      </c>
      <c r="N123" s="182" t="str">
        <f>IFERROR(__xludf.DUMMYFUNCTION("""COMPUTED_VALUE"""),"N/A")</f>
        <v>N/A</v>
      </c>
      <c r="O123" s="182" t="str">
        <f>IFERROR(__xludf.DUMMYFUNCTION("""COMPUTED_VALUE"""),"N/A")</f>
        <v>N/A</v>
      </c>
      <c r="P123" s="182"/>
      <c r="Q123" s="182" t="str">
        <f>IFERROR(__xludf.DUMMYFUNCTION("""COMPUTED_VALUE"""),"128GB")</f>
        <v>128GB</v>
      </c>
      <c r="R123" s="182" t="str">
        <f>IFERROR(__xludf.DUMMYFUNCTION("""COMPUTED_VALUE"""),"Obsidian")</f>
        <v>Obsidian</v>
      </c>
      <c r="S123" s="182" t="str">
        <f>IFERROR(__xludf.DUMMYFUNCTION("""COMPUTED_VALUE"""),"Midnight")</f>
        <v>Midnight</v>
      </c>
      <c r="T123" s="182" t="str">
        <f>IFERROR(__xludf.DUMMYFUNCTION("""COMPUTED_VALUE"""),"US GStore")</f>
        <v>US GStore</v>
      </c>
      <c r="U123" s="182" t="str">
        <f>IFERROR(__xludf.DUMMYFUNCTION("""COMPUTED_VALUE"""),"SKU,CLR1, GOOD, MMWAVE, GSTORE, BZ5, FRU")</f>
        <v>SKU,CLR1, GOOD, MMWAVE, GSTORE, BZ5, FRU</v>
      </c>
      <c r="V123" s="182"/>
      <c r="W123" s="183" t="str">
        <f>IFERROR(__xludf.DUMMYFUNCTION("""COMPUTED_VALUE"""),"#NUM!")</f>
        <v>#NUM!</v>
      </c>
      <c r="X123" s="186">
        <f>IFERROR(__xludf.DUMMYFUNCTION("""COMPUTED_VALUE"""),45831.0)</f>
        <v>45831</v>
      </c>
      <c r="Y123" s="187">
        <f>IFERROR(__xludf.DUMMYFUNCTION("""COMPUTED_VALUE"""),45780.0)</f>
        <v>45780</v>
      </c>
      <c r="Z123" s="182" t="b">
        <f>IFERROR(__xludf.DUMMYFUNCTION("""COMPUTED_VALUE"""),FALSE)</f>
        <v>0</v>
      </c>
      <c r="AA123" s="187">
        <f>IFERROR(__xludf.DUMMYFUNCTION("""COMPUTED_VALUE"""),45780.0)</f>
        <v>45780</v>
      </c>
      <c r="AB123" s="182" t="b">
        <f>IFERROR(__xludf.DUMMYFUNCTION("""COMPUTED_VALUE"""),FALSE)</f>
        <v>0</v>
      </c>
      <c r="AC123" s="187">
        <f>IFERROR(__xludf.DUMMYFUNCTION("""COMPUTED_VALUE"""),45787.0)</f>
        <v>45787</v>
      </c>
      <c r="AD123" s="187">
        <f>IFERROR(__xludf.DUMMYFUNCTION("""COMPUTED_VALUE"""),45787.0)</f>
        <v>45787</v>
      </c>
      <c r="AE123" s="188" t="str">
        <f>IFERROR(__xludf.DUMMYFUNCTION("""COMPUTED_VALUE"""),"CLNRGA10490")</f>
        <v>CLNRGA10490</v>
      </c>
      <c r="AF123" s="182"/>
      <c r="AG123" s="188" t="str">
        <f>IFERROR(__xludf.DUMMYFUNCTION("""COMPUTED_VALUE"""),"CLNRGA10490")</f>
        <v>CLNRGA10490</v>
      </c>
      <c r="AH123" s="182" t="str">
        <f>IFERROR(__xludf.DUMMYFUNCTION("""COMPUTED_VALUE"""),"N/A")</f>
        <v>N/A</v>
      </c>
      <c r="AI123" s="188" t="str">
        <f>IFERROR(__xludf.DUMMYFUNCTION("""COMPUTED_VALUE"""),"CLNRGA10490")</f>
        <v>CLNRGA10490</v>
      </c>
      <c r="AJ123" s="187">
        <f>IFERROR(__xludf.DUMMYFUNCTION("""COMPUTED_VALUE"""),45793.0)</f>
        <v>45793</v>
      </c>
      <c r="AK123" s="187">
        <f>IFERROR(__xludf.DUMMYFUNCTION("""COMPUTED_VALUE"""),45801.0)</f>
        <v>45801</v>
      </c>
      <c r="AL123" s="182" t="b">
        <f>IFERROR(__xludf.DUMMYFUNCTION("""COMPUTED_VALUE"""),FALSE)</f>
        <v>0</v>
      </c>
      <c r="AM123" s="182" t="b">
        <f>IFERROR(__xludf.DUMMYFUNCTION("""COMPUTED_VALUE"""),FALSE)</f>
        <v>0</v>
      </c>
      <c r="AN123" s="187">
        <f>IFERROR(__xludf.DUMMYFUNCTION("""COMPUTED_VALUE"""),45801.0)</f>
        <v>45801</v>
      </c>
      <c r="AO123" s="182" t="b">
        <f>IFERROR(__xludf.DUMMYFUNCTION("""COMPUTED_VALUE"""),TRUE)</f>
        <v>1</v>
      </c>
      <c r="AP123" s="182" t="str">
        <f>IFERROR(__xludf.DUMMYFUNCTION("""COMPUTED_VALUE"""),"N")</f>
        <v>N</v>
      </c>
      <c r="AQ123" s="182"/>
      <c r="AR123" s="182"/>
      <c r="AS123" s="182" t="b">
        <f>IFERROR(__xludf.DUMMYFUNCTION("""COMPUTED_VALUE"""),FALSE)</f>
        <v>0</v>
      </c>
      <c r="AT123" s="182"/>
      <c r="AU123" s="182"/>
      <c r="AV123" s="187">
        <f>IFERROR(__xludf.DUMMYFUNCTION("""COMPUTED_VALUE"""),45801.0)</f>
        <v>45801</v>
      </c>
      <c r="AW123" s="182" t="b">
        <f>IFERROR(__xludf.DUMMYFUNCTION("""COMPUTED_VALUE"""),FALSE)</f>
        <v>0</v>
      </c>
      <c r="AX123" s="182"/>
      <c r="AY123" s="182"/>
      <c r="AZ123" s="187">
        <f>IFERROR(__xludf.DUMMYFUNCTION("""COMPUTED_VALUE"""),45827.0)</f>
        <v>45827</v>
      </c>
      <c r="BA123" s="182" t="b">
        <f>IFERROR(__xludf.DUMMYFUNCTION("""COMPUTED_VALUE"""),FALSE)</f>
        <v>0</v>
      </c>
      <c r="BB123" s="187">
        <f>IFERROR(__xludf.DUMMYFUNCTION("""COMPUTED_VALUE"""),45827.0)</f>
        <v>45827</v>
      </c>
    </row>
    <row r="124">
      <c r="A124" s="184" t="str">
        <f t="shared" si="1"/>
        <v>#VALUE!</v>
      </c>
      <c r="B124" s="69" t="str">
        <f t="shared" si="2"/>
        <v>#VALUE!</v>
      </c>
      <c r="C124" s="182" t="str">
        <f>IFERROR(__xludf.DUMMYFUNCTION("""COMPUTED_VALUE"""),"GSTORE")</f>
        <v>GSTORE</v>
      </c>
      <c r="D124" s="182" t="str">
        <f>IFERROR(__xludf.DUMMYFUNCTION("""COMPUTED_VALUE"""),"MP")</f>
        <v>MP</v>
      </c>
      <c r="E124" s="182" t="str">
        <f>IFERROR(__xludf.DUMMYFUNCTION("""COMPUTED_VALUE"""),"CLNR")</f>
        <v>CLNR</v>
      </c>
      <c r="F124" s="182" t="str">
        <f>IFERROR(__xludf.DUMMYFUNCTION("""COMPUTED_VALUE"""),"CLNRGA10491")</f>
        <v>CLNRGA10491</v>
      </c>
      <c r="G124" s="182" t="str">
        <f>IFERROR(__xludf.DUMMYFUNCTION("""COMPUTED_VALUE"""),"G4QUR")</f>
        <v>G4QUR</v>
      </c>
      <c r="H124" s="182">
        <f>IFERROR(__xludf.DUMMYFUNCTION("""COMPUTED_VALUE"""),8.40353936799E11)</f>
        <v>840353936799</v>
      </c>
      <c r="I124" s="185" t="str">
        <f>IFERROR(__xludf.DUMMYFUNCTION("""COMPUTED_VALUE"""),"0840353936799")</f>
        <v>0840353936799</v>
      </c>
      <c r="J124" s="182"/>
      <c r="K124" s="182" t="str">
        <f>IFERROR(__xludf.DUMMYFUNCTION("""COMPUTED_VALUE"""),"ROW Master Carton Label (UPC)")</f>
        <v>ROW Master Carton Label (UPC)</v>
      </c>
      <c r="L124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24" s="182" t="str">
        <f>IFERROR(__xludf.DUMMYFUNCTION("""COMPUTED_VALUE"""),"N/A")</f>
        <v>N/A</v>
      </c>
      <c r="N124" s="182" t="str">
        <f>IFERROR(__xludf.DUMMYFUNCTION("""COMPUTED_VALUE"""),"N/A")</f>
        <v>N/A</v>
      </c>
      <c r="O124" s="182" t="str">
        <f>IFERROR(__xludf.DUMMYFUNCTION("""COMPUTED_VALUE"""),"N/A")</f>
        <v>N/A</v>
      </c>
      <c r="P124" s="182"/>
      <c r="Q124" s="182" t="str">
        <f>IFERROR(__xludf.DUMMYFUNCTION("""COMPUTED_VALUE"""),"128GB")</f>
        <v>128GB</v>
      </c>
      <c r="R124" s="182" t="str">
        <f>IFERROR(__xludf.DUMMYFUNCTION("""COMPUTED_VALUE"""),"Porcelain")</f>
        <v>Porcelain</v>
      </c>
      <c r="S124" s="182" t="str">
        <f>IFERROR(__xludf.DUMMYFUNCTION("""COMPUTED_VALUE"""),"Light Porcelain")</f>
        <v>Light Porcelain</v>
      </c>
      <c r="T124" s="182" t="str">
        <f>IFERROR(__xludf.DUMMYFUNCTION("""COMPUTED_VALUE"""),"US GStore")</f>
        <v>US GStore</v>
      </c>
      <c r="U124" s="182" t="str">
        <f>IFERROR(__xludf.DUMMYFUNCTION("""COMPUTED_VALUE"""),"SKU,CLR2, GOOD, MMWAVE, GSTORE, BZ5, FRU")</f>
        <v>SKU,CLR2, GOOD, MMWAVE, GSTORE, BZ5, FRU</v>
      </c>
      <c r="V124" s="182"/>
      <c r="W124" s="183" t="str">
        <f>IFERROR(__xludf.DUMMYFUNCTION("""COMPUTED_VALUE"""),"#NUM!")</f>
        <v>#NUM!</v>
      </c>
      <c r="X124" s="186">
        <f>IFERROR(__xludf.DUMMYFUNCTION("""COMPUTED_VALUE"""),45831.0)</f>
        <v>45831</v>
      </c>
      <c r="Y124" s="187">
        <f>IFERROR(__xludf.DUMMYFUNCTION("""COMPUTED_VALUE"""),45780.0)</f>
        <v>45780</v>
      </c>
      <c r="Z124" s="182" t="b">
        <f>IFERROR(__xludf.DUMMYFUNCTION("""COMPUTED_VALUE"""),FALSE)</f>
        <v>0</v>
      </c>
      <c r="AA124" s="187">
        <f>IFERROR(__xludf.DUMMYFUNCTION("""COMPUTED_VALUE"""),45780.0)</f>
        <v>45780</v>
      </c>
      <c r="AB124" s="182" t="b">
        <f>IFERROR(__xludf.DUMMYFUNCTION("""COMPUTED_VALUE"""),FALSE)</f>
        <v>0</v>
      </c>
      <c r="AC124" s="187">
        <f>IFERROR(__xludf.DUMMYFUNCTION("""COMPUTED_VALUE"""),45787.0)</f>
        <v>45787</v>
      </c>
      <c r="AD124" s="187">
        <f>IFERROR(__xludf.DUMMYFUNCTION("""COMPUTED_VALUE"""),45787.0)</f>
        <v>45787</v>
      </c>
      <c r="AE124" s="188" t="str">
        <f>IFERROR(__xludf.DUMMYFUNCTION("""COMPUTED_VALUE"""),"CLNRGA10491")</f>
        <v>CLNRGA10491</v>
      </c>
      <c r="AF124" s="182"/>
      <c r="AG124" s="188" t="str">
        <f>IFERROR(__xludf.DUMMYFUNCTION("""COMPUTED_VALUE"""),"CLNRGA10491")</f>
        <v>CLNRGA10491</v>
      </c>
      <c r="AH124" s="182" t="str">
        <f>IFERROR(__xludf.DUMMYFUNCTION("""COMPUTED_VALUE"""),"N/A")</f>
        <v>N/A</v>
      </c>
      <c r="AI124" s="188" t="str">
        <f>IFERROR(__xludf.DUMMYFUNCTION("""COMPUTED_VALUE"""),"CLNRGA10491")</f>
        <v>CLNRGA10491</v>
      </c>
      <c r="AJ124" s="187">
        <f>IFERROR(__xludf.DUMMYFUNCTION("""COMPUTED_VALUE"""),45793.0)</f>
        <v>45793</v>
      </c>
      <c r="AK124" s="187">
        <f>IFERROR(__xludf.DUMMYFUNCTION("""COMPUTED_VALUE"""),45801.0)</f>
        <v>45801</v>
      </c>
      <c r="AL124" s="182" t="b">
        <f>IFERROR(__xludf.DUMMYFUNCTION("""COMPUTED_VALUE"""),FALSE)</f>
        <v>0</v>
      </c>
      <c r="AM124" s="182" t="b">
        <f>IFERROR(__xludf.DUMMYFUNCTION("""COMPUTED_VALUE"""),FALSE)</f>
        <v>0</v>
      </c>
      <c r="AN124" s="187">
        <f>IFERROR(__xludf.DUMMYFUNCTION("""COMPUTED_VALUE"""),45801.0)</f>
        <v>45801</v>
      </c>
      <c r="AO124" s="182" t="b">
        <f>IFERROR(__xludf.DUMMYFUNCTION("""COMPUTED_VALUE"""),TRUE)</f>
        <v>1</v>
      </c>
      <c r="AP124" s="182" t="str">
        <f>IFERROR(__xludf.DUMMYFUNCTION("""COMPUTED_VALUE"""),"Y")</f>
        <v>Y</v>
      </c>
      <c r="AQ124" s="182"/>
      <c r="AR124" s="182"/>
      <c r="AS124" s="182" t="b">
        <f>IFERROR(__xludf.DUMMYFUNCTION("""COMPUTED_VALUE"""),FALSE)</f>
        <v>0</v>
      </c>
      <c r="AT124" s="182"/>
      <c r="AU124" s="182"/>
      <c r="AV124" s="187">
        <f>IFERROR(__xludf.DUMMYFUNCTION("""COMPUTED_VALUE"""),45801.0)</f>
        <v>45801</v>
      </c>
      <c r="AW124" s="182" t="b">
        <f>IFERROR(__xludf.DUMMYFUNCTION("""COMPUTED_VALUE"""),FALSE)</f>
        <v>0</v>
      </c>
      <c r="AX124" s="182"/>
      <c r="AY124" s="182"/>
      <c r="AZ124" s="187">
        <f>IFERROR(__xludf.DUMMYFUNCTION("""COMPUTED_VALUE"""),45827.0)</f>
        <v>45827</v>
      </c>
      <c r="BA124" s="182" t="b">
        <f>IFERROR(__xludf.DUMMYFUNCTION("""COMPUTED_VALUE"""),FALSE)</f>
        <v>0</v>
      </c>
      <c r="BB124" s="187">
        <f>IFERROR(__xludf.DUMMYFUNCTION("""COMPUTED_VALUE"""),45827.0)</f>
        <v>45827</v>
      </c>
    </row>
    <row r="125">
      <c r="A125" s="184" t="str">
        <f t="shared" si="1"/>
        <v>#VALUE!</v>
      </c>
      <c r="B125" s="69" t="str">
        <f t="shared" si="2"/>
        <v>#VALUE!</v>
      </c>
      <c r="C125" s="182" t="str">
        <f>IFERROR(__xludf.DUMMYFUNCTION("""COMPUTED_VALUE"""),"GSTORE")</f>
        <v>GSTORE</v>
      </c>
      <c r="D125" s="182" t="str">
        <f>IFERROR(__xludf.DUMMYFUNCTION("""COMPUTED_VALUE"""),"MP")</f>
        <v>MP</v>
      </c>
      <c r="E125" s="182" t="str">
        <f>IFERROR(__xludf.DUMMYFUNCTION("""COMPUTED_VALUE"""),"CLNR")</f>
        <v>CLNR</v>
      </c>
      <c r="F125" s="182" t="str">
        <f>IFERROR(__xludf.DUMMYFUNCTION("""COMPUTED_VALUE"""),"CLNRGA10492")</f>
        <v>CLNRGA10492</v>
      </c>
      <c r="G125" s="182" t="str">
        <f>IFERROR(__xludf.DUMMYFUNCTION("""COMPUTED_VALUE"""),"G4QUR")</f>
        <v>G4QUR</v>
      </c>
      <c r="H125" s="182">
        <f>IFERROR(__xludf.DUMMYFUNCTION("""COMPUTED_VALUE"""),8.4035393685E11)</f>
        <v>840353936850</v>
      </c>
      <c r="I125" s="185" t="str">
        <f>IFERROR(__xludf.DUMMYFUNCTION("""COMPUTED_VALUE"""),"0840353936850")</f>
        <v>0840353936850</v>
      </c>
      <c r="J125" s="182"/>
      <c r="K125" s="182" t="str">
        <f>IFERROR(__xludf.DUMMYFUNCTION("""COMPUTED_VALUE"""),"ROW Master Carton Label (UPC)")</f>
        <v>ROW Master Carton Label (UPC)</v>
      </c>
      <c r="L125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25" s="182" t="str">
        <f>IFERROR(__xludf.DUMMYFUNCTION("""COMPUTED_VALUE"""),"N/A")</f>
        <v>N/A</v>
      </c>
      <c r="N125" s="182" t="str">
        <f>IFERROR(__xludf.DUMMYFUNCTION("""COMPUTED_VALUE"""),"N/A")</f>
        <v>N/A</v>
      </c>
      <c r="O125" s="182" t="str">
        <f>IFERROR(__xludf.DUMMYFUNCTION("""COMPUTED_VALUE"""),"N/A")</f>
        <v>N/A</v>
      </c>
      <c r="P125" s="182"/>
      <c r="Q125" s="182" t="str">
        <f>IFERROR(__xludf.DUMMYFUNCTION("""COMPUTED_VALUE"""),"128GB")</f>
        <v>128GB</v>
      </c>
      <c r="R125" s="182" t="str">
        <f>IFERROR(__xludf.DUMMYFUNCTION("""COMPUTED_VALUE"""),"Moonstone")</f>
        <v>Moonstone</v>
      </c>
      <c r="S125" s="182" t="str">
        <f>IFERROR(__xludf.DUMMYFUNCTION("""COMPUTED_VALUE"""),"Sterling")</f>
        <v>Sterling</v>
      </c>
      <c r="T125" s="182" t="str">
        <f>IFERROR(__xludf.DUMMYFUNCTION("""COMPUTED_VALUE"""),"US GStore")</f>
        <v>US GStore</v>
      </c>
      <c r="U125" s="182" t="str">
        <f>IFERROR(__xludf.DUMMYFUNCTION("""COMPUTED_VALUE"""),"SKU,CLR3, GOOD, MMWAVE, GSTORE, BZ5, FRU")</f>
        <v>SKU,CLR3, GOOD, MMWAVE, GSTORE, BZ5, FRU</v>
      </c>
      <c r="V125" s="182"/>
      <c r="W125" s="183" t="str">
        <f>IFERROR(__xludf.DUMMYFUNCTION("""COMPUTED_VALUE"""),"#NUM!")</f>
        <v>#NUM!</v>
      </c>
      <c r="X125" s="186">
        <f>IFERROR(__xludf.DUMMYFUNCTION("""COMPUTED_VALUE"""),45831.0)</f>
        <v>45831</v>
      </c>
      <c r="Y125" s="187">
        <f>IFERROR(__xludf.DUMMYFUNCTION("""COMPUTED_VALUE"""),45780.0)</f>
        <v>45780</v>
      </c>
      <c r="Z125" s="182" t="b">
        <f>IFERROR(__xludf.DUMMYFUNCTION("""COMPUTED_VALUE"""),FALSE)</f>
        <v>0</v>
      </c>
      <c r="AA125" s="187">
        <f>IFERROR(__xludf.DUMMYFUNCTION("""COMPUTED_VALUE"""),45780.0)</f>
        <v>45780</v>
      </c>
      <c r="AB125" s="182" t="b">
        <f>IFERROR(__xludf.DUMMYFUNCTION("""COMPUTED_VALUE"""),FALSE)</f>
        <v>0</v>
      </c>
      <c r="AC125" s="187">
        <f>IFERROR(__xludf.DUMMYFUNCTION("""COMPUTED_VALUE"""),45787.0)</f>
        <v>45787</v>
      </c>
      <c r="AD125" s="187">
        <f>IFERROR(__xludf.DUMMYFUNCTION("""COMPUTED_VALUE"""),45787.0)</f>
        <v>45787</v>
      </c>
      <c r="AE125" s="188" t="str">
        <f>IFERROR(__xludf.DUMMYFUNCTION("""COMPUTED_VALUE"""),"CLNRGA10492")</f>
        <v>CLNRGA10492</v>
      </c>
      <c r="AF125" s="182"/>
      <c r="AG125" s="188" t="str">
        <f>IFERROR(__xludf.DUMMYFUNCTION("""COMPUTED_VALUE"""),"CLNRGA10492")</f>
        <v>CLNRGA10492</v>
      </c>
      <c r="AH125" s="182" t="str">
        <f>IFERROR(__xludf.DUMMYFUNCTION("""COMPUTED_VALUE"""),"N/A")</f>
        <v>N/A</v>
      </c>
      <c r="AI125" s="188" t="str">
        <f>IFERROR(__xludf.DUMMYFUNCTION("""COMPUTED_VALUE"""),"CLNRGA10492")</f>
        <v>CLNRGA10492</v>
      </c>
      <c r="AJ125" s="187">
        <f>IFERROR(__xludf.DUMMYFUNCTION("""COMPUTED_VALUE"""),45793.0)</f>
        <v>45793</v>
      </c>
      <c r="AK125" s="187">
        <f>IFERROR(__xludf.DUMMYFUNCTION("""COMPUTED_VALUE"""),45801.0)</f>
        <v>45801</v>
      </c>
      <c r="AL125" s="182" t="b">
        <f>IFERROR(__xludf.DUMMYFUNCTION("""COMPUTED_VALUE"""),FALSE)</f>
        <v>0</v>
      </c>
      <c r="AM125" s="182" t="b">
        <f>IFERROR(__xludf.DUMMYFUNCTION("""COMPUTED_VALUE"""),FALSE)</f>
        <v>0</v>
      </c>
      <c r="AN125" s="187">
        <f>IFERROR(__xludf.DUMMYFUNCTION("""COMPUTED_VALUE"""),45801.0)</f>
        <v>45801</v>
      </c>
      <c r="AO125" s="182" t="b">
        <f>IFERROR(__xludf.DUMMYFUNCTION("""COMPUTED_VALUE"""),TRUE)</f>
        <v>1</v>
      </c>
      <c r="AP125" s="182" t="str">
        <f>IFERROR(__xludf.DUMMYFUNCTION("""COMPUTED_VALUE"""),"N")</f>
        <v>N</v>
      </c>
      <c r="AQ125" s="182"/>
      <c r="AR125" s="182"/>
      <c r="AS125" s="182" t="b">
        <f>IFERROR(__xludf.DUMMYFUNCTION("""COMPUTED_VALUE"""),FALSE)</f>
        <v>0</v>
      </c>
      <c r="AT125" s="182"/>
      <c r="AU125" s="182"/>
      <c r="AV125" s="187">
        <f>IFERROR(__xludf.DUMMYFUNCTION("""COMPUTED_VALUE"""),45801.0)</f>
        <v>45801</v>
      </c>
      <c r="AW125" s="182" t="b">
        <f>IFERROR(__xludf.DUMMYFUNCTION("""COMPUTED_VALUE"""),FALSE)</f>
        <v>0</v>
      </c>
      <c r="AX125" s="182"/>
      <c r="AY125" s="182"/>
      <c r="AZ125" s="187">
        <f>IFERROR(__xludf.DUMMYFUNCTION("""COMPUTED_VALUE"""),45827.0)</f>
        <v>45827</v>
      </c>
      <c r="BA125" s="182" t="b">
        <f>IFERROR(__xludf.DUMMYFUNCTION("""COMPUTED_VALUE"""),FALSE)</f>
        <v>0</v>
      </c>
      <c r="BB125" s="187">
        <f>IFERROR(__xludf.DUMMYFUNCTION("""COMPUTED_VALUE"""),45827.0)</f>
        <v>45827</v>
      </c>
    </row>
    <row r="126">
      <c r="A126" s="184" t="str">
        <f t="shared" si="1"/>
        <v>#VALUE!</v>
      </c>
      <c r="B126" s="69" t="str">
        <f t="shared" si="2"/>
        <v>#VALUE!</v>
      </c>
      <c r="C126" s="182" t="str">
        <f>IFERROR(__xludf.DUMMYFUNCTION("""COMPUTED_VALUE"""),"GSTORE")</f>
        <v>GSTORE</v>
      </c>
      <c r="D126" s="182" t="str">
        <f>IFERROR(__xludf.DUMMYFUNCTION("""COMPUTED_VALUE"""),"MP")</f>
        <v>MP</v>
      </c>
      <c r="E126" s="182" t="str">
        <f>IFERROR(__xludf.DUMMYFUNCTION("""COMPUTED_VALUE"""),"CLNR")</f>
        <v>CLNR</v>
      </c>
      <c r="F126" s="182" t="str">
        <f>IFERROR(__xludf.DUMMYFUNCTION("""COMPUTED_VALUE"""),"CLNRGA10493")</f>
        <v>CLNRGA10493</v>
      </c>
      <c r="G126" s="182" t="str">
        <f>IFERROR(__xludf.DUMMYFUNCTION("""COMPUTED_VALUE"""),"G4QUR")</f>
        <v>G4QUR</v>
      </c>
      <c r="H126" s="182">
        <f>IFERROR(__xludf.DUMMYFUNCTION("""COMPUTED_VALUE"""),8.40353937093E11)</f>
        <v>840353937093</v>
      </c>
      <c r="I126" s="185" t="str">
        <f>IFERROR(__xludf.DUMMYFUNCTION("""COMPUTED_VALUE"""),"0840353937093")</f>
        <v>0840353937093</v>
      </c>
      <c r="J126" s="182"/>
      <c r="K126" s="182" t="str">
        <f>IFERROR(__xludf.DUMMYFUNCTION("""COMPUTED_VALUE"""),"ROW Master Carton Label (UPC)")</f>
        <v>ROW Master Carton Label (UPC)</v>
      </c>
      <c r="L126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26" s="182" t="str">
        <f>IFERROR(__xludf.DUMMYFUNCTION("""COMPUTED_VALUE"""),"N/A")</f>
        <v>N/A</v>
      </c>
      <c r="N126" s="182" t="str">
        <f>IFERROR(__xludf.DUMMYFUNCTION("""COMPUTED_VALUE"""),"N/A")</f>
        <v>N/A</v>
      </c>
      <c r="O126" s="182" t="str">
        <f>IFERROR(__xludf.DUMMYFUNCTION("""COMPUTED_VALUE"""),"N/A")</f>
        <v>N/A</v>
      </c>
      <c r="P126" s="182"/>
      <c r="Q126" s="182" t="str">
        <f>IFERROR(__xludf.DUMMYFUNCTION("""COMPUTED_VALUE"""),"256GB")</f>
        <v>256GB</v>
      </c>
      <c r="R126" s="182" t="str">
        <f>IFERROR(__xludf.DUMMYFUNCTION("""COMPUTED_VALUE"""),"Obsidian")</f>
        <v>Obsidian</v>
      </c>
      <c r="S126" s="182" t="str">
        <f>IFERROR(__xludf.DUMMYFUNCTION("""COMPUTED_VALUE"""),"Midnight")</f>
        <v>Midnight</v>
      </c>
      <c r="T126" s="182" t="str">
        <f>IFERROR(__xludf.DUMMYFUNCTION("""COMPUTED_VALUE"""),"US GStore")</f>
        <v>US GStore</v>
      </c>
      <c r="U126" s="182" t="str">
        <f>IFERROR(__xludf.DUMMYFUNCTION("""COMPUTED_VALUE"""),"SKU,CLR1, BETTER, MMWAVE, GSTORE, BZ5, FRU")</f>
        <v>SKU,CLR1, BETTER, MMWAVE, GSTORE, BZ5, FRU</v>
      </c>
      <c r="V126" s="182"/>
      <c r="W126" s="183" t="str">
        <f>IFERROR(__xludf.DUMMYFUNCTION("""COMPUTED_VALUE"""),"#NUM!")</f>
        <v>#NUM!</v>
      </c>
      <c r="X126" s="186">
        <f>IFERROR(__xludf.DUMMYFUNCTION("""COMPUTED_VALUE"""),45831.0)</f>
        <v>45831</v>
      </c>
      <c r="Y126" s="187">
        <f>IFERROR(__xludf.DUMMYFUNCTION("""COMPUTED_VALUE"""),45780.0)</f>
        <v>45780</v>
      </c>
      <c r="Z126" s="182" t="b">
        <f>IFERROR(__xludf.DUMMYFUNCTION("""COMPUTED_VALUE"""),FALSE)</f>
        <v>0</v>
      </c>
      <c r="AA126" s="187">
        <f>IFERROR(__xludf.DUMMYFUNCTION("""COMPUTED_VALUE"""),45780.0)</f>
        <v>45780</v>
      </c>
      <c r="AB126" s="182" t="b">
        <f>IFERROR(__xludf.DUMMYFUNCTION("""COMPUTED_VALUE"""),FALSE)</f>
        <v>0</v>
      </c>
      <c r="AC126" s="187">
        <f>IFERROR(__xludf.DUMMYFUNCTION("""COMPUTED_VALUE"""),45787.0)</f>
        <v>45787</v>
      </c>
      <c r="AD126" s="187">
        <f>IFERROR(__xludf.DUMMYFUNCTION("""COMPUTED_VALUE"""),45787.0)</f>
        <v>45787</v>
      </c>
      <c r="AE126" s="188" t="str">
        <f>IFERROR(__xludf.DUMMYFUNCTION("""COMPUTED_VALUE"""),"CLNRGA10493")</f>
        <v>CLNRGA10493</v>
      </c>
      <c r="AF126" s="182"/>
      <c r="AG126" s="188" t="str">
        <f>IFERROR(__xludf.DUMMYFUNCTION("""COMPUTED_VALUE"""),"CLNRGA10493")</f>
        <v>CLNRGA10493</v>
      </c>
      <c r="AH126" s="182" t="str">
        <f>IFERROR(__xludf.DUMMYFUNCTION("""COMPUTED_VALUE"""),"N/A")</f>
        <v>N/A</v>
      </c>
      <c r="AI126" s="188" t="str">
        <f>IFERROR(__xludf.DUMMYFUNCTION("""COMPUTED_VALUE"""),"CLNRGA10493")</f>
        <v>CLNRGA10493</v>
      </c>
      <c r="AJ126" s="187">
        <f>IFERROR(__xludf.DUMMYFUNCTION("""COMPUTED_VALUE"""),45793.0)</f>
        <v>45793</v>
      </c>
      <c r="AK126" s="187">
        <f>IFERROR(__xludf.DUMMYFUNCTION("""COMPUTED_VALUE"""),45801.0)</f>
        <v>45801</v>
      </c>
      <c r="AL126" s="182" t="b">
        <f>IFERROR(__xludf.DUMMYFUNCTION("""COMPUTED_VALUE"""),FALSE)</f>
        <v>0</v>
      </c>
      <c r="AM126" s="182" t="b">
        <f>IFERROR(__xludf.DUMMYFUNCTION("""COMPUTED_VALUE"""),FALSE)</f>
        <v>0</v>
      </c>
      <c r="AN126" s="187">
        <f>IFERROR(__xludf.DUMMYFUNCTION("""COMPUTED_VALUE"""),45801.0)</f>
        <v>45801</v>
      </c>
      <c r="AO126" s="182" t="b">
        <f>IFERROR(__xludf.DUMMYFUNCTION("""COMPUTED_VALUE"""),TRUE)</f>
        <v>1</v>
      </c>
      <c r="AP126" s="182" t="str">
        <f>IFERROR(__xludf.DUMMYFUNCTION("""COMPUTED_VALUE"""),"N")</f>
        <v>N</v>
      </c>
      <c r="AQ126" s="182"/>
      <c r="AR126" s="182"/>
      <c r="AS126" s="182" t="b">
        <f>IFERROR(__xludf.DUMMYFUNCTION("""COMPUTED_VALUE"""),FALSE)</f>
        <v>0</v>
      </c>
      <c r="AT126" s="182"/>
      <c r="AU126" s="182"/>
      <c r="AV126" s="187">
        <f>IFERROR(__xludf.DUMMYFUNCTION("""COMPUTED_VALUE"""),45801.0)</f>
        <v>45801</v>
      </c>
      <c r="AW126" s="182" t="b">
        <f>IFERROR(__xludf.DUMMYFUNCTION("""COMPUTED_VALUE"""),FALSE)</f>
        <v>0</v>
      </c>
      <c r="AX126" s="182"/>
      <c r="AY126" s="182"/>
      <c r="AZ126" s="187">
        <f>IFERROR(__xludf.DUMMYFUNCTION("""COMPUTED_VALUE"""),45827.0)</f>
        <v>45827</v>
      </c>
      <c r="BA126" s="182" t="b">
        <f>IFERROR(__xludf.DUMMYFUNCTION("""COMPUTED_VALUE"""),FALSE)</f>
        <v>0</v>
      </c>
      <c r="BB126" s="187">
        <f>IFERROR(__xludf.DUMMYFUNCTION("""COMPUTED_VALUE"""),45827.0)</f>
        <v>45827</v>
      </c>
    </row>
    <row r="127">
      <c r="A127" s="184" t="str">
        <f t="shared" si="1"/>
        <v>#VALUE!</v>
      </c>
      <c r="B127" s="69" t="str">
        <f t="shared" si="2"/>
        <v>#VALUE!</v>
      </c>
      <c r="C127" s="182" t="str">
        <f>IFERROR(__xludf.DUMMYFUNCTION("""COMPUTED_VALUE"""),"GSTORE")</f>
        <v>GSTORE</v>
      </c>
      <c r="D127" s="182" t="str">
        <f>IFERROR(__xludf.DUMMYFUNCTION("""COMPUTED_VALUE"""),"MP")</f>
        <v>MP</v>
      </c>
      <c r="E127" s="182" t="str">
        <f>IFERROR(__xludf.DUMMYFUNCTION("""COMPUTED_VALUE"""),"CLNR")</f>
        <v>CLNR</v>
      </c>
      <c r="F127" s="182" t="str">
        <f>IFERROR(__xludf.DUMMYFUNCTION("""COMPUTED_VALUE"""),"CLNRGA10494")</f>
        <v>CLNRGA10494</v>
      </c>
      <c r="G127" s="182" t="str">
        <f>IFERROR(__xludf.DUMMYFUNCTION("""COMPUTED_VALUE"""),"G4QUR")</f>
        <v>G4QUR</v>
      </c>
      <c r="H127" s="182">
        <f>IFERROR(__xludf.DUMMYFUNCTION("""COMPUTED_VALUE"""),8.40353937109E11)</f>
        <v>840353937109</v>
      </c>
      <c r="I127" s="185" t="str">
        <f>IFERROR(__xludf.DUMMYFUNCTION("""COMPUTED_VALUE"""),"0840353937109")</f>
        <v>0840353937109</v>
      </c>
      <c r="J127" s="182"/>
      <c r="K127" s="182" t="str">
        <f>IFERROR(__xludf.DUMMYFUNCTION("""COMPUTED_VALUE"""),"ROW Master Carton Label (UPC)")</f>
        <v>ROW Master Carton Label (UPC)</v>
      </c>
      <c r="L127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27" s="182" t="str">
        <f>IFERROR(__xludf.DUMMYFUNCTION("""COMPUTED_VALUE"""),"N/A")</f>
        <v>N/A</v>
      </c>
      <c r="N127" s="182" t="str">
        <f>IFERROR(__xludf.DUMMYFUNCTION("""COMPUTED_VALUE"""),"N/A")</f>
        <v>N/A</v>
      </c>
      <c r="O127" s="182" t="str">
        <f>IFERROR(__xludf.DUMMYFUNCTION("""COMPUTED_VALUE"""),"N/A")</f>
        <v>N/A</v>
      </c>
      <c r="P127" s="182"/>
      <c r="Q127" s="182" t="str">
        <f>IFERROR(__xludf.DUMMYFUNCTION("""COMPUTED_VALUE"""),"256GB")</f>
        <v>256GB</v>
      </c>
      <c r="R127" s="182" t="str">
        <f>IFERROR(__xludf.DUMMYFUNCTION("""COMPUTED_VALUE"""),"Porcelain")</f>
        <v>Porcelain</v>
      </c>
      <c r="S127" s="182" t="str">
        <f>IFERROR(__xludf.DUMMYFUNCTION("""COMPUTED_VALUE"""),"Light Porcelain")</f>
        <v>Light Porcelain</v>
      </c>
      <c r="T127" s="182" t="str">
        <f>IFERROR(__xludf.DUMMYFUNCTION("""COMPUTED_VALUE"""),"US GStore")</f>
        <v>US GStore</v>
      </c>
      <c r="U127" s="182" t="str">
        <f>IFERROR(__xludf.DUMMYFUNCTION("""COMPUTED_VALUE"""),"SKU,CLR2, BETTER, MMWAVE, GSTORE, BZ5, FRU")</f>
        <v>SKU,CLR2, BETTER, MMWAVE, GSTORE, BZ5, FRU</v>
      </c>
      <c r="V127" s="182"/>
      <c r="W127" s="183" t="str">
        <f>IFERROR(__xludf.DUMMYFUNCTION("""COMPUTED_VALUE"""),"#NUM!")</f>
        <v>#NUM!</v>
      </c>
      <c r="X127" s="186">
        <f>IFERROR(__xludf.DUMMYFUNCTION("""COMPUTED_VALUE"""),45831.0)</f>
        <v>45831</v>
      </c>
      <c r="Y127" s="187">
        <f>IFERROR(__xludf.DUMMYFUNCTION("""COMPUTED_VALUE"""),45780.0)</f>
        <v>45780</v>
      </c>
      <c r="Z127" s="182" t="b">
        <f>IFERROR(__xludf.DUMMYFUNCTION("""COMPUTED_VALUE"""),FALSE)</f>
        <v>0</v>
      </c>
      <c r="AA127" s="187">
        <f>IFERROR(__xludf.DUMMYFUNCTION("""COMPUTED_VALUE"""),45780.0)</f>
        <v>45780</v>
      </c>
      <c r="AB127" s="182" t="b">
        <f>IFERROR(__xludf.DUMMYFUNCTION("""COMPUTED_VALUE"""),FALSE)</f>
        <v>0</v>
      </c>
      <c r="AC127" s="187">
        <f>IFERROR(__xludf.DUMMYFUNCTION("""COMPUTED_VALUE"""),45787.0)</f>
        <v>45787</v>
      </c>
      <c r="AD127" s="187">
        <f>IFERROR(__xludf.DUMMYFUNCTION("""COMPUTED_VALUE"""),45787.0)</f>
        <v>45787</v>
      </c>
      <c r="AE127" s="188" t="str">
        <f>IFERROR(__xludf.DUMMYFUNCTION("""COMPUTED_VALUE"""),"CLNRGA10494")</f>
        <v>CLNRGA10494</v>
      </c>
      <c r="AF127" s="182"/>
      <c r="AG127" s="188" t="str">
        <f>IFERROR(__xludf.DUMMYFUNCTION("""COMPUTED_VALUE"""),"CLNRGA10494")</f>
        <v>CLNRGA10494</v>
      </c>
      <c r="AH127" s="182" t="str">
        <f>IFERROR(__xludf.DUMMYFUNCTION("""COMPUTED_VALUE"""),"N/A")</f>
        <v>N/A</v>
      </c>
      <c r="AI127" s="188" t="str">
        <f>IFERROR(__xludf.DUMMYFUNCTION("""COMPUTED_VALUE"""),"CLNRGA10494")</f>
        <v>CLNRGA10494</v>
      </c>
      <c r="AJ127" s="187">
        <f>IFERROR(__xludf.DUMMYFUNCTION("""COMPUTED_VALUE"""),45793.0)</f>
        <v>45793</v>
      </c>
      <c r="AK127" s="187">
        <f>IFERROR(__xludf.DUMMYFUNCTION("""COMPUTED_VALUE"""),45801.0)</f>
        <v>45801</v>
      </c>
      <c r="AL127" s="182" t="b">
        <f>IFERROR(__xludf.DUMMYFUNCTION("""COMPUTED_VALUE"""),FALSE)</f>
        <v>0</v>
      </c>
      <c r="AM127" s="182" t="b">
        <f>IFERROR(__xludf.DUMMYFUNCTION("""COMPUTED_VALUE"""),FALSE)</f>
        <v>0</v>
      </c>
      <c r="AN127" s="187">
        <f>IFERROR(__xludf.DUMMYFUNCTION("""COMPUTED_VALUE"""),45801.0)</f>
        <v>45801</v>
      </c>
      <c r="AO127" s="182" t="b">
        <f>IFERROR(__xludf.DUMMYFUNCTION("""COMPUTED_VALUE"""),TRUE)</f>
        <v>1</v>
      </c>
      <c r="AP127" s="182" t="str">
        <f>IFERROR(__xludf.DUMMYFUNCTION("""COMPUTED_VALUE"""),"N")</f>
        <v>N</v>
      </c>
      <c r="AQ127" s="182"/>
      <c r="AR127" s="182"/>
      <c r="AS127" s="182" t="b">
        <f>IFERROR(__xludf.DUMMYFUNCTION("""COMPUTED_VALUE"""),FALSE)</f>
        <v>0</v>
      </c>
      <c r="AT127" s="182"/>
      <c r="AU127" s="182"/>
      <c r="AV127" s="187">
        <f>IFERROR(__xludf.DUMMYFUNCTION("""COMPUTED_VALUE"""),45801.0)</f>
        <v>45801</v>
      </c>
      <c r="AW127" s="182" t="b">
        <f>IFERROR(__xludf.DUMMYFUNCTION("""COMPUTED_VALUE"""),FALSE)</f>
        <v>0</v>
      </c>
      <c r="AX127" s="182"/>
      <c r="AY127" s="182"/>
      <c r="AZ127" s="187">
        <f>IFERROR(__xludf.DUMMYFUNCTION("""COMPUTED_VALUE"""),45827.0)</f>
        <v>45827</v>
      </c>
      <c r="BA127" s="182" t="b">
        <f>IFERROR(__xludf.DUMMYFUNCTION("""COMPUTED_VALUE"""),FALSE)</f>
        <v>0</v>
      </c>
      <c r="BB127" s="187">
        <f>IFERROR(__xludf.DUMMYFUNCTION("""COMPUTED_VALUE"""),45827.0)</f>
        <v>45827</v>
      </c>
    </row>
    <row r="128">
      <c r="A128" s="184" t="str">
        <f t="shared" si="1"/>
        <v>#VALUE!</v>
      </c>
      <c r="B128" s="69" t="str">
        <f t="shared" si="2"/>
        <v>#VALUE!</v>
      </c>
      <c r="C128" s="182" t="str">
        <f>IFERROR(__xludf.DUMMYFUNCTION("""COMPUTED_VALUE"""),"GSTORE")</f>
        <v>GSTORE</v>
      </c>
      <c r="D128" s="182" t="str">
        <f>IFERROR(__xludf.DUMMYFUNCTION("""COMPUTED_VALUE"""),"MP")</f>
        <v>MP</v>
      </c>
      <c r="E128" s="182" t="str">
        <f>IFERROR(__xludf.DUMMYFUNCTION("""COMPUTED_VALUE"""),"CLNR")</f>
        <v>CLNR</v>
      </c>
      <c r="F128" s="182" t="str">
        <f>IFERROR(__xludf.DUMMYFUNCTION("""COMPUTED_VALUE"""),"CLNRGA10495")</f>
        <v>CLNRGA10495</v>
      </c>
      <c r="G128" s="182" t="str">
        <f>IFERROR(__xludf.DUMMYFUNCTION("""COMPUTED_VALUE"""),"G4QUR")</f>
        <v>G4QUR</v>
      </c>
      <c r="H128" s="182">
        <f>IFERROR(__xludf.DUMMYFUNCTION("""COMPUTED_VALUE"""),8.40353937116E11)</f>
        <v>840353937116</v>
      </c>
      <c r="I128" s="185" t="str">
        <f>IFERROR(__xludf.DUMMYFUNCTION("""COMPUTED_VALUE"""),"0840353937116")</f>
        <v>0840353937116</v>
      </c>
      <c r="J128" s="182"/>
      <c r="K128" s="182" t="str">
        <f>IFERROR(__xludf.DUMMYFUNCTION("""COMPUTED_VALUE"""),"ROW Master Carton Label (UPC)")</f>
        <v>ROW Master Carton Label (UPC)</v>
      </c>
      <c r="L128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28" s="182" t="str">
        <f>IFERROR(__xludf.DUMMYFUNCTION("""COMPUTED_VALUE"""),"N/A")</f>
        <v>N/A</v>
      </c>
      <c r="N128" s="182" t="str">
        <f>IFERROR(__xludf.DUMMYFUNCTION("""COMPUTED_VALUE"""),"N/A")</f>
        <v>N/A</v>
      </c>
      <c r="O128" s="182" t="str">
        <f>IFERROR(__xludf.DUMMYFUNCTION("""COMPUTED_VALUE"""),"N/A")</f>
        <v>N/A</v>
      </c>
      <c r="P128" s="182"/>
      <c r="Q128" s="182" t="str">
        <f>IFERROR(__xludf.DUMMYFUNCTION("""COMPUTED_VALUE"""),"256GB")</f>
        <v>256GB</v>
      </c>
      <c r="R128" s="182" t="str">
        <f>IFERROR(__xludf.DUMMYFUNCTION("""COMPUTED_VALUE"""),"Moonstone")</f>
        <v>Moonstone</v>
      </c>
      <c r="S128" s="182" t="str">
        <f>IFERROR(__xludf.DUMMYFUNCTION("""COMPUTED_VALUE"""),"Sterling")</f>
        <v>Sterling</v>
      </c>
      <c r="T128" s="182" t="str">
        <f>IFERROR(__xludf.DUMMYFUNCTION("""COMPUTED_VALUE"""),"US GStore")</f>
        <v>US GStore</v>
      </c>
      <c r="U128" s="182" t="str">
        <f>IFERROR(__xludf.DUMMYFUNCTION("""COMPUTED_VALUE"""),"SKU,CLR3, BETTER, MMWAVE, GSTORE, BZ5, FRU")</f>
        <v>SKU,CLR3, BETTER, MMWAVE, GSTORE, BZ5, FRU</v>
      </c>
      <c r="V128" s="182"/>
      <c r="W128" s="183" t="str">
        <f>IFERROR(__xludf.DUMMYFUNCTION("""COMPUTED_VALUE"""),"#NUM!")</f>
        <v>#NUM!</v>
      </c>
      <c r="X128" s="186">
        <f>IFERROR(__xludf.DUMMYFUNCTION("""COMPUTED_VALUE"""),45831.0)</f>
        <v>45831</v>
      </c>
      <c r="Y128" s="187">
        <f>IFERROR(__xludf.DUMMYFUNCTION("""COMPUTED_VALUE"""),45780.0)</f>
        <v>45780</v>
      </c>
      <c r="Z128" s="182" t="b">
        <f>IFERROR(__xludf.DUMMYFUNCTION("""COMPUTED_VALUE"""),FALSE)</f>
        <v>0</v>
      </c>
      <c r="AA128" s="187">
        <f>IFERROR(__xludf.DUMMYFUNCTION("""COMPUTED_VALUE"""),45780.0)</f>
        <v>45780</v>
      </c>
      <c r="AB128" s="182" t="b">
        <f>IFERROR(__xludf.DUMMYFUNCTION("""COMPUTED_VALUE"""),FALSE)</f>
        <v>0</v>
      </c>
      <c r="AC128" s="187">
        <f>IFERROR(__xludf.DUMMYFUNCTION("""COMPUTED_VALUE"""),45787.0)</f>
        <v>45787</v>
      </c>
      <c r="AD128" s="187">
        <f>IFERROR(__xludf.DUMMYFUNCTION("""COMPUTED_VALUE"""),45787.0)</f>
        <v>45787</v>
      </c>
      <c r="AE128" s="188" t="str">
        <f>IFERROR(__xludf.DUMMYFUNCTION("""COMPUTED_VALUE"""),"CLNRGA10495")</f>
        <v>CLNRGA10495</v>
      </c>
      <c r="AF128" s="182"/>
      <c r="AG128" s="188" t="str">
        <f>IFERROR(__xludf.DUMMYFUNCTION("""COMPUTED_VALUE"""),"CLNRGA10495")</f>
        <v>CLNRGA10495</v>
      </c>
      <c r="AH128" s="182" t="str">
        <f>IFERROR(__xludf.DUMMYFUNCTION("""COMPUTED_VALUE"""),"N/A")</f>
        <v>N/A</v>
      </c>
      <c r="AI128" s="188" t="str">
        <f>IFERROR(__xludf.DUMMYFUNCTION("""COMPUTED_VALUE"""),"CLNRGA10495")</f>
        <v>CLNRGA10495</v>
      </c>
      <c r="AJ128" s="187">
        <f>IFERROR(__xludf.DUMMYFUNCTION("""COMPUTED_VALUE"""),45793.0)</f>
        <v>45793</v>
      </c>
      <c r="AK128" s="187">
        <f>IFERROR(__xludf.DUMMYFUNCTION("""COMPUTED_VALUE"""),45801.0)</f>
        <v>45801</v>
      </c>
      <c r="AL128" s="182" t="b">
        <f>IFERROR(__xludf.DUMMYFUNCTION("""COMPUTED_VALUE"""),FALSE)</f>
        <v>0</v>
      </c>
      <c r="AM128" s="182" t="b">
        <f>IFERROR(__xludf.DUMMYFUNCTION("""COMPUTED_VALUE"""),FALSE)</f>
        <v>0</v>
      </c>
      <c r="AN128" s="187">
        <f>IFERROR(__xludf.DUMMYFUNCTION("""COMPUTED_VALUE"""),45801.0)</f>
        <v>45801</v>
      </c>
      <c r="AO128" s="182" t="b">
        <f>IFERROR(__xludf.DUMMYFUNCTION("""COMPUTED_VALUE"""),TRUE)</f>
        <v>1</v>
      </c>
      <c r="AP128" s="182" t="str">
        <f>IFERROR(__xludf.DUMMYFUNCTION("""COMPUTED_VALUE"""),"N")</f>
        <v>N</v>
      </c>
      <c r="AQ128" s="182"/>
      <c r="AR128" s="182"/>
      <c r="AS128" s="182" t="b">
        <f>IFERROR(__xludf.DUMMYFUNCTION("""COMPUTED_VALUE"""),FALSE)</f>
        <v>0</v>
      </c>
      <c r="AT128" s="182"/>
      <c r="AU128" s="182"/>
      <c r="AV128" s="187">
        <f>IFERROR(__xludf.DUMMYFUNCTION("""COMPUTED_VALUE"""),45801.0)</f>
        <v>45801</v>
      </c>
      <c r="AW128" s="182" t="b">
        <f>IFERROR(__xludf.DUMMYFUNCTION("""COMPUTED_VALUE"""),FALSE)</f>
        <v>0</v>
      </c>
      <c r="AX128" s="182"/>
      <c r="AY128" s="182"/>
      <c r="AZ128" s="187">
        <f>IFERROR(__xludf.DUMMYFUNCTION("""COMPUTED_VALUE"""),45827.0)</f>
        <v>45827</v>
      </c>
      <c r="BA128" s="182" t="b">
        <f>IFERROR(__xludf.DUMMYFUNCTION("""COMPUTED_VALUE"""),FALSE)</f>
        <v>0</v>
      </c>
      <c r="BB128" s="187">
        <f>IFERROR(__xludf.DUMMYFUNCTION("""COMPUTED_VALUE"""),45827.0)</f>
        <v>45827</v>
      </c>
    </row>
    <row r="129">
      <c r="A129" s="184" t="str">
        <f t="shared" si="1"/>
        <v>#VALUE!</v>
      </c>
      <c r="B129" s="69" t="str">
        <f t="shared" si="2"/>
        <v>#VALUE!</v>
      </c>
      <c r="C129" s="182" t="str">
        <f>IFERROR(__xludf.DUMMYFUNCTION("""COMPUTED_VALUE"""),"GSTORE")</f>
        <v>GSTORE</v>
      </c>
      <c r="D129" s="182" t="str">
        <f>IFERROR(__xludf.DUMMYFUNCTION("""COMPUTED_VALUE"""),"MP")</f>
        <v>MP</v>
      </c>
      <c r="E129" s="182" t="str">
        <f>IFERROR(__xludf.DUMMYFUNCTION("""COMPUTED_VALUE"""),"CLNR")</f>
        <v>CLNR</v>
      </c>
      <c r="F129" s="182" t="str">
        <f>IFERROR(__xludf.DUMMYFUNCTION("""COMPUTED_VALUE"""),"CLNRGA10496")</f>
        <v>CLNRGA10496</v>
      </c>
      <c r="G129" s="182" t="str">
        <f>IFERROR(__xludf.DUMMYFUNCTION("""COMPUTED_VALUE"""),"G4QUR")</f>
        <v>G4QUR</v>
      </c>
      <c r="H129" s="182">
        <f>IFERROR(__xludf.DUMMYFUNCTION("""COMPUTED_VALUE"""),8.40353937123E11)</f>
        <v>840353937123</v>
      </c>
      <c r="I129" s="185" t="str">
        <f>IFERROR(__xludf.DUMMYFUNCTION("""COMPUTED_VALUE"""),"0840353937123")</f>
        <v>0840353937123</v>
      </c>
      <c r="J129" s="182"/>
      <c r="K129" s="182" t="str">
        <f>IFERROR(__xludf.DUMMYFUNCTION("""COMPUTED_VALUE"""),"ROW Master Carton Label (UPC)")</f>
        <v>ROW Master Carton Label (UPC)</v>
      </c>
      <c r="L129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29" s="182" t="str">
        <f>IFERROR(__xludf.DUMMYFUNCTION("""COMPUTED_VALUE"""),"N/A")</f>
        <v>N/A</v>
      </c>
      <c r="N129" s="182" t="str">
        <f>IFERROR(__xludf.DUMMYFUNCTION("""COMPUTED_VALUE"""),"N/A")</f>
        <v>N/A</v>
      </c>
      <c r="O129" s="182" t="str">
        <f>IFERROR(__xludf.DUMMYFUNCTION("""COMPUTED_VALUE"""),"N/A")</f>
        <v>N/A</v>
      </c>
      <c r="P129" s="182"/>
      <c r="Q129" s="182" t="str">
        <f>IFERROR(__xludf.DUMMYFUNCTION("""COMPUTED_VALUE"""),"256GB")</f>
        <v>256GB</v>
      </c>
      <c r="R129" s="182" t="str">
        <f>IFERROR(__xludf.DUMMYFUNCTION("""COMPUTED_VALUE"""),"Jade")</f>
        <v>Jade</v>
      </c>
      <c r="S129" s="182" t="str">
        <f>IFERROR(__xludf.DUMMYFUNCTION("""COMPUTED_VALUE"""),"Smokey Green")</f>
        <v>Smokey Green</v>
      </c>
      <c r="T129" s="182" t="str">
        <f>IFERROR(__xludf.DUMMYFUNCTION("""COMPUTED_VALUE"""),"US GStore")</f>
        <v>US GStore</v>
      </c>
      <c r="U129" s="182" t="str">
        <f>IFERROR(__xludf.DUMMYFUNCTION("""COMPUTED_VALUE"""),"SKU,CLR4, BETTER, MMWAVE, GSTORE, BZ5, FRU")</f>
        <v>SKU,CLR4, BETTER, MMWAVE, GSTORE, BZ5, FRU</v>
      </c>
      <c r="V129" s="182"/>
      <c r="W129" s="183" t="str">
        <f>IFERROR(__xludf.DUMMYFUNCTION("""COMPUTED_VALUE"""),"#NUM!")</f>
        <v>#NUM!</v>
      </c>
      <c r="X129" s="186">
        <f>IFERROR(__xludf.DUMMYFUNCTION("""COMPUTED_VALUE"""),45831.0)</f>
        <v>45831</v>
      </c>
      <c r="Y129" s="187">
        <f>IFERROR(__xludf.DUMMYFUNCTION("""COMPUTED_VALUE"""),45780.0)</f>
        <v>45780</v>
      </c>
      <c r="Z129" s="182" t="b">
        <f>IFERROR(__xludf.DUMMYFUNCTION("""COMPUTED_VALUE"""),FALSE)</f>
        <v>0</v>
      </c>
      <c r="AA129" s="187">
        <f>IFERROR(__xludf.DUMMYFUNCTION("""COMPUTED_VALUE"""),45780.0)</f>
        <v>45780</v>
      </c>
      <c r="AB129" s="182" t="b">
        <f>IFERROR(__xludf.DUMMYFUNCTION("""COMPUTED_VALUE"""),FALSE)</f>
        <v>0</v>
      </c>
      <c r="AC129" s="187">
        <f>IFERROR(__xludf.DUMMYFUNCTION("""COMPUTED_VALUE"""),45787.0)</f>
        <v>45787</v>
      </c>
      <c r="AD129" s="187">
        <f>IFERROR(__xludf.DUMMYFUNCTION("""COMPUTED_VALUE"""),45787.0)</f>
        <v>45787</v>
      </c>
      <c r="AE129" s="188" t="str">
        <f>IFERROR(__xludf.DUMMYFUNCTION("""COMPUTED_VALUE"""),"CLNRGA10496")</f>
        <v>CLNRGA10496</v>
      </c>
      <c r="AF129" s="182"/>
      <c r="AG129" s="188" t="str">
        <f>IFERROR(__xludf.DUMMYFUNCTION("""COMPUTED_VALUE"""),"CLNRGA10496")</f>
        <v>CLNRGA10496</v>
      </c>
      <c r="AH129" s="182" t="str">
        <f>IFERROR(__xludf.DUMMYFUNCTION("""COMPUTED_VALUE"""),"N/A")</f>
        <v>N/A</v>
      </c>
      <c r="AI129" s="188" t="str">
        <f>IFERROR(__xludf.DUMMYFUNCTION("""COMPUTED_VALUE"""),"CLNRGA10496")</f>
        <v>CLNRGA10496</v>
      </c>
      <c r="AJ129" s="187">
        <f>IFERROR(__xludf.DUMMYFUNCTION("""COMPUTED_VALUE"""),45793.0)</f>
        <v>45793</v>
      </c>
      <c r="AK129" s="187">
        <f>IFERROR(__xludf.DUMMYFUNCTION("""COMPUTED_VALUE"""),45801.0)</f>
        <v>45801</v>
      </c>
      <c r="AL129" s="182" t="b">
        <f>IFERROR(__xludf.DUMMYFUNCTION("""COMPUTED_VALUE"""),FALSE)</f>
        <v>0</v>
      </c>
      <c r="AM129" s="182" t="b">
        <f>IFERROR(__xludf.DUMMYFUNCTION("""COMPUTED_VALUE"""),FALSE)</f>
        <v>0</v>
      </c>
      <c r="AN129" s="187">
        <f>IFERROR(__xludf.DUMMYFUNCTION("""COMPUTED_VALUE"""),45801.0)</f>
        <v>45801</v>
      </c>
      <c r="AO129" s="182" t="b">
        <f>IFERROR(__xludf.DUMMYFUNCTION("""COMPUTED_VALUE"""),TRUE)</f>
        <v>1</v>
      </c>
      <c r="AP129" s="182" t="str">
        <f>IFERROR(__xludf.DUMMYFUNCTION("""COMPUTED_VALUE"""),"N")</f>
        <v>N</v>
      </c>
      <c r="AQ129" s="182"/>
      <c r="AR129" s="182"/>
      <c r="AS129" s="182" t="b">
        <f>IFERROR(__xludf.DUMMYFUNCTION("""COMPUTED_VALUE"""),FALSE)</f>
        <v>0</v>
      </c>
      <c r="AT129" s="182"/>
      <c r="AU129" s="182"/>
      <c r="AV129" s="187">
        <f>IFERROR(__xludf.DUMMYFUNCTION("""COMPUTED_VALUE"""),45801.0)</f>
        <v>45801</v>
      </c>
      <c r="AW129" s="182" t="b">
        <f>IFERROR(__xludf.DUMMYFUNCTION("""COMPUTED_VALUE"""),FALSE)</f>
        <v>0</v>
      </c>
      <c r="AX129" s="182"/>
      <c r="AY129" s="182"/>
      <c r="AZ129" s="187">
        <f>IFERROR(__xludf.DUMMYFUNCTION("""COMPUTED_VALUE"""),45827.0)</f>
        <v>45827</v>
      </c>
      <c r="BA129" s="182" t="b">
        <f>IFERROR(__xludf.DUMMYFUNCTION("""COMPUTED_VALUE"""),FALSE)</f>
        <v>0</v>
      </c>
      <c r="BB129" s="187">
        <f>IFERROR(__xludf.DUMMYFUNCTION("""COMPUTED_VALUE"""),45827.0)</f>
        <v>45827</v>
      </c>
    </row>
    <row r="130">
      <c r="A130" s="184" t="str">
        <f t="shared" si="1"/>
        <v>#VALUE!</v>
      </c>
      <c r="B130" s="69" t="str">
        <f t="shared" si="2"/>
        <v>#VALUE!</v>
      </c>
      <c r="C130" s="182" t="str">
        <f>IFERROR(__xludf.DUMMYFUNCTION("""COMPUTED_VALUE"""),"GSTORE")</f>
        <v>GSTORE</v>
      </c>
      <c r="D130" s="182" t="str">
        <f>IFERROR(__xludf.DUMMYFUNCTION("""COMPUTED_VALUE"""),"MP")</f>
        <v>MP</v>
      </c>
      <c r="E130" s="182" t="str">
        <f>IFERROR(__xludf.DUMMYFUNCTION("""COMPUTED_VALUE"""),"CLNR")</f>
        <v>CLNR</v>
      </c>
      <c r="F130" s="182" t="str">
        <f>IFERROR(__xludf.DUMMYFUNCTION("""COMPUTED_VALUE"""),"CLNRGA10497")</f>
        <v>CLNRGA10497</v>
      </c>
      <c r="G130" s="182" t="str">
        <f>IFERROR(__xludf.DUMMYFUNCTION("""COMPUTED_VALUE"""),"G4QUR")</f>
        <v>G4QUR</v>
      </c>
      <c r="H130" s="182">
        <f>IFERROR(__xludf.DUMMYFUNCTION("""COMPUTED_VALUE"""),8.4035393713E11)</f>
        <v>840353937130</v>
      </c>
      <c r="I130" s="185" t="str">
        <f>IFERROR(__xludf.DUMMYFUNCTION("""COMPUTED_VALUE"""),"0840353937130")</f>
        <v>0840353937130</v>
      </c>
      <c r="J130" s="182"/>
      <c r="K130" s="182" t="str">
        <f>IFERROR(__xludf.DUMMYFUNCTION("""COMPUTED_VALUE"""),"ROW Master Carton Label (UPC)")</f>
        <v>ROW Master Carton Label (UPC)</v>
      </c>
      <c r="L130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30" s="182" t="str">
        <f>IFERROR(__xludf.DUMMYFUNCTION("""COMPUTED_VALUE"""),"N/A")</f>
        <v>N/A</v>
      </c>
      <c r="N130" s="182" t="str">
        <f>IFERROR(__xludf.DUMMYFUNCTION("""COMPUTED_VALUE"""),"N/A")</f>
        <v>N/A</v>
      </c>
      <c r="O130" s="182" t="str">
        <f>IFERROR(__xludf.DUMMYFUNCTION("""COMPUTED_VALUE"""),"N/A")</f>
        <v>N/A</v>
      </c>
      <c r="P130" s="182"/>
      <c r="Q130" s="182" t="str">
        <f>IFERROR(__xludf.DUMMYFUNCTION("""COMPUTED_VALUE"""),"512GB")</f>
        <v>512GB</v>
      </c>
      <c r="R130" s="182" t="str">
        <f>IFERROR(__xludf.DUMMYFUNCTION("""COMPUTED_VALUE"""),"Obsidian")</f>
        <v>Obsidian</v>
      </c>
      <c r="S130" s="182" t="str">
        <f>IFERROR(__xludf.DUMMYFUNCTION("""COMPUTED_VALUE"""),"Midnight")</f>
        <v>Midnight</v>
      </c>
      <c r="T130" s="182" t="str">
        <f>IFERROR(__xludf.DUMMYFUNCTION("""COMPUTED_VALUE"""),"US GStore")</f>
        <v>US GStore</v>
      </c>
      <c r="U130" s="182" t="str">
        <f>IFERROR(__xludf.DUMMYFUNCTION("""COMPUTED_VALUE"""),"SKU,CLR1, BEST, MMWAVE, GSTORE, BZ5, FRU")</f>
        <v>SKU,CLR1, BEST, MMWAVE, GSTORE, BZ5, FRU</v>
      </c>
      <c r="V130" s="182"/>
      <c r="W130" s="183" t="str">
        <f>IFERROR(__xludf.DUMMYFUNCTION("""COMPUTED_VALUE"""),"#NUM!")</f>
        <v>#NUM!</v>
      </c>
      <c r="X130" s="186">
        <f>IFERROR(__xludf.DUMMYFUNCTION("""COMPUTED_VALUE"""),45831.0)</f>
        <v>45831</v>
      </c>
      <c r="Y130" s="187">
        <f>IFERROR(__xludf.DUMMYFUNCTION("""COMPUTED_VALUE"""),45780.0)</f>
        <v>45780</v>
      </c>
      <c r="Z130" s="182" t="b">
        <f>IFERROR(__xludf.DUMMYFUNCTION("""COMPUTED_VALUE"""),FALSE)</f>
        <v>0</v>
      </c>
      <c r="AA130" s="187">
        <f>IFERROR(__xludf.DUMMYFUNCTION("""COMPUTED_VALUE"""),45780.0)</f>
        <v>45780</v>
      </c>
      <c r="AB130" s="182" t="b">
        <f>IFERROR(__xludf.DUMMYFUNCTION("""COMPUTED_VALUE"""),FALSE)</f>
        <v>0</v>
      </c>
      <c r="AC130" s="187">
        <f>IFERROR(__xludf.DUMMYFUNCTION("""COMPUTED_VALUE"""),45787.0)</f>
        <v>45787</v>
      </c>
      <c r="AD130" s="187">
        <f>IFERROR(__xludf.DUMMYFUNCTION("""COMPUTED_VALUE"""),45787.0)</f>
        <v>45787</v>
      </c>
      <c r="AE130" s="188" t="str">
        <f>IFERROR(__xludf.DUMMYFUNCTION("""COMPUTED_VALUE"""),"CLNRGA10497")</f>
        <v>CLNRGA10497</v>
      </c>
      <c r="AF130" s="182"/>
      <c r="AG130" s="188" t="str">
        <f>IFERROR(__xludf.DUMMYFUNCTION("""COMPUTED_VALUE"""),"CLNRGA10497")</f>
        <v>CLNRGA10497</v>
      </c>
      <c r="AH130" s="182" t="str">
        <f>IFERROR(__xludf.DUMMYFUNCTION("""COMPUTED_VALUE"""),"N/A")</f>
        <v>N/A</v>
      </c>
      <c r="AI130" s="188" t="str">
        <f>IFERROR(__xludf.DUMMYFUNCTION("""COMPUTED_VALUE"""),"CLNRGA10497")</f>
        <v>CLNRGA10497</v>
      </c>
      <c r="AJ130" s="187">
        <f>IFERROR(__xludf.DUMMYFUNCTION("""COMPUTED_VALUE"""),45793.0)</f>
        <v>45793</v>
      </c>
      <c r="AK130" s="187">
        <f>IFERROR(__xludf.DUMMYFUNCTION("""COMPUTED_VALUE"""),45801.0)</f>
        <v>45801</v>
      </c>
      <c r="AL130" s="182" t="b">
        <f>IFERROR(__xludf.DUMMYFUNCTION("""COMPUTED_VALUE"""),FALSE)</f>
        <v>0</v>
      </c>
      <c r="AM130" s="182" t="b">
        <f>IFERROR(__xludf.DUMMYFUNCTION("""COMPUTED_VALUE"""),FALSE)</f>
        <v>0</v>
      </c>
      <c r="AN130" s="187">
        <f>IFERROR(__xludf.DUMMYFUNCTION("""COMPUTED_VALUE"""),45801.0)</f>
        <v>45801</v>
      </c>
      <c r="AO130" s="182" t="b">
        <f>IFERROR(__xludf.DUMMYFUNCTION("""COMPUTED_VALUE"""),TRUE)</f>
        <v>1</v>
      </c>
      <c r="AP130" s="182" t="str">
        <f>IFERROR(__xludf.DUMMYFUNCTION("""COMPUTED_VALUE"""),"N")</f>
        <v>N</v>
      </c>
      <c r="AQ130" s="182"/>
      <c r="AR130" s="182"/>
      <c r="AS130" s="182" t="b">
        <f>IFERROR(__xludf.DUMMYFUNCTION("""COMPUTED_VALUE"""),FALSE)</f>
        <v>0</v>
      </c>
      <c r="AT130" s="182"/>
      <c r="AU130" s="182"/>
      <c r="AV130" s="187">
        <f>IFERROR(__xludf.DUMMYFUNCTION("""COMPUTED_VALUE"""),45801.0)</f>
        <v>45801</v>
      </c>
      <c r="AW130" s="182" t="b">
        <f>IFERROR(__xludf.DUMMYFUNCTION("""COMPUTED_VALUE"""),FALSE)</f>
        <v>0</v>
      </c>
      <c r="AX130" s="182"/>
      <c r="AY130" s="182"/>
      <c r="AZ130" s="187">
        <f>IFERROR(__xludf.DUMMYFUNCTION("""COMPUTED_VALUE"""),45827.0)</f>
        <v>45827</v>
      </c>
      <c r="BA130" s="182" t="b">
        <f>IFERROR(__xludf.DUMMYFUNCTION("""COMPUTED_VALUE"""),FALSE)</f>
        <v>0</v>
      </c>
      <c r="BB130" s="187">
        <f>IFERROR(__xludf.DUMMYFUNCTION("""COMPUTED_VALUE"""),45827.0)</f>
        <v>45827</v>
      </c>
    </row>
    <row r="131">
      <c r="A131" s="184" t="str">
        <f t="shared" si="1"/>
        <v>#VALUE!</v>
      </c>
      <c r="B131" s="69" t="str">
        <f t="shared" si="2"/>
        <v>#VALUE!</v>
      </c>
      <c r="C131" s="182" t="str">
        <f>IFERROR(__xludf.DUMMYFUNCTION("""COMPUTED_VALUE"""),"GSTORE")</f>
        <v>GSTORE</v>
      </c>
      <c r="D131" s="182" t="str">
        <f>IFERROR(__xludf.DUMMYFUNCTION("""COMPUTED_VALUE"""),"MP")</f>
        <v>MP</v>
      </c>
      <c r="E131" s="182" t="str">
        <f>IFERROR(__xludf.DUMMYFUNCTION("""COMPUTED_VALUE"""),"CLNR")</f>
        <v>CLNR</v>
      </c>
      <c r="F131" s="182" t="str">
        <f>IFERROR(__xludf.DUMMYFUNCTION("""COMPUTED_VALUE"""),"CLNRGA10498")</f>
        <v>CLNRGA10498</v>
      </c>
      <c r="G131" s="182" t="str">
        <f>IFERROR(__xludf.DUMMYFUNCTION("""COMPUTED_VALUE"""),"G4QUR")</f>
        <v>G4QUR</v>
      </c>
      <c r="H131" s="182">
        <f>IFERROR(__xludf.DUMMYFUNCTION("""COMPUTED_VALUE"""),8.40353937147E11)</f>
        <v>840353937147</v>
      </c>
      <c r="I131" s="185" t="str">
        <f>IFERROR(__xludf.DUMMYFUNCTION("""COMPUTED_VALUE"""),"0840353937147")</f>
        <v>0840353937147</v>
      </c>
      <c r="J131" s="182"/>
      <c r="K131" s="182" t="str">
        <f>IFERROR(__xludf.DUMMYFUNCTION("""COMPUTED_VALUE"""),"ROW Master Carton Label (UPC)")</f>
        <v>ROW Master Carton Label (UPC)</v>
      </c>
      <c r="L131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31" s="182" t="str">
        <f>IFERROR(__xludf.DUMMYFUNCTION("""COMPUTED_VALUE"""),"N/A")</f>
        <v>N/A</v>
      </c>
      <c r="N131" s="182" t="str">
        <f>IFERROR(__xludf.DUMMYFUNCTION("""COMPUTED_VALUE"""),"N/A")</f>
        <v>N/A</v>
      </c>
      <c r="O131" s="182" t="str">
        <f>IFERROR(__xludf.DUMMYFUNCTION("""COMPUTED_VALUE"""),"N/A")</f>
        <v>N/A</v>
      </c>
      <c r="P131" s="182"/>
      <c r="Q131" s="182" t="str">
        <f>IFERROR(__xludf.DUMMYFUNCTION("""COMPUTED_VALUE"""),"512GB")</f>
        <v>512GB</v>
      </c>
      <c r="R131" s="182" t="str">
        <f>IFERROR(__xludf.DUMMYFUNCTION("""COMPUTED_VALUE"""),"Porcelain")</f>
        <v>Porcelain</v>
      </c>
      <c r="S131" s="182" t="str">
        <f>IFERROR(__xludf.DUMMYFUNCTION("""COMPUTED_VALUE"""),"Light Porcelain")</f>
        <v>Light Porcelain</v>
      </c>
      <c r="T131" s="182" t="str">
        <f>IFERROR(__xludf.DUMMYFUNCTION("""COMPUTED_VALUE"""),"US GStore")</f>
        <v>US GStore</v>
      </c>
      <c r="U131" s="182" t="str">
        <f>IFERROR(__xludf.DUMMYFUNCTION("""COMPUTED_VALUE"""),"SKU,CLR2, BEST, MMWAVE, GSTORE, BZ5, FRU")</f>
        <v>SKU,CLR2, BEST, MMWAVE, GSTORE, BZ5, FRU</v>
      </c>
      <c r="V131" s="182"/>
      <c r="W131" s="183" t="str">
        <f>IFERROR(__xludf.DUMMYFUNCTION("""COMPUTED_VALUE"""),"#NUM!")</f>
        <v>#NUM!</v>
      </c>
      <c r="X131" s="186">
        <f>IFERROR(__xludf.DUMMYFUNCTION("""COMPUTED_VALUE"""),45831.0)</f>
        <v>45831</v>
      </c>
      <c r="Y131" s="187">
        <f>IFERROR(__xludf.DUMMYFUNCTION("""COMPUTED_VALUE"""),45780.0)</f>
        <v>45780</v>
      </c>
      <c r="Z131" s="182" t="b">
        <f>IFERROR(__xludf.DUMMYFUNCTION("""COMPUTED_VALUE"""),FALSE)</f>
        <v>0</v>
      </c>
      <c r="AA131" s="187">
        <f>IFERROR(__xludf.DUMMYFUNCTION("""COMPUTED_VALUE"""),45780.0)</f>
        <v>45780</v>
      </c>
      <c r="AB131" s="182" t="b">
        <f>IFERROR(__xludf.DUMMYFUNCTION("""COMPUTED_VALUE"""),FALSE)</f>
        <v>0</v>
      </c>
      <c r="AC131" s="187">
        <f>IFERROR(__xludf.DUMMYFUNCTION("""COMPUTED_VALUE"""),45787.0)</f>
        <v>45787</v>
      </c>
      <c r="AD131" s="187">
        <f>IFERROR(__xludf.DUMMYFUNCTION("""COMPUTED_VALUE"""),45787.0)</f>
        <v>45787</v>
      </c>
      <c r="AE131" s="188" t="str">
        <f>IFERROR(__xludf.DUMMYFUNCTION("""COMPUTED_VALUE"""),"CLNRGA10498")</f>
        <v>CLNRGA10498</v>
      </c>
      <c r="AF131" s="182"/>
      <c r="AG131" s="188" t="str">
        <f>IFERROR(__xludf.DUMMYFUNCTION("""COMPUTED_VALUE"""),"CLNRGA10498")</f>
        <v>CLNRGA10498</v>
      </c>
      <c r="AH131" s="182" t="str">
        <f>IFERROR(__xludf.DUMMYFUNCTION("""COMPUTED_VALUE"""),"N/A")</f>
        <v>N/A</v>
      </c>
      <c r="AI131" s="188" t="str">
        <f>IFERROR(__xludf.DUMMYFUNCTION("""COMPUTED_VALUE"""),"CLNRGA10498")</f>
        <v>CLNRGA10498</v>
      </c>
      <c r="AJ131" s="187">
        <f>IFERROR(__xludf.DUMMYFUNCTION("""COMPUTED_VALUE"""),45793.0)</f>
        <v>45793</v>
      </c>
      <c r="AK131" s="187">
        <f>IFERROR(__xludf.DUMMYFUNCTION("""COMPUTED_VALUE"""),45801.0)</f>
        <v>45801</v>
      </c>
      <c r="AL131" s="182" t="b">
        <f>IFERROR(__xludf.DUMMYFUNCTION("""COMPUTED_VALUE"""),FALSE)</f>
        <v>0</v>
      </c>
      <c r="AM131" s="182" t="b">
        <f>IFERROR(__xludf.DUMMYFUNCTION("""COMPUTED_VALUE"""),FALSE)</f>
        <v>0</v>
      </c>
      <c r="AN131" s="187">
        <f>IFERROR(__xludf.DUMMYFUNCTION("""COMPUTED_VALUE"""),45801.0)</f>
        <v>45801</v>
      </c>
      <c r="AO131" s="182" t="b">
        <f>IFERROR(__xludf.DUMMYFUNCTION("""COMPUTED_VALUE"""),TRUE)</f>
        <v>1</v>
      </c>
      <c r="AP131" s="182" t="str">
        <f>IFERROR(__xludf.DUMMYFUNCTION("""COMPUTED_VALUE"""),"N")</f>
        <v>N</v>
      </c>
      <c r="AQ131" s="182"/>
      <c r="AR131" s="182"/>
      <c r="AS131" s="182" t="b">
        <f>IFERROR(__xludf.DUMMYFUNCTION("""COMPUTED_VALUE"""),FALSE)</f>
        <v>0</v>
      </c>
      <c r="AT131" s="182"/>
      <c r="AU131" s="182"/>
      <c r="AV131" s="187">
        <f>IFERROR(__xludf.DUMMYFUNCTION("""COMPUTED_VALUE"""),45801.0)</f>
        <v>45801</v>
      </c>
      <c r="AW131" s="182" t="b">
        <f>IFERROR(__xludf.DUMMYFUNCTION("""COMPUTED_VALUE"""),FALSE)</f>
        <v>0</v>
      </c>
      <c r="AX131" s="182"/>
      <c r="AY131" s="182"/>
      <c r="AZ131" s="187">
        <f>IFERROR(__xludf.DUMMYFUNCTION("""COMPUTED_VALUE"""),45827.0)</f>
        <v>45827</v>
      </c>
      <c r="BA131" s="182" t="b">
        <f>IFERROR(__xludf.DUMMYFUNCTION("""COMPUTED_VALUE"""),FALSE)</f>
        <v>0</v>
      </c>
      <c r="BB131" s="187">
        <f>IFERROR(__xludf.DUMMYFUNCTION("""COMPUTED_VALUE"""),45827.0)</f>
        <v>45827</v>
      </c>
    </row>
    <row r="132">
      <c r="A132" s="184" t="str">
        <f t="shared" si="1"/>
        <v>#VALUE!</v>
      </c>
      <c r="B132" s="69" t="str">
        <f t="shared" si="2"/>
        <v>#VALUE!</v>
      </c>
      <c r="C132" s="182" t="str">
        <f>IFERROR(__xludf.DUMMYFUNCTION("""COMPUTED_VALUE"""),"GSTORE")</f>
        <v>GSTORE</v>
      </c>
      <c r="D132" s="182" t="str">
        <f>IFERROR(__xludf.DUMMYFUNCTION("""COMPUTED_VALUE"""),"MP")</f>
        <v>MP</v>
      </c>
      <c r="E132" s="182" t="str">
        <f>IFERROR(__xludf.DUMMYFUNCTION("""COMPUTED_VALUE"""),"CLNR")</f>
        <v>CLNR</v>
      </c>
      <c r="F132" s="182" t="str">
        <f>IFERROR(__xludf.DUMMYFUNCTION("""COMPUTED_VALUE"""),"CLNRGA10499")</f>
        <v>CLNRGA10499</v>
      </c>
      <c r="G132" s="182" t="str">
        <f>IFERROR(__xludf.DUMMYFUNCTION("""COMPUTED_VALUE"""),"G4QUR")</f>
        <v>G4QUR</v>
      </c>
      <c r="H132" s="182">
        <f>IFERROR(__xludf.DUMMYFUNCTION("""COMPUTED_VALUE"""),8.40353937154E11)</f>
        <v>840353937154</v>
      </c>
      <c r="I132" s="185" t="str">
        <f>IFERROR(__xludf.DUMMYFUNCTION("""COMPUTED_VALUE"""),"0840353937154")</f>
        <v>0840353937154</v>
      </c>
      <c r="J132" s="182"/>
      <c r="K132" s="182" t="str">
        <f>IFERROR(__xludf.DUMMYFUNCTION("""COMPUTED_VALUE"""),"ROW Master Carton Label (UPC)")</f>
        <v>ROW Master Carton Label (UPC)</v>
      </c>
      <c r="L132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32" s="182" t="str">
        <f>IFERROR(__xludf.DUMMYFUNCTION("""COMPUTED_VALUE"""),"N/A")</f>
        <v>N/A</v>
      </c>
      <c r="N132" s="182" t="str">
        <f>IFERROR(__xludf.DUMMYFUNCTION("""COMPUTED_VALUE"""),"N/A")</f>
        <v>N/A</v>
      </c>
      <c r="O132" s="182" t="str">
        <f>IFERROR(__xludf.DUMMYFUNCTION("""COMPUTED_VALUE"""),"N/A")</f>
        <v>N/A</v>
      </c>
      <c r="P132" s="182"/>
      <c r="Q132" s="182" t="str">
        <f>IFERROR(__xludf.DUMMYFUNCTION("""COMPUTED_VALUE"""),"512GB")</f>
        <v>512GB</v>
      </c>
      <c r="R132" s="182" t="str">
        <f>IFERROR(__xludf.DUMMYFUNCTION("""COMPUTED_VALUE"""),"Moonstone")</f>
        <v>Moonstone</v>
      </c>
      <c r="S132" s="182" t="str">
        <f>IFERROR(__xludf.DUMMYFUNCTION("""COMPUTED_VALUE"""),"Sterling")</f>
        <v>Sterling</v>
      </c>
      <c r="T132" s="182" t="str">
        <f>IFERROR(__xludf.DUMMYFUNCTION("""COMPUTED_VALUE"""),"US GStore")</f>
        <v>US GStore</v>
      </c>
      <c r="U132" s="182" t="str">
        <f>IFERROR(__xludf.DUMMYFUNCTION("""COMPUTED_VALUE"""),"SKU,CLR3, BEST, MMWAVE, GSTORE, BZ5, FRU")</f>
        <v>SKU,CLR3, BEST, MMWAVE, GSTORE, BZ5, FRU</v>
      </c>
      <c r="V132" s="182"/>
      <c r="W132" s="183" t="str">
        <f>IFERROR(__xludf.DUMMYFUNCTION("""COMPUTED_VALUE"""),"#NUM!")</f>
        <v>#NUM!</v>
      </c>
      <c r="X132" s="186">
        <f>IFERROR(__xludf.DUMMYFUNCTION("""COMPUTED_VALUE"""),45831.0)</f>
        <v>45831</v>
      </c>
      <c r="Y132" s="187">
        <f>IFERROR(__xludf.DUMMYFUNCTION("""COMPUTED_VALUE"""),45780.0)</f>
        <v>45780</v>
      </c>
      <c r="Z132" s="182" t="b">
        <f>IFERROR(__xludf.DUMMYFUNCTION("""COMPUTED_VALUE"""),FALSE)</f>
        <v>0</v>
      </c>
      <c r="AA132" s="187">
        <f>IFERROR(__xludf.DUMMYFUNCTION("""COMPUTED_VALUE"""),45780.0)</f>
        <v>45780</v>
      </c>
      <c r="AB132" s="182" t="b">
        <f>IFERROR(__xludf.DUMMYFUNCTION("""COMPUTED_VALUE"""),FALSE)</f>
        <v>0</v>
      </c>
      <c r="AC132" s="187">
        <f>IFERROR(__xludf.DUMMYFUNCTION("""COMPUTED_VALUE"""),45787.0)</f>
        <v>45787</v>
      </c>
      <c r="AD132" s="187">
        <f>IFERROR(__xludf.DUMMYFUNCTION("""COMPUTED_VALUE"""),45787.0)</f>
        <v>45787</v>
      </c>
      <c r="AE132" s="188" t="str">
        <f>IFERROR(__xludf.DUMMYFUNCTION("""COMPUTED_VALUE"""),"CLNRGA10499")</f>
        <v>CLNRGA10499</v>
      </c>
      <c r="AF132" s="182"/>
      <c r="AG132" s="188" t="str">
        <f>IFERROR(__xludf.DUMMYFUNCTION("""COMPUTED_VALUE"""),"CLNRGA10499")</f>
        <v>CLNRGA10499</v>
      </c>
      <c r="AH132" s="182" t="str">
        <f>IFERROR(__xludf.DUMMYFUNCTION("""COMPUTED_VALUE"""),"N/A")</f>
        <v>N/A</v>
      </c>
      <c r="AI132" s="188" t="str">
        <f>IFERROR(__xludf.DUMMYFUNCTION("""COMPUTED_VALUE"""),"CLNRGA10499")</f>
        <v>CLNRGA10499</v>
      </c>
      <c r="AJ132" s="187">
        <f>IFERROR(__xludf.DUMMYFUNCTION("""COMPUTED_VALUE"""),45793.0)</f>
        <v>45793</v>
      </c>
      <c r="AK132" s="187">
        <f>IFERROR(__xludf.DUMMYFUNCTION("""COMPUTED_VALUE"""),45801.0)</f>
        <v>45801</v>
      </c>
      <c r="AL132" s="182" t="b">
        <f>IFERROR(__xludf.DUMMYFUNCTION("""COMPUTED_VALUE"""),FALSE)</f>
        <v>0</v>
      </c>
      <c r="AM132" s="182" t="b">
        <f>IFERROR(__xludf.DUMMYFUNCTION("""COMPUTED_VALUE"""),FALSE)</f>
        <v>0</v>
      </c>
      <c r="AN132" s="187">
        <f>IFERROR(__xludf.DUMMYFUNCTION("""COMPUTED_VALUE"""),45801.0)</f>
        <v>45801</v>
      </c>
      <c r="AO132" s="182" t="b">
        <f>IFERROR(__xludf.DUMMYFUNCTION("""COMPUTED_VALUE"""),TRUE)</f>
        <v>1</v>
      </c>
      <c r="AP132" s="182" t="str">
        <f>IFERROR(__xludf.DUMMYFUNCTION("""COMPUTED_VALUE"""),"N")</f>
        <v>N</v>
      </c>
      <c r="AQ132" s="182"/>
      <c r="AR132" s="182"/>
      <c r="AS132" s="182" t="b">
        <f>IFERROR(__xludf.DUMMYFUNCTION("""COMPUTED_VALUE"""),FALSE)</f>
        <v>0</v>
      </c>
      <c r="AT132" s="182"/>
      <c r="AU132" s="182"/>
      <c r="AV132" s="187">
        <f>IFERROR(__xludf.DUMMYFUNCTION("""COMPUTED_VALUE"""),45801.0)</f>
        <v>45801</v>
      </c>
      <c r="AW132" s="182" t="b">
        <f>IFERROR(__xludf.DUMMYFUNCTION("""COMPUTED_VALUE"""),FALSE)</f>
        <v>0</v>
      </c>
      <c r="AX132" s="182"/>
      <c r="AY132" s="182"/>
      <c r="AZ132" s="187">
        <f>IFERROR(__xludf.DUMMYFUNCTION("""COMPUTED_VALUE"""),45827.0)</f>
        <v>45827</v>
      </c>
      <c r="BA132" s="182" t="b">
        <f>IFERROR(__xludf.DUMMYFUNCTION("""COMPUTED_VALUE"""),FALSE)</f>
        <v>0</v>
      </c>
      <c r="BB132" s="187">
        <f>IFERROR(__xludf.DUMMYFUNCTION("""COMPUTED_VALUE"""),45827.0)</f>
        <v>45827</v>
      </c>
    </row>
    <row r="133">
      <c r="A133" s="184" t="str">
        <f t="shared" si="1"/>
        <v>#VALUE!</v>
      </c>
      <c r="B133" s="69" t="str">
        <f t="shared" si="2"/>
        <v>#VALUE!</v>
      </c>
      <c r="C133" s="182" t="str">
        <f>IFERROR(__xludf.DUMMYFUNCTION("""COMPUTED_VALUE"""),"GSTORE")</f>
        <v>GSTORE</v>
      </c>
      <c r="D133" s="182" t="str">
        <f>IFERROR(__xludf.DUMMYFUNCTION("""COMPUTED_VALUE"""),"MP")</f>
        <v>MP</v>
      </c>
      <c r="E133" s="182" t="str">
        <f>IFERROR(__xludf.DUMMYFUNCTION("""COMPUTED_VALUE"""),"CLNR")</f>
        <v>CLNR</v>
      </c>
      <c r="F133" s="182" t="str">
        <f>IFERROR(__xludf.DUMMYFUNCTION("""COMPUTED_VALUE"""),"CLNRGA10500")</f>
        <v>CLNRGA10500</v>
      </c>
      <c r="G133" s="182" t="str">
        <f>IFERROR(__xludf.DUMMYFUNCTION("""COMPUTED_VALUE"""),"G4QUR")</f>
        <v>G4QUR</v>
      </c>
      <c r="H133" s="182">
        <f>IFERROR(__xludf.DUMMYFUNCTION("""COMPUTED_VALUE"""),8.40353937161E11)</f>
        <v>840353937161</v>
      </c>
      <c r="I133" s="185" t="str">
        <f>IFERROR(__xludf.DUMMYFUNCTION("""COMPUTED_VALUE"""),"0840353937161")</f>
        <v>0840353937161</v>
      </c>
      <c r="J133" s="182"/>
      <c r="K133" s="182"/>
      <c r="L133" s="182"/>
      <c r="M133" s="182" t="str">
        <f>IFERROR(__xludf.DUMMYFUNCTION("""COMPUTED_VALUE"""),"N/A")</f>
        <v>N/A</v>
      </c>
      <c r="N133" s="182" t="str">
        <f>IFERROR(__xludf.DUMMYFUNCTION("""COMPUTED_VALUE"""),"N/A")</f>
        <v>N/A</v>
      </c>
      <c r="O133" s="182" t="str">
        <f>IFERROR(__xludf.DUMMYFUNCTION("""COMPUTED_VALUE"""),"N/A")</f>
        <v>N/A</v>
      </c>
      <c r="P133" s="182"/>
      <c r="Q133" s="182" t="str">
        <f>IFERROR(__xludf.DUMMYFUNCTION("""COMPUTED_VALUE"""),"512GB")</f>
        <v>512GB</v>
      </c>
      <c r="R133" s="182" t="str">
        <f>IFERROR(__xludf.DUMMYFUNCTION("""COMPUTED_VALUE"""),"Jade")</f>
        <v>Jade</v>
      </c>
      <c r="S133" s="182" t="str">
        <f>IFERROR(__xludf.DUMMYFUNCTION("""COMPUTED_VALUE"""),"Smokey Green")</f>
        <v>Smokey Green</v>
      </c>
      <c r="T133" s="182" t="str">
        <f>IFERROR(__xludf.DUMMYFUNCTION("""COMPUTED_VALUE"""),"US GStore")</f>
        <v>US GStore</v>
      </c>
      <c r="U133" s="182" t="str">
        <f>IFERROR(__xludf.DUMMYFUNCTION("""COMPUTED_VALUE"""),"SKU,CLR4, BEST, MMWAVE, GSTORE, BZ5, FRU")</f>
        <v>SKU,CLR4, BEST, MMWAVE, GSTORE, BZ5, FRU</v>
      </c>
      <c r="V133" s="182"/>
      <c r="W133" s="183" t="str">
        <f>IFERROR(__xludf.DUMMYFUNCTION("""COMPUTED_VALUE"""),"#NUM!")</f>
        <v>#NUM!</v>
      </c>
      <c r="X133" s="186">
        <f>IFERROR(__xludf.DUMMYFUNCTION("""COMPUTED_VALUE"""),45831.0)</f>
        <v>45831</v>
      </c>
      <c r="Y133" s="187">
        <f>IFERROR(__xludf.DUMMYFUNCTION("""COMPUTED_VALUE"""),45780.0)</f>
        <v>45780</v>
      </c>
      <c r="Z133" s="182" t="b">
        <f>IFERROR(__xludf.DUMMYFUNCTION("""COMPUTED_VALUE"""),FALSE)</f>
        <v>0</v>
      </c>
      <c r="AA133" s="187">
        <f>IFERROR(__xludf.DUMMYFUNCTION("""COMPUTED_VALUE"""),45780.0)</f>
        <v>45780</v>
      </c>
      <c r="AB133" s="182" t="b">
        <f>IFERROR(__xludf.DUMMYFUNCTION("""COMPUTED_VALUE"""),FALSE)</f>
        <v>0</v>
      </c>
      <c r="AC133" s="187">
        <f>IFERROR(__xludf.DUMMYFUNCTION("""COMPUTED_VALUE"""),45787.0)</f>
        <v>45787</v>
      </c>
      <c r="AD133" s="187">
        <f>IFERROR(__xludf.DUMMYFUNCTION("""COMPUTED_VALUE"""),45787.0)</f>
        <v>45787</v>
      </c>
      <c r="AE133" s="182"/>
      <c r="AF133" s="182"/>
      <c r="AG133" s="182"/>
      <c r="AH133" s="182"/>
      <c r="AI133" s="182"/>
      <c r="AJ133" s="187">
        <f>IFERROR(__xludf.DUMMYFUNCTION("""COMPUTED_VALUE"""),45793.0)</f>
        <v>45793</v>
      </c>
      <c r="AK133" s="187">
        <f>IFERROR(__xludf.DUMMYFUNCTION("""COMPUTED_VALUE"""),45801.0)</f>
        <v>45801</v>
      </c>
      <c r="AL133" s="182"/>
      <c r="AM133" s="182"/>
      <c r="AN133" s="187">
        <f>IFERROR(__xludf.DUMMYFUNCTION("""COMPUTED_VALUE"""),45801.0)</f>
        <v>45801</v>
      </c>
      <c r="AO133" s="182" t="b">
        <f>IFERROR(__xludf.DUMMYFUNCTION("""COMPUTED_VALUE"""),FALSE)</f>
        <v>0</v>
      </c>
      <c r="AP133" s="182"/>
      <c r="AQ133" s="182"/>
      <c r="AR133" s="182"/>
      <c r="AS133" s="182"/>
      <c r="AT133" s="182"/>
      <c r="AU133" s="182"/>
      <c r="AV133" s="187">
        <f>IFERROR(__xludf.DUMMYFUNCTION("""COMPUTED_VALUE"""),45801.0)</f>
        <v>45801</v>
      </c>
      <c r="AW133" s="182" t="b">
        <f>IFERROR(__xludf.DUMMYFUNCTION("""COMPUTED_VALUE"""),FALSE)</f>
        <v>0</v>
      </c>
      <c r="AX133" s="182"/>
      <c r="AY133" s="182"/>
      <c r="AZ133" s="187">
        <f>IFERROR(__xludf.DUMMYFUNCTION("""COMPUTED_VALUE"""),45827.0)</f>
        <v>45827</v>
      </c>
      <c r="BA133" s="182" t="b">
        <f>IFERROR(__xludf.DUMMYFUNCTION("""COMPUTED_VALUE"""),FALSE)</f>
        <v>0</v>
      </c>
      <c r="BB133" s="187">
        <f>IFERROR(__xludf.DUMMYFUNCTION("""COMPUTED_VALUE"""),45827.0)</f>
        <v>45827</v>
      </c>
    </row>
    <row r="134">
      <c r="A134" s="184" t="str">
        <f t="shared" si="1"/>
        <v>#VALUE!</v>
      </c>
      <c r="B134" s="69" t="str">
        <f t="shared" si="2"/>
        <v>#VALUE!</v>
      </c>
      <c r="C134" s="182" t="str">
        <f>IFERROR(__xludf.DUMMYFUNCTION("""COMPUTED_VALUE"""),"GSTORE")</f>
        <v>GSTORE</v>
      </c>
      <c r="D134" s="182" t="str">
        <f>IFERROR(__xludf.DUMMYFUNCTION("""COMPUTED_VALUE"""),"MP")</f>
        <v>MP</v>
      </c>
      <c r="E134" s="182" t="str">
        <f>IFERROR(__xludf.DUMMYFUNCTION("""COMPUTED_VALUE"""),"CLNR")</f>
        <v>CLNR</v>
      </c>
      <c r="F134" s="182" t="str">
        <f>IFERROR(__xludf.DUMMYFUNCTION("""COMPUTED_VALUE"""),"CLNRGA10501")</f>
        <v>CLNRGA10501</v>
      </c>
      <c r="G134" s="182" t="str">
        <f>IFERROR(__xludf.DUMMYFUNCTION("""COMPUTED_VALUE"""),"G4QUR")</f>
        <v>G4QUR</v>
      </c>
      <c r="H134" s="182">
        <f>IFERROR(__xludf.DUMMYFUNCTION("""COMPUTED_VALUE"""),8.40353937178E11)</f>
        <v>840353937178</v>
      </c>
      <c r="I134" s="185" t="str">
        <f>IFERROR(__xludf.DUMMYFUNCTION("""COMPUTED_VALUE"""),"0840353937178")</f>
        <v>0840353937178</v>
      </c>
      <c r="J134" s="182"/>
      <c r="K134" s="182" t="str">
        <f>IFERROR(__xludf.DUMMYFUNCTION("""COMPUTED_VALUE"""),"ROW Master Carton Label (UPC)")</f>
        <v>ROW Master Carton Label (UPC)</v>
      </c>
      <c r="L134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34" s="182" t="str">
        <f>IFERROR(__xludf.DUMMYFUNCTION("""COMPUTED_VALUE"""),"N/A")</f>
        <v>N/A</v>
      </c>
      <c r="N134" s="182" t="str">
        <f>IFERROR(__xludf.DUMMYFUNCTION("""COMPUTED_VALUE"""),"N/A")</f>
        <v>N/A</v>
      </c>
      <c r="O134" s="182" t="str">
        <f>IFERROR(__xludf.DUMMYFUNCTION("""COMPUTED_VALUE"""),"N/A")</f>
        <v>N/A</v>
      </c>
      <c r="P134" s="182"/>
      <c r="Q134" s="182" t="str">
        <f>IFERROR(__xludf.DUMMYFUNCTION("""COMPUTED_VALUE"""),"1TB")</f>
        <v>1TB</v>
      </c>
      <c r="R134" s="182" t="str">
        <f>IFERROR(__xludf.DUMMYFUNCTION("""COMPUTED_VALUE"""),"Obsidian")</f>
        <v>Obsidian</v>
      </c>
      <c r="S134" s="182" t="str">
        <f>IFERROR(__xludf.DUMMYFUNCTION("""COMPUTED_VALUE"""),"Midnight")</f>
        <v>Midnight</v>
      </c>
      <c r="T134" s="182" t="str">
        <f>IFERROR(__xludf.DUMMYFUNCTION("""COMPUTED_VALUE"""),"US GStore")</f>
        <v>US GStore</v>
      </c>
      <c r="U134" s="182" t="str">
        <f>IFERROR(__xludf.DUMMYFUNCTION("""COMPUTED_VALUE"""),"SKU,CLR1, ULTRA, MMWAVE, GSTORE, BZ5, FRU")</f>
        <v>SKU,CLR1, ULTRA, MMWAVE, GSTORE, BZ5, FRU</v>
      </c>
      <c r="V134" s="182"/>
      <c r="W134" s="183" t="str">
        <f>IFERROR(__xludf.DUMMYFUNCTION("""COMPUTED_VALUE"""),"#NUM!")</f>
        <v>#NUM!</v>
      </c>
      <c r="X134" s="186">
        <f>IFERROR(__xludf.DUMMYFUNCTION("""COMPUTED_VALUE"""),45831.0)</f>
        <v>45831</v>
      </c>
      <c r="Y134" s="187">
        <f>IFERROR(__xludf.DUMMYFUNCTION("""COMPUTED_VALUE"""),45780.0)</f>
        <v>45780</v>
      </c>
      <c r="Z134" s="182" t="b">
        <f>IFERROR(__xludf.DUMMYFUNCTION("""COMPUTED_VALUE"""),FALSE)</f>
        <v>0</v>
      </c>
      <c r="AA134" s="187">
        <f>IFERROR(__xludf.DUMMYFUNCTION("""COMPUTED_VALUE"""),45780.0)</f>
        <v>45780</v>
      </c>
      <c r="AB134" s="182" t="b">
        <f>IFERROR(__xludf.DUMMYFUNCTION("""COMPUTED_VALUE"""),FALSE)</f>
        <v>0</v>
      </c>
      <c r="AC134" s="187">
        <f>IFERROR(__xludf.DUMMYFUNCTION("""COMPUTED_VALUE"""),45787.0)</f>
        <v>45787</v>
      </c>
      <c r="AD134" s="187">
        <f>IFERROR(__xludf.DUMMYFUNCTION("""COMPUTED_VALUE"""),45787.0)</f>
        <v>45787</v>
      </c>
      <c r="AE134" s="188" t="str">
        <f>IFERROR(__xludf.DUMMYFUNCTION("""COMPUTED_VALUE"""),"CLNRGA10501")</f>
        <v>CLNRGA10501</v>
      </c>
      <c r="AF134" s="182"/>
      <c r="AG134" s="188" t="str">
        <f>IFERROR(__xludf.DUMMYFUNCTION("""COMPUTED_VALUE"""),"CLNRGA10501")</f>
        <v>CLNRGA10501</v>
      </c>
      <c r="AH134" s="182" t="str">
        <f>IFERROR(__xludf.DUMMYFUNCTION("""COMPUTED_VALUE"""),"N/A")</f>
        <v>N/A</v>
      </c>
      <c r="AI134" s="188" t="str">
        <f>IFERROR(__xludf.DUMMYFUNCTION("""COMPUTED_VALUE"""),"CLNRGA10501")</f>
        <v>CLNRGA10501</v>
      </c>
      <c r="AJ134" s="187">
        <f>IFERROR(__xludf.DUMMYFUNCTION("""COMPUTED_VALUE"""),45793.0)</f>
        <v>45793</v>
      </c>
      <c r="AK134" s="187">
        <f>IFERROR(__xludf.DUMMYFUNCTION("""COMPUTED_VALUE"""),45801.0)</f>
        <v>45801</v>
      </c>
      <c r="AL134" s="182" t="b">
        <f>IFERROR(__xludf.DUMMYFUNCTION("""COMPUTED_VALUE"""),FALSE)</f>
        <v>0</v>
      </c>
      <c r="AM134" s="182" t="b">
        <f>IFERROR(__xludf.DUMMYFUNCTION("""COMPUTED_VALUE"""),FALSE)</f>
        <v>0</v>
      </c>
      <c r="AN134" s="187">
        <f>IFERROR(__xludf.DUMMYFUNCTION("""COMPUTED_VALUE"""),45801.0)</f>
        <v>45801</v>
      </c>
      <c r="AO134" s="182" t="b">
        <f>IFERROR(__xludf.DUMMYFUNCTION("""COMPUTED_VALUE"""),TRUE)</f>
        <v>1</v>
      </c>
      <c r="AP134" s="182" t="str">
        <f>IFERROR(__xludf.DUMMYFUNCTION("""COMPUTED_VALUE"""),"N")</f>
        <v>N</v>
      </c>
      <c r="AQ134" s="182"/>
      <c r="AR134" s="182"/>
      <c r="AS134" s="182" t="b">
        <f>IFERROR(__xludf.DUMMYFUNCTION("""COMPUTED_VALUE"""),FALSE)</f>
        <v>0</v>
      </c>
      <c r="AT134" s="182"/>
      <c r="AU134" s="182"/>
      <c r="AV134" s="187">
        <f>IFERROR(__xludf.DUMMYFUNCTION("""COMPUTED_VALUE"""),45801.0)</f>
        <v>45801</v>
      </c>
      <c r="AW134" s="182" t="b">
        <f>IFERROR(__xludf.DUMMYFUNCTION("""COMPUTED_VALUE"""),FALSE)</f>
        <v>0</v>
      </c>
      <c r="AX134" s="182"/>
      <c r="AY134" s="182"/>
      <c r="AZ134" s="187">
        <f>IFERROR(__xludf.DUMMYFUNCTION("""COMPUTED_VALUE"""),45827.0)</f>
        <v>45827</v>
      </c>
      <c r="BA134" s="182" t="b">
        <f>IFERROR(__xludf.DUMMYFUNCTION("""COMPUTED_VALUE"""),FALSE)</f>
        <v>0</v>
      </c>
      <c r="BB134" s="187">
        <f>IFERROR(__xludf.DUMMYFUNCTION("""COMPUTED_VALUE"""),45827.0)</f>
        <v>45827</v>
      </c>
    </row>
    <row r="135">
      <c r="A135" s="184" t="str">
        <f t="shared" si="1"/>
        <v>#VALUE!</v>
      </c>
      <c r="B135" s="69" t="str">
        <f t="shared" si="2"/>
        <v>#VALUE!</v>
      </c>
      <c r="C135" s="182" t="str">
        <f>IFERROR(__xludf.DUMMYFUNCTION("""COMPUTED_VALUE"""),"GSTORE")</f>
        <v>GSTORE</v>
      </c>
      <c r="D135" s="182" t="str">
        <f>IFERROR(__xludf.DUMMYFUNCTION("""COMPUTED_VALUE"""),"MP")</f>
        <v>MP</v>
      </c>
      <c r="E135" s="182" t="str">
        <f>IFERROR(__xludf.DUMMYFUNCTION("""COMPUTED_VALUE"""),"CLNR")</f>
        <v>CLNR</v>
      </c>
      <c r="F135" s="182" t="str">
        <f>IFERROR(__xludf.DUMMYFUNCTION("""COMPUTED_VALUE"""),"CLNRGA10538")</f>
        <v>CLNRGA10538</v>
      </c>
      <c r="G135" s="182" t="str">
        <f>IFERROR(__xludf.DUMMYFUNCTION("""COMPUTED_VALUE"""),"G4QUR")</f>
        <v>G4QUR</v>
      </c>
      <c r="H135" s="182">
        <f>IFERROR(__xludf.DUMMYFUNCTION("""COMPUTED_VALUE"""),8.40353937185E11)</f>
        <v>840353937185</v>
      </c>
      <c r="I135" s="185" t="str">
        <f>IFERROR(__xludf.DUMMYFUNCTION("""COMPUTED_VALUE"""),"0840353937185")</f>
        <v>0840353937185</v>
      </c>
      <c r="J135" s="182"/>
      <c r="K135" s="182"/>
      <c r="L135" s="182"/>
      <c r="M135" s="182" t="str">
        <f>IFERROR(__xludf.DUMMYFUNCTION("""COMPUTED_VALUE"""),"N/A")</f>
        <v>N/A</v>
      </c>
      <c r="N135" s="182" t="str">
        <f>IFERROR(__xludf.DUMMYFUNCTION("""COMPUTED_VALUE"""),"N/A")</f>
        <v>N/A</v>
      </c>
      <c r="O135" s="182" t="str">
        <f>IFERROR(__xludf.DUMMYFUNCTION("""COMPUTED_VALUE"""),"N/A")</f>
        <v>N/A</v>
      </c>
      <c r="P135" s="182"/>
      <c r="Q135" s="182" t="str">
        <f>IFERROR(__xludf.DUMMYFUNCTION("""COMPUTED_VALUE"""),"1TB")</f>
        <v>1TB</v>
      </c>
      <c r="R135" s="182" t="str">
        <f>IFERROR(__xludf.DUMMYFUNCTION("""COMPUTED_VALUE"""),"Moonstone")</f>
        <v>Moonstone</v>
      </c>
      <c r="S135" s="182" t="str">
        <f>IFERROR(__xludf.DUMMYFUNCTION("""COMPUTED_VALUE"""),"Sterling")</f>
        <v>Sterling</v>
      </c>
      <c r="T135" s="182" t="str">
        <f>IFERROR(__xludf.DUMMYFUNCTION("""COMPUTED_VALUE"""),"US GStore")</f>
        <v>US GStore</v>
      </c>
      <c r="U135" s="182" t="str">
        <f>IFERROR(__xludf.DUMMYFUNCTION("""COMPUTED_VALUE"""),"SKU,CLR3, ULTRA, MMWAVE, GSTORE, BZ5, FRU")</f>
        <v>SKU,CLR3, ULTRA, MMWAVE, GSTORE, BZ5, FRU</v>
      </c>
      <c r="V135" s="182"/>
      <c r="W135" s="183" t="str">
        <f>IFERROR(__xludf.DUMMYFUNCTION("""COMPUTED_VALUE"""),"#NUM!")</f>
        <v>#NUM!</v>
      </c>
      <c r="X135" s="186">
        <f>IFERROR(__xludf.DUMMYFUNCTION("""COMPUTED_VALUE"""),45831.0)</f>
        <v>45831</v>
      </c>
      <c r="Y135" s="187">
        <f>IFERROR(__xludf.DUMMYFUNCTION("""COMPUTED_VALUE"""),45780.0)</f>
        <v>45780</v>
      </c>
      <c r="Z135" s="182" t="b">
        <f>IFERROR(__xludf.DUMMYFUNCTION("""COMPUTED_VALUE"""),FALSE)</f>
        <v>0</v>
      </c>
      <c r="AA135" s="187">
        <f>IFERROR(__xludf.DUMMYFUNCTION("""COMPUTED_VALUE"""),45780.0)</f>
        <v>45780</v>
      </c>
      <c r="AB135" s="182" t="b">
        <f>IFERROR(__xludf.DUMMYFUNCTION("""COMPUTED_VALUE"""),FALSE)</f>
        <v>0</v>
      </c>
      <c r="AC135" s="187">
        <f>IFERROR(__xludf.DUMMYFUNCTION("""COMPUTED_VALUE"""),45787.0)</f>
        <v>45787</v>
      </c>
      <c r="AD135" s="187">
        <f>IFERROR(__xludf.DUMMYFUNCTION("""COMPUTED_VALUE"""),45787.0)</f>
        <v>45787</v>
      </c>
      <c r="AE135" s="182"/>
      <c r="AF135" s="182"/>
      <c r="AG135" s="182"/>
      <c r="AH135" s="182"/>
      <c r="AI135" s="182"/>
      <c r="AJ135" s="187">
        <f>IFERROR(__xludf.DUMMYFUNCTION("""COMPUTED_VALUE"""),45793.0)</f>
        <v>45793</v>
      </c>
      <c r="AK135" s="187">
        <f>IFERROR(__xludf.DUMMYFUNCTION("""COMPUTED_VALUE"""),45801.0)</f>
        <v>45801</v>
      </c>
      <c r="AL135" s="182"/>
      <c r="AM135" s="182"/>
      <c r="AN135" s="187">
        <f>IFERROR(__xludf.DUMMYFUNCTION("""COMPUTED_VALUE"""),45801.0)</f>
        <v>45801</v>
      </c>
      <c r="AO135" s="182" t="b">
        <f>IFERROR(__xludf.DUMMYFUNCTION("""COMPUTED_VALUE"""),FALSE)</f>
        <v>0</v>
      </c>
      <c r="AP135" s="182"/>
      <c r="AQ135" s="182"/>
      <c r="AR135" s="182"/>
      <c r="AS135" s="182"/>
      <c r="AT135" s="182"/>
      <c r="AU135" s="182"/>
      <c r="AV135" s="187">
        <f>IFERROR(__xludf.DUMMYFUNCTION("""COMPUTED_VALUE"""),45801.0)</f>
        <v>45801</v>
      </c>
      <c r="AW135" s="182" t="b">
        <f>IFERROR(__xludf.DUMMYFUNCTION("""COMPUTED_VALUE"""),FALSE)</f>
        <v>0</v>
      </c>
      <c r="AX135" s="182"/>
      <c r="AY135" s="182"/>
      <c r="AZ135" s="187">
        <f>IFERROR(__xludf.DUMMYFUNCTION("""COMPUTED_VALUE"""),45827.0)</f>
        <v>45827</v>
      </c>
      <c r="BA135" s="182" t="b">
        <f>IFERROR(__xludf.DUMMYFUNCTION("""COMPUTED_VALUE"""),FALSE)</f>
        <v>0</v>
      </c>
      <c r="BB135" s="187">
        <f>IFERROR(__xludf.DUMMYFUNCTION("""COMPUTED_VALUE"""),45827.0)</f>
        <v>45827</v>
      </c>
    </row>
    <row r="136">
      <c r="A136" s="184" t="str">
        <f t="shared" si="1"/>
        <v>#VALUE!</v>
      </c>
      <c r="B136" s="69" t="str">
        <f t="shared" si="2"/>
        <v>#VALUE!</v>
      </c>
      <c r="C136" s="182" t="str">
        <f>IFERROR(__xludf.DUMMYFUNCTION("""COMPUTED_VALUE"""),"CA/TW/SG/MY/AU/MX")</f>
        <v>CA/TW/SG/MY/AU/MX</v>
      </c>
      <c r="D136" s="182" t="str">
        <f>IFERROR(__xludf.DUMMYFUNCTION("""COMPUTED_VALUE"""),"MP")</f>
        <v>MP</v>
      </c>
      <c r="E136" s="182" t="str">
        <f>IFERROR(__xludf.DUMMYFUNCTION("""COMPUTED_VALUE"""),"CLNR")</f>
        <v>CLNR</v>
      </c>
      <c r="F136" s="182" t="str">
        <f>IFERROR(__xludf.DUMMYFUNCTION("""COMPUTED_VALUE"""),"CLNRGA09601")</f>
        <v>CLNRGA09601</v>
      </c>
      <c r="G136" s="182" t="str">
        <f>IFERROR(__xludf.DUMMYFUNCTION("""COMPUTED_VALUE"""),"GEHN3")</f>
        <v>GEHN3</v>
      </c>
      <c r="H136" s="182">
        <f>IFERROR(__xludf.DUMMYFUNCTION("""COMPUTED_VALUE"""),8.40353936744E11)</f>
        <v>840353936744</v>
      </c>
      <c r="I136" s="185" t="str">
        <f>IFERROR(__xludf.DUMMYFUNCTION("""COMPUTED_VALUE"""),"0840353936744")</f>
        <v>0840353936744</v>
      </c>
      <c r="J136" s="182"/>
      <c r="K136" s="182" t="str">
        <f>IFERROR(__xludf.DUMMYFUNCTION("""COMPUTED_VALUE"""),"ROW Master Carton Label (UPC)")</f>
        <v>ROW Master Carton Label (UPC)</v>
      </c>
      <c r="L136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36" s="182" t="str">
        <f>IFERROR(__xludf.DUMMYFUNCTION("""COMPUTED_VALUE"""),"N/A")</f>
        <v>N/A</v>
      </c>
      <c r="N136" s="182" t="str">
        <f>IFERROR(__xludf.DUMMYFUNCTION("""COMPUTED_VALUE"""),"N/A")</f>
        <v>N/A</v>
      </c>
      <c r="O136" s="182" t="str">
        <f>IFERROR(__xludf.DUMMYFUNCTION("""COMPUTED_VALUE"""),"N/A")</f>
        <v>N/A</v>
      </c>
      <c r="P136" s="182"/>
      <c r="Q136" s="182" t="str">
        <f>IFERROR(__xludf.DUMMYFUNCTION("""COMPUTED_VALUE"""),"128GB")</f>
        <v>128GB</v>
      </c>
      <c r="R136" s="182" t="str">
        <f>IFERROR(__xludf.DUMMYFUNCTION("""COMPUTED_VALUE"""),"Obsidian")</f>
        <v>Obsidian</v>
      </c>
      <c r="S136" s="182" t="str">
        <f>IFERROR(__xludf.DUMMYFUNCTION("""COMPUTED_VALUE"""),"Midnight")</f>
        <v>Midnight</v>
      </c>
      <c r="T136" s="182" t="str">
        <f>IFERROR(__xludf.DUMMYFUNCTION("""COMPUTED_VALUE"""),"CA/TW/SG/AU/MY/MX")</f>
        <v>CA/TW/SG/AU/MY/MX</v>
      </c>
      <c r="U136" s="182" t="str">
        <f>IFERROR(__xludf.DUMMYFUNCTION("""COMPUTED_VALUE"""),"SKU,CLR1, GOOD, SUB6, CA/AU, BZ5, FRU")</f>
        <v>SKU,CLR1, GOOD, SUB6, CA/AU, BZ5, FRU</v>
      </c>
      <c r="V136" s="182"/>
      <c r="W136" s="183" t="str">
        <f>IFERROR(__xludf.DUMMYFUNCTION("""COMPUTED_VALUE"""),"#NUM!")</f>
        <v>#NUM!</v>
      </c>
      <c r="X136" s="186">
        <f>IFERROR(__xludf.DUMMYFUNCTION("""COMPUTED_VALUE"""),45831.0)</f>
        <v>45831</v>
      </c>
      <c r="Y136" s="187">
        <f>IFERROR(__xludf.DUMMYFUNCTION("""COMPUTED_VALUE"""),45780.0)</f>
        <v>45780</v>
      </c>
      <c r="Z136" s="182" t="b">
        <f>IFERROR(__xludf.DUMMYFUNCTION("""COMPUTED_VALUE"""),FALSE)</f>
        <v>0</v>
      </c>
      <c r="AA136" s="187">
        <f>IFERROR(__xludf.DUMMYFUNCTION("""COMPUTED_VALUE"""),45780.0)</f>
        <v>45780</v>
      </c>
      <c r="AB136" s="182" t="b">
        <f>IFERROR(__xludf.DUMMYFUNCTION("""COMPUTED_VALUE"""),FALSE)</f>
        <v>0</v>
      </c>
      <c r="AC136" s="187">
        <f>IFERROR(__xludf.DUMMYFUNCTION("""COMPUTED_VALUE"""),45787.0)</f>
        <v>45787</v>
      </c>
      <c r="AD136" s="187">
        <f>IFERROR(__xludf.DUMMYFUNCTION("""COMPUTED_VALUE"""),45787.0)</f>
        <v>45787</v>
      </c>
      <c r="AE136" s="188" t="str">
        <f>IFERROR(__xludf.DUMMYFUNCTION("""COMPUTED_VALUE"""),"CLNRGA09601")</f>
        <v>CLNRGA09601</v>
      </c>
      <c r="AF136" s="182"/>
      <c r="AG136" s="188" t="str">
        <f>IFERROR(__xludf.DUMMYFUNCTION("""COMPUTED_VALUE"""),"CLNRGA09601")</f>
        <v>CLNRGA09601</v>
      </c>
      <c r="AH136" s="182" t="str">
        <f>IFERROR(__xludf.DUMMYFUNCTION("""COMPUTED_VALUE"""),"N/A")</f>
        <v>N/A</v>
      </c>
      <c r="AI136" s="188" t="str">
        <f>IFERROR(__xludf.DUMMYFUNCTION("""COMPUTED_VALUE"""),"CLNRGA09601")</f>
        <v>CLNRGA09601</v>
      </c>
      <c r="AJ136" s="187">
        <f>IFERROR(__xludf.DUMMYFUNCTION("""COMPUTED_VALUE"""),45793.0)</f>
        <v>45793</v>
      </c>
      <c r="AK136" s="187">
        <f>IFERROR(__xludf.DUMMYFUNCTION("""COMPUTED_VALUE"""),45801.0)</f>
        <v>45801</v>
      </c>
      <c r="AL136" s="182" t="b">
        <f>IFERROR(__xludf.DUMMYFUNCTION("""COMPUTED_VALUE"""),FALSE)</f>
        <v>0</v>
      </c>
      <c r="AM136" s="182" t="b">
        <f>IFERROR(__xludf.DUMMYFUNCTION("""COMPUTED_VALUE"""),FALSE)</f>
        <v>0</v>
      </c>
      <c r="AN136" s="187">
        <f>IFERROR(__xludf.DUMMYFUNCTION("""COMPUTED_VALUE"""),45801.0)</f>
        <v>45801</v>
      </c>
      <c r="AO136" s="182" t="b">
        <f>IFERROR(__xludf.DUMMYFUNCTION("""COMPUTED_VALUE"""),TRUE)</f>
        <v>1</v>
      </c>
      <c r="AP136" s="182" t="str">
        <f>IFERROR(__xludf.DUMMYFUNCTION("""COMPUTED_VALUE"""),"N")</f>
        <v>N</v>
      </c>
      <c r="AQ136" s="182"/>
      <c r="AR136" s="182"/>
      <c r="AS136" s="182" t="b">
        <f>IFERROR(__xludf.DUMMYFUNCTION("""COMPUTED_VALUE"""),FALSE)</f>
        <v>0</v>
      </c>
      <c r="AT136" s="182"/>
      <c r="AU136" s="182"/>
      <c r="AV136" s="187">
        <f>IFERROR(__xludf.DUMMYFUNCTION("""COMPUTED_VALUE"""),45801.0)</f>
        <v>45801</v>
      </c>
      <c r="AW136" s="182" t="b">
        <f>IFERROR(__xludf.DUMMYFUNCTION("""COMPUTED_VALUE"""),FALSE)</f>
        <v>0</v>
      </c>
      <c r="AX136" s="182"/>
      <c r="AY136" s="182"/>
      <c r="AZ136" s="187">
        <f>IFERROR(__xludf.DUMMYFUNCTION("""COMPUTED_VALUE"""),45827.0)</f>
        <v>45827</v>
      </c>
      <c r="BA136" s="182" t="b">
        <f>IFERROR(__xludf.DUMMYFUNCTION("""COMPUTED_VALUE"""),FALSE)</f>
        <v>0</v>
      </c>
      <c r="BB136" s="187">
        <f>IFERROR(__xludf.DUMMYFUNCTION("""COMPUTED_VALUE"""),45827.0)</f>
        <v>45827</v>
      </c>
    </row>
    <row r="137">
      <c r="A137" s="184" t="str">
        <f t="shared" si="1"/>
        <v>#VALUE!</v>
      </c>
      <c r="B137" s="69" t="str">
        <f t="shared" si="2"/>
        <v>#VALUE!</v>
      </c>
      <c r="C137" s="182" t="str">
        <f>IFERROR(__xludf.DUMMYFUNCTION("""COMPUTED_VALUE"""),"CA/TW/SG/MY/AU/MX")</f>
        <v>CA/TW/SG/MY/AU/MX</v>
      </c>
      <c r="D137" s="182" t="str">
        <f>IFERROR(__xludf.DUMMYFUNCTION("""COMPUTED_VALUE"""),"MP")</f>
        <v>MP</v>
      </c>
      <c r="E137" s="182" t="str">
        <f>IFERROR(__xludf.DUMMYFUNCTION("""COMPUTED_VALUE"""),"CLNR")</f>
        <v>CLNR</v>
      </c>
      <c r="F137" s="182" t="str">
        <f>IFERROR(__xludf.DUMMYFUNCTION("""COMPUTED_VALUE"""),"CLNRGA10312")</f>
        <v>CLNRGA10312</v>
      </c>
      <c r="G137" s="182" t="str">
        <f>IFERROR(__xludf.DUMMYFUNCTION("""COMPUTED_VALUE"""),"GEHN3")</f>
        <v>GEHN3</v>
      </c>
      <c r="H137" s="182">
        <f>IFERROR(__xludf.DUMMYFUNCTION("""COMPUTED_VALUE"""),8.40353936805E11)</f>
        <v>840353936805</v>
      </c>
      <c r="I137" s="185" t="str">
        <f>IFERROR(__xludf.DUMMYFUNCTION("""COMPUTED_VALUE"""),"0840353936805")</f>
        <v>0840353936805</v>
      </c>
      <c r="J137" s="182"/>
      <c r="K137" s="182" t="str">
        <f>IFERROR(__xludf.DUMMYFUNCTION("""COMPUTED_VALUE"""),"ROW Master Carton Label (UPC)")</f>
        <v>ROW Master Carton Label (UPC)</v>
      </c>
      <c r="L137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37" s="182" t="str">
        <f>IFERROR(__xludf.DUMMYFUNCTION("""COMPUTED_VALUE"""),"N/A")</f>
        <v>N/A</v>
      </c>
      <c r="N137" s="182" t="str">
        <f>IFERROR(__xludf.DUMMYFUNCTION("""COMPUTED_VALUE"""),"N/A")</f>
        <v>N/A</v>
      </c>
      <c r="O137" s="182" t="str">
        <f>IFERROR(__xludf.DUMMYFUNCTION("""COMPUTED_VALUE"""),"N/A")</f>
        <v>N/A</v>
      </c>
      <c r="P137" s="182"/>
      <c r="Q137" s="182" t="str">
        <f>IFERROR(__xludf.DUMMYFUNCTION("""COMPUTED_VALUE"""),"128GB")</f>
        <v>128GB</v>
      </c>
      <c r="R137" s="182" t="str">
        <f>IFERROR(__xludf.DUMMYFUNCTION("""COMPUTED_VALUE"""),"Porcelain")</f>
        <v>Porcelain</v>
      </c>
      <c r="S137" s="182" t="str">
        <f>IFERROR(__xludf.DUMMYFUNCTION("""COMPUTED_VALUE"""),"Light Porcelain")</f>
        <v>Light Porcelain</v>
      </c>
      <c r="T137" s="182" t="str">
        <f>IFERROR(__xludf.DUMMYFUNCTION("""COMPUTED_VALUE"""),"CA/TW/SG/AU/MY/MX")</f>
        <v>CA/TW/SG/AU/MY/MX</v>
      </c>
      <c r="U137" s="182" t="str">
        <f>IFERROR(__xludf.DUMMYFUNCTION("""COMPUTED_VALUE"""),"SKU,CLR2, GOOD, SUB6, CA/AU, BZ5, FRU")</f>
        <v>SKU,CLR2, GOOD, SUB6, CA/AU, BZ5, FRU</v>
      </c>
      <c r="V137" s="182"/>
      <c r="W137" s="183" t="str">
        <f>IFERROR(__xludf.DUMMYFUNCTION("""COMPUTED_VALUE"""),"#NUM!")</f>
        <v>#NUM!</v>
      </c>
      <c r="X137" s="186">
        <f>IFERROR(__xludf.DUMMYFUNCTION("""COMPUTED_VALUE"""),45831.0)</f>
        <v>45831</v>
      </c>
      <c r="Y137" s="187">
        <f>IFERROR(__xludf.DUMMYFUNCTION("""COMPUTED_VALUE"""),45780.0)</f>
        <v>45780</v>
      </c>
      <c r="Z137" s="182" t="b">
        <f>IFERROR(__xludf.DUMMYFUNCTION("""COMPUTED_VALUE"""),FALSE)</f>
        <v>0</v>
      </c>
      <c r="AA137" s="187">
        <f>IFERROR(__xludf.DUMMYFUNCTION("""COMPUTED_VALUE"""),45780.0)</f>
        <v>45780</v>
      </c>
      <c r="AB137" s="182" t="b">
        <f>IFERROR(__xludf.DUMMYFUNCTION("""COMPUTED_VALUE"""),FALSE)</f>
        <v>0</v>
      </c>
      <c r="AC137" s="187">
        <f>IFERROR(__xludf.DUMMYFUNCTION("""COMPUTED_VALUE"""),45787.0)</f>
        <v>45787</v>
      </c>
      <c r="AD137" s="187">
        <f>IFERROR(__xludf.DUMMYFUNCTION("""COMPUTED_VALUE"""),45787.0)</f>
        <v>45787</v>
      </c>
      <c r="AE137" s="188" t="str">
        <f>IFERROR(__xludf.DUMMYFUNCTION("""COMPUTED_VALUE"""),"CLNRGA10312")</f>
        <v>CLNRGA10312</v>
      </c>
      <c r="AF137" s="182"/>
      <c r="AG137" s="188" t="str">
        <f>IFERROR(__xludf.DUMMYFUNCTION("""COMPUTED_VALUE"""),"CLNRGA10312")</f>
        <v>CLNRGA10312</v>
      </c>
      <c r="AH137" s="182" t="str">
        <f>IFERROR(__xludf.DUMMYFUNCTION("""COMPUTED_VALUE"""),"N/A")</f>
        <v>N/A</v>
      </c>
      <c r="AI137" s="188" t="str">
        <f>IFERROR(__xludf.DUMMYFUNCTION("""COMPUTED_VALUE"""),"CLNRGA10312")</f>
        <v>CLNRGA10312</v>
      </c>
      <c r="AJ137" s="187">
        <f>IFERROR(__xludf.DUMMYFUNCTION("""COMPUTED_VALUE"""),45793.0)</f>
        <v>45793</v>
      </c>
      <c r="AK137" s="187">
        <f>IFERROR(__xludf.DUMMYFUNCTION("""COMPUTED_VALUE"""),45801.0)</f>
        <v>45801</v>
      </c>
      <c r="AL137" s="182" t="b">
        <f>IFERROR(__xludf.DUMMYFUNCTION("""COMPUTED_VALUE"""),FALSE)</f>
        <v>0</v>
      </c>
      <c r="AM137" s="182" t="b">
        <f>IFERROR(__xludf.DUMMYFUNCTION("""COMPUTED_VALUE"""),FALSE)</f>
        <v>0</v>
      </c>
      <c r="AN137" s="187">
        <f>IFERROR(__xludf.DUMMYFUNCTION("""COMPUTED_VALUE"""),45801.0)</f>
        <v>45801</v>
      </c>
      <c r="AO137" s="182" t="b">
        <f>IFERROR(__xludf.DUMMYFUNCTION("""COMPUTED_VALUE"""),TRUE)</f>
        <v>1</v>
      </c>
      <c r="AP137" s="182" t="str">
        <f>IFERROR(__xludf.DUMMYFUNCTION("""COMPUTED_VALUE"""),"N")</f>
        <v>N</v>
      </c>
      <c r="AQ137" s="182"/>
      <c r="AR137" s="182"/>
      <c r="AS137" s="182" t="b">
        <f>IFERROR(__xludf.DUMMYFUNCTION("""COMPUTED_VALUE"""),FALSE)</f>
        <v>0</v>
      </c>
      <c r="AT137" s="182"/>
      <c r="AU137" s="182"/>
      <c r="AV137" s="187">
        <f>IFERROR(__xludf.DUMMYFUNCTION("""COMPUTED_VALUE"""),45801.0)</f>
        <v>45801</v>
      </c>
      <c r="AW137" s="182" t="b">
        <f>IFERROR(__xludf.DUMMYFUNCTION("""COMPUTED_VALUE"""),FALSE)</f>
        <v>0</v>
      </c>
      <c r="AX137" s="182"/>
      <c r="AY137" s="182"/>
      <c r="AZ137" s="187">
        <f>IFERROR(__xludf.DUMMYFUNCTION("""COMPUTED_VALUE"""),45827.0)</f>
        <v>45827</v>
      </c>
      <c r="BA137" s="182" t="b">
        <f>IFERROR(__xludf.DUMMYFUNCTION("""COMPUTED_VALUE"""),FALSE)</f>
        <v>0</v>
      </c>
      <c r="BB137" s="187">
        <f>IFERROR(__xludf.DUMMYFUNCTION("""COMPUTED_VALUE"""),45827.0)</f>
        <v>45827</v>
      </c>
    </row>
    <row r="138">
      <c r="A138" s="184" t="str">
        <f t="shared" si="1"/>
        <v>#VALUE!</v>
      </c>
      <c r="B138" s="69" t="str">
        <f t="shared" si="2"/>
        <v>#VALUE!</v>
      </c>
      <c r="C138" s="182" t="str">
        <f>IFERROR(__xludf.DUMMYFUNCTION("""COMPUTED_VALUE"""),"CA/TW/SG/MY/AU/MX")</f>
        <v>CA/TW/SG/MY/AU/MX</v>
      </c>
      <c r="D138" s="182" t="str">
        <f>IFERROR(__xludf.DUMMYFUNCTION("""COMPUTED_VALUE"""),"MP")</f>
        <v>MP</v>
      </c>
      <c r="E138" s="182" t="str">
        <f>IFERROR(__xludf.DUMMYFUNCTION("""COMPUTED_VALUE"""),"CLNR")</f>
        <v>CLNR</v>
      </c>
      <c r="F138" s="182" t="str">
        <f>IFERROR(__xludf.DUMMYFUNCTION("""COMPUTED_VALUE"""),"CLNRGA10313")</f>
        <v>CLNRGA10313</v>
      </c>
      <c r="G138" s="182" t="str">
        <f>IFERROR(__xludf.DUMMYFUNCTION("""COMPUTED_VALUE"""),"GEHN3")</f>
        <v>GEHN3</v>
      </c>
      <c r="H138" s="182">
        <f>IFERROR(__xludf.DUMMYFUNCTION("""COMPUTED_VALUE"""),8.40353936867E11)</f>
        <v>840353936867</v>
      </c>
      <c r="I138" s="185" t="str">
        <f>IFERROR(__xludf.DUMMYFUNCTION("""COMPUTED_VALUE"""),"0840353936867")</f>
        <v>0840353936867</v>
      </c>
      <c r="J138" s="182"/>
      <c r="K138" s="182" t="str">
        <f>IFERROR(__xludf.DUMMYFUNCTION("""COMPUTED_VALUE"""),"ROW Master Carton Label (UPC)")</f>
        <v>ROW Master Carton Label (UPC)</v>
      </c>
      <c r="L138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38" s="182" t="str">
        <f>IFERROR(__xludf.DUMMYFUNCTION("""COMPUTED_VALUE"""),"N/A")</f>
        <v>N/A</v>
      </c>
      <c r="N138" s="182" t="str">
        <f>IFERROR(__xludf.DUMMYFUNCTION("""COMPUTED_VALUE"""),"N/A")</f>
        <v>N/A</v>
      </c>
      <c r="O138" s="182" t="str">
        <f>IFERROR(__xludf.DUMMYFUNCTION("""COMPUTED_VALUE"""),"N/A")</f>
        <v>N/A</v>
      </c>
      <c r="P138" s="182"/>
      <c r="Q138" s="182" t="str">
        <f>IFERROR(__xludf.DUMMYFUNCTION("""COMPUTED_VALUE"""),"128GB")</f>
        <v>128GB</v>
      </c>
      <c r="R138" s="182" t="str">
        <f>IFERROR(__xludf.DUMMYFUNCTION("""COMPUTED_VALUE"""),"Moonstone")</f>
        <v>Moonstone</v>
      </c>
      <c r="S138" s="182" t="str">
        <f>IFERROR(__xludf.DUMMYFUNCTION("""COMPUTED_VALUE"""),"Sterling")</f>
        <v>Sterling</v>
      </c>
      <c r="T138" s="182" t="str">
        <f>IFERROR(__xludf.DUMMYFUNCTION("""COMPUTED_VALUE"""),"CA/TW/SG/AU/MY/MX")</f>
        <v>CA/TW/SG/AU/MY/MX</v>
      </c>
      <c r="U138" s="182" t="str">
        <f>IFERROR(__xludf.DUMMYFUNCTION("""COMPUTED_VALUE"""),"SKU,CLR3, GOOD, SUB6, CA/AU, BZ5, FRU")</f>
        <v>SKU,CLR3, GOOD, SUB6, CA/AU, BZ5, FRU</v>
      </c>
      <c r="V138" s="182"/>
      <c r="W138" s="183" t="str">
        <f>IFERROR(__xludf.DUMMYFUNCTION("""COMPUTED_VALUE"""),"#NUM!")</f>
        <v>#NUM!</v>
      </c>
      <c r="X138" s="186">
        <f>IFERROR(__xludf.DUMMYFUNCTION("""COMPUTED_VALUE"""),45831.0)</f>
        <v>45831</v>
      </c>
      <c r="Y138" s="187">
        <f>IFERROR(__xludf.DUMMYFUNCTION("""COMPUTED_VALUE"""),45780.0)</f>
        <v>45780</v>
      </c>
      <c r="Z138" s="182" t="b">
        <f>IFERROR(__xludf.DUMMYFUNCTION("""COMPUTED_VALUE"""),FALSE)</f>
        <v>0</v>
      </c>
      <c r="AA138" s="187">
        <f>IFERROR(__xludf.DUMMYFUNCTION("""COMPUTED_VALUE"""),45780.0)</f>
        <v>45780</v>
      </c>
      <c r="AB138" s="182" t="b">
        <f>IFERROR(__xludf.DUMMYFUNCTION("""COMPUTED_VALUE"""),FALSE)</f>
        <v>0</v>
      </c>
      <c r="AC138" s="187">
        <f>IFERROR(__xludf.DUMMYFUNCTION("""COMPUTED_VALUE"""),45787.0)</f>
        <v>45787</v>
      </c>
      <c r="AD138" s="187">
        <f>IFERROR(__xludf.DUMMYFUNCTION("""COMPUTED_VALUE"""),45787.0)</f>
        <v>45787</v>
      </c>
      <c r="AE138" s="188" t="str">
        <f>IFERROR(__xludf.DUMMYFUNCTION("""COMPUTED_VALUE"""),"CLNRGA10313")</f>
        <v>CLNRGA10313</v>
      </c>
      <c r="AF138" s="182"/>
      <c r="AG138" s="188" t="str">
        <f>IFERROR(__xludf.DUMMYFUNCTION("""COMPUTED_VALUE"""),"CLNRGA10313")</f>
        <v>CLNRGA10313</v>
      </c>
      <c r="AH138" s="182" t="str">
        <f>IFERROR(__xludf.DUMMYFUNCTION("""COMPUTED_VALUE"""),"N/A")</f>
        <v>N/A</v>
      </c>
      <c r="AI138" s="188" t="str">
        <f>IFERROR(__xludf.DUMMYFUNCTION("""COMPUTED_VALUE"""),"CLNRGA10313")</f>
        <v>CLNRGA10313</v>
      </c>
      <c r="AJ138" s="187">
        <f>IFERROR(__xludf.DUMMYFUNCTION("""COMPUTED_VALUE"""),45793.0)</f>
        <v>45793</v>
      </c>
      <c r="AK138" s="187">
        <f>IFERROR(__xludf.DUMMYFUNCTION("""COMPUTED_VALUE"""),45801.0)</f>
        <v>45801</v>
      </c>
      <c r="AL138" s="182" t="b">
        <f>IFERROR(__xludf.DUMMYFUNCTION("""COMPUTED_VALUE"""),FALSE)</f>
        <v>0</v>
      </c>
      <c r="AM138" s="182" t="b">
        <f>IFERROR(__xludf.DUMMYFUNCTION("""COMPUTED_VALUE"""),FALSE)</f>
        <v>0</v>
      </c>
      <c r="AN138" s="187">
        <f>IFERROR(__xludf.DUMMYFUNCTION("""COMPUTED_VALUE"""),45801.0)</f>
        <v>45801</v>
      </c>
      <c r="AO138" s="182" t="b">
        <f>IFERROR(__xludf.DUMMYFUNCTION("""COMPUTED_VALUE"""),TRUE)</f>
        <v>1</v>
      </c>
      <c r="AP138" s="182" t="str">
        <f>IFERROR(__xludf.DUMMYFUNCTION("""COMPUTED_VALUE"""),"N")</f>
        <v>N</v>
      </c>
      <c r="AQ138" s="182"/>
      <c r="AR138" s="182"/>
      <c r="AS138" s="182" t="b">
        <f>IFERROR(__xludf.DUMMYFUNCTION("""COMPUTED_VALUE"""),FALSE)</f>
        <v>0</v>
      </c>
      <c r="AT138" s="182"/>
      <c r="AU138" s="182"/>
      <c r="AV138" s="187">
        <f>IFERROR(__xludf.DUMMYFUNCTION("""COMPUTED_VALUE"""),45801.0)</f>
        <v>45801</v>
      </c>
      <c r="AW138" s="182" t="b">
        <f>IFERROR(__xludf.DUMMYFUNCTION("""COMPUTED_VALUE"""),FALSE)</f>
        <v>0</v>
      </c>
      <c r="AX138" s="182"/>
      <c r="AY138" s="182"/>
      <c r="AZ138" s="187">
        <f>IFERROR(__xludf.DUMMYFUNCTION("""COMPUTED_VALUE"""),45827.0)</f>
        <v>45827</v>
      </c>
      <c r="BA138" s="182" t="b">
        <f>IFERROR(__xludf.DUMMYFUNCTION("""COMPUTED_VALUE"""),FALSE)</f>
        <v>0</v>
      </c>
      <c r="BB138" s="187">
        <f>IFERROR(__xludf.DUMMYFUNCTION("""COMPUTED_VALUE"""),45827.0)</f>
        <v>45827</v>
      </c>
    </row>
    <row r="139">
      <c r="A139" s="184" t="str">
        <f t="shared" si="1"/>
        <v>#VALUE!</v>
      </c>
      <c r="B139" s="69" t="str">
        <f t="shared" si="2"/>
        <v>#VALUE!</v>
      </c>
      <c r="C139" s="182" t="str">
        <f>IFERROR(__xludf.DUMMYFUNCTION("""COMPUTED_VALUE"""),"CA/TW/SG/MY/AU/MX")</f>
        <v>CA/TW/SG/MY/AU/MX</v>
      </c>
      <c r="D139" s="182" t="str">
        <f>IFERROR(__xludf.DUMMYFUNCTION("""COMPUTED_VALUE"""),"MP")</f>
        <v>MP</v>
      </c>
      <c r="E139" s="182" t="str">
        <f>IFERROR(__xludf.DUMMYFUNCTION("""COMPUTED_VALUE"""),"CLNR")</f>
        <v>CLNR</v>
      </c>
      <c r="F139" s="182" t="str">
        <f>IFERROR(__xludf.DUMMYFUNCTION("""COMPUTED_VALUE"""),"CLNRGA09900")</f>
        <v>CLNRGA09900</v>
      </c>
      <c r="G139" s="182" t="str">
        <f>IFERROR(__xludf.DUMMYFUNCTION("""COMPUTED_VALUE"""),"GEHN3")</f>
        <v>GEHN3</v>
      </c>
      <c r="H139" s="182">
        <f>IFERROR(__xludf.DUMMYFUNCTION("""COMPUTED_VALUE"""),8.40353937192E11)</f>
        <v>840353937192</v>
      </c>
      <c r="I139" s="185" t="str">
        <f>IFERROR(__xludf.DUMMYFUNCTION("""COMPUTED_VALUE"""),"0840353937192")</f>
        <v>0840353937192</v>
      </c>
      <c r="J139" s="182"/>
      <c r="K139" s="182" t="str">
        <f>IFERROR(__xludf.DUMMYFUNCTION("""COMPUTED_VALUE"""),"ROW Master Carton Label (UPC)")</f>
        <v>ROW Master Carton Label (UPC)</v>
      </c>
      <c r="L139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39" s="182" t="str">
        <f>IFERROR(__xludf.DUMMYFUNCTION("""COMPUTED_VALUE"""),"N/A")</f>
        <v>N/A</v>
      </c>
      <c r="N139" s="182" t="str">
        <f>IFERROR(__xludf.DUMMYFUNCTION("""COMPUTED_VALUE"""),"N/A")</f>
        <v>N/A</v>
      </c>
      <c r="O139" s="182" t="str">
        <f>IFERROR(__xludf.DUMMYFUNCTION("""COMPUTED_VALUE"""),"N/A")</f>
        <v>N/A</v>
      </c>
      <c r="P139" s="182"/>
      <c r="Q139" s="182" t="str">
        <f>IFERROR(__xludf.DUMMYFUNCTION("""COMPUTED_VALUE"""),"256GB")</f>
        <v>256GB</v>
      </c>
      <c r="R139" s="182" t="str">
        <f>IFERROR(__xludf.DUMMYFUNCTION("""COMPUTED_VALUE"""),"Obsidian")</f>
        <v>Obsidian</v>
      </c>
      <c r="S139" s="182" t="str">
        <f>IFERROR(__xludf.DUMMYFUNCTION("""COMPUTED_VALUE"""),"Midnight")</f>
        <v>Midnight</v>
      </c>
      <c r="T139" s="182" t="str">
        <f>IFERROR(__xludf.DUMMYFUNCTION("""COMPUTED_VALUE"""),"CA/TW/SG/AU/MY/MX")</f>
        <v>CA/TW/SG/AU/MY/MX</v>
      </c>
      <c r="U139" s="182" t="str">
        <f>IFERROR(__xludf.DUMMYFUNCTION("""COMPUTED_VALUE"""),"SKU,CLR1, BETTER, SUB6, CA/AU, BZ5, FRU")</f>
        <v>SKU,CLR1, BETTER, SUB6, CA/AU, BZ5, FRU</v>
      </c>
      <c r="V139" s="182"/>
      <c r="W139" s="183" t="str">
        <f>IFERROR(__xludf.DUMMYFUNCTION("""COMPUTED_VALUE"""),"#NUM!")</f>
        <v>#NUM!</v>
      </c>
      <c r="X139" s="186">
        <f>IFERROR(__xludf.DUMMYFUNCTION("""COMPUTED_VALUE"""),45831.0)</f>
        <v>45831</v>
      </c>
      <c r="Y139" s="187">
        <f>IFERROR(__xludf.DUMMYFUNCTION("""COMPUTED_VALUE"""),45780.0)</f>
        <v>45780</v>
      </c>
      <c r="Z139" s="182" t="b">
        <f>IFERROR(__xludf.DUMMYFUNCTION("""COMPUTED_VALUE"""),FALSE)</f>
        <v>0</v>
      </c>
      <c r="AA139" s="187">
        <f>IFERROR(__xludf.DUMMYFUNCTION("""COMPUTED_VALUE"""),45780.0)</f>
        <v>45780</v>
      </c>
      <c r="AB139" s="182" t="b">
        <f>IFERROR(__xludf.DUMMYFUNCTION("""COMPUTED_VALUE"""),FALSE)</f>
        <v>0</v>
      </c>
      <c r="AC139" s="187">
        <f>IFERROR(__xludf.DUMMYFUNCTION("""COMPUTED_VALUE"""),45787.0)</f>
        <v>45787</v>
      </c>
      <c r="AD139" s="187">
        <f>IFERROR(__xludf.DUMMYFUNCTION("""COMPUTED_VALUE"""),45787.0)</f>
        <v>45787</v>
      </c>
      <c r="AE139" s="188" t="str">
        <f>IFERROR(__xludf.DUMMYFUNCTION("""COMPUTED_VALUE"""),"CLNRGA09900")</f>
        <v>CLNRGA09900</v>
      </c>
      <c r="AF139" s="182"/>
      <c r="AG139" s="188" t="str">
        <f>IFERROR(__xludf.DUMMYFUNCTION("""COMPUTED_VALUE"""),"CLNRGA09900")</f>
        <v>CLNRGA09900</v>
      </c>
      <c r="AH139" s="182" t="str">
        <f>IFERROR(__xludf.DUMMYFUNCTION("""COMPUTED_VALUE"""),"N/A")</f>
        <v>N/A</v>
      </c>
      <c r="AI139" s="188" t="str">
        <f>IFERROR(__xludf.DUMMYFUNCTION("""COMPUTED_VALUE"""),"CLNRGA09900")</f>
        <v>CLNRGA09900</v>
      </c>
      <c r="AJ139" s="187">
        <f>IFERROR(__xludf.DUMMYFUNCTION("""COMPUTED_VALUE"""),45793.0)</f>
        <v>45793</v>
      </c>
      <c r="AK139" s="187">
        <f>IFERROR(__xludf.DUMMYFUNCTION("""COMPUTED_VALUE"""),45801.0)</f>
        <v>45801</v>
      </c>
      <c r="AL139" s="182" t="b">
        <f>IFERROR(__xludf.DUMMYFUNCTION("""COMPUTED_VALUE"""),FALSE)</f>
        <v>0</v>
      </c>
      <c r="AM139" s="182" t="b">
        <f>IFERROR(__xludf.DUMMYFUNCTION("""COMPUTED_VALUE"""),FALSE)</f>
        <v>0</v>
      </c>
      <c r="AN139" s="187">
        <f>IFERROR(__xludf.DUMMYFUNCTION("""COMPUTED_VALUE"""),45801.0)</f>
        <v>45801</v>
      </c>
      <c r="AO139" s="182" t="b">
        <f>IFERROR(__xludf.DUMMYFUNCTION("""COMPUTED_VALUE"""),TRUE)</f>
        <v>1</v>
      </c>
      <c r="AP139" s="182" t="str">
        <f>IFERROR(__xludf.DUMMYFUNCTION("""COMPUTED_VALUE"""),"Y")</f>
        <v>Y</v>
      </c>
      <c r="AQ139" s="182"/>
      <c r="AR139" s="182"/>
      <c r="AS139" s="182" t="b">
        <f>IFERROR(__xludf.DUMMYFUNCTION("""COMPUTED_VALUE"""),FALSE)</f>
        <v>0</v>
      </c>
      <c r="AT139" s="182"/>
      <c r="AU139" s="182"/>
      <c r="AV139" s="187">
        <f>IFERROR(__xludf.DUMMYFUNCTION("""COMPUTED_VALUE"""),45801.0)</f>
        <v>45801</v>
      </c>
      <c r="AW139" s="182" t="b">
        <f>IFERROR(__xludf.DUMMYFUNCTION("""COMPUTED_VALUE"""),FALSE)</f>
        <v>0</v>
      </c>
      <c r="AX139" s="182"/>
      <c r="AY139" s="182"/>
      <c r="AZ139" s="187">
        <f>IFERROR(__xludf.DUMMYFUNCTION("""COMPUTED_VALUE"""),45827.0)</f>
        <v>45827</v>
      </c>
      <c r="BA139" s="182" t="b">
        <f>IFERROR(__xludf.DUMMYFUNCTION("""COMPUTED_VALUE"""),FALSE)</f>
        <v>0</v>
      </c>
      <c r="BB139" s="187">
        <f>IFERROR(__xludf.DUMMYFUNCTION("""COMPUTED_VALUE"""),45827.0)</f>
        <v>45827</v>
      </c>
    </row>
    <row r="140">
      <c r="A140" s="184" t="str">
        <f t="shared" si="1"/>
        <v>#VALUE!</v>
      </c>
      <c r="B140" s="69" t="str">
        <f t="shared" si="2"/>
        <v>#VALUE!</v>
      </c>
      <c r="C140" s="182" t="str">
        <f>IFERROR(__xludf.DUMMYFUNCTION("""COMPUTED_VALUE"""),"CA/TW/SG/MY/AU/MX")</f>
        <v>CA/TW/SG/MY/AU/MX</v>
      </c>
      <c r="D140" s="182" t="str">
        <f>IFERROR(__xludf.DUMMYFUNCTION("""COMPUTED_VALUE"""),"MP")</f>
        <v>MP</v>
      </c>
      <c r="E140" s="182" t="str">
        <f>IFERROR(__xludf.DUMMYFUNCTION("""COMPUTED_VALUE"""),"CLNR")</f>
        <v>CLNR</v>
      </c>
      <c r="F140" s="182" t="str">
        <f>IFERROR(__xludf.DUMMYFUNCTION("""COMPUTED_VALUE"""),"CLNRGA10314")</f>
        <v>CLNRGA10314</v>
      </c>
      <c r="G140" s="182" t="str">
        <f>IFERROR(__xludf.DUMMYFUNCTION("""COMPUTED_VALUE"""),"GEHN3")</f>
        <v>GEHN3</v>
      </c>
      <c r="H140" s="182">
        <f>IFERROR(__xludf.DUMMYFUNCTION("""COMPUTED_VALUE"""),8.40353937208E11)</f>
        <v>840353937208</v>
      </c>
      <c r="I140" s="185" t="str">
        <f>IFERROR(__xludf.DUMMYFUNCTION("""COMPUTED_VALUE"""),"0840353937208")</f>
        <v>0840353937208</v>
      </c>
      <c r="J140" s="182"/>
      <c r="K140" s="182" t="str">
        <f>IFERROR(__xludf.DUMMYFUNCTION("""COMPUTED_VALUE"""),"ROW Master Carton Label (UPC)")</f>
        <v>ROW Master Carton Label (UPC)</v>
      </c>
      <c r="L140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40" s="182" t="str">
        <f>IFERROR(__xludf.DUMMYFUNCTION("""COMPUTED_VALUE"""),"N/A")</f>
        <v>N/A</v>
      </c>
      <c r="N140" s="182" t="str">
        <f>IFERROR(__xludf.DUMMYFUNCTION("""COMPUTED_VALUE"""),"N/A")</f>
        <v>N/A</v>
      </c>
      <c r="O140" s="182" t="str">
        <f>IFERROR(__xludf.DUMMYFUNCTION("""COMPUTED_VALUE"""),"N/A")</f>
        <v>N/A</v>
      </c>
      <c r="P140" s="182"/>
      <c r="Q140" s="182" t="str">
        <f>IFERROR(__xludf.DUMMYFUNCTION("""COMPUTED_VALUE"""),"256GB")</f>
        <v>256GB</v>
      </c>
      <c r="R140" s="182" t="str">
        <f>IFERROR(__xludf.DUMMYFUNCTION("""COMPUTED_VALUE"""),"Porcelain")</f>
        <v>Porcelain</v>
      </c>
      <c r="S140" s="182" t="str">
        <f>IFERROR(__xludf.DUMMYFUNCTION("""COMPUTED_VALUE"""),"Light Porcelain")</f>
        <v>Light Porcelain</v>
      </c>
      <c r="T140" s="182" t="str">
        <f>IFERROR(__xludf.DUMMYFUNCTION("""COMPUTED_VALUE"""),"CA/TW/SG/AU/MY/MX")</f>
        <v>CA/TW/SG/AU/MY/MX</v>
      </c>
      <c r="U140" s="182" t="str">
        <f>IFERROR(__xludf.DUMMYFUNCTION("""COMPUTED_VALUE"""),"SKU,CLR2, BETTER, SUB6, CA/AU, BZ5, FRU")</f>
        <v>SKU,CLR2, BETTER, SUB6, CA/AU, BZ5, FRU</v>
      </c>
      <c r="V140" s="182"/>
      <c r="W140" s="183" t="str">
        <f>IFERROR(__xludf.DUMMYFUNCTION("""COMPUTED_VALUE"""),"#NUM!")</f>
        <v>#NUM!</v>
      </c>
      <c r="X140" s="186">
        <f>IFERROR(__xludf.DUMMYFUNCTION("""COMPUTED_VALUE"""),45831.0)</f>
        <v>45831</v>
      </c>
      <c r="Y140" s="187">
        <f>IFERROR(__xludf.DUMMYFUNCTION("""COMPUTED_VALUE"""),45780.0)</f>
        <v>45780</v>
      </c>
      <c r="Z140" s="182" t="b">
        <f>IFERROR(__xludf.DUMMYFUNCTION("""COMPUTED_VALUE"""),FALSE)</f>
        <v>0</v>
      </c>
      <c r="AA140" s="187">
        <f>IFERROR(__xludf.DUMMYFUNCTION("""COMPUTED_VALUE"""),45780.0)</f>
        <v>45780</v>
      </c>
      <c r="AB140" s="182" t="b">
        <f>IFERROR(__xludf.DUMMYFUNCTION("""COMPUTED_VALUE"""),FALSE)</f>
        <v>0</v>
      </c>
      <c r="AC140" s="187">
        <f>IFERROR(__xludf.DUMMYFUNCTION("""COMPUTED_VALUE"""),45787.0)</f>
        <v>45787</v>
      </c>
      <c r="AD140" s="187">
        <f>IFERROR(__xludf.DUMMYFUNCTION("""COMPUTED_VALUE"""),45787.0)</f>
        <v>45787</v>
      </c>
      <c r="AE140" s="188" t="str">
        <f>IFERROR(__xludf.DUMMYFUNCTION("""COMPUTED_VALUE"""),"CLNRGA10314")</f>
        <v>CLNRGA10314</v>
      </c>
      <c r="AF140" s="182"/>
      <c r="AG140" s="188" t="str">
        <f>IFERROR(__xludf.DUMMYFUNCTION("""COMPUTED_VALUE"""),"CLNRGA10314")</f>
        <v>CLNRGA10314</v>
      </c>
      <c r="AH140" s="182" t="str">
        <f>IFERROR(__xludf.DUMMYFUNCTION("""COMPUTED_VALUE"""),"N/A")</f>
        <v>N/A</v>
      </c>
      <c r="AI140" s="188" t="str">
        <f>IFERROR(__xludf.DUMMYFUNCTION("""COMPUTED_VALUE"""),"CLNRGA10314")</f>
        <v>CLNRGA10314</v>
      </c>
      <c r="AJ140" s="187">
        <f>IFERROR(__xludf.DUMMYFUNCTION("""COMPUTED_VALUE"""),45793.0)</f>
        <v>45793</v>
      </c>
      <c r="AK140" s="187">
        <f>IFERROR(__xludf.DUMMYFUNCTION("""COMPUTED_VALUE"""),45801.0)</f>
        <v>45801</v>
      </c>
      <c r="AL140" s="182" t="b">
        <f>IFERROR(__xludf.DUMMYFUNCTION("""COMPUTED_VALUE"""),FALSE)</f>
        <v>0</v>
      </c>
      <c r="AM140" s="182" t="b">
        <f>IFERROR(__xludf.DUMMYFUNCTION("""COMPUTED_VALUE"""),FALSE)</f>
        <v>0</v>
      </c>
      <c r="AN140" s="187">
        <f>IFERROR(__xludf.DUMMYFUNCTION("""COMPUTED_VALUE"""),45801.0)</f>
        <v>45801</v>
      </c>
      <c r="AO140" s="182" t="b">
        <f>IFERROR(__xludf.DUMMYFUNCTION("""COMPUTED_VALUE"""),TRUE)</f>
        <v>1</v>
      </c>
      <c r="AP140" s="182" t="str">
        <f>IFERROR(__xludf.DUMMYFUNCTION("""COMPUTED_VALUE"""),"N")</f>
        <v>N</v>
      </c>
      <c r="AQ140" s="182"/>
      <c r="AR140" s="182"/>
      <c r="AS140" s="182" t="b">
        <f>IFERROR(__xludf.DUMMYFUNCTION("""COMPUTED_VALUE"""),FALSE)</f>
        <v>0</v>
      </c>
      <c r="AT140" s="182"/>
      <c r="AU140" s="182"/>
      <c r="AV140" s="187">
        <f>IFERROR(__xludf.DUMMYFUNCTION("""COMPUTED_VALUE"""),45801.0)</f>
        <v>45801</v>
      </c>
      <c r="AW140" s="182" t="b">
        <f>IFERROR(__xludf.DUMMYFUNCTION("""COMPUTED_VALUE"""),FALSE)</f>
        <v>0</v>
      </c>
      <c r="AX140" s="182"/>
      <c r="AY140" s="182"/>
      <c r="AZ140" s="187">
        <f>IFERROR(__xludf.DUMMYFUNCTION("""COMPUTED_VALUE"""),45827.0)</f>
        <v>45827</v>
      </c>
      <c r="BA140" s="182" t="b">
        <f>IFERROR(__xludf.DUMMYFUNCTION("""COMPUTED_VALUE"""),FALSE)</f>
        <v>0</v>
      </c>
      <c r="BB140" s="187">
        <f>IFERROR(__xludf.DUMMYFUNCTION("""COMPUTED_VALUE"""),45827.0)</f>
        <v>45827</v>
      </c>
    </row>
    <row r="141">
      <c r="A141" s="184" t="str">
        <f t="shared" si="1"/>
        <v>#VALUE!</v>
      </c>
      <c r="B141" s="69" t="str">
        <f t="shared" si="2"/>
        <v>#VALUE!</v>
      </c>
      <c r="C141" s="182" t="str">
        <f>IFERROR(__xludf.DUMMYFUNCTION("""COMPUTED_VALUE"""),"CA/TW/SG/MY/AU/MX")</f>
        <v>CA/TW/SG/MY/AU/MX</v>
      </c>
      <c r="D141" s="182" t="str">
        <f>IFERROR(__xludf.DUMMYFUNCTION("""COMPUTED_VALUE"""),"MP")</f>
        <v>MP</v>
      </c>
      <c r="E141" s="182" t="str">
        <f>IFERROR(__xludf.DUMMYFUNCTION("""COMPUTED_VALUE"""),"CLNR")</f>
        <v>CLNR</v>
      </c>
      <c r="F141" s="182" t="str">
        <f>IFERROR(__xludf.DUMMYFUNCTION("""COMPUTED_VALUE"""),"CLNRGA10315")</f>
        <v>CLNRGA10315</v>
      </c>
      <c r="G141" s="182" t="str">
        <f>IFERROR(__xludf.DUMMYFUNCTION("""COMPUTED_VALUE"""),"GEHN3")</f>
        <v>GEHN3</v>
      </c>
      <c r="H141" s="182">
        <f>IFERROR(__xludf.DUMMYFUNCTION("""COMPUTED_VALUE"""),8.40353937215E11)</f>
        <v>840353937215</v>
      </c>
      <c r="I141" s="185" t="str">
        <f>IFERROR(__xludf.DUMMYFUNCTION("""COMPUTED_VALUE"""),"0840353937215")</f>
        <v>0840353937215</v>
      </c>
      <c r="J141" s="182"/>
      <c r="K141" s="182" t="str">
        <f>IFERROR(__xludf.DUMMYFUNCTION("""COMPUTED_VALUE"""),"ROW Master Carton Label (UPC)")</f>
        <v>ROW Master Carton Label (UPC)</v>
      </c>
      <c r="L141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41" s="182" t="str">
        <f>IFERROR(__xludf.DUMMYFUNCTION("""COMPUTED_VALUE"""),"N/A")</f>
        <v>N/A</v>
      </c>
      <c r="N141" s="182" t="str">
        <f>IFERROR(__xludf.DUMMYFUNCTION("""COMPUTED_VALUE"""),"N/A")</f>
        <v>N/A</v>
      </c>
      <c r="O141" s="182" t="str">
        <f>IFERROR(__xludf.DUMMYFUNCTION("""COMPUTED_VALUE"""),"N/A")</f>
        <v>N/A</v>
      </c>
      <c r="P141" s="182"/>
      <c r="Q141" s="182" t="str">
        <f>IFERROR(__xludf.DUMMYFUNCTION("""COMPUTED_VALUE"""),"256GB")</f>
        <v>256GB</v>
      </c>
      <c r="R141" s="182" t="str">
        <f>IFERROR(__xludf.DUMMYFUNCTION("""COMPUTED_VALUE"""),"Moonstone")</f>
        <v>Moonstone</v>
      </c>
      <c r="S141" s="182" t="str">
        <f>IFERROR(__xludf.DUMMYFUNCTION("""COMPUTED_VALUE"""),"Sterling")</f>
        <v>Sterling</v>
      </c>
      <c r="T141" s="182" t="str">
        <f>IFERROR(__xludf.DUMMYFUNCTION("""COMPUTED_VALUE"""),"CA/TW/SG/AU/MY/MX")</f>
        <v>CA/TW/SG/AU/MY/MX</v>
      </c>
      <c r="U141" s="182" t="str">
        <f>IFERROR(__xludf.DUMMYFUNCTION("""COMPUTED_VALUE"""),"SKU,CLR3, BETTER, SUB6, CA/AU, BZ5, FRU")</f>
        <v>SKU,CLR3, BETTER, SUB6, CA/AU, BZ5, FRU</v>
      </c>
      <c r="V141" s="182"/>
      <c r="W141" s="183" t="str">
        <f>IFERROR(__xludf.DUMMYFUNCTION("""COMPUTED_VALUE"""),"#NUM!")</f>
        <v>#NUM!</v>
      </c>
      <c r="X141" s="186">
        <f>IFERROR(__xludf.DUMMYFUNCTION("""COMPUTED_VALUE"""),45831.0)</f>
        <v>45831</v>
      </c>
      <c r="Y141" s="187">
        <f>IFERROR(__xludf.DUMMYFUNCTION("""COMPUTED_VALUE"""),45780.0)</f>
        <v>45780</v>
      </c>
      <c r="Z141" s="182" t="b">
        <f>IFERROR(__xludf.DUMMYFUNCTION("""COMPUTED_VALUE"""),FALSE)</f>
        <v>0</v>
      </c>
      <c r="AA141" s="187">
        <f>IFERROR(__xludf.DUMMYFUNCTION("""COMPUTED_VALUE"""),45780.0)</f>
        <v>45780</v>
      </c>
      <c r="AB141" s="182" t="b">
        <f>IFERROR(__xludf.DUMMYFUNCTION("""COMPUTED_VALUE"""),FALSE)</f>
        <v>0</v>
      </c>
      <c r="AC141" s="187">
        <f>IFERROR(__xludf.DUMMYFUNCTION("""COMPUTED_VALUE"""),45787.0)</f>
        <v>45787</v>
      </c>
      <c r="AD141" s="187">
        <f>IFERROR(__xludf.DUMMYFUNCTION("""COMPUTED_VALUE"""),45787.0)</f>
        <v>45787</v>
      </c>
      <c r="AE141" s="188" t="str">
        <f>IFERROR(__xludf.DUMMYFUNCTION("""COMPUTED_VALUE"""),"CLNRGA10315")</f>
        <v>CLNRGA10315</v>
      </c>
      <c r="AF141" s="182"/>
      <c r="AG141" s="188" t="str">
        <f>IFERROR(__xludf.DUMMYFUNCTION("""COMPUTED_VALUE"""),"CLNRGA10315")</f>
        <v>CLNRGA10315</v>
      </c>
      <c r="AH141" s="182" t="str">
        <f>IFERROR(__xludf.DUMMYFUNCTION("""COMPUTED_VALUE"""),"N/A")</f>
        <v>N/A</v>
      </c>
      <c r="AI141" s="188" t="str">
        <f>IFERROR(__xludf.DUMMYFUNCTION("""COMPUTED_VALUE"""),"CLNRGA10315")</f>
        <v>CLNRGA10315</v>
      </c>
      <c r="AJ141" s="187">
        <f>IFERROR(__xludf.DUMMYFUNCTION("""COMPUTED_VALUE"""),45793.0)</f>
        <v>45793</v>
      </c>
      <c r="AK141" s="187">
        <f>IFERROR(__xludf.DUMMYFUNCTION("""COMPUTED_VALUE"""),45801.0)</f>
        <v>45801</v>
      </c>
      <c r="AL141" s="182" t="b">
        <f>IFERROR(__xludf.DUMMYFUNCTION("""COMPUTED_VALUE"""),FALSE)</f>
        <v>0</v>
      </c>
      <c r="AM141" s="182" t="b">
        <f>IFERROR(__xludf.DUMMYFUNCTION("""COMPUTED_VALUE"""),FALSE)</f>
        <v>0</v>
      </c>
      <c r="AN141" s="187">
        <f>IFERROR(__xludf.DUMMYFUNCTION("""COMPUTED_VALUE"""),45801.0)</f>
        <v>45801</v>
      </c>
      <c r="AO141" s="182" t="b">
        <f>IFERROR(__xludf.DUMMYFUNCTION("""COMPUTED_VALUE"""),TRUE)</f>
        <v>1</v>
      </c>
      <c r="AP141" s="182" t="str">
        <f>IFERROR(__xludf.DUMMYFUNCTION("""COMPUTED_VALUE"""),"N")</f>
        <v>N</v>
      </c>
      <c r="AQ141" s="182"/>
      <c r="AR141" s="182"/>
      <c r="AS141" s="182" t="b">
        <f>IFERROR(__xludf.DUMMYFUNCTION("""COMPUTED_VALUE"""),FALSE)</f>
        <v>0</v>
      </c>
      <c r="AT141" s="182"/>
      <c r="AU141" s="182"/>
      <c r="AV141" s="187">
        <f>IFERROR(__xludf.DUMMYFUNCTION("""COMPUTED_VALUE"""),45801.0)</f>
        <v>45801</v>
      </c>
      <c r="AW141" s="182" t="b">
        <f>IFERROR(__xludf.DUMMYFUNCTION("""COMPUTED_VALUE"""),FALSE)</f>
        <v>0</v>
      </c>
      <c r="AX141" s="182"/>
      <c r="AY141" s="182"/>
      <c r="AZ141" s="187">
        <f>IFERROR(__xludf.DUMMYFUNCTION("""COMPUTED_VALUE"""),45827.0)</f>
        <v>45827</v>
      </c>
      <c r="BA141" s="182" t="b">
        <f>IFERROR(__xludf.DUMMYFUNCTION("""COMPUTED_VALUE"""),FALSE)</f>
        <v>0</v>
      </c>
      <c r="BB141" s="187">
        <f>IFERROR(__xludf.DUMMYFUNCTION("""COMPUTED_VALUE"""),45827.0)</f>
        <v>45827</v>
      </c>
    </row>
    <row r="142">
      <c r="A142" s="184" t="str">
        <f t="shared" si="1"/>
        <v>#VALUE!</v>
      </c>
      <c r="B142" s="69" t="str">
        <f t="shared" si="2"/>
        <v>#VALUE!</v>
      </c>
      <c r="C142" s="182" t="str">
        <f>IFERROR(__xludf.DUMMYFUNCTION("""COMPUTED_VALUE"""),"CA/TW/SG/MY/AU/MX")</f>
        <v>CA/TW/SG/MY/AU/MX</v>
      </c>
      <c r="D142" s="182" t="str">
        <f>IFERROR(__xludf.DUMMYFUNCTION("""COMPUTED_VALUE"""),"MP")</f>
        <v>MP</v>
      </c>
      <c r="E142" s="182" t="str">
        <f>IFERROR(__xludf.DUMMYFUNCTION("""COMPUTED_VALUE"""),"CLNR")</f>
        <v>CLNR</v>
      </c>
      <c r="F142" s="182" t="str">
        <f>IFERROR(__xludf.DUMMYFUNCTION("""COMPUTED_VALUE"""),"CLNRGA10316")</f>
        <v>CLNRGA10316</v>
      </c>
      <c r="G142" s="182" t="str">
        <f>IFERROR(__xludf.DUMMYFUNCTION("""COMPUTED_VALUE"""),"GEHN3")</f>
        <v>GEHN3</v>
      </c>
      <c r="H142" s="182">
        <f>IFERROR(__xludf.DUMMYFUNCTION("""COMPUTED_VALUE"""),8.40353937222E11)</f>
        <v>840353937222</v>
      </c>
      <c r="I142" s="185" t="str">
        <f>IFERROR(__xludf.DUMMYFUNCTION("""COMPUTED_VALUE"""),"0840353937222")</f>
        <v>0840353937222</v>
      </c>
      <c r="J142" s="182"/>
      <c r="K142" s="182" t="str">
        <f>IFERROR(__xludf.DUMMYFUNCTION("""COMPUTED_VALUE"""),"ROW Master Carton Label (UPC)")</f>
        <v>ROW Master Carton Label (UPC)</v>
      </c>
      <c r="L142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42" s="182" t="str">
        <f>IFERROR(__xludf.DUMMYFUNCTION("""COMPUTED_VALUE"""),"N/A")</f>
        <v>N/A</v>
      </c>
      <c r="N142" s="182" t="str">
        <f>IFERROR(__xludf.DUMMYFUNCTION("""COMPUTED_VALUE"""),"N/A")</f>
        <v>N/A</v>
      </c>
      <c r="O142" s="182" t="str">
        <f>IFERROR(__xludf.DUMMYFUNCTION("""COMPUTED_VALUE"""),"N/A")</f>
        <v>N/A</v>
      </c>
      <c r="P142" s="182"/>
      <c r="Q142" s="182" t="str">
        <f>IFERROR(__xludf.DUMMYFUNCTION("""COMPUTED_VALUE"""),"256GB")</f>
        <v>256GB</v>
      </c>
      <c r="R142" s="182" t="str">
        <f>IFERROR(__xludf.DUMMYFUNCTION("""COMPUTED_VALUE"""),"Jade")</f>
        <v>Jade</v>
      </c>
      <c r="S142" s="182" t="str">
        <f>IFERROR(__xludf.DUMMYFUNCTION("""COMPUTED_VALUE"""),"Smokey Green")</f>
        <v>Smokey Green</v>
      </c>
      <c r="T142" s="182" t="str">
        <f>IFERROR(__xludf.DUMMYFUNCTION("""COMPUTED_VALUE"""),"CA/TW/SG/AU/MY/MX")</f>
        <v>CA/TW/SG/AU/MY/MX</v>
      </c>
      <c r="U142" s="182" t="str">
        <f>IFERROR(__xludf.DUMMYFUNCTION("""COMPUTED_VALUE"""),"SKU,CLR4, BETTER, SUB6, CA/AU, BZ5, FRU")</f>
        <v>SKU,CLR4, BETTER, SUB6, CA/AU, BZ5, FRU</v>
      </c>
      <c r="V142" s="182"/>
      <c r="W142" s="183" t="str">
        <f>IFERROR(__xludf.DUMMYFUNCTION("""COMPUTED_VALUE"""),"#NUM!")</f>
        <v>#NUM!</v>
      </c>
      <c r="X142" s="186">
        <f>IFERROR(__xludf.DUMMYFUNCTION("""COMPUTED_VALUE"""),45831.0)</f>
        <v>45831</v>
      </c>
      <c r="Y142" s="187">
        <f>IFERROR(__xludf.DUMMYFUNCTION("""COMPUTED_VALUE"""),45780.0)</f>
        <v>45780</v>
      </c>
      <c r="Z142" s="182" t="b">
        <f>IFERROR(__xludf.DUMMYFUNCTION("""COMPUTED_VALUE"""),FALSE)</f>
        <v>0</v>
      </c>
      <c r="AA142" s="187">
        <f>IFERROR(__xludf.DUMMYFUNCTION("""COMPUTED_VALUE"""),45780.0)</f>
        <v>45780</v>
      </c>
      <c r="AB142" s="182" t="b">
        <f>IFERROR(__xludf.DUMMYFUNCTION("""COMPUTED_VALUE"""),FALSE)</f>
        <v>0</v>
      </c>
      <c r="AC142" s="187">
        <f>IFERROR(__xludf.DUMMYFUNCTION("""COMPUTED_VALUE"""),45787.0)</f>
        <v>45787</v>
      </c>
      <c r="AD142" s="187">
        <f>IFERROR(__xludf.DUMMYFUNCTION("""COMPUTED_VALUE"""),45787.0)</f>
        <v>45787</v>
      </c>
      <c r="AE142" s="188" t="str">
        <f>IFERROR(__xludf.DUMMYFUNCTION("""COMPUTED_VALUE"""),"CLNRGA10316")</f>
        <v>CLNRGA10316</v>
      </c>
      <c r="AF142" s="182"/>
      <c r="AG142" s="188" t="str">
        <f>IFERROR(__xludf.DUMMYFUNCTION("""COMPUTED_VALUE"""),"CLNRGA10316")</f>
        <v>CLNRGA10316</v>
      </c>
      <c r="AH142" s="182" t="str">
        <f>IFERROR(__xludf.DUMMYFUNCTION("""COMPUTED_VALUE"""),"N/A")</f>
        <v>N/A</v>
      </c>
      <c r="AI142" s="188" t="str">
        <f>IFERROR(__xludf.DUMMYFUNCTION("""COMPUTED_VALUE"""),"CLNRGA10316")</f>
        <v>CLNRGA10316</v>
      </c>
      <c r="AJ142" s="187">
        <f>IFERROR(__xludf.DUMMYFUNCTION("""COMPUTED_VALUE"""),45793.0)</f>
        <v>45793</v>
      </c>
      <c r="AK142" s="187">
        <f>IFERROR(__xludf.DUMMYFUNCTION("""COMPUTED_VALUE"""),45801.0)</f>
        <v>45801</v>
      </c>
      <c r="AL142" s="182" t="b">
        <f>IFERROR(__xludf.DUMMYFUNCTION("""COMPUTED_VALUE"""),FALSE)</f>
        <v>0</v>
      </c>
      <c r="AM142" s="182" t="b">
        <f>IFERROR(__xludf.DUMMYFUNCTION("""COMPUTED_VALUE"""),FALSE)</f>
        <v>0</v>
      </c>
      <c r="AN142" s="187">
        <f>IFERROR(__xludf.DUMMYFUNCTION("""COMPUTED_VALUE"""),45801.0)</f>
        <v>45801</v>
      </c>
      <c r="AO142" s="182" t="b">
        <f>IFERROR(__xludf.DUMMYFUNCTION("""COMPUTED_VALUE"""),TRUE)</f>
        <v>1</v>
      </c>
      <c r="AP142" s="182" t="str">
        <f>IFERROR(__xludf.DUMMYFUNCTION("""COMPUTED_VALUE"""),"N")</f>
        <v>N</v>
      </c>
      <c r="AQ142" s="182"/>
      <c r="AR142" s="182"/>
      <c r="AS142" s="182" t="b">
        <f>IFERROR(__xludf.DUMMYFUNCTION("""COMPUTED_VALUE"""),FALSE)</f>
        <v>0</v>
      </c>
      <c r="AT142" s="182"/>
      <c r="AU142" s="182"/>
      <c r="AV142" s="187">
        <f>IFERROR(__xludf.DUMMYFUNCTION("""COMPUTED_VALUE"""),45801.0)</f>
        <v>45801</v>
      </c>
      <c r="AW142" s="182" t="b">
        <f>IFERROR(__xludf.DUMMYFUNCTION("""COMPUTED_VALUE"""),FALSE)</f>
        <v>0</v>
      </c>
      <c r="AX142" s="182"/>
      <c r="AY142" s="182"/>
      <c r="AZ142" s="187">
        <f>IFERROR(__xludf.DUMMYFUNCTION("""COMPUTED_VALUE"""),45827.0)</f>
        <v>45827</v>
      </c>
      <c r="BA142" s="182" t="b">
        <f>IFERROR(__xludf.DUMMYFUNCTION("""COMPUTED_VALUE"""),FALSE)</f>
        <v>0</v>
      </c>
      <c r="BB142" s="187">
        <f>IFERROR(__xludf.DUMMYFUNCTION("""COMPUTED_VALUE"""),45827.0)</f>
        <v>45827</v>
      </c>
    </row>
    <row r="143">
      <c r="A143" s="184" t="str">
        <f t="shared" si="1"/>
        <v>#VALUE!</v>
      </c>
      <c r="B143" s="69" t="str">
        <f t="shared" si="2"/>
        <v>#VALUE!</v>
      </c>
      <c r="C143" s="182" t="str">
        <f>IFERROR(__xludf.DUMMYFUNCTION("""COMPUTED_VALUE"""),"CA/TW/SG/MY/AU/MX")</f>
        <v>CA/TW/SG/MY/AU/MX</v>
      </c>
      <c r="D143" s="182" t="str">
        <f>IFERROR(__xludf.DUMMYFUNCTION("""COMPUTED_VALUE"""),"MP")</f>
        <v>MP</v>
      </c>
      <c r="E143" s="182" t="str">
        <f>IFERROR(__xludf.DUMMYFUNCTION("""COMPUTED_VALUE"""),"CLNR")</f>
        <v>CLNR</v>
      </c>
      <c r="F143" s="182" t="str">
        <f>IFERROR(__xludf.DUMMYFUNCTION("""COMPUTED_VALUE"""),"CLNRGA09909")</f>
        <v>CLNRGA09909</v>
      </c>
      <c r="G143" s="182" t="str">
        <f>IFERROR(__xludf.DUMMYFUNCTION("""COMPUTED_VALUE"""),"GEHN3")</f>
        <v>GEHN3</v>
      </c>
      <c r="H143" s="182">
        <f>IFERROR(__xludf.DUMMYFUNCTION("""COMPUTED_VALUE"""),8.40353937239E11)</f>
        <v>840353937239</v>
      </c>
      <c r="I143" s="185" t="str">
        <f>IFERROR(__xludf.DUMMYFUNCTION("""COMPUTED_VALUE"""),"0840353937239")</f>
        <v>0840353937239</v>
      </c>
      <c r="J143" s="182"/>
      <c r="K143" s="182" t="str">
        <f>IFERROR(__xludf.DUMMYFUNCTION("""COMPUTED_VALUE"""),"ROW Master Carton Label (UPC)")</f>
        <v>ROW Master Carton Label (UPC)</v>
      </c>
      <c r="L143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43" s="182" t="str">
        <f>IFERROR(__xludf.DUMMYFUNCTION("""COMPUTED_VALUE"""),"N/A")</f>
        <v>N/A</v>
      </c>
      <c r="N143" s="182" t="str">
        <f>IFERROR(__xludf.DUMMYFUNCTION("""COMPUTED_VALUE"""),"N/A")</f>
        <v>N/A</v>
      </c>
      <c r="O143" s="182" t="str">
        <f>IFERROR(__xludf.DUMMYFUNCTION("""COMPUTED_VALUE"""),"N/A")</f>
        <v>N/A</v>
      </c>
      <c r="P143" s="182"/>
      <c r="Q143" s="182" t="str">
        <f>IFERROR(__xludf.DUMMYFUNCTION("""COMPUTED_VALUE"""),"512GB")</f>
        <v>512GB</v>
      </c>
      <c r="R143" s="182" t="str">
        <f>IFERROR(__xludf.DUMMYFUNCTION("""COMPUTED_VALUE"""),"Obsidian")</f>
        <v>Obsidian</v>
      </c>
      <c r="S143" s="182" t="str">
        <f>IFERROR(__xludf.DUMMYFUNCTION("""COMPUTED_VALUE"""),"Midnight")</f>
        <v>Midnight</v>
      </c>
      <c r="T143" s="182" t="str">
        <f>IFERROR(__xludf.DUMMYFUNCTION("""COMPUTED_VALUE"""),"CA/TW/SG/AU/MY/MX")</f>
        <v>CA/TW/SG/AU/MY/MX</v>
      </c>
      <c r="U143" s="182" t="str">
        <f>IFERROR(__xludf.DUMMYFUNCTION("""COMPUTED_VALUE"""),"SKU,CLR1, BEST, SUB6, CA/AU, BZ5, FRU")</f>
        <v>SKU,CLR1, BEST, SUB6, CA/AU, BZ5, FRU</v>
      </c>
      <c r="V143" s="182"/>
      <c r="W143" s="183" t="str">
        <f>IFERROR(__xludf.DUMMYFUNCTION("""COMPUTED_VALUE"""),"#NUM!")</f>
        <v>#NUM!</v>
      </c>
      <c r="X143" s="186">
        <f>IFERROR(__xludf.DUMMYFUNCTION("""COMPUTED_VALUE"""),45831.0)</f>
        <v>45831</v>
      </c>
      <c r="Y143" s="187">
        <f>IFERROR(__xludf.DUMMYFUNCTION("""COMPUTED_VALUE"""),45780.0)</f>
        <v>45780</v>
      </c>
      <c r="Z143" s="182" t="b">
        <f>IFERROR(__xludf.DUMMYFUNCTION("""COMPUTED_VALUE"""),FALSE)</f>
        <v>0</v>
      </c>
      <c r="AA143" s="187">
        <f>IFERROR(__xludf.DUMMYFUNCTION("""COMPUTED_VALUE"""),45780.0)</f>
        <v>45780</v>
      </c>
      <c r="AB143" s="182" t="b">
        <f>IFERROR(__xludf.DUMMYFUNCTION("""COMPUTED_VALUE"""),FALSE)</f>
        <v>0</v>
      </c>
      <c r="AC143" s="187">
        <f>IFERROR(__xludf.DUMMYFUNCTION("""COMPUTED_VALUE"""),45787.0)</f>
        <v>45787</v>
      </c>
      <c r="AD143" s="187">
        <f>IFERROR(__xludf.DUMMYFUNCTION("""COMPUTED_VALUE"""),45787.0)</f>
        <v>45787</v>
      </c>
      <c r="AE143" s="188" t="str">
        <f>IFERROR(__xludf.DUMMYFUNCTION("""COMPUTED_VALUE"""),"CLNRGA09909")</f>
        <v>CLNRGA09909</v>
      </c>
      <c r="AF143" s="182"/>
      <c r="AG143" s="188" t="str">
        <f>IFERROR(__xludf.DUMMYFUNCTION("""COMPUTED_VALUE"""),"CLNRGA09909")</f>
        <v>CLNRGA09909</v>
      </c>
      <c r="AH143" s="182" t="str">
        <f>IFERROR(__xludf.DUMMYFUNCTION("""COMPUTED_VALUE"""),"N/A")</f>
        <v>N/A</v>
      </c>
      <c r="AI143" s="188" t="str">
        <f>IFERROR(__xludf.DUMMYFUNCTION("""COMPUTED_VALUE"""),"CLNRGA09909")</f>
        <v>CLNRGA09909</v>
      </c>
      <c r="AJ143" s="187">
        <f>IFERROR(__xludf.DUMMYFUNCTION("""COMPUTED_VALUE"""),45793.0)</f>
        <v>45793</v>
      </c>
      <c r="AK143" s="187">
        <f>IFERROR(__xludf.DUMMYFUNCTION("""COMPUTED_VALUE"""),45801.0)</f>
        <v>45801</v>
      </c>
      <c r="AL143" s="182" t="b">
        <f>IFERROR(__xludf.DUMMYFUNCTION("""COMPUTED_VALUE"""),FALSE)</f>
        <v>0</v>
      </c>
      <c r="AM143" s="182" t="b">
        <f>IFERROR(__xludf.DUMMYFUNCTION("""COMPUTED_VALUE"""),FALSE)</f>
        <v>0</v>
      </c>
      <c r="AN143" s="187">
        <f>IFERROR(__xludf.DUMMYFUNCTION("""COMPUTED_VALUE"""),45801.0)</f>
        <v>45801</v>
      </c>
      <c r="AO143" s="182" t="b">
        <f>IFERROR(__xludf.DUMMYFUNCTION("""COMPUTED_VALUE"""),TRUE)</f>
        <v>1</v>
      </c>
      <c r="AP143" s="182" t="str">
        <f>IFERROR(__xludf.DUMMYFUNCTION("""COMPUTED_VALUE"""),"N")</f>
        <v>N</v>
      </c>
      <c r="AQ143" s="182"/>
      <c r="AR143" s="182"/>
      <c r="AS143" s="182" t="b">
        <f>IFERROR(__xludf.DUMMYFUNCTION("""COMPUTED_VALUE"""),FALSE)</f>
        <v>0</v>
      </c>
      <c r="AT143" s="182"/>
      <c r="AU143" s="182"/>
      <c r="AV143" s="187">
        <f>IFERROR(__xludf.DUMMYFUNCTION("""COMPUTED_VALUE"""),45801.0)</f>
        <v>45801</v>
      </c>
      <c r="AW143" s="182" t="b">
        <f>IFERROR(__xludf.DUMMYFUNCTION("""COMPUTED_VALUE"""),FALSE)</f>
        <v>0</v>
      </c>
      <c r="AX143" s="182"/>
      <c r="AY143" s="182"/>
      <c r="AZ143" s="187">
        <f>IFERROR(__xludf.DUMMYFUNCTION("""COMPUTED_VALUE"""),45827.0)</f>
        <v>45827</v>
      </c>
      <c r="BA143" s="182" t="b">
        <f>IFERROR(__xludf.DUMMYFUNCTION("""COMPUTED_VALUE"""),FALSE)</f>
        <v>0</v>
      </c>
      <c r="BB143" s="187">
        <f>IFERROR(__xludf.DUMMYFUNCTION("""COMPUTED_VALUE"""),45827.0)</f>
        <v>45827</v>
      </c>
    </row>
    <row r="144">
      <c r="A144" s="184" t="str">
        <f t="shared" si="1"/>
        <v>#VALUE!</v>
      </c>
      <c r="B144" s="69" t="str">
        <f t="shared" si="2"/>
        <v>#VALUE!</v>
      </c>
      <c r="C144" s="182" t="str">
        <f>IFERROR(__xludf.DUMMYFUNCTION("""COMPUTED_VALUE"""),"CA/TW/SG/MY/AU/MX")</f>
        <v>CA/TW/SG/MY/AU/MX</v>
      </c>
      <c r="D144" s="182" t="str">
        <f>IFERROR(__xludf.DUMMYFUNCTION("""COMPUTED_VALUE"""),"MP")</f>
        <v>MP</v>
      </c>
      <c r="E144" s="182" t="str">
        <f>IFERROR(__xludf.DUMMYFUNCTION("""COMPUTED_VALUE"""),"CLNR")</f>
        <v>CLNR</v>
      </c>
      <c r="F144" s="182" t="str">
        <f>IFERROR(__xludf.DUMMYFUNCTION("""COMPUTED_VALUE"""),"CLNRGA10317")</f>
        <v>CLNRGA10317</v>
      </c>
      <c r="G144" s="182" t="str">
        <f>IFERROR(__xludf.DUMMYFUNCTION("""COMPUTED_VALUE"""),"GEHN3")</f>
        <v>GEHN3</v>
      </c>
      <c r="H144" s="182">
        <f>IFERROR(__xludf.DUMMYFUNCTION("""COMPUTED_VALUE"""),8.40353937246E11)</f>
        <v>840353937246</v>
      </c>
      <c r="I144" s="185" t="str">
        <f>IFERROR(__xludf.DUMMYFUNCTION("""COMPUTED_VALUE"""),"0840353937246")</f>
        <v>0840353937246</v>
      </c>
      <c r="J144" s="182"/>
      <c r="K144" s="182"/>
      <c r="L144" s="182"/>
      <c r="M144" s="182" t="str">
        <f>IFERROR(__xludf.DUMMYFUNCTION("""COMPUTED_VALUE"""),"N/A")</f>
        <v>N/A</v>
      </c>
      <c r="N144" s="182" t="str">
        <f>IFERROR(__xludf.DUMMYFUNCTION("""COMPUTED_VALUE"""),"N/A")</f>
        <v>N/A</v>
      </c>
      <c r="O144" s="182" t="str">
        <f>IFERROR(__xludf.DUMMYFUNCTION("""COMPUTED_VALUE"""),"N/A")</f>
        <v>N/A</v>
      </c>
      <c r="P144" s="182"/>
      <c r="Q144" s="182" t="str">
        <f>IFERROR(__xludf.DUMMYFUNCTION("""COMPUTED_VALUE"""),"512GB")</f>
        <v>512GB</v>
      </c>
      <c r="R144" s="182" t="str">
        <f>IFERROR(__xludf.DUMMYFUNCTION("""COMPUTED_VALUE"""),"Porcelain")</f>
        <v>Porcelain</v>
      </c>
      <c r="S144" s="182" t="str">
        <f>IFERROR(__xludf.DUMMYFUNCTION("""COMPUTED_VALUE"""),"Light Porcelain")</f>
        <v>Light Porcelain</v>
      </c>
      <c r="T144" s="182" t="str">
        <f>IFERROR(__xludf.DUMMYFUNCTION("""COMPUTED_VALUE"""),"CA/TW/SG/AU/MY/MX")</f>
        <v>CA/TW/SG/AU/MY/MX</v>
      </c>
      <c r="U144" s="182" t="str">
        <f>IFERROR(__xludf.DUMMYFUNCTION("""COMPUTED_VALUE"""),"SKU,CLR2, BEST, SUB6, CA/AU, BZ5, FRU")</f>
        <v>SKU,CLR2, BEST, SUB6, CA/AU, BZ5, FRU</v>
      </c>
      <c r="V144" s="182"/>
      <c r="W144" s="183" t="str">
        <f>IFERROR(__xludf.DUMMYFUNCTION("""COMPUTED_VALUE"""),"#NUM!")</f>
        <v>#NUM!</v>
      </c>
      <c r="X144" s="186">
        <f>IFERROR(__xludf.DUMMYFUNCTION("""COMPUTED_VALUE"""),45831.0)</f>
        <v>45831</v>
      </c>
      <c r="Y144" s="187">
        <f>IFERROR(__xludf.DUMMYFUNCTION("""COMPUTED_VALUE"""),45780.0)</f>
        <v>45780</v>
      </c>
      <c r="Z144" s="182" t="b">
        <f>IFERROR(__xludf.DUMMYFUNCTION("""COMPUTED_VALUE"""),FALSE)</f>
        <v>0</v>
      </c>
      <c r="AA144" s="187">
        <f>IFERROR(__xludf.DUMMYFUNCTION("""COMPUTED_VALUE"""),45780.0)</f>
        <v>45780</v>
      </c>
      <c r="AB144" s="182" t="b">
        <f>IFERROR(__xludf.DUMMYFUNCTION("""COMPUTED_VALUE"""),FALSE)</f>
        <v>0</v>
      </c>
      <c r="AC144" s="187">
        <f>IFERROR(__xludf.DUMMYFUNCTION("""COMPUTED_VALUE"""),45787.0)</f>
        <v>45787</v>
      </c>
      <c r="AD144" s="187">
        <f>IFERROR(__xludf.DUMMYFUNCTION("""COMPUTED_VALUE"""),45787.0)</f>
        <v>45787</v>
      </c>
      <c r="AE144" s="182"/>
      <c r="AF144" s="182"/>
      <c r="AG144" s="182"/>
      <c r="AH144" s="182"/>
      <c r="AI144" s="182"/>
      <c r="AJ144" s="187">
        <f>IFERROR(__xludf.DUMMYFUNCTION("""COMPUTED_VALUE"""),45793.0)</f>
        <v>45793</v>
      </c>
      <c r="AK144" s="187">
        <f>IFERROR(__xludf.DUMMYFUNCTION("""COMPUTED_VALUE"""),45801.0)</f>
        <v>45801</v>
      </c>
      <c r="AL144" s="182"/>
      <c r="AM144" s="182"/>
      <c r="AN144" s="187">
        <f>IFERROR(__xludf.DUMMYFUNCTION("""COMPUTED_VALUE"""),45801.0)</f>
        <v>45801</v>
      </c>
      <c r="AO144" s="182" t="b">
        <f>IFERROR(__xludf.DUMMYFUNCTION("""COMPUTED_VALUE"""),FALSE)</f>
        <v>0</v>
      </c>
      <c r="AP144" s="182"/>
      <c r="AQ144" s="182"/>
      <c r="AR144" s="182"/>
      <c r="AS144" s="182"/>
      <c r="AT144" s="182"/>
      <c r="AU144" s="182"/>
      <c r="AV144" s="187">
        <f>IFERROR(__xludf.DUMMYFUNCTION("""COMPUTED_VALUE"""),45801.0)</f>
        <v>45801</v>
      </c>
      <c r="AW144" s="182" t="b">
        <f>IFERROR(__xludf.DUMMYFUNCTION("""COMPUTED_VALUE"""),FALSE)</f>
        <v>0</v>
      </c>
      <c r="AX144" s="182"/>
      <c r="AY144" s="182"/>
      <c r="AZ144" s="187">
        <f>IFERROR(__xludf.DUMMYFUNCTION("""COMPUTED_VALUE"""),45827.0)</f>
        <v>45827</v>
      </c>
      <c r="BA144" s="182" t="b">
        <f>IFERROR(__xludf.DUMMYFUNCTION("""COMPUTED_VALUE"""),FALSE)</f>
        <v>0</v>
      </c>
      <c r="BB144" s="187">
        <f>IFERROR(__xludf.DUMMYFUNCTION("""COMPUTED_VALUE"""),45827.0)</f>
        <v>45827</v>
      </c>
    </row>
    <row r="145">
      <c r="A145" s="184" t="str">
        <f t="shared" si="1"/>
        <v>#VALUE!</v>
      </c>
      <c r="B145" s="69" t="str">
        <f t="shared" si="2"/>
        <v>#VALUE!</v>
      </c>
      <c r="C145" s="182" t="str">
        <f>IFERROR(__xludf.DUMMYFUNCTION("""COMPUTED_VALUE"""),"CA/TW/SG/MY/AU/MX")</f>
        <v>CA/TW/SG/MY/AU/MX</v>
      </c>
      <c r="D145" s="182" t="str">
        <f>IFERROR(__xludf.DUMMYFUNCTION("""COMPUTED_VALUE"""),"MP")</f>
        <v>MP</v>
      </c>
      <c r="E145" s="182" t="str">
        <f>IFERROR(__xludf.DUMMYFUNCTION("""COMPUTED_VALUE"""),"CLNR")</f>
        <v>CLNR</v>
      </c>
      <c r="F145" s="182" t="str">
        <f>IFERROR(__xludf.DUMMYFUNCTION("""COMPUTED_VALUE"""),"CLNRGA10318")</f>
        <v>CLNRGA10318</v>
      </c>
      <c r="G145" s="182" t="str">
        <f>IFERROR(__xludf.DUMMYFUNCTION("""COMPUTED_VALUE"""),"GEHN3")</f>
        <v>GEHN3</v>
      </c>
      <c r="H145" s="182">
        <f>IFERROR(__xludf.DUMMYFUNCTION("""COMPUTED_VALUE"""),8.40353937253E11)</f>
        <v>840353937253</v>
      </c>
      <c r="I145" s="185" t="str">
        <f>IFERROR(__xludf.DUMMYFUNCTION("""COMPUTED_VALUE"""),"0840353937253")</f>
        <v>0840353937253</v>
      </c>
      <c r="J145" s="182"/>
      <c r="K145" s="182" t="str">
        <f>IFERROR(__xludf.DUMMYFUNCTION("""COMPUTED_VALUE"""),"ROW Master Carton Label (UPC)")</f>
        <v>ROW Master Carton Label (UPC)</v>
      </c>
      <c r="L145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45" s="182" t="str">
        <f>IFERROR(__xludf.DUMMYFUNCTION("""COMPUTED_VALUE"""),"N/A")</f>
        <v>N/A</v>
      </c>
      <c r="N145" s="182" t="str">
        <f>IFERROR(__xludf.DUMMYFUNCTION("""COMPUTED_VALUE"""),"N/A")</f>
        <v>N/A</v>
      </c>
      <c r="O145" s="182" t="str">
        <f>IFERROR(__xludf.DUMMYFUNCTION("""COMPUTED_VALUE"""),"N/A")</f>
        <v>N/A</v>
      </c>
      <c r="P145" s="182"/>
      <c r="Q145" s="182" t="str">
        <f>IFERROR(__xludf.DUMMYFUNCTION("""COMPUTED_VALUE"""),"512GB")</f>
        <v>512GB</v>
      </c>
      <c r="R145" s="182" t="str">
        <f>IFERROR(__xludf.DUMMYFUNCTION("""COMPUTED_VALUE"""),"Moonstone")</f>
        <v>Moonstone</v>
      </c>
      <c r="S145" s="182" t="str">
        <f>IFERROR(__xludf.DUMMYFUNCTION("""COMPUTED_VALUE"""),"Sterling")</f>
        <v>Sterling</v>
      </c>
      <c r="T145" s="182" t="str">
        <f>IFERROR(__xludf.DUMMYFUNCTION("""COMPUTED_VALUE"""),"CA/TW/SG/AU/MY/MX")</f>
        <v>CA/TW/SG/AU/MY/MX</v>
      </c>
      <c r="U145" s="182" t="str">
        <f>IFERROR(__xludf.DUMMYFUNCTION("""COMPUTED_VALUE"""),"SKU,CLR3, BEST, SUB6, CA/AU, BZ5, FRU")</f>
        <v>SKU,CLR3, BEST, SUB6, CA/AU, BZ5, FRU</v>
      </c>
      <c r="V145" s="182"/>
      <c r="W145" s="183" t="str">
        <f>IFERROR(__xludf.DUMMYFUNCTION("""COMPUTED_VALUE"""),"#NUM!")</f>
        <v>#NUM!</v>
      </c>
      <c r="X145" s="186">
        <f>IFERROR(__xludf.DUMMYFUNCTION("""COMPUTED_VALUE"""),45831.0)</f>
        <v>45831</v>
      </c>
      <c r="Y145" s="187">
        <f>IFERROR(__xludf.DUMMYFUNCTION("""COMPUTED_VALUE"""),45780.0)</f>
        <v>45780</v>
      </c>
      <c r="Z145" s="182" t="b">
        <f>IFERROR(__xludf.DUMMYFUNCTION("""COMPUTED_VALUE"""),FALSE)</f>
        <v>0</v>
      </c>
      <c r="AA145" s="187">
        <f>IFERROR(__xludf.DUMMYFUNCTION("""COMPUTED_VALUE"""),45780.0)</f>
        <v>45780</v>
      </c>
      <c r="AB145" s="182" t="b">
        <f>IFERROR(__xludf.DUMMYFUNCTION("""COMPUTED_VALUE"""),FALSE)</f>
        <v>0</v>
      </c>
      <c r="AC145" s="187">
        <f>IFERROR(__xludf.DUMMYFUNCTION("""COMPUTED_VALUE"""),45787.0)</f>
        <v>45787</v>
      </c>
      <c r="AD145" s="187">
        <f>IFERROR(__xludf.DUMMYFUNCTION("""COMPUTED_VALUE"""),45787.0)</f>
        <v>45787</v>
      </c>
      <c r="AE145" s="188" t="str">
        <f>IFERROR(__xludf.DUMMYFUNCTION("""COMPUTED_VALUE"""),"CLNRGA10318")</f>
        <v>CLNRGA10318</v>
      </c>
      <c r="AF145" s="182"/>
      <c r="AG145" s="188" t="str">
        <f>IFERROR(__xludf.DUMMYFUNCTION("""COMPUTED_VALUE"""),"CLNRGA10318")</f>
        <v>CLNRGA10318</v>
      </c>
      <c r="AH145" s="182" t="str">
        <f>IFERROR(__xludf.DUMMYFUNCTION("""COMPUTED_VALUE"""),"N/A")</f>
        <v>N/A</v>
      </c>
      <c r="AI145" s="188" t="str">
        <f>IFERROR(__xludf.DUMMYFUNCTION("""COMPUTED_VALUE"""),"CLNRGA10318")</f>
        <v>CLNRGA10318</v>
      </c>
      <c r="AJ145" s="187">
        <f>IFERROR(__xludf.DUMMYFUNCTION("""COMPUTED_VALUE"""),45793.0)</f>
        <v>45793</v>
      </c>
      <c r="AK145" s="187">
        <f>IFERROR(__xludf.DUMMYFUNCTION("""COMPUTED_VALUE"""),45801.0)</f>
        <v>45801</v>
      </c>
      <c r="AL145" s="182" t="b">
        <f>IFERROR(__xludf.DUMMYFUNCTION("""COMPUTED_VALUE"""),FALSE)</f>
        <v>0</v>
      </c>
      <c r="AM145" s="182" t="b">
        <f>IFERROR(__xludf.DUMMYFUNCTION("""COMPUTED_VALUE"""),FALSE)</f>
        <v>0</v>
      </c>
      <c r="AN145" s="187">
        <f>IFERROR(__xludf.DUMMYFUNCTION("""COMPUTED_VALUE"""),45801.0)</f>
        <v>45801</v>
      </c>
      <c r="AO145" s="182" t="b">
        <f>IFERROR(__xludf.DUMMYFUNCTION("""COMPUTED_VALUE"""),TRUE)</f>
        <v>1</v>
      </c>
      <c r="AP145" s="182" t="str">
        <f>IFERROR(__xludf.DUMMYFUNCTION("""COMPUTED_VALUE"""),"N")</f>
        <v>N</v>
      </c>
      <c r="AQ145" s="182"/>
      <c r="AR145" s="182"/>
      <c r="AS145" s="182" t="b">
        <f>IFERROR(__xludf.DUMMYFUNCTION("""COMPUTED_VALUE"""),FALSE)</f>
        <v>0</v>
      </c>
      <c r="AT145" s="182"/>
      <c r="AU145" s="182"/>
      <c r="AV145" s="187">
        <f>IFERROR(__xludf.DUMMYFUNCTION("""COMPUTED_VALUE"""),45801.0)</f>
        <v>45801</v>
      </c>
      <c r="AW145" s="182" t="b">
        <f>IFERROR(__xludf.DUMMYFUNCTION("""COMPUTED_VALUE"""),FALSE)</f>
        <v>0</v>
      </c>
      <c r="AX145" s="182"/>
      <c r="AY145" s="182"/>
      <c r="AZ145" s="187">
        <f>IFERROR(__xludf.DUMMYFUNCTION("""COMPUTED_VALUE"""),45827.0)</f>
        <v>45827</v>
      </c>
      <c r="BA145" s="182" t="b">
        <f>IFERROR(__xludf.DUMMYFUNCTION("""COMPUTED_VALUE"""),FALSE)</f>
        <v>0</v>
      </c>
      <c r="BB145" s="187">
        <f>IFERROR(__xludf.DUMMYFUNCTION("""COMPUTED_VALUE"""),45827.0)</f>
        <v>45827</v>
      </c>
    </row>
    <row r="146">
      <c r="A146" s="184" t="str">
        <f t="shared" si="1"/>
        <v>#VALUE!</v>
      </c>
      <c r="B146" s="69" t="str">
        <f t="shared" si="2"/>
        <v>#VALUE!</v>
      </c>
      <c r="C146" s="182" t="str">
        <f>IFERROR(__xludf.DUMMYFUNCTION("""COMPUTED_VALUE"""),"CA/TW/SG/MY/AU/MX")</f>
        <v>CA/TW/SG/MY/AU/MX</v>
      </c>
      <c r="D146" s="182" t="str">
        <f>IFERROR(__xludf.DUMMYFUNCTION("""COMPUTED_VALUE"""),"MP")</f>
        <v>MP</v>
      </c>
      <c r="E146" s="182" t="str">
        <f>IFERROR(__xludf.DUMMYFUNCTION("""COMPUTED_VALUE"""),"CLNR")</f>
        <v>CLNR</v>
      </c>
      <c r="F146" s="182" t="str">
        <f>IFERROR(__xludf.DUMMYFUNCTION("""COMPUTED_VALUE"""),"CLNRGA10319")</f>
        <v>CLNRGA10319</v>
      </c>
      <c r="G146" s="182" t="str">
        <f>IFERROR(__xludf.DUMMYFUNCTION("""COMPUTED_VALUE"""),"GEHN3")</f>
        <v>GEHN3</v>
      </c>
      <c r="H146" s="182">
        <f>IFERROR(__xludf.DUMMYFUNCTION("""COMPUTED_VALUE"""),8.4035393726E11)</f>
        <v>840353937260</v>
      </c>
      <c r="I146" s="185" t="str">
        <f>IFERROR(__xludf.DUMMYFUNCTION("""COMPUTED_VALUE"""),"0840353937260")</f>
        <v>0840353937260</v>
      </c>
      <c r="J146" s="182"/>
      <c r="K146" s="182"/>
      <c r="L146" s="182"/>
      <c r="M146" s="182" t="str">
        <f>IFERROR(__xludf.DUMMYFUNCTION("""COMPUTED_VALUE"""),"N/A")</f>
        <v>N/A</v>
      </c>
      <c r="N146" s="182" t="str">
        <f>IFERROR(__xludf.DUMMYFUNCTION("""COMPUTED_VALUE"""),"N/A")</f>
        <v>N/A</v>
      </c>
      <c r="O146" s="182" t="str">
        <f>IFERROR(__xludf.DUMMYFUNCTION("""COMPUTED_VALUE"""),"N/A")</f>
        <v>N/A</v>
      </c>
      <c r="P146" s="182"/>
      <c r="Q146" s="182" t="str">
        <f>IFERROR(__xludf.DUMMYFUNCTION("""COMPUTED_VALUE"""),"512GB")</f>
        <v>512GB</v>
      </c>
      <c r="R146" s="182" t="str">
        <f>IFERROR(__xludf.DUMMYFUNCTION("""COMPUTED_VALUE"""),"Jade")</f>
        <v>Jade</v>
      </c>
      <c r="S146" s="182" t="str">
        <f>IFERROR(__xludf.DUMMYFUNCTION("""COMPUTED_VALUE"""),"Smokey Green")</f>
        <v>Smokey Green</v>
      </c>
      <c r="T146" s="182" t="str">
        <f>IFERROR(__xludf.DUMMYFUNCTION("""COMPUTED_VALUE"""),"CA/TW/SG/AU/MY/MX")</f>
        <v>CA/TW/SG/AU/MY/MX</v>
      </c>
      <c r="U146" s="182" t="str">
        <f>IFERROR(__xludf.DUMMYFUNCTION("""COMPUTED_VALUE"""),"SKU,CLR4, BEST, SUB6, CA/AU, BZ5, FRU")</f>
        <v>SKU,CLR4, BEST, SUB6, CA/AU, BZ5, FRU</v>
      </c>
      <c r="V146" s="182"/>
      <c r="W146" s="183" t="str">
        <f>IFERROR(__xludf.DUMMYFUNCTION("""COMPUTED_VALUE"""),"#NUM!")</f>
        <v>#NUM!</v>
      </c>
      <c r="X146" s="186">
        <f>IFERROR(__xludf.DUMMYFUNCTION("""COMPUTED_VALUE"""),45831.0)</f>
        <v>45831</v>
      </c>
      <c r="Y146" s="187">
        <f>IFERROR(__xludf.DUMMYFUNCTION("""COMPUTED_VALUE"""),45780.0)</f>
        <v>45780</v>
      </c>
      <c r="Z146" s="182" t="b">
        <f>IFERROR(__xludf.DUMMYFUNCTION("""COMPUTED_VALUE"""),FALSE)</f>
        <v>0</v>
      </c>
      <c r="AA146" s="187">
        <f>IFERROR(__xludf.DUMMYFUNCTION("""COMPUTED_VALUE"""),45780.0)</f>
        <v>45780</v>
      </c>
      <c r="AB146" s="182" t="b">
        <f>IFERROR(__xludf.DUMMYFUNCTION("""COMPUTED_VALUE"""),FALSE)</f>
        <v>0</v>
      </c>
      <c r="AC146" s="187">
        <f>IFERROR(__xludf.DUMMYFUNCTION("""COMPUTED_VALUE"""),45787.0)</f>
        <v>45787</v>
      </c>
      <c r="AD146" s="187">
        <f>IFERROR(__xludf.DUMMYFUNCTION("""COMPUTED_VALUE"""),45787.0)</f>
        <v>45787</v>
      </c>
      <c r="AE146" s="182"/>
      <c r="AF146" s="182"/>
      <c r="AG146" s="182"/>
      <c r="AH146" s="182"/>
      <c r="AI146" s="182"/>
      <c r="AJ146" s="187">
        <f>IFERROR(__xludf.DUMMYFUNCTION("""COMPUTED_VALUE"""),45793.0)</f>
        <v>45793</v>
      </c>
      <c r="AK146" s="187">
        <f>IFERROR(__xludf.DUMMYFUNCTION("""COMPUTED_VALUE"""),45801.0)</f>
        <v>45801</v>
      </c>
      <c r="AL146" s="182"/>
      <c r="AM146" s="182"/>
      <c r="AN146" s="187">
        <f>IFERROR(__xludf.DUMMYFUNCTION("""COMPUTED_VALUE"""),45801.0)</f>
        <v>45801</v>
      </c>
      <c r="AO146" s="182" t="b">
        <f>IFERROR(__xludf.DUMMYFUNCTION("""COMPUTED_VALUE"""),FALSE)</f>
        <v>0</v>
      </c>
      <c r="AP146" s="182"/>
      <c r="AQ146" s="182"/>
      <c r="AR146" s="182"/>
      <c r="AS146" s="182"/>
      <c r="AT146" s="182"/>
      <c r="AU146" s="182"/>
      <c r="AV146" s="187">
        <f>IFERROR(__xludf.DUMMYFUNCTION("""COMPUTED_VALUE"""),45801.0)</f>
        <v>45801</v>
      </c>
      <c r="AW146" s="182" t="b">
        <f>IFERROR(__xludf.DUMMYFUNCTION("""COMPUTED_VALUE"""),FALSE)</f>
        <v>0</v>
      </c>
      <c r="AX146" s="182"/>
      <c r="AY146" s="182"/>
      <c r="AZ146" s="187">
        <f>IFERROR(__xludf.DUMMYFUNCTION("""COMPUTED_VALUE"""),45827.0)</f>
        <v>45827</v>
      </c>
      <c r="BA146" s="182" t="b">
        <f>IFERROR(__xludf.DUMMYFUNCTION("""COMPUTED_VALUE"""),FALSE)</f>
        <v>0</v>
      </c>
      <c r="BB146" s="187">
        <f>IFERROR(__xludf.DUMMYFUNCTION("""COMPUTED_VALUE"""),45827.0)</f>
        <v>45827</v>
      </c>
    </row>
    <row r="147">
      <c r="A147" s="184" t="str">
        <f t="shared" si="1"/>
        <v>#VALUE!</v>
      </c>
      <c r="B147" s="69" t="str">
        <f t="shared" si="2"/>
        <v>#VALUE!</v>
      </c>
      <c r="C147" s="182" t="str">
        <f>IFERROR(__xludf.DUMMYFUNCTION("""COMPUTED_VALUE"""),"CA/TW/SG/MY/AU/MX")</f>
        <v>CA/TW/SG/MY/AU/MX</v>
      </c>
      <c r="D147" s="182" t="str">
        <f>IFERROR(__xludf.DUMMYFUNCTION("""COMPUTED_VALUE"""),"MP")</f>
        <v>MP</v>
      </c>
      <c r="E147" s="182" t="str">
        <f>IFERROR(__xludf.DUMMYFUNCTION("""COMPUTED_VALUE"""),"CLNR")</f>
        <v>CLNR</v>
      </c>
      <c r="F147" s="182" t="str">
        <f>IFERROR(__xludf.DUMMYFUNCTION("""COMPUTED_VALUE"""),"CLNRGA09934")</f>
        <v>CLNRGA09934</v>
      </c>
      <c r="G147" s="182" t="str">
        <f>IFERROR(__xludf.DUMMYFUNCTION("""COMPUTED_VALUE"""),"GEHN3")</f>
        <v>GEHN3</v>
      </c>
      <c r="H147" s="182">
        <f>IFERROR(__xludf.DUMMYFUNCTION("""COMPUTED_VALUE"""),8.40353937277E11)</f>
        <v>840353937277</v>
      </c>
      <c r="I147" s="185" t="str">
        <f>IFERROR(__xludf.DUMMYFUNCTION("""COMPUTED_VALUE"""),"0840353937277")</f>
        <v>0840353937277</v>
      </c>
      <c r="J147" s="182"/>
      <c r="K147" s="182" t="str">
        <f>IFERROR(__xludf.DUMMYFUNCTION("""COMPUTED_VALUE"""),"ROW Master Carton Label (UPC)")</f>
        <v>ROW Master Carton Label (UPC)</v>
      </c>
      <c r="L147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47" s="182" t="str">
        <f>IFERROR(__xludf.DUMMYFUNCTION("""COMPUTED_VALUE"""),"N/A")</f>
        <v>N/A</v>
      </c>
      <c r="N147" s="182" t="str">
        <f>IFERROR(__xludf.DUMMYFUNCTION("""COMPUTED_VALUE"""),"N/A")</f>
        <v>N/A</v>
      </c>
      <c r="O147" s="182" t="str">
        <f>IFERROR(__xludf.DUMMYFUNCTION("""COMPUTED_VALUE"""),"N/A")</f>
        <v>N/A</v>
      </c>
      <c r="P147" s="182"/>
      <c r="Q147" s="182" t="str">
        <f>IFERROR(__xludf.DUMMYFUNCTION("""COMPUTED_VALUE"""),"1TB")</f>
        <v>1TB</v>
      </c>
      <c r="R147" s="182" t="str">
        <f>IFERROR(__xludf.DUMMYFUNCTION("""COMPUTED_VALUE"""),"Obsidian")</f>
        <v>Obsidian</v>
      </c>
      <c r="S147" s="182" t="str">
        <f>IFERROR(__xludf.DUMMYFUNCTION("""COMPUTED_VALUE"""),"Midnight")</f>
        <v>Midnight</v>
      </c>
      <c r="T147" s="182" t="str">
        <f>IFERROR(__xludf.DUMMYFUNCTION("""COMPUTED_VALUE"""),"CA/TW/SG/AU/MY/MX")</f>
        <v>CA/TW/SG/AU/MY/MX</v>
      </c>
      <c r="U147" s="182" t="str">
        <f>IFERROR(__xludf.DUMMYFUNCTION("""COMPUTED_VALUE"""),"SKU,CLR1, ULTRA, SUB6, CA/AU, BZ5, FRU")</f>
        <v>SKU,CLR1, ULTRA, SUB6, CA/AU, BZ5, FRU</v>
      </c>
      <c r="V147" s="182"/>
      <c r="W147" s="183" t="str">
        <f>IFERROR(__xludf.DUMMYFUNCTION("""COMPUTED_VALUE"""),"#NUM!")</f>
        <v>#NUM!</v>
      </c>
      <c r="X147" s="186">
        <f>IFERROR(__xludf.DUMMYFUNCTION("""COMPUTED_VALUE"""),45831.0)</f>
        <v>45831</v>
      </c>
      <c r="Y147" s="187">
        <f>IFERROR(__xludf.DUMMYFUNCTION("""COMPUTED_VALUE"""),45780.0)</f>
        <v>45780</v>
      </c>
      <c r="Z147" s="182" t="b">
        <f>IFERROR(__xludf.DUMMYFUNCTION("""COMPUTED_VALUE"""),FALSE)</f>
        <v>0</v>
      </c>
      <c r="AA147" s="187">
        <f>IFERROR(__xludf.DUMMYFUNCTION("""COMPUTED_VALUE"""),45780.0)</f>
        <v>45780</v>
      </c>
      <c r="AB147" s="182" t="b">
        <f>IFERROR(__xludf.DUMMYFUNCTION("""COMPUTED_VALUE"""),FALSE)</f>
        <v>0</v>
      </c>
      <c r="AC147" s="187">
        <f>IFERROR(__xludf.DUMMYFUNCTION("""COMPUTED_VALUE"""),45787.0)</f>
        <v>45787</v>
      </c>
      <c r="AD147" s="187">
        <f>IFERROR(__xludf.DUMMYFUNCTION("""COMPUTED_VALUE"""),45787.0)</f>
        <v>45787</v>
      </c>
      <c r="AE147" s="188" t="str">
        <f>IFERROR(__xludf.DUMMYFUNCTION("""COMPUTED_VALUE"""),"CLNRGA09934")</f>
        <v>CLNRGA09934</v>
      </c>
      <c r="AF147" s="182"/>
      <c r="AG147" s="188" t="str">
        <f>IFERROR(__xludf.DUMMYFUNCTION("""COMPUTED_VALUE"""),"CLNRGA09934")</f>
        <v>CLNRGA09934</v>
      </c>
      <c r="AH147" s="182" t="str">
        <f>IFERROR(__xludf.DUMMYFUNCTION("""COMPUTED_VALUE"""),"N/A")</f>
        <v>N/A</v>
      </c>
      <c r="AI147" s="188" t="str">
        <f>IFERROR(__xludf.DUMMYFUNCTION("""COMPUTED_VALUE"""),"CLNRGA09934")</f>
        <v>CLNRGA09934</v>
      </c>
      <c r="AJ147" s="187">
        <f>IFERROR(__xludf.DUMMYFUNCTION("""COMPUTED_VALUE"""),45793.0)</f>
        <v>45793</v>
      </c>
      <c r="AK147" s="187">
        <f>IFERROR(__xludf.DUMMYFUNCTION("""COMPUTED_VALUE"""),45801.0)</f>
        <v>45801</v>
      </c>
      <c r="AL147" s="182" t="b">
        <f>IFERROR(__xludf.DUMMYFUNCTION("""COMPUTED_VALUE"""),FALSE)</f>
        <v>0</v>
      </c>
      <c r="AM147" s="182" t="b">
        <f>IFERROR(__xludf.DUMMYFUNCTION("""COMPUTED_VALUE"""),FALSE)</f>
        <v>0</v>
      </c>
      <c r="AN147" s="187">
        <f>IFERROR(__xludf.DUMMYFUNCTION("""COMPUTED_VALUE"""),45801.0)</f>
        <v>45801</v>
      </c>
      <c r="AO147" s="182" t="b">
        <f>IFERROR(__xludf.DUMMYFUNCTION("""COMPUTED_VALUE"""),TRUE)</f>
        <v>1</v>
      </c>
      <c r="AP147" s="182" t="str">
        <f>IFERROR(__xludf.DUMMYFUNCTION("""COMPUTED_VALUE"""),"N")</f>
        <v>N</v>
      </c>
      <c r="AQ147" s="182"/>
      <c r="AR147" s="182"/>
      <c r="AS147" s="182" t="b">
        <f>IFERROR(__xludf.DUMMYFUNCTION("""COMPUTED_VALUE"""),FALSE)</f>
        <v>0</v>
      </c>
      <c r="AT147" s="182"/>
      <c r="AU147" s="182"/>
      <c r="AV147" s="187">
        <f>IFERROR(__xludf.DUMMYFUNCTION("""COMPUTED_VALUE"""),45801.0)</f>
        <v>45801</v>
      </c>
      <c r="AW147" s="182" t="b">
        <f>IFERROR(__xludf.DUMMYFUNCTION("""COMPUTED_VALUE"""),FALSE)</f>
        <v>0</v>
      </c>
      <c r="AX147" s="182"/>
      <c r="AY147" s="182"/>
      <c r="AZ147" s="187">
        <f>IFERROR(__xludf.DUMMYFUNCTION("""COMPUTED_VALUE"""),45827.0)</f>
        <v>45827</v>
      </c>
      <c r="BA147" s="182" t="b">
        <f>IFERROR(__xludf.DUMMYFUNCTION("""COMPUTED_VALUE"""),FALSE)</f>
        <v>0</v>
      </c>
      <c r="BB147" s="187">
        <f>IFERROR(__xludf.DUMMYFUNCTION("""COMPUTED_VALUE"""),45827.0)</f>
        <v>45827</v>
      </c>
    </row>
    <row r="148">
      <c r="A148" s="184" t="str">
        <f t="shared" si="1"/>
        <v>#VALUE!</v>
      </c>
      <c r="B148" s="69" t="str">
        <f t="shared" si="2"/>
        <v>#VALUE!</v>
      </c>
      <c r="C148" s="182" t="str">
        <f>IFERROR(__xludf.DUMMYFUNCTION("""COMPUTED_VALUE"""),"CA/TW/SG/MY/AU/MX")</f>
        <v>CA/TW/SG/MY/AU/MX</v>
      </c>
      <c r="D148" s="182" t="str">
        <f>IFERROR(__xludf.DUMMYFUNCTION("""COMPUTED_VALUE"""),"MP")</f>
        <v>MP</v>
      </c>
      <c r="E148" s="182" t="str">
        <f>IFERROR(__xludf.DUMMYFUNCTION("""COMPUTED_VALUE"""),"CLNR")</f>
        <v>CLNR</v>
      </c>
      <c r="F148" s="182" t="str">
        <f>IFERROR(__xludf.DUMMYFUNCTION("""COMPUTED_VALUE"""),"CLNRGA10320")</f>
        <v>CLNRGA10320</v>
      </c>
      <c r="G148" s="182" t="str">
        <f>IFERROR(__xludf.DUMMYFUNCTION("""COMPUTED_VALUE"""),"GEHN3")</f>
        <v>GEHN3</v>
      </c>
      <c r="H148" s="182">
        <f>IFERROR(__xludf.DUMMYFUNCTION("""COMPUTED_VALUE"""),8.40353937284E11)</f>
        <v>840353937284</v>
      </c>
      <c r="I148" s="185" t="str">
        <f>IFERROR(__xludf.DUMMYFUNCTION("""COMPUTED_VALUE"""),"0840353937284")</f>
        <v>0840353937284</v>
      </c>
      <c r="J148" s="182"/>
      <c r="K148" s="182"/>
      <c r="L148" s="182"/>
      <c r="M148" s="182" t="str">
        <f>IFERROR(__xludf.DUMMYFUNCTION("""COMPUTED_VALUE"""),"N/A")</f>
        <v>N/A</v>
      </c>
      <c r="N148" s="182" t="str">
        <f>IFERROR(__xludf.DUMMYFUNCTION("""COMPUTED_VALUE"""),"N/A")</f>
        <v>N/A</v>
      </c>
      <c r="O148" s="182" t="str">
        <f>IFERROR(__xludf.DUMMYFUNCTION("""COMPUTED_VALUE"""),"N/A")</f>
        <v>N/A</v>
      </c>
      <c r="P148" s="182"/>
      <c r="Q148" s="182" t="str">
        <f>IFERROR(__xludf.DUMMYFUNCTION("""COMPUTED_VALUE"""),"1TB")</f>
        <v>1TB</v>
      </c>
      <c r="R148" s="182" t="str">
        <f>IFERROR(__xludf.DUMMYFUNCTION("""COMPUTED_VALUE"""),"Moonstone")</f>
        <v>Moonstone</v>
      </c>
      <c r="S148" s="182" t="str">
        <f>IFERROR(__xludf.DUMMYFUNCTION("""COMPUTED_VALUE"""),"Sterling")</f>
        <v>Sterling</v>
      </c>
      <c r="T148" s="182" t="str">
        <f>IFERROR(__xludf.DUMMYFUNCTION("""COMPUTED_VALUE"""),"CA/TW/SG/AU/MY/MX")</f>
        <v>CA/TW/SG/AU/MY/MX</v>
      </c>
      <c r="U148" s="182" t="str">
        <f>IFERROR(__xludf.DUMMYFUNCTION("""COMPUTED_VALUE"""),"SKU,CLR3, ULTRA, SUB6, CA/AU, BZ5, FRU")</f>
        <v>SKU,CLR3, ULTRA, SUB6, CA/AU, BZ5, FRU</v>
      </c>
      <c r="V148" s="182"/>
      <c r="W148" s="183" t="str">
        <f>IFERROR(__xludf.DUMMYFUNCTION("""COMPUTED_VALUE"""),"#NUM!")</f>
        <v>#NUM!</v>
      </c>
      <c r="X148" s="186">
        <f>IFERROR(__xludf.DUMMYFUNCTION("""COMPUTED_VALUE"""),45831.0)</f>
        <v>45831</v>
      </c>
      <c r="Y148" s="187">
        <f>IFERROR(__xludf.DUMMYFUNCTION("""COMPUTED_VALUE"""),45780.0)</f>
        <v>45780</v>
      </c>
      <c r="Z148" s="182" t="b">
        <f>IFERROR(__xludf.DUMMYFUNCTION("""COMPUTED_VALUE"""),FALSE)</f>
        <v>0</v>
      </c>
      <c r="AA148" s="187">
        <f>IFERROR(__xludf.DUMMYFUNCTION("""COMPUTED_VALUE"""),45780.0)</f>
        <v>45780</v>
      </c>
      <c r="AB148" s="182" t="b">
        <f>IFERROR(__xludf.DUMMYFUNCTION("""COMPUTED_VALUE"""),FALSE)</f>
        <v>0</v>
      </c>
      <c r="AC148" s="187">
        <f>IFERROR(__xludf.DUMMYFUNCTION("""COMPUTED_VALUE"""),45787.0)</f>
        <v>45787</v>
      </c>
      <c r="AD148" s="187">
        <f>IFERROR(__xludf.DUMMYFUNCTION("""COMPUTED_VALUE"""),45787.0)</f>
        <v>45787</v>
      </c>
      <c r="AE148" s="182"/>
      <c r="AF148" s="182"/>
      <c r="AG148" s="182"/>
      <c r="AH148" s="182"/>
      <c r="AI148" s="182"/>
      <c r="AJ148" s="187">
        <f>IFERROR(__xludf.DUMMYFUNCTION("""COMPUTED_VALUE"""),45793.0)</f>
        <v>45793</v>
      </c>
      <c r="AK148" s="187">
        <f>IFERROR(__xludf.DUMMYFUNCTION("""COMPUTED_VALUE"""),45801.0)</f>
        <v>45801</v>
      </c>
      <c r="AL148" s="182"/>
      <c r="AM148" s="182"/>
      <c r="AN148" s="187">
        <f>IFERROR(__xludf.DUMMYFUNCTION("""COMPUTED_VALUE"""),45801.0)</f>
        <v>45801</v>
      </c>
      <c r="AO148" s="182" t="b">
        <f>IFERROR(__xludf.DUMMYFUNCTION("""COMPUTED_VALUE"""),FALSE)</f>
        <v>0</v>
      </c>
      <c r="AP148" s="182"/>
      <c r="AQ148" s="182"/>
      <c r="AR148" s="182"/>
      <c r="AS148" s="182"/>
      <c r="AT148" s="182"/>
      <c r="AU148" s="182"/>
      <c r="AV148" s="187">
        <f>IFERROR(__xludf.DUMMYFUNCTION("""COMPUTED_VALUE"""),45801.0)</f>
        <v>45801</v>
      </c>
      <c r="AW148" s="182" t="b">
        <f>IFERROR(__xludf.DUMMYFUNCTION("""COMPUTED_VALUE"""),FALSE)</f>
        <v>0</v>
      </c>
      <c r="AX148" s="182"/>
      <c r="AY148" s="182"/>
      <c r="AZ148" s="187">
        <f>IFERROR(__xludf.DUMMYFUNCTION("""COMPUTED_VALUE"""),45827.0)</f>
        <v>45827</v>
      </c>
      <c r="BA148" s="182" t="b">
        <f>IFERROR(__xludf.DUMMYFUNCTION("""COMPUTED_VALUE"""),FALSE)</f>
        <v>0</v>
      </c>
      <c r="BB148" s="187">
        <f>IFERROR(__xludf.DUMMYFUNCTION("""COMPUTED_VALUE"""),45827.0)</f>
        <v>45827</v>
      </c>
    </row>
    <row r="149">
      <c r="A149" s="184" t="str">
        <f t="shared" si="1"/>
        <v>#VALUE!</v>
      </c>
      <c r="B149" s="69" t="str">
        <f t="shared" si="2"/>
        <v>#VALUE!</v>
      </c>
      <c r="C149" s="182" t="str">
        <f>IFERROR(__xludf.DUMMYFUNCTION("""COMPUTED_VALUE"""),"EU")</f>
        <v>EU</v>
      </c>
      <c r="D149" s="182" t="str">
        <f>IFERROR(__xludf.DUMMYFUNCTION("""COMPUTED_VALUE"""),"MP")</f>
        <v>MP</v>
      </c>
      <c r="E149" s="182" t="str">
        <f>IFERROR(__xludf.DUMMYFUNCTION("""COMPUTED_VALUE"""),"CLNR")</f>
        <v>CLNR</v>
      </c>
      <c r="F149" s="182" t="str">
        <f>IFERROR(__xludf.DUMMYFUNCTION("""COMPUTED_VALUE"""),"CLNRGA10502")</f>
        <v>CLNRGA10502</v>
      </c>
      <c r="G149" s="182" t="str">
        <f>IFERROR(__xludf.DUMMYFUNCTION("""COMPUTED_VALUE"""),"GEHN3")</f>
        <v>GEHN3</v>
      </c>
      <c r="H149" s="182">
        <f>IFERROR(__xludf.DUMMYFUNCTION("""COMPUTED_VALUE"""),8.40353936751E11)</f>
        <v>840353936751</v>
      </c>
      <c r="I149" s="185" t="str">
        <f>IFERROR(__xludf.DUMMYFUNCTION("""COMPUTED_VALUE"""),"0840353936751")</f>
        <v>0840353936751</v>
      </c>
      <c r="J149" s="182"/>
      <c r="K149" s="182" t="str">
        <f>IFERROR(__xludf.DUMMYFUNCTION("""COMPUTED_VALUE"""),"ROW Master Carton Label (EAN)")</f>
        <v>ROW Master Carton Label (EAN)</v>
      </c>
      <c r="L149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49" s="182" t="str">
        <f>IFERROR(__xludf.DUMMYFUNCTION("""COMPUTED_VALUE"""),"N/A")</f>
        <v>N/A</v>
      </c>
      <c r="N149" s="182" t="str">
        <f>IFERROR(__xludf.DUMMYFUNCTION("""COMPUTED_VALUE"""),"N/A")</f>
        <v>N/A</v>
      </c>
      <c r="O149" s="182" t="str">
        <f>IFERROR(__xludf.DUMMYFUNCTION("""COMPUTED_VALUE"""),"N/A")</f>
        <v>N/A</v>
      </c>
      <c r="P149" s="182"/>
      <c r="Q149" s="182" t="str">
        <f>IFERROR(__xludf.DUMMYFUNCTION("""COMPUTED_VALUE"""),"128GB")</f>
        <v>128GB</v>
      </c>
      <c r="R149" s="182" t="str">
        <f>IFERROR(__xludf.DUMMYFUNCTION("""COMPUTED_VALUE"""),"Obsidian")</f>
        <v>Obsidian</v>
      </c>
      <c r="S149" s="182" t="str">
        <f>IFERROR(__xludf.DUMMYFUNCTION("""COMPUTED_VALUE"""),"Midnight")</f>
        <v>Midnight</v>
      </c>
      <c r="T149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49" s="182" t="str">
        <f>IFERROR(__xludf.DUMMYFUNCTION("""COMPUTED_VALUE"""),"SKU,CLR1, GOOD, SUB6, EU/UK, BZ5, FRU")</f>
        <v>SKU,CLR1, GOOD, SUB6, EU/UK, BZ5, FRU</v>
      </c>
      <c r="V149" s="182"/>
      <c r="W149" s="183" t="str">
        <f>IFERROR(__xludf.DUMMYFUNCTION("""COMPUTED_VALUE"""),"#NUM!")</f>
        <v>#NUM!</v>
      </c>
      <c r="X149" s="186">
        <f>IFERROR(__xludf.DUMMYFUNCTION("""COMPUTED_VALUE"""),45831.0)</f>
        <v>45831</v>
      </c>
      <c r="Y149" s="187">
        <f>IFERROR(__xludf.DUMMYFUNCTION("""COMPUTED_VALUE"""),45780.0)</f>
        <v>45780</v>
      </c>
      <c r="Z149" s="182" t="b">
        <f>IFERROR(__xludf.DUMMYFUNCTION("""COMPUTED_VALUE"""),FALSE)</f>
        <v>0</v>
      </c>
      <c r="AA149" s="187">
        <f>IFERROR(__xludf.DUMMYFUNCTION("""COMPUTED_VALUE"""),45780.0)</f>
        <v>45780</v>
      </c>
      <c r="AB149" s="182" t="b">
        <f>IFERROR(__xludf.DUMMYFUNCTION("""COMPUTED_VALUE"""),FALSE)</f>
        <v>0</v>
      </c>
      <c r="AC149" s="187">
        <f>IFERROR(__xludf.DUMMYFUNCTION("""COMPUTED_VALUE"""),45787.0)</f>
        <v>45787</v>
      </c>
      <c r="AD149" s="187">
        <f>IFERROR(__xludf.DUMMYFUNCTION("""COMPUTED_VALUE"""),45787.0)</f>
        <v>45787</v>
      </c>
      <c r="AE149" s="188" t="str">
        <f>IFERROR(__xludf.DUMMYFUNCTION("""COMPUTED_VALUE"""),"CLNRGA10502")</f>
        <v>CLNRGA10502</v>
      </c>
      <c r="AF149" s="182"/>
      <c r="AG149" s="188" t="str">
        <f>IFERROR(__xludf.DUMMYFUNCTION("""COMPUTED_VALUE"""),"CLNRGA10502")</f>
        <v>CLNRGA10502</v>
      </c>
      <c r="AH149" s="182" t="str">
        <f>IFERROR(__xludf.DUMMYFUNCTION("""COMPUTED_VALUE"""),"N/A")</f>
        <v>N/A</v>
      </c>
      <c r="AI149" s="188" t="str">
        <f>IFERROR(__xludf.DUMMYFUNCTION("""COMPUTED_VALUE"""),"CLNRGA10502")</f>
        <v>CLNRGA10502</v>
      </c>
      <c r="AJ149" s="187">
        <f>IFERROR(__xludf.DUMMYFUNCTION("""COMPUTED_VALUE"""),45793.0)</f>
        <v>45793</v>
      </c>
      <c r="AK149" s="187">
        <f>IFERROR(__xludf.DUMMYFUNCTION("""COMPUTED_VALUE"""),45801.0)</f>
        <v>45801</v>
      </c>
      <c r="AL149" s="182" t="b">
        <f>IFERROR(__xludf.DUMMYFUNCTION("""COMPUTED_VALUE"""),FALSE)</f>
        <v>0</v>
      </c>
      <c r="AM149" s="182" t="b">
        <f>IFERROR(__xludf.DUMMYFUNCTION("""COMPUTED_VALUE"""),FALSE)</f>
        <v>0</v>
      </c>
      <c r="AN149" s="187">
        <f>IFERROR(__xludf.DUMMYFUNCTION("""COMPUTED_VALUE"""),45801.0)</f>
        <v>45801</v>
      </c>
      <c r="AO149" s="182" t="b">
        <f>IFERROR(__xludf.DUMMYFUNCTION("""COMPUTED_VALUE"""),TRUE)</f>
        <v>1</v>
      </c>
      <c r="AP149" s="182" t="str">
        <f>IFERROR(__xludf.DUMMYFUNCTION("""COMPUTED_VALUE"""),"Y")</f>
        <v>Y</v>
      </c>
      <c r="AQ149" s="182"/>
      <c r="AR149" s="182"/>
      <c r="AS149" s="182" t="b">
        <f>IFERROR(__xludf.DUMMYFUNCTION("""COMPUTED_VALUE"""),FALSE)</f>
        <v>0</v>
      </c>
      <c r="AT149" s="182"/>
      <c r="AU149" s="182"/>
      <c r="AV149" s="187">
        <f>IFERROR(__xludf.DUMMYFUNCTION("""COMPUTED_VALUE"""),45801.0)</f>
        <v>45801</v>
      </c>
      <c r="AW149" s="182" t="b">
        <f>IFERROR(__xludf.DUMMYFUNCTION("""COMPUTED_VALUE"""),FALSE)</f>
        <v>0</v>
      </c>
      <c r="AX149" s="182"/>
      <c r="AY149" s="182"/>
      <c r="AZ149" s="187">
        <f>IFERROR(__xludf.DUMMYFUNCTION("""COMPUTED_VALUE"""),45827.0)</f>
        <v>45827</v>
      </c>
      <c r="BA149" s="182" t="b">
        <f>IFERROR(__xludf.DUMMYFUNCTION("""COMPUTED_VALUE"""),FALSE)</f>
        <v>0</v>
      </c>
      <c r="BB149" s="187">
        <f>IFERROR(__xludf.DUMMYFUNCTION("""COMPUTED_VALUE"""),45827.0)</f>
        <v>45827</v>
      </c>
    </row>
    <row r="150">
      <c r="A150" s="184" t="str">
        <f t="shared" si="1"/>
        <v>#VALUE!</v>
      </c>
      <c r="B150" s="69" t="str">
        <f t="shared" si="2"/>
        <v>#VALUE!</v>
      </c>
      <c r="C150" s="182" t="str">
        <f>IFERROR(__xludf.DUMMYFUNCTION("""COMPUTED_VALUE"""),"EU")</f>
        <v>EU</v>
      </c>
      <c r="D150" s="182" t="str">
        <f>IFERROR(__xludf.DUMMYFUNCTION("""COMPUTED_VALUE"""),"MP")</f>
        <v>MP</v>
      </c>
      <c r="E150" s="182" t="str">
        <f>IFERROR(__xludf.DUMMYFUNCTION("""COMPUTED_VALUE"""),"CLNR")</f>
        <v>CLNR</v>
      </c>
      <c r="F150" s="182" t="str">
        <f>IFERROR(__xludf.DUMMYFUNCTION("""COMPUTED_VALUE"""),"CLNRGA10503")</f>
        <v>CLNRGA10503</v>
      </c>
      <c r="G150" s="182" t="str">
        <f>IFERROR(__xludf.DUMMYFUNCTION("""COMPUTED_VALUE"""),"GEHN3")</f>
        <v>GEHN3</v>
      </c>
      <c r="H150" s="182">
        <f>IFERROR(__xludf.DUMMYFUNCTION("""COMPUTED_VALUE"""),8.40353936812E11)</f>
        <v>840353936812</v>
      </c>
      <c r="I150" s="185" t="str">
        <f>IFERROR(__xludf.DUMMYFUNCTION("""COMPUTED_VALUE"""),"0840353936812")</f>
        <v>0840353936812</v>
      </c>
      <c r="J150" s="182"/>
      <c r="K150" s="182" t="str">
        <f>IFERROR(__xludf.DUMMYFUNCTION("""COMPUTED_VALUE"""),"ROW Master Carton Label (EAN)")</f>
        <v>ROW Master Carton Label (EAN)</v>
      </c>
      <c r="L150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50" s="182" t="str">
        <f>IFERROR(__xludf.DUMMYFUNCTION("""COMPUTED_VALUE"""),"N/A")</f>
        <v>N/A</v>
      </c>
      <c r="N150" s="182" t="str">
        <f>IFERROR(__xludf.DUMMYFUNCTION("""COMPUTED_VALUE"""),"N/A")</f>
        <v>N/A</v>
      </c>
      <c r="O150" s="182" t="str">
        <f>IFERROR(__xludf.DUMMYFUNCTION("""COMPUTED_VALUE"""),"N/A")</f>
        <v>N/A</v>
      </c>
      <c r="P150" s="182"/>
      <c r="Q150" s="182" t="str">
        <f>IFERROR(__xludf.DUMMYFUNCTION("""COMPUTED_VALUE"""),"128GB")</f>
        <v>128GB</v>
      </c>
      <c r="R150" s="182" t="str">
        <f>IFERROR(__xludf.DUMMYFUNCTION("""COMPUTED_VALUE"""),"Porcelain")</f>
        <v>Porcelain</v>
      </c>
      <c r="S150" s="182" t="str">
        <f>IFERROR(__xludf.DUMMYFUNCTION("""COMPUTED_VALUE"""),"Light Porcelain")</f>
        <v>Light Porcelain</v>
      </c>
      <c r="T150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50" s="182" t="str">
        <f>IFERROR(__xludf.DUMMYFUNCTION("""COMPUTED_VALUE"""),"SKU,CLR2, GOOD, SUB6, EU/UK, BZ5, FRU")</f>
        <v>SKU,CLR2, GOOD, SUB6, EU/UK, BZ5, FRU</v>
      </c>
      <c r="V150" s="182"/>
      <c r="W150" s="183" t="str">
        <f>IFERROR(__xludf.DUMMYFUNCTION("""COMPUTED_VALUE"""),"#NUM!")</f>
        <v>#NUM!</v>
      </c>
      <c r="X150" s="186">
        <f>IFERROR(__xludf.DUMMYFUNCTION("""COMPUTED_VALUE"""),45831.0)</f>
        <v>45831</v>
      </c>
      <c r="Y150" s="187">
        <f>IFERROR(__xludf.DUMMYFUNCTION("""COMPUTED_VALUE"""),45780.0)</f>
        <v>45780</v>
      </c>
      <c r="Z150" s="182" t="b">
        <f>IFERROR(__xludf.DUMMYFUNCTION("""COMPUTED_VALUE"""),FALSE)</f>
        <v>0</v>
      </c>
      <c r="AA150" s="187">
        <f>IFERROR(__xludf.DUMMYFUNCTION("""COMPUTED_VALUE"""),45780.0)</f>
        <v>45780</v>
      </c>
      <c r="AB150" s="182" t="b">
        <f>IFERROR(__xludf.DUMMYFUNCTION("""COMPUTED_VALUE"""),FALSE)</f>
        <v>0</v>
      </c>
      <c r="AC150" s="187">
        <f>IFERROR(__xludf.DUMMYFUNCTION("""COMPUTED_VALUE"""),45787.0)</f>
        <v>45787</v>
      </c>
      <c r="AD150" s="187">
        <f>IFERROR(__xludf.DUMMYFUNCTION("""COMPUTED_VALUE"""),45787.0)</f>
        <v>45787</v>
      </c>
      <c r="AE150" s="188" t="str">
        <f>IFERROR(__xludf.DUMMYFUNCTION("""COMPUTED_VALUE"""),"CLNRGA10503")</f>
        <v>CLNRGA10503</v>
      </c>
      <c r="AF150" s="182"/>
      <c r="AG150" s="188" t="str">
        <f>IFERROR(__xludf.DUMMYFUNCTION("""COMPUTED_VALUE"""),"CLNRGA10503")</f>
        <v>CLNRGA10503</v>
      </c>
      <c r="AH150" s="182" t="str">
        <f>IFERROR(__xludf.DUMMYFUNCTION("""COMPUTED_VALUE"""),"N/A")</f>
        <v>N/A</v>
      </c>
      <c r="AI150" s="188" t="str">
        <f>IFERROR(__xludf.DUMMYFUNCTION("""COMPUTED_VALUE"""),"CLNRGA10503")</f>
        <v>CLNRGA10503</v>
      </c>
      <c r="AJ150" s="187">
        <f>IFERROR(__xludf.DUMMYFUNCTION("""COMPUTED_VALUE"""),45793.0)</f>
        <v>45793</v>
      </c>
      <c r="AK150" s="187">
        <f>IFERROR(__xludf.DUMMYFUNCTION("""COMPUTED_VALUE"""),45801.0)</f>
        <v>45801</v>
      </c>
      <c r="AL150" s="182" t="b">
        <f>IFERROR(__xludf.DUMMYFUNCTION("""COMPUTED_VALUE"""),FALSE)</f>
        <v>0</v>
      </c>
      <c r="AM150" s="182" t="b">
        <f>IFERROR(__xludf.DUMMYFUNCTION("""COMPUTED_VALUE"""),FALSE)</f>
        <v>0</v>
      </c>
      <c r="AN150" s="187">
        <f>IFERROR(__xludf.DUMMYFUNCTION("""COMPUTED_VALUE"""),45801.0)</f>
        <v>45801</v>
      </c>
      <c r="AO150" s="182" t="b">
        <f>IFERROR(__xludf.DUMMYFUNCTION("""COMPUTED_VALUE"""),TRUE)</f>
        <v>1</v>
      </c>
      <c r="AP150" s="182" t="str">
        <f>IFERROR(__xludf.DUMMYFUNCTION("""COMPUTED_VALUE"""),"N")</f>
        <v>N</v>
      </c>
      <c r="AQ150" s="182"/>
      <c r="AR150" s="182"/>
      <c r="AS150" s="182" t="b">
        <f>IFERROR(__xludf.DUMMYFUNCTION("""COMPUTED_VALUE"""),FALSE)</f>
        <v>0</v>
      </c>
      <c r="AT150" s="182"/>
      <c r="AU150" s="182"/>
      <c r="AV150" s="187">
        <f>IFERROR(__xludf.DUMMYFUNCTION("""COMPUTED_VALUE"""),45801.0)</f>
        <v>45801</v>
      </c>
      <c r="AW150" s="182" t="b">
        <f>IFERROR(__xludf.DUMMYFUNCTION("""COMPUTED_VALUE"""),FALSE)</f>
        <v>0</v>
      </c>
      <c r="AX150" s="182"/>
      <c r="AY150" s="182"/>
      <c r="AZ150" s="187">
        <f>IFERROR(__xludf.DUMMYFUNCTION("""COMPUTED_VALUE"""),45827.0)</f>
        <v>45827</v>
      </c>
      <c r="BA150" s="182" t="b">
        <f>IFERROR(__xludf.DUMMYFUNCTION("""COMPUTED_VALUE"""),FALSE)</f>
        <v>0</v>
      </c>
      <c r="BB150" s="187">
        <f>IFERROR(__xludf.DUMMYFUNCTION("""COMPUTED_VALUE"""),45827.0)</f>
        <v>45827</v>
      </c>
    </row>
    <row r="151">
      <c r="A151" s="184" t="str">
        <f t="shared" si="1"/>
        <v>#VALUE!</v>
      </c>
      <c r="B151" s="69" t="str">
        <f t="shared" si="2"/>
        <v>#VALUE!</v>
      </c>
      <c r="C151" s="182" t="str">
        <f>IFERROR(__xludf.DUMMYFUNCTION("""COMPUTED_VALUE"""),"EU")</f>
        <v>EU</v>
      </c>
      <c r="D151" s="182" t="str">
        <f>IFERROR(__xludf.DUMMYFUNCTION("""COMPUTED_VALUE"""),"MP")</f>
        <v>MP</v>
      </c>
      <c r="E151" s="182" t="str">
        <f>IFERROR(__xludf.DUMMYFUNCTION("""COMPUTED_VALUE"""),"CLNR")</f>
        <v>CLNR</v>
      </c>
      <c r="F151" s="182" t="str">
        <f>IFERROR(__xludf.DUMMYFUNCTION("""COMPUTED_VALUE"""),"CLNRGA10504")</f>
        <v>CLNRGA10504</v>
      </c>
      <c r="G151" s="182" t="str">
        <f>IFERROR(__xludf.DUMMYFUNCTION("""COMPUTED_VALUE"""),"GEHN3")</f>
        <v>GEHN3</v>
      </c>
      <c r="H151" s="182">
        <f>IFERROR(__xludf.DUMMYFUNCTION("""COMPUTED_VALUE"""),8.40353936874E11)</f>
        <v>840353936874</v>
      </c>
      <c r="I151" s="185" t="str">
        <f>IFERROR(__xludf.DUMMYFUNCTION("""COMPUTED_VALUE"""),"0840353936874")</f>
        <v>0840353936874</v>
      </c>
      <c r="J151" s="182"/>
      <c r="K151" s="182" t="str">
        <f>IFERROR(__xludf.DUMMYFUNCTION("""COMPUTED_VALUE"""),"ROW Master Carton Label (EAN)")</f>
        <v>ROW Master Carton Label (EAN)</v>
      </c>
      <c r="L151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51" s="182" t="str">
        <f>IFERROR(__xludf.DUMMYFUNCTION("""COMPUTED_VALUE"""),"N/A")</f>
        <v>N/A</v>
      </c>
      <c r="N151" s="182" t="str">
        <f>IFERROR(__xludf.DUMMYFUNCTION("""COMPUTED_VALUE"""),"N/A")</f>
        <v>N/A</v>
      </c>
      <c r="O151" s="182" t="str">
        <f>IFERROR(__xludf.DUMMYFUNCTION("""COMPUTED_VALUE"""),"N/A")</f>
        <v>N/A</v>
      </c>
      <c r="P151" s="182"/>
      <c r="Q151" s="182" t="str">
        <f>IFERROR(__xludf.DUMMYFUNCTION("""COMPUTED_VALUE"""),"128GB")</f>
        <v>128GB</v>
      </c>
      <c r="R151" s="182" t="str">
        <f>IFERROR(__xludf.DUMMYFUNCTION("""COMPUTED_VALUE"""),"Moonstone")</f>
        <v>Moonstone</v>
      </c>
      <c r="S151" s="182" t="str">
        <f>IFERROR(__xludf.DUMMYFUNCTION("""COMPUTED_VALUE"""),"Sterling")</f>
        <v>Sterling</v>
      </c>
      <c r="T151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51" s="182" t="str">
        <f>IFERROR(__xludf.DUMMYFUNCTION("""COMPUTED_VALUE"""),"SKU,CLR3, GOOD, SUB6, EU/UK, BZ5, FRU")</f>
        <v>SKU,CLR3, GOOD, SUB6, EU/UK, BZ5, FRU</v>
      </c>
      <c r="V151" s="182"/>
      <c r="W151" s="183" t="str">
        <f>IFERROR(__xludf.DUMMYFUNCTION("""COMPUTED_VALUE"""),"#NUM!")</f>
        <v>#NUM!</v>
      </c>
      <c r="X151" s="186">
        <f>IFERROR(__xludf.DUMMYFUNCTION("""COMPUTED_VALUE"""),45831.0)</f>
        <v>45831</v>
      </c>
      <c r="Y151" s="187">
        <f>IFERROR(__xludf.DUMMYFUNCTION("""COMPUTED_VALUE"""),45780.0)</f>
        <v>45780</v>
      </c>
      <c r="Z151" s="182" t="b">
        <f>IFERROR(__xludf.DUMMYFUNCTION("""COMPUTED_VALUE"""),FALSE)</f>
        <v>0</v>
      </c>
      <c r="AA151" s="187">
        <f>IFERROR(__xludf.DUMMYFUNCTION("""COMPUTED_VALUE"""),45780.0)</f>
        <v>45780</v>
      </c>
      <c r="AB151" s="182" t="b">
        <f>IFERROR(__xludf.DUMMYFUNCTION("""COMPUTED_VALUE"""),FALSE)</f>
        <v>0</v>
      </c>
      <c r="AC151" s="187">
        <f>IFERROR(__xludf.DUMMYFUNCTION("""COMPUTED_VALUE"""),45787.0)</f>
        <v>45787</v>
      </c>
      <c r="AD151" s="187">
        <f>IFERROR(__xludf.DUMMYFUNCTION("""COMPUTED_VALUE"""),45787.0)</f>
        <v>45787</v>
      </c>
      <c r="AE151" s="188" t="str">
        <f>IFERROR(__xludf.DUMMYFUNCTION("""COMPUTED_VALUE"""),"CLNRGA10504")</f>
        <v>CLNRGA10504</v>
      </c>
      <c r="AF151" s="182"/>
      <c r="AG151" s="188" t="str">
        <f>IFERROR(__xludf.DUMMYFUNCTION("""COMPUTED_VALUE"""),"CLNRGA10504")</f>
        <v>CLNRGA10504</v>
      </c>
      <c r="AH151" s="182" t="str">
        <f>IFERROR(__xludf.DUMMYFUNCTION("""COMPUTED_VALUE"""),"N/A")</f>
        <v>N/A</v>
      </c>
      <c r="AI151" s="188" t="str">
        <f>IFERROR(__xludf.DUMMYFUNCTION("""COMPUTED_VALUE"""),"CLNRGA10504")</f>
        <v>CLNRGA10504</v>
      </c>
      <c r="AJ151" s="187">
        <f>IFERROR(__xludf.DUMMYFUNCTION("""COMPUTED_VALUE"""),45793.0)</f>
        <v>45793</v>
      </c>
      <c r="AK151" s="187">
        <f>IFERROR(__xludf.DUMMYFUNCTION("""COMPUTED_VALUE"""),45801.0)</f>
        <v>45801</v>
      </c>
      <c r="AL151" s="182" t="b">
        <f>IFERROR(__xludf.DUMMYFUNCTION("""COMPUTED_VALUE"""),FALSE)</f>
        <v>0</v>
      </c>
      <c r="AM151" s="182" t="b">
        <f>IFERROR(__xludf.DUMMYFUNCTION("""COMPUTED_VALUE"""),FALSE)</f>
        <v>0</v>
      </c>
      <c r="AN151" s="187">
        <f>IFERROR(__xludf.DUMMYFUNCTION("""COMPUTED_VALUE"""),45801.0)</f>
        <v>45801</v>
      </c>
      <c r="AO151" s="182" t="b">
        <f>IFERROR(__xludf.DUMMYFUNCTION("""COMPUTED_VALUE"""),TRUE)</f>
        <v>1</v>
      </c>
      <c r="AP151" s="182" t="str">
        <f>IFERROR(__xludf.DUMMYFUNCTION("""COMPUTED_VALUE"""),"N")</f>
        <v>N</v>
      </c>
      <c r="AQ151" s="182"/>
      <c r="AR151" s="182"/>
      <c r="AS151" s="182" t="b">
        <f>IFERROR(__xludf.DUMMYFUNCTION("""COMPUTED_VALUE"""),FALSE)</f>
        <v>0</v>
      </c>
      <c r="AT151" s="182"/>
      <c r="AU151" s="182"/>
      <c r="AV151" s="187">
        <f>IFERROR(__xludf.DUMMYFUNCTION("""COMPUTED_VALUE"""),45801.0)</f>
        <v>45801</v>
      </c>
      <c r="AW151" s="182" t="b">
        <f>IFERROR(__xludf.DUMMYFUNCTION("""COMPUTED_VALUE"""),FALSE)</f>
        <v>0</v>
      </c>
      <c r="AX151" s="182"/>
      <c r="AY151" s="182"/>
      <c r="AZ151" s="187">
        <f>IFERROR(__xludf.DUMMYFUNCTION("""COMPUTED_VALUE"""),45827.0)</f>
        <v>45827</v>
      </c>
      <c r="BA151" s="182" t="b">
        <f>IFERROR(__xludf.DUMMYFUNCTION("""COMPUTED_VALUE"""),FALSE)</f>
        <v>0</v>
      </c>
      <c r="BB151" s="187">
        <f>IFERROR(__xludf.DUMMYFUNCTION("""COMPUTED_VALUE"""),45827.0)</f>
        <v>45827</v>
      </c>
    </row>
    <row r="152">
      <c r="A152" s="184" t="str">
        <f t="shared" si="1"/>
        <v>#VALUE!</v>
      </c>
      <c r="B152" s="69" t="str">
        <f t="shared" si="2"/>
        <v>#VALUE!</v>
      </c>
      <c r="C152" s="182" t="str">
        <f>IFERROR(__xludf.DUMMYFUNCTION("""COMPUTED_VALUE"""),"EU")</f>
        <v>EU</v>
      </c>
      <c r="D152" s="182" t="str">
        <f>IFERROR(__xludf.DUMMYFUNCTION("""COMPUTED_VALUE"""),"MP")</f>
        <v>MP</v>
      </c>
      <c r="E152" s="182" t="str">
        <f>IFERROR(__xludf.DUMMYFUNCTION("""COMPUTED_VALUE"""),"CLNR")</f>
        <v>CLNR</v>
      </c>
      <c r="F152" s="182" t="str">
        <f>IFERROR(__xludf.DUMMYFUNCTION("""COMPUTED_VALUE"""),"CLNRGA10505")</f>
        <v>CLNRGA10505</v>
      </c>
      <c r="G152" s="182" t="str">
        <f>IFERROR(__xludf.DUMMYFUNCTION("""COMPUTED_VALUE"""),"GEHN3")</f>
        <v>GEHN3</v>
      </c>
      <c r="H152" s="182">
        <f>IFERROR(__xludf.DUMMYFUNCTION("""COMPUTED_VALUE"""),8.40353937291E11)</f>
        <v>840353937291</v>
      </c>
      <c r="I152" s="185" t="str">
        <f>IFERROR(__xludf.DUMMYFUNCTION("""COMPUTED_VALUE"""),"0840353937291")</f>
        <v>0840353937291</v>
      </c>
      <c r="J152" s="182"/>
      <c r="K152" s="182" t="str">
        <f>IFERROR(__xludf.DUMMYFUNCTION("""COMPUTED_VALUE"""),"ROW Master Carton Label (EAN)")</f>
        <v>ROW Master Carton Label (EAN)</v>
      </c>
      <c r="L152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52" s="182" t="str">
        <f>IFERROR(__xludf.DUMMYFUNCTION("""COMPUTED_VALUE"""),"N/A")</f>
        <v>N/A</v>
      </c>
      <c r="N152" s="182" t="str">
        <f>IFERROR(__xludf.DUMMYFUNCTION("""COMPUTED_VALUE"""),"N/A")</f>
        <v>N/A</v>
      </c>
      <c r="O152" s="182" t="str">
        <f>IFERROR(__xludf.DUMMYFUNCTION("""COMPUTED_VALUE"""),"N/A")</f>
        <v>N/A</v>
      </c>
      <c r="P152" s="182"/>
      <c r="Q152" s="182" t="str">
        <f>IFERROR(__xludf.DUMMYFUNCTION("""COMPUTED_VALUE"""),"256GB")</f>
        <v>256GB</v>
      </c>
      <c r="R152" s="182" t="str">
        <f>IFERROR(__xludf.DUMMYFUNCTION("""COMPUTED_VALUE"""),"Obsidian")</f>
        <v>Obsidian</v>
      </c>
      <c r="S152" s="182" t="str">
        <f>IFERROR(__xludf.DUMMYFUNCTION("""COMPUTED_VALUE"""),"Midnight")</f>
        <v>Midnight</v>
      </c>
      <c r="T152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52" s="182" t="str">
        <f>IFERROR(__xludf.DUMMYFUNCTION("""COMPUTED_VALUE"""),"SKU,CLR1, BETTER, SUB6, EU/UK, BZ5, FRU")</f>
        <v>SKU,CLR1, BETTER, SUB6, EU/UK, BZ5, FRU</v>
      </c>
      <c r="V152" s="182"/>
      <c r="W152" s="183" t="str">
        <f>IFERROR(__xludf.DUMMYFUNCTION("""COMPUTED_VALUE"""),"#NUM!")</f>
        <v>#NUM!</v>
      </c>
      <c r="X152" s="186">
        <f>IFERROR(__xludf.DUMMYFUNCTION("""COMPUTED_VALUE"""),45831.0)</f>
        <v>45831</v>
      </c>
      <c r="Y152" s="187">
        <f>IFERROR(__xludf.DUMMYFUNCTION("""COMPUTED_VALUE"""),45780.0)</f>
        <v>45780</v>
      </c>
      <c r="Z152" s="182" t="b">
        <f>IFERROR(__xludf.DUMMYFUNCTION("""COMPUTED_VALUE"""),FALSE)</f>
        <v>0</v>
      </c>
      <c r="AA152" s="187">
        <f>IFERROR(__xludf.DUMMYFUNCTION("""COMPUTED_VALUE"""),45780.0)</f>
        <v>45780</v>
      </c>
      <c r="AB152" s="182" t="b">
        <f>IFERROR(__xludf.DUMMYFUNCTION("""COMPUTED_VALUE"""),FALSE)</f>
        <v>0</v>
      </c>
      <c r="AC152" s="187">
        <f>IFERROR(__xludf.DUMMYFUNCTION("""COMPUTED_VALUE"""),45787.0)</f>
        <v>45787</v>
      </c>
      <c r="AD152" s="187">
        <f>IFERROR(__xludf.DUMMYFUNCTION("""COMPUTED_VALUE"""),45787.0)</f>
        <v>45787</v>
      </c>
      <c r="AE152" s="188" t="str">
        <f>IFERROR(__xludf.DUMMYFUNCTION("""COMPUTED_VALUE"""),"CLNRGA10505")</f>
        <v>CLNRGA10505</v>
      </c>
      <c r="AF152" s="182"/>
      <c r="AG152" s="188" t="str">
        <f>IFERROR(__xludf.DUMMYFUNCTION("""COMPUTED_VALUE"""),"CLNRGA10505")</f>
        <v>CLNRGA10505</v>
      </c>
      <c r="AH152" s="182" t="str">
        <f>IFERROR(__xludf.DUMMYFUNCTION("""COMPUTED_VALUE"""),"N/A")</f>
        <v>N/A</v>
      </c>
      <c r="AI152" s="188" t="str">
        <f>IFERROR(__xludf.DUMMYFUNCTION("""COMPUTED_VALUE"""),"CLNRGA10505")</f>
        <v>CLNRGA10505</v>
      </c>
      <c r="AJ152" s="187">
        <f>IFERROR(__xludf.DUMMYFUNCTION("""COMPUTED_VALUE"""),45793.0)</f>
        <v>45793</v>
      </c>
      <c r="AK152" s="187">
        <f>IFERROR(__xludf.DUMMYFUNCTION("""COMPUTED_VALUE"""),45801.0)</f>
        <v>45801</v>
      </c>
      <c r="AL152" s="182" t="b">
        <f>IFERROR(__xludf.DUMMYFUNCTION("""COMPUTED_VALUE"""),FALSE)</f>
        <v>0</v>
      </c>
      <c r="AM152" s="182" t="b">
        <f>IFERROR(__xludf.DUMMYFUNCTION("""COMPUTED_VALUE"""),FALSE)</f>
        <v>0</v>
      </c>
      <c r="AN152" s="187">
        <f>IFERROR(__xludf.DUMMYFUNCTION("""COMPUTED_VALUE"""),45801.0)</f>
        <v>45801</v>
      </c>
      <c r="AO152" s="182" t="b">
        <f>IFERROR(__xludf.DUMMYFUNCTION("""COMPUTED_VALUE"""),TRUE)</f>
        <v>1</v>
      </c>
      <c r="AP152" s="182" t="str">
        <f>IFERROR(__xludf.DUMMYFUNCTION("""COMPUTED_VALUE"""),"N")</f>
        <v>N</v>
      </c>
      <c r="AQ152" s="182"/>
      <c r="AR152" s="182"/>
      <c r="AS152" s="182" t="b">
        <f>IFERROR(__xludf.DUMMYFUNCTION("""COMPUTED_VALUE"""),FALSE)</f>
        <v>0</v>
      </c>
      <c r="AT152" s="182"/>
      <c r="AU152" s="182"/>
      <c r="AV152" s="187">
        <f>IFERROR(__xludf.DUMMYFUNCTION("""COMPUTED_VALUE"""),45801.0)</f>
        <v>45801</v>
      </c>
      <c r="AW152" s="182" t="b">
        <f>IFERROR(__xludf.DUMMYFUNCTION("""COMPUTED_VALUE"""),FALSE)</f>
        <v>0</v>
      </c>
      <c r="AX152" s="182"/>
      <c r="AY152" s="182"/>
      <c r="AZ152" s="187">
        <f>IFERROR(__xludf.DUMMYFUNCTION("""COMPUTED_VALUE"""),45827.0)</f>
        <v>45827</v>
      </c>
      <c r="BA152" s="182" t="b">
        <f>IFERROR(__xludf.DUMMYFUNCTION("""COMPUTED_VALUE"""),FALSE)</f>
        <v>0</v>
      </c>
      <c r="BB152" s="187">
        <f>IFERROR(__xludf.DUMMYFUNCTION("""COMPUTED_VALUE"""),45827.0)</f>
        <v>45827</v>
      </c>
    </row>
    <row r="153">
      <c r="A153" s="184" t="str">
        <f t="shared" si="1"/>
        <v>#VALUE!</v>
      </c>
      <c r="B153" s="69" t="str">
        <f t="shared" si="2"/>
        <v>#VALUE!</v>
      </c>
      <c r="C153" s="182" t="str">
        <f>IFERROR(__xludf.DUMMYFUNCTION("""COMPUTED_VALUE"""),"EU")</f>
        <v>EU</v>
      </c>
      <c r="D153" s="182" t="str">
        <f>IFERROR(__xludf.DUMMYFUNCTION("""COMPUTED_VALUE"""),"MP")</f>
        <v>MP</v>
      </c>
      <c r="E153" s="182" t="str">
        <f>IFERROR(__xludf.DUMMYFUNCTION("""COMPUTED_VALUE"""),"CLNR")</f>
        <v>CLNR</v>
      </c>
      <c r="F153" s="182" t="str">
        <f>IFERROR(__xludf.DUMMYFUNCTION("""COMPUTED_VALUE"""),"CLNRGA10506")</f>
        <v>CLNRGA10506</v>
      </c>
      <c r="G153" s="182" t="str">
        <f>IFERROR(__xludf.DUMMYFUNCTION("""COMPUTED_VALUE"""),"GEHN3")</f>
        <v>GEHN3</v>
      </c>
      <c r="H153" s="182">
        <f>IFERROR(__xludf.DUMMYFUNCTION("""COMPUTED_VALUE"""),8.40353937307E11)</f>
        <v>840353937307</v>
      </c>
      <c r="I153" s="185" t="str">
        <f>IFERROR(__xludf.DUMMYFUNCTION("""COMPUTED_VALUE"""),"0840353937307")</f>
        <v>0840353937307</v>
      </c>
      <c r="J153" s="182"/>
      <c r="K153" s="182" t="str">
        <f>IFERROR(__xludf.DUMMYFUNCTION("""COMPUTED_VALUE"""),"ROW Master Carton Label (EAN)")</f>
        <v>ROW Master Carton Label (EAN)</v>
      </c>
      <c r="L153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53" s="182" t="str">
        <f>IFERROR(__xludf.DUMMYFUNCTION("""COMPUTED_VALUE"""),"N/A")</f>
        <v>N/A</v>
      </c>
      <c r="N153" s="182" t="str">
        <f>IFERROR(__xludf.DUMMYFUNCTION("""COMPUTED_VALUE"""),"N/A")</f>
        <v>N/A</v>
      </c>
      <c r="O153" s="182" t="str">
        <f>IFERROR(__xludf.DUMMYFUNCTION("""COMPUTED_VALUE"""),"N/A")</f>
        <v>N/A</v>
      </c>
      <c r="P153" s="182"/>
      <c r="Q153" s="182" t="str">
        <f>IFERROR(__xludf.DUMMYFUNCTION("""COMPUTED_VALUE"""),"256GB")</f>
        <v>256GB</v>
      </c>
      <c r="R153" s="182" t="str">
        <f>IFERROR(__xludf.DUMMYFUNCTION("""COMPUTED_VALUE"""),"Porcelain")</f>
        <v>Porcelain</v>
      </c>
      <c r="S153" s="182" t="str">
        <f>IFERROR(__xludf.DUMMYFUNCTION("""COMPUTED_VALUE"""),"Light Porcelain")</f>
        <v>Light Porcelain</v>
      </c>
      <c r="T153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53" s="182" t="str">
        <f>IFERROR(__xludf.DUMMYFUNCTION("""COMPUTED_VALUE"""),"SKU,CLR2, BETTER, SUB6, EU/UK, BZ5, FRU")</f>
        <v>SKU,CLR2, BETTER, SUB6, EU/UK, BZ5, FRU</v>
      </c>
      <c r="V153" s="182"/>
      <c r="W153" s="183" t="str">
        <f>IFERROR(__xludf.DUMMYFUNCTION("""COMPUTED_VALUE"""),"#NUM!")</f>
        <v>#NUM!</v>
      </c>
      <c r="X153" s="186">
        <f>IFERROR(__xludf.DUMMYFUNCTION("""COMPUTED_VALUE"""),45831.0)</f>
        <v>45831</v>
      </c>
      <c r="Y153" s="187">
        <f>IFERROR(__xludf.DUMMYFUNCTION("""COMPUTED_VALUE"""),45780.0)</f>
        <v>45780</v>
      </c>
      <c r="Z153" s="182" t="b">
        <f>IFERROR(__xludf.DUMMYFUNCTION("""COMPUTED_VALUE"""),FALSE)</f>
        <v>0</v>
      </c>
      <c r="AA153" s="187">
        <f>IFERROR(__xludf.DUMMYFUNCTION("""COMPUTED_VALUE"""),45780.0)</f>
        <v>45780</v>
      </c>
      <c r="AB153" s="182" t="b">
        <f>IFERROR(__xludf.DUMMYFUNCTION("""COMPUTED_VALUE"""),FALSE)</f>
        <v>0</v>
      </c>
      <c r="AC153" s="187">
        <f>IFERROR(__xludf.DUMMYFUNCTION("""COMPUTED_VALUE"""),45787.0)</f>
        <v>45787</v>
      </c>
      <c r="AD153" s="187">
        <f>IFERROR(__xludf.DUMMYFUNCTION("""COMPUTED_VALUE"""),45787.0)</f>
        <v>45787</v>
      </c>
      <c r="AE153" s="188" t="str">
        <f>IFERROR(__xludf.DUMMYFUNCTION("""COMPUTED_VALUE"""),"CLNRGA10506")</f>
        <v>CLNRGA10506</v>
      </c>
      <c r="AF153" s="182"/>
      <c r="AG153" s="188" t="str">
        <f>IFERROR(__xludf.DUMMYFUNCTION("""COMPUTED_VALUE"""),"CLNRGA10506")</f>
        <v>CLNRGA10506</v>
      </c>
      <c r="AH153" s="182" t="str">
        <f>IFERROR(__xludf.DUMMYFUNCTION("""COMPUTED_VALUE"""),"N/A")</f>
        <v>N/A</v>
      </c>
      <c r="AI153" s="188" t="str">
        <f>IFERROR(__xludf.DUMMYFUNCTION("""COMPUTED_VALUE"""),"CLNRGA10506")</f>
        <v>CLNRGA10506</v>
      </c>
      <c r="AJ153" s="187">
        <f>IFERROR(__xludf.DUMMYFUNCTION("""COMPUTED_VALUE"""),45793.0)</f>
        <v>45793</v>
      </c>
      <c r="AK153" s="187">
        <f>IFERROR(__xludf.DUMMYFUNCTION("""COMPUTED_VALUE"""),45801.0)</f>
        <v>45801</v>
      </c>
      <c r="AL153" s="182" t="b">
        <f>IFERROR(__xludf.DUMMYFUNCTION("""COMPUTED_VALUE"""),FALSE)</f>
        <v>0</v>
      </c>
      <c r="AM153" s="182" t="b">
        <f>IFERROR(__xludf.DUMMYFUNCTION("""COMPUTED_VALUE"""),FALSE)</f>
        <v>0</v>
      </c>
      <c r="AN153" s="187">
        <f>IFERROR(__xludf.DUMMYFUNCTION("""COMPUTED_VALUE"""),45801.0)</f>
        <v>45801</v>
      </c>
      <c r="AO153" s="182" t="b">
        <f>IFERROR(__xludf.DUMMYFUNCTION("""COMPUTED_VALUE"""),TRUE)</f>
        <v>1</v>
      </c>
      <c r="AP153" s="182" t="str">
        <f>IFERROR(__xludf.DUMMYFUNCTION("""COMPUTED_VALUE"""),"N")</f>
        <v>N</v>
      </c>
      <c r="AQ153" s="182"/>
      <c r="AR153" s="182"/>
      <c r="AS153" s="182" t="b">
        <f>IFERROR(__xludf.DUMMYFUNCTION("""COMPUTED_VALUE"""),FALSE)</f>
        <v>0</v>
      </c>
      <c r="AT153" s="182"/>
      <c r="AU153" s="182"/>
      <c r="AV153" s="187">
        <f>IFERROR(__xludf.DUMMYFUNCTION("""COMPUTED_VALUE"""),45801.0)</f>
        <v>45801</v>
      </c>
      <c r="AW153" s="182" t="b">
        <f>IFERROR(__xludf.DUMMYFUNCTION("""COMPUTED_VALUE"""),FALSE)</f>
        <v>0</v>
      </c>
      <c r="AX153" s="182"/>
      <c r="AY153" s="182"/>
      <c r="AZ153" s="187">
        <f>IFERROR(__xludf.DUMMYFUNCTION("""COMPUTED_VALUE"""),45827.0)</f>
        <v>45827</v>
      </c>
      <c r="BA153" s="182" t="b">
        <f>IFERROR(__xludf.DUMMYFUNCTION("""COMPUTED_VALUE"""),FALSE)</f>
        <v>0</v>
      </c>
      <c r="BB153" s="187">
        <f>IFERROR(__xludf.DUMMYFUNCTION("""COMPUTED_VALUE"""),45827.0)</f>
        <v>45827</v>
      </c>
    </row>
    <row r="154">
      <c r="A154" s="184" t="str">
        <f t="shared" si="1"/>
        <v>#VALUE!</v>
      </c>
      <c r="B154" s="69" t="str">
        <f t="shared" si="2"/>
        <v>#VALUE!</v>
      </c>
      <c r="C154" s="182" t="str">
        <f>IFERROR(__xludf.DUMMYFUNCTION("""COMPUTED_VALUE"""),"EU")</f>
        <v>EU</v>
      </c>
      <c r="D154" s="182" t="str">
        <f>IFERROR(__xludf.DUMMYFUNCTION("""COMPUTED_VALUE"""),"MP")</f>
        <v>MP</v>
      </c>
      <c r="E154" s="182" t="str">
        <f>IFERROR(__xludf.DUMMYFUNCTION("""COMPUTED_VALUE"""),"CLNR")</f>
        <v>CLNR</v>
      </c>
      <c r="F154" s="182" t="str">
        <f>IFERROR(__xludf.DUMMYFUNCTION("""COMPUTED_VALUE"""),"CLNRGA10507")</f>
        <v>CLNRGA10507</v>
      </c>
      <c r="G154" s="182" t="str">
        <f>IFERROR(__xludf.DUMMYFUNCTION("""COMPUTED_VALUE"""),"GEHN3")</f>
        <v>GEHN3</v>
      </c>
      <c r="H154" s="182">
        <f>IFERROR(__xludf.DUMMYFUNCTION("""COMPUTED_VALUE"""),8.40353937314E11)</f>
        <v>840353937314</v>
      </c>
      <c r="I154" s="185" t="str">
        <f>IFERROR(__xludf.DUMMYFUNCTION("""COMPUTED_VALUE"""),"0840353937314")</f>
        <v>0840353937314</v>
      </c>
      <c r="J154" s="182"/>
      <c r="K154" s="182" t="str">
        <f>IFERROR(__xludf.DUMMYFUNCTION("""COMPUTED_VALUE"""),"ROW Master Carton Label (EAN)")</f>
        <v>ROW Master Carton Label (EAN)</v>
      </c>
      <c r="L154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54" s="182" t="str">
        <f>IFERROR(__xludf.DUMMYFUNCTION("""COMPUTED_VALUE"""),"N/A")</f>
        <v>N/A</v>
      </c>
      <c r="N154" s="182" t="str">
        <f>IFERROR(__xludf.DUMMYFUNCTION("""COMPUTED_VALUE"""),"N/A")</f>
        <v>N/A</v>
      </c>
      <c r="O154" s="182" t="str">
        <f>IFERROR(__xludf.DUMMYFUNCTION("""COMPUTED_VALUE"""),"N/A")</f>
        <v>N/A</v>
      </c>
      <c r="P154" s="182"/>
      <c r="Q154" s="182" t="str">
        <f>IFERROR(__xludf.DUMMYFUNCTION("""COMPUTED_VALUE"""),"256GB")</f>
        <v>256GB</v>
      </c>
      <c r="R154" s="182" t="str">
        <f>IFERROR(__xludf.DUMMYFUNCTION("""COMPUTED_VALUE"""),"Moonstone")</f>
        <v>Moonstone</v>
      </c>
      <c r="S154" s="182" t="str">
        <f>IFERROR(__xludf.DUMMYFUNCTION("""COMPUTED_VALUE"""),"Sterling")</f>
        <v>Sterling</v>
      </c>
      <c r="T154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54" s="182" t="str">
        <f>IFERROR(__xludf.DUMMYFUNCTION("""COMPUTED_VALUE"""),"SKU,CLR3, BETTER, SUB6, EU/UK, BZ5, FRU")</f>
        <v>SKU,CLR3, BETTER, SUB6, EU/UK, BZ5, FRU</v>
      </c>
      <c r="V154" s="182"/>
      <c r="W154" s="183" t="str">
        <f>IFERROR(__xludf.DUMMYFUNCTION("""COMPUTED_VALUE"""),"#NUM!")</f>
        <v>#NUM!</v>
      </c>
      <c r="X154" s="186">
        <f>IFERROR(__xludf.DUMMYFUNCTION("""COMPUTED_VALUE"""),45831.0)</f>
        <v>45831</v>
      </c>
      <c r="Y154" s="187">
        <f>IFERROR(__xludf.DUMMYFUNCTION("""COMPUTED_VALUE"""),45780.0)</f>
        <v>45780</v>
      </c>
      <c r="Z154" s="182" t="b">
        <f>IFERROR(__xludf.DUMMYFUNCTION("""COMPUTED_VALUE"""),FALSE)</f>
        <v>0</v>
      </c>
      <c r="AA154" s="187">
        <f>IFERROR(__xludf.DUMMYFUNCTION("""COMPUTED_VALUE"""),45780.0)</f>
        <v>45780</v>
      </c>
      <c r="AB154" s="182" t="b">
        <f>IFERROR(__xludf.DUMMYFUNCTION("""COMPUTED_VALUE"""),FALSE)</f>
        <v>0</v>
      </c>
      <c r="AC154" s="187">
        <f>IFERROR(__xludf.DUMMYFUNCTION("""COMPUTED_VALUE"""),45787.0)</f>
        <v>45787</v>
      </c>
      <c r="AD154" s="187">
        <f>IFERROR(__xludf.DUMMYFUNCTION("""COMPUTED_VALUE"""),45787.0)</f>
        <v>45787</v>
      </c>
      <c r="AE154" s="188" t="str">
        <f>IFERROR(__xludf.DUMMYFUNCTION("""COMPUTED_VALUE"""),"CLNRGA10507")</f>
        <v>CLNRGA10507</v>
      </c>
      <c r="AF154" s="182"/>
      <c r="AG154" s="188" t="str">
        <f>IFERROR(__xludf.DUMMYFUNCTION("""COMPUTED_VALUE"""),"CLNRGA10507")</f>
        <v>CLNRGA10507</v>
      </c>
      <c r="AH154" s="182" t="str">
        <f>IFERROR(__xludf.DUMMYFUNCTION("""COMPUTED_VALUE"""),"N/A")</f>
        <v>N/A</v>
      </c>
      <c r="AI154" s="188" t="str">
        <f>IFERROR(__xludf.DUMMYFUNCTION("""COMPUTED_VALUE"""),"CLNRGA10507")</f>
        <v>CLNRGA10507</v>
      </c>
      <c r="AJ154" s="187">
        <f>IFERROR(__xludf.DUMMYFUNCTION("""COMPUTED_VALUE"""),45793.0)</f>
        <v>45793</v>
      </c>
      <c r="AK154" s="187">
        <f>IFERROR(__xludf.DUMMYFUNCTION("""COMPUTED_VALUE"""),45801.0)</f>
        <v>45801</v>
      </c>
      <c r="AL154" s="182" t="b">
        <f>IFERROR(__xludf.DUMMYFUNCTION("""COMPUTED_VALUE"""),FALSE)</f>
        <v>0</v>
      </c>
      <c r="AM154" s="182" t="b">
        <f>IFERROR(__xludf.DUMMYFUNCTION("""COMPUTED_VALUE"""),FALSE)</f>
        <v>0</v>
      </c>
      <c r="AN154" s="187">
        <f>IFERROR(__xludf.DUMMYFUNCTION("""COMPUTED_VALUE"""),45801.0)</f>
        <v>45801</v>
      </c>
      <c r="AO154" s="182" t="b">
        <f>IFERROR(__xludf.DUMMYFUNCTION("""COMPUTED_VALUE"""),TRUE)</f>
        <v>1</v>
      </c>
      <c r="AP154" s="182" t="str">
        <f>IFERROR(__xludf.DUMMYFUNCTION("""COMPUTED_VALUE"""),"N")</f>
        <v>N</v>
      </c>
      <c r="AQ154" s="182"/>
      <c r="AR154" s="182"/>
      <c r="AS154" s="182" t="b">
        <f>IFERROR(__xludf.DUMMYFUNCTION("""COMPUTED_VALUE"""),FALSE)</f>
        <v>0</v>
      </c>
      <c r="AT154" s="182"/>
      <c r="AU154" s="182"/>
      <c r="AV154" s="187">
        <f>IFERROR(__xludf.DUMMYFUNCTION("""COMPUTED_VALUE"""),45801.0)</f>
        <v>45801</v>
      </c>
      <c r="AW154" s="182" t="b">
        <f>IFERROR(__xludf.DUMMYFUNCTION("""COMPUTED_VALUE"""),FALSE)</f>
        <v>0</v>
      </c>
      <c r="AX154" s="182"/>
      <c r="AY154" s="182"/>
      <c r="AZ154" s="187">
        <f>IFERROR(__xludf.DUMMYFUNCTION("""COMPUTED_VALUE"""),45827.0)</f>
        <v>45827</v>
      </c>
      <c r="BA154" s="182" t="b">
        <f>IFERROR(__xludf.DUMMYFUNCTION("""COMPUTED_VALUE"""),FALSE)</f>
        <v>0</v>
      </c>
      <c r="BB154" s="187">
        <f>IFERROR(__xludf.DUMMYFUNCTION("""COMPUTED_VALUE"""),45827.0)</f>
        <v>45827</v>
      </c>
    </row>
    <row r="155">
      <c r="A155" s="184" t="str">
        <f t="shared" si="1"/>
        <v>#VALUE!</v>
      </c>
      <c r="B155" s="69" t="str">
        <f t="shared" si="2"/>
        <v>#VALUE!</v>
      </c>
      <c r="C155" s="182" t="str">
        <f>IFERROR(__xludf.DUMMYFUNCTION("""COMPUTED_VALUE"""),"EU")</f>
        <v>EU</v>
      </c>
      <c r="D155" s="182" t="str">
        <f>IFERROR(__xludf.DUMMYFUNCTION("""COMPUTED_VALUE"""),"MP")</f>
        <v>MP</v>
      </c>
      <c r="E155" s="182" t="str">
        <f>IFERROR(__xludf.DUMMYFUNCTION("""COMPUTED_VALUE"""),"CLNR")</f>
        <v>CLNR</v>
      </c>
      <c r="F155" s="182" t="str">
        <f>IFERROR(__xludf.DUMMYFUNCTION("""COMPUTED_VALUE"""),"CLNRGA10508")</f>
        <v>CLNRGA10508</v>
      </c>
      <c r="G155" s="182" t="str">
        <f>IFERROR(__xludf.DUMMYFUNCTION("""COMPUTED_VALUE"""),"GEHN3")</f>
        <v>GEHN3</v>
      </c>
      <c r="H155" s="182">
        <f>IFERROR(__xludf.DUMMYFUNCTION("""COMPUTED_VALUE"""),8.40353937321E11)</f>
        <v>840353937321</v>
      </c>
      <c r="I155" s="185" t="str">
        <f>IFERROR(__xludf.DUMMYFUNCTION("""COMPUTED_VALUE"""),"0840353937321")</f>
        <v>0840353937321</v>
      </c>
      <c r="J155" s="182"/>
      <c r="K155" s="182" t="str">
        <f>IFERROR(__xludf.DUMMYFUNCTION("""COMPUTED_VALUE"""),"ROW Master Carton Label (EAN)")</f>
        <v>ROW Master Carton Label (EAN)</v>
      </c>
      <c r="L155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55" s="182" t="str">
        <f>IFERROR(__xludf.DUMMYFUNCTION("""COMPUTED_VALUE"""),"N/A")</f>
        <v>N/A</v>
      </c>
      <c r="N155" s="182" t="str">
        <f>IFERROR(__xludf.DUMMYFUNCTION("""COMPUTED_VALUE"""),"N/A")</f>
        <v>N/A</v>
      </c>
      <c r="O155" s="182" t="str">
        <f>IFERROR(__xludf.DUMMYFUNCTION("""COMPUTED_VALUE"""),"N/A")</f>
        <v>N/A</v>
      </c>
      <c r="P155" s="182"/>
      <c r="Q155" s="182" t="str">
        <f>IFERROR(__xludf.DUMMYFUNCTION("""COMPUTED_VALUE"""),"256GB")</f>
        <v>256GB</v>
      </c>
      <c r="R155" s="182" t="str">
        <f>IFERROR(__xludf.DUMMYFUNCTION("""COMPUTED_VALUE"""),"Jade")</f>
        <v>Jade</v>
      </c>
      <c r="S155" s="182" t="str">
        <f>IFERROR(__xludf.DUMMYFUNCTION("""COMPUTED_VALUE"""),"Smokey Green")</f>
        <v>Smokey Green</v>
      </c>
      <c r="T155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55" s="182" t="str">
        <f>IFERROR(__xludf.DUMMYFUNCTION("""COMPUTED_VALUE"""),"SKU,CLR4, BETTER, SUB6, EU/UK, BZ5, FRU")</f>
        <v>SKU,CLR4, BETTER, SUB6, EU/UK, BZ5, FRU</v>
      </c>
      <c r="V155" s="182"/>
      <c r="W155" s="183" t="str">
        <f>IFERROR(__xludf.DUMMYFUNCTION("""COMPUTED_VALUE"""),"#NUM!")</f>
        <v>#NUM!</v>
      </c>
      <c r="X155" s="186">
        <f>IFERROR(__xludf.DUMMYFUNCTION("""COMPUTED_VALUE"""),45831.0)</f>
        <v>45831</v>
      </c>
      <c r="Y155" s="187">
        <f>IFERROR(__xludf.DUMMYFUNCTION("""COMPUTED_VALUE"""),45780.0)</f>
        <v>45780</v>
      </c>
      <c r="Z155" s="182" t="b">
        <f>IFERROR(__xludf.DUMMYFUNCTION("""COMPUTED_VALUE"""),FALSE)</f>
        <v>0</v>
      </c>
      <c r="AA155" s="187">
        <f>IFERROR(__xludf.DUMMYFUNCTION("""COMPUTED_VALUE"""),45780.0)</f>
        <v>45780</v>
      </c>
      <c r="AB155" s="182" t="b">
        <f>IFERROR(__xludf.DUMMYFUNCTION("""COMPUTED_VALUE"""),FALSE)</f>
        <v>0</v>
      </c>
      <c r="AC155" s="187">
        <f>IFERROR(__xludf.DUMMYFUNCTION("""COMPUTED_VALUE"""),45787.0)</f>
        <v>45787</v>
      </c>
      <c r="AD155" s="187">
        <f>IFERROR(__xludf.DUMMYFUNCTION("""COMPUTED_VALUE"""),45787.0)</f>
        <v>45787</v>
      </c>
      <c r="AE155" s="188" t="str">
        <f>IFERROR(__xludf.DUMMYFUNCTION("""COMPUTED_VALUE"""),"CLNRGA10508")</f>
        <v>CLNRGA10508</v>
      </c>
      <c r="AF155" s="182"/>
      <c r="AG155" s="188" t="str">
        <f>IFERROR(__xludf.DUMMYFUNCTION("""COMPUTED_VALUE"""),"CLNRGA10508")</f>
        <v>CLNRGA10508</v>
      </c>
      <c r="AH155" s="182" t="str">
        <f>IFERROR(__xludf.DUMMYFUNCTION("""COMPUTED_VALUE"""),"N/A")</f>
        <v>N/A</v>
      </c>
      <c r="AI155" s="188" t="str">
        <f>IFERROR(__xludf.DUMMYFUNCTION("""COMPUTED_VALUE"""),"CLNRGA10508")</f>
        <v>CLNRGA10508</v>
      </c>
      <c r="AJ155" s="187">
        <f>IFERROR(__xludf.DUMMYFUNCTION("""COMPUTED_VALUE"""),45793.0)</f>
        <v>45793</v>
      </c>
      <c r="AK155" s="187">
        <f>IFERROR(__xludf.DUMMYFUNCTION("""COMPUTED_VALUE"""),45801.0)</f>
        <v>45801</v>
      </c>
      <c r="AL155" s="182" t="b">
        <f>IFERROR(__xludf.DUMMYFUNCTION("""COMPUTED_VALUE"""),FALSE)</f>
        <v>0</v>
      </c>
      <c r="AM155" s="182" t="b">
        <f>IFERROR(__xludf.DUMMYFUNCTION("""COMPUTED_VALUE"""),FALSE)</f>
        <v>0</v>
      </c>
      <c r="AN155" s="187">
        <f>IFERROR(__xludf.DUMMYFUNCTION("""COMPUTED_VALUE"""),45801.0)</f>
        <v>45801</v>
      </c>
      <c r="AO155" s="182" t="b">
        <f>IFERROR(__xludf.DUMMYFUNCTION("""COMPUTED_VALUE"""),TRUE)</f>
        <v>1</v>
      </c>
      <c r="AP155" s="182" t="str">
        <f>IFERROR(__xludf.DUMMYFUNCTION("""COMPUTED_VALUE"""),"N")</f>
        <v>N</v>
      </c>
      <c r="AQ155" s="182"/>
      <c r="AR155" s="182"/>
      <c r="AS155" s="182" t="b">
        <f>IFERROR(__xludf.DUMMYFUNCTION("""COMPUTED_VALUE"""),FALSE)</f>
        <v>0</v>
      </c>
      <c r="AT155" s="182"/>
      <c r="AU155" s="182"/>
      <c r="AV155" s="187">
        <f>IFERROR(__xludf.DUMMYFUNCTION("""COMPUTED_VALUE"""),45801.0)</f>
        <v>45801</v>
      </c>
      <c r="AW155" s="182" t="b">
        <f>IFERROR(__xludf.DUMMYFUNCTION("""COMPUTED_VALUE"""),FALSE)</f>
        <v>0</v>
      </c>
      <c r="AX155" s="182"/>
      <c r="AY155" s="182"/>
      <c r="AZ155" s="187">
        <f>IFERROR(__xludf.DUMMYFUNCTION("""COMPUTED_VALUE"""),45827.0)</f>
        <v>45827</v>
      </c>
      <c r="BA155" s="182" t="b">
        <f>IFERROR(__xludf.DUMMYFUNCTION("""COMPUTED_VALUE"""),FALSE)</f>
        <v>0</v>
      </c>
      <c r="BB155" s="187">
        <f>IFERROR(__xludf.DUMMYFUNCTION("""COMPUTED_VALUE"""),45827.0)</f>
        <v>45827</v>
      </c>
    </row>
    <row r="156">
      <c r="A156" s="184" t="str">
        <f t="shared" si="1"/>
        <v>#VALUE!</v>
      </c>
      <c r="B156" s="69" t="str">
        <f t="shared" si="2"/>
        <v>#VALUE!</v>
      </c>
      <c r="C156" s="182" t="str">
        <f>IFERROR(__xludf.DUMMYFUNCTION("""COMPUTED_VALUE"""),"EU")</f>
        <v>EU</v>
      </c>
      <c r="D156" s="182" t="str">
        <f>IFERROR(__xludf.DUMMYFUNCTION("""COMPUTED_VALUE"""),"MP")</f>
        <v>MP</v>
      </c>
      <c r="E156" s="182" t="str">
        <f>IFERROR(__xludf.DUMMYFUNCTION("""COMPUTED_VALUE"""),"CLNR")</f>
        <v>CLNR</v>
      </c>
      <c r="F156" s="182" t="str">
        <f>IFERROR(__xludf.DUMMYFUNCTION("""COMPUTED_VALUE"""),"CLNRGA10509")</f>
        <v>CLNRGA10509</v>
      </c>
      <c r="G156" s="182" t="str">
        <f>IFERROR(__xludf.DUMMYFUNCTION("""COMPUTED_VALUE"""),"GEHN3")</f>
        <v>GEHN3</v>
      </c>
      <c r="H156" s="182">
        <f>IFERROR(__xludf.DUMMYFUNCTION("""COMPUTED_VALUE"""),8.40353937338E11)</f>
        <v>840353937338</v>
      </c>
      <c r="I156" s="185" t="str">
        <f>IFERROR(__xludf.DUMMYFUNCTION("""COMPUTED_VALUE"""),"0840353937338")</f>
        <v>0840353937338</v>
      </c>
      <c r="J156" s="182"/>
      <c r="K156" s="182" t="str">
        <f>IFERROR(__xludf.DUMMYFUNCTION("""COMPUTED_VALUE"""),"ROW Master Carton Label (EAN)")</f>
        <v>ROW Master Carton Label (EAN)</v>
      </c>
      <c r="L156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56" s="182" t="str">
        <f>IFERROR(__xludf.DUMMYFUNCTION("""COMPUTED_VALUE"""),"N/A")</f>
        <v>N/A</v>
      </c>
      <c r="N156" s="182" t="str">
        <f>IFERROR(__xludf.DUMMYFUNCTION("""COMPUTED_VALUE"""),"N/A")</f>
        <v>N/A</v>
      </c>
      <c r="O156" s="182" t="str">
        <f>IFERROR(__xludf.DUMMYFUNCTION("""COMPUTED_VALUE"""),"N/A")</f>
        <v>N/A</v>
      </c>
      <c r="P156" s="182"/>
      <c r="Q156" s="182" t="str">
        <f>IFERROR(__xludf.DUMMYFUNCTION("""COMPUTED_VALUE"""),"512GB")</f>
        <v>512GB</v>
      </c>
      <c r="R156" s="182" t="str">
        <f>IFERROR(__xludf.DUMMYFUNCTION("""COMPUTED_VALUE"""),"Obsidian")</f>
        <v>Obsidian</v>
      </c>
      <c r="S156" s="182" t="str">
        <f>IFERROR(__xludf.DUMMYFUNCTION("""COMPUTED_VALUE"""),"Midnight")</f>
        <v>Midnight</v>
      </c>
      <c r="T156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56" s="182" t="str">
        <f>IFERROR(__xludf.DUMMYFUNCTION("""COMPUTED_VALUE"""),"SKU,CLR1, BEST, SUB6, EU/UK, BZ5, FRU")</f>
        <v>SKU,CLR1, BEST, SUB6, EU/UK, BZ5, FRU</v>
      </c>
      <c r="V156" s="182"/>
      <c r="W156" s="183" t="str">
        <f>IFERROR(__xludf.DUMMYFUNCTION("""COMPUTED_VALUE"""),"#NUM!")</f>
        <v>#NUM!</v>
      </c>
      <c r="X156" s="186">
        <f>IFERROR(__xludf.DUMMYFUNCTION("""COMPUTED_VALUE"""),45831.0)</f>
        <v>45831</v>
      </c>
      <c r="Y156" s="187">
        <f>IFERROR(__xludf.DUMMYFUNCTION("""COMPUTED_VALUE"""),45780.0)</f>
        <v>45780</v>
      </c>
      <c r="Z156" s="182" t="b">
        <f>IFERROR(__xludf.DUMMYFUNCTION("""COMPUTED_VALUE"""),FALSE)</f>
        <v>0</v>
      </c>
      <c r="AA156" s="187">
        <f>IFERROR(__xludf.DUMMYFUNCTION("""COMPUTED_VALUE"""),45780.0)</f>
        <v>45780</v>
      </c>
      <c r="AB156" s="182" t="b">
        <f>IFERROR(__xludf.DUMMYFUNCTION("""COMPUTED_VALUE"""),FALSE)</f>
        <v>0</v>
      </c>
      <c r="AC156" s="187">
        <f>IFERROR(__xludf.DUMMYFUNCTION("""COMPUTED_VALUE"""),45787.0)</f>
        <v>45787</v>
      </c>
      <c r="AD156" s="187">
        <f>IFERROR(__xludf.DUMMYFUNCTION("""COMPUTED_VALUE"""),45787.0)</f>
        <v>45787</v>
      </c>
      <c r="AE156" s="188" t="str">
        <f>IFERROR(__xludf.DUMMYFUNCTION("""COMPUTED_VALUE"""),"CLNRGA10509")</f>
        <v>CLNRGA10509</v>
      </c>
      <c r="AF156" s="182"/>
      <c r="AG156" s="188" t="str">
        <f>IFERROR(__xludf.DUMMYFUNCTION("""COMPUTED_VALUE"""),"CLNRGA10509")</f>
        <v>CLNRGA10509</v>
      </c>
      <c r="AH156" s="182" t="str">
        <f>IFERROR(__xludf.DUMMYFUNCTION("""COMPUTED_VALUE"""),"N/A")</f>
        <v>N/A</v>
      </c>
      <c r="AI156" s="188" t="str">
        <f>IFERROR(__xludf.DUMMYFUNCTION("""COMPUTED_VALUE"""),"CLNRGA10509")</f>
        <v>CLNRGA10509</v>
      </c>
      <c r="AJ156" s="187">
        <f>IFERROR(__xludf.DUMMYFUNCTION("""COMPUTED_VALUE"""),45793.0)</f>
        <v>45793</v>
      </c>
      <c r="AK156" s="187">
        <f>IFERROR(__xludf.DUMMYFUNCTION("""COMPUTED_VALUE"""),45801.0)</f>
        <v>45801</v>
      </c>
      <c r="AL156" s="182" t="b">
        <f>IFERROR(__xludf.DUMMYFUNCTION("""COMPUTED_VALUE"""),FALSE)</f>
        <v>0</v>
      </c>
      <c r="AM156" s="182" t="b">
        <f>IFERROR(__xludf.DUMMYFUNCTION("""COMPUTED_VALUE"""),FALSE)</f>
        <v>0</v>
      </c>
      <c r="AN156" s="187">
        <f>IFERROR(__xludf.DUMMYFUNCTION("""COMPUTED_VALUE"""),45801.0)</f>
        <v>45801</v>
      </c>
      <c r="AO156" s="182" t="b">
        <f>IFERROR(__xludf.DUMMYFUNCTION("""COMPUTED_VALUE"""),TRUE)</f>
        <v>1</v>
      </c>
      <c r="AP156" s="182" t="str">
        <f>IFERROR(__xludf.DUMMYFUNCTION("""COMPUTED_VALUE"""),"N")</f>
        <v>N</v>
      </c>
      <c r="AQ156" s="182"/>
      <c r="AR156" s="182"/>
      <c r="AS156" s="182" t="b">
        <f>IFERROR(__xludf.DUMMYFUNCTION("""COMPUTED_VALUE"""),FALSE)</f>
        <v>0</v>
      </c>
      <c r="AT156" s="182"/>
      <c r="AU156" s="182"/>
      <c r="AV156" s="187">
        <f>IFERROR(__xludf.DUMMYFUNCTION("""COMPUTED_VALUE"""),45801.0)</f>
        <v>45801</v>
      </c>
      <c r="AW156" s="182" t="b">
        <f>IFERROR(__xludf.DUMMYFUNCTION("""COMPUTED_VALUE"""),FALSE)</f>
        <v>0</v>
      </c>
      <c r="AX156" s="182"/>
      <c r="AY156" s="182"/>
      <c r="AZ156" s="187">
        <f>IFERROR(__xludf.DUMMYFUNCTION("""COMPUTED_VALUE"""),45827.0)</f>
        <v>45827</v>
      </c>
      <c r="BA156" s="182" t="b">
        <f>IFERROR(__xludf.DUMMYFUNCTION("""COMPUTED_VALUE"""),FALSE)</f>
        <v>0</v>
      </c>
      <c r="BB156" s="187">
        <f>IFERROR(__xludf.DUMMYFUNCTION("""COMPUTED_VALUE"""),45827.0)</f>
        <v>45827</v>
      </c>
    </row>
    <row r="157">
      <c r="A157" s="184" t="str">
        <f t="shared" si="1"/>
        <v>#VALUE!</v>
      </c>
      <c r="B157" s="69" t="str">
        <f t="shared" si="2"/>
        <v>#VALUE!</v>
      </c>
      <c r="C157" s="182" t="str">
        <f>IFERROR(__xludf.DUMMYFUNCTION("""COMPUTED_VALUE"""),"EU")</f>
        <v>EU</v>
      </c>
      <c r="D157" s="182" t="str">
        <f>IFERROR(__xludf.DUMMYFUNCTION("""COMPUTED_VALUE"""),"MP")</f>
        <v>MP</v>
      </c>
      <c r="E157" s="182" t="str">
        <f>IFERROR(__xludf.DUMMYFUNCTION("""COMPUTED_VALUE"""),"CLNR")</f>
        <v>CLNR</v>
      </c>
      <c r="F157" s="182" t="str">
        <f>IFERROR(__xludf.DUMMYFUNCTION("""COMPUTED_VALUE"""),"CLNRGA10510")</f>
        <v>CLNRGA10510</v>
      </c>
      <c r="G157" s="182" t="str">
        <f>IFERROR(__xludf.DUMMYFUNCTION("""COMPUTED_VALUE"""),"GEHN3")</f>
        <v>GEHN3</v>
      </c>
      <c r="H157" s="182">
        <f>IFERROR(__xludf.DUMMYFUNCTION("""COMPUTED_VALUE"""),8.40353937345E11)</f>
        <v>840353937345</v>
      </c>
      <c r="I157" s="185" t="str">
        <f>IFERROR(__xludf.DUMMYFUNCTION("""COMPUTED_VALUE"""),"0840353937345")</f>
        <v>0840353937345</v>
      </c>
      <c r="J157" s="182"/>
      <c r="K157" s="182" t="str">
        <f>IFERROR(__xludf.DUMMYFUNCTION("""COMPUTED_VALUE"""),"ROW Master Carton Label (EAN)")</f>
        <v>ROW Master Carton Label (EAN)</v>
      </c>
      <c r="L157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57" s="182" t="str">
        <f>IFERROR(__xludf.DUMMYFUNCTION("""COMPUTED_VALUE"""),"N/A")</f>
        <v>N/A</v>
      </c>
      <c r="N157" s="182" t="str">
        <f>IFERROR(__xludf.DUMMYFUNCTION("""COMPUTED_VALUE"""),"N/A")</f>
        <v>N/A</v>
      </c>
      <c r="O157" s="182" t="str">
        <f>IFERROR(__xludf.DUMMYFUNCTION("""COMPUTED_VALUE"""),"N/A")</f>
        <v>N/A</v>
      </c>
      <c r="P157" s="182"/>
      <c r="Q157" s="182" t="str">
        <f>IFERROR(__xludf.DUMMYFUNCTION("""COMPUTED_VALUE"""),"512GB")</f>
        <v>512GB</v>
      </c>
      <c r="R157" s="182" t="str">
        <f>IFERROR(__xludf.DUMMYFUNCTION("""COMPUTED_VALUE"""),"Porcelain")</f>
        <v>Porcelain</v>
      </c>
      <c r="S157" s="182" t="str">
        <f>IFERROR(__xludf.DUMMYFUNCTION("""COMPUTED_VALUE"""),"Light Porcelain")</f>
        <v>Light Porcelain</v>
      </c>
      <c r="T157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57" s="182" t="str">
        <f>IFERROR(__xludf.DUMMYFUNCTION("""COMPUTED_VALUE"""),"SKU,CLR2, BEST, SUB6, EU/UK, BZ5, FRU")</f>
        <v>SKU,CLR2, BEST, SUB6, EU/UK, BZ5, FRU</v>
      </c>
      <c r="V157" s="182"/>
      <c r="W157" s="183" t="str">
        <f>IFERROR(__xludf.DUMMYFUNCTION("""COMPUTED_VALUE"""),"#NUM!")</f>
        <v>#NUM!</v>
      </c>
      <c r="X157" s="186">
        <f>IFERROR(__xludf.DUMMYFUNCTION("""COMPUTED_VALUE"""),45831.0)</f>
        <v>45831</v>
      </c>
      <c r="Y157" s="187">
        <f>IFERROR(__xludf.DUMMYFUNCTION("""COMPUTED_VALUE"""),45780.0)</f>
        <v>45780</v>
      </c>
      <c r="Z157" s="182" t="b">
        <f>IFERROR(__xludf.DUMMYFUNCTION("""COMPUTED_VALUE"""),FALSE)</f>
        <v>0</v>
      </c>
      <c r="AA157" s="187">
        <f>IFERROR(__xludf.DUMMYFUNCTION("""COMPUTED_VALUE"""),45780.0)</f>
        <v>45780</v>
      </c>
      <c r="AB157" s="182" t="b">
        <f>IFERROR(__xludf.DUMMYFUNCTION("""COMPUTED_VALUE"""),FALSE)</f>
        <v>0</v>
      </c>
      <c r="AC157" s="187">
        <f>IFERROR(__xludf.DUMMYFUNCTION("""COMPUTED_VALUE"""),45787.0)</f>
        <v>45787</v>
      </c>
      <c r="AD157" s="187">
        <f>IFERROR(__xludf.DUMMYFUNCTION("""COMPUTED_VALUE"""),45787.0)</f>
        <v>45787</v>
      </c>
      <c r="AE157" s="188" t="str">
        <f>IFERROR(__xludf.DUMMYFUNCTION("""COMPUTED_VALUE"""),"CLNRGA10510")</f>
        <v>CLNRGA10510</v>
      </c>
      <c r="AF157" s="182"/>
      <c r="AG157" s="188" t="str">
        <f>IFERROR(__xludf.DUMMYFUNCTION("""COMPUTED_VALUE"""),"CLNRGA10510")</f>
        <v>CLNRGA10510</v>
      </c>
      <c r="AH157" s="182" t="str">
        <f>IFERROR(__xludf.DUMMYFUNCTION("""COMPUTED_VALUE"""),"N/A")</f>
        <v>N/A</v>
      </c>
      <c r="AI157" s="188" t="str">
        <f>IFERROR(__xludf.DUMMYFUNCTION("""COMPUTED_VALUE"""),"CLNRGA10510")</f>
        <v>CLNRGA10510</v>
      </c>
      <c r="AJ157" s="187">
        <f>IFERROR(__xludf.DUMMYFUNCTION("""COMPUTED_VALUE"""),45793.0)</f>
        <v>45793</v>
      </c>
      <c r="AK157" s="187">
        <f>IFERROR(__xludf.DUMMYFUNCTION("""COMPUTED_VALUE"""),45801.0)</f>
        <v>45801</v>
      </c>
      <c r="AL157" s="182" t="b">
        <f>IFERROR(__xludf.DUMMYFUNCTION("""COMPUTED_VALUE"""),FALSE)</f>
        <v>0</v>
      </c>
      <c r="AM157" s="182" t="b">
        <f>IFERROR(__xludf.DUMMYFUNCTION("""COMPUTED_VALUE"""),FALSE)</f>
        <v>0</v>
      </c>
      <c r="AN157" s="187">
        <f>IFERROR(__xludf.DUMMYFUNCTION("""COMPUTED_VALUE"""),45801.0)</f>
        <v>45801</v>
      </c>
      <c r="AO157" s="182" t="b">
        <f>IFERROR(__xludf.DUMMYFUNCTION("""COMPUTED_VALUE"""),TRUE)</f>
        <v>1</v>
      </c>
      <c r="AP157" s="182" t="str">
        <f>IFERROR(__xludf.DUMMYFUNCTION("""COMPUTED_VALUE"""),"N")</f>
        <v>N</v>
      </c>
      <c r="AQ157" s="182"/>
      <c r="AR157" s="182"/>
      <c r="AS157" s="182" t="b">
        <f>IFERROR(__xludf.DUMMYFUNCTION("""COMPUTED_VALUE"""),FALSE)</f>
        <v>0</v>
      </c>
      <c r="AT157" s="182"/>
      <c r="AU157" s="182"/>
      <c r="AV157" s="187">
        <f>IFERROR(__xludf.DUMMYFUNCTION("""COMPUTED_VALUE"""),45801.0)</f>
        <v>45801</v>
      </c>
      <c r="AW157" s="182" t="b">
        <f>IFERROR(__xludf.DUMMYFUNCTION("""COMPUTED_VALUE"""),FALSE)</f>
        <v>0</v>
      </c>
      <c r="AX157" s="182"/>
      <c r="AY157" s="182"/>
      <c r="AZ157" s="187">
        <f>IFERROR(__xludf.DUMMYFUNCTION("""COMPUTED_VALUE"""),45827.0)</f>
        <v>45827</v>
      </c>
      <c r="BA157" s="182" t="b">
        <f>IFERROR(__xludf.DUMMYFUNCTION("""COMPUTED_VALUE"""),FALSE)</f>
        <v>0</v>
      </c>
      <c r="BB157" s="187">
        <f>IFERROR(__xludf.DUMMYFUNCTION("""COMPUTED_VALUE"""),45827.0)</f>
        <v>45827</v>
      </c>
    </row>
    <row r="158">
      <c r="A158" s="184" t="str">
        <f t="shared" si="1"/>
        <v>#VALUE!</v>
      </c>
      <c r="B158" s="69" t="str">
        <f t="shared" si="2"/>
        <v>#VALUE!</v>
      </c>
      <c r="C158" s="182" t="str">
        <f>IFERROR(__xludf.DUMMYFUNCTION("""COMPUTED_VALUE"""),"EU")</f>
        <v>EU</v>
      </c>
      <c r="D158" s="182" t="str">
        <f>IFERROR(__xludf.DUMMYFUNCTION("""COMPUTED_VALUE"""),"MP")</f>
        <v>MP</v>
      </c>
      <c r="E158" s="182" t="str">
        <f>IFERROR(__xludf.DUMMYFUNCTION("""COMPUTED_VALUE"""),"CLNR")</f>
        <v>CLNR</v>
      </c>
      <c r="F158" s="182" t="str">
        <f>IFERROR(__xludf.DUMMYFUNCTION("""COMPUTED_VALUE"""),"CLNRGA10511")</f>
        <v>CLNRGA10511</v>
      </c>
      <c r="G158" s="182" t="str">
        <f>IFERROR(__xludf.DUMMYFUNCTION("""COMPUTED_VALUE"""),"GEHN3")</f>
        <v>GEHN3</v>
      </c>
      <c r="H158" s="182">
        <f>IFERROR(__xludf.DUMMYFUNCTION("""COMPUTED_VALUE"""),8.40353937352E11)</f>
        <v>840353937352</v>
      </c>
      <c r="I158" s="185" t="str">
        <f>IFERROR(__xludf.DUMMYFUNCTION("""COMPUTED_VALUE"""),"0840353937352")</f>
        <v>0840353937352</v>
      </c>
      <c r="J158" s="182"/>
      <c r="K158" s="182" t="str">
        <f>IFERROR(__xludf.DUMMYFUNCTION("""COMPUTED_VALUE"""),"ROW Master Carton Label (EAN)")</f>
        <v>ROW Master Carton Label (EAN)</v>
      </c>
      <c r="L158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58" s="182" t="str">
        <f>IFERROR(__xludf.DUMMYFUNCTION("""COMPUTED_VALUE"""),"N/A")</f>
        <v>N/A</v>
      </c>
      <c r="N158" s="182" t="str">
        <f>IFERROR(__xludf.DUMMYFUNCTION("""COMPUTED_VALUE"""),"N/A")</f>
        <v>N/A</v>
      </c>
      <c r="O158" s="182" t="str">
        <f>IFERROR(__xludf.DUMMYFUNCTION("""COMPUTED_VALUE"""),"N/A")</f>
        <v>N/A</v>
      </c>
      <c r="P158" s="182"/>
      <c r="Q158" s="182" t="str">
        <f>IFERROR(__xludf.DUMMYFUNCTION("""COMPUTED_VALUE"""),"512GB")</f>
        <v>512GB</v>
      </c>
      <c r="R158" s="182" t="str">
        <f>IFERROR(__xludf.DUMMYFUNCTION("""COMPUTED_VALUE"""),"Moonstone")</f>
        <v>Moonstone</v>
      </c>
      <c r="S158" s="182" t="str">
        <f>IFERROR(__xludf.DUMMYFUNCTION("""COMPUTED_VALUE"""),"Sterling")</f>
        <v>Sterling</v>
      </c>
      <c r="T158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58" s="182" t="str">
        <f>IFERROR(__xludf.DUMMYFUNCTION("""COMPUTED_VALUE"""),"SKU,CLR3, BEST, SUB6, EU/UK, BZ5, FRU")</f>
        <v>SKU,CLR3, BEST, SUB6, EU/UK, BZ5, FRU</v>
      </c>
      <c r="V158" s="182"/>
      <c r="W158" s="183" t="str">
        <f>IFERROR(__xludf.DUMMYFUNCTION("""COMPUTED_VALUE"""),"#NUM!")</f>
        <v>#NUM!</v>
      </c>
      <c r="X158" s="186">
        <f>IFERROR(__xludf.DUMMYFUNCTION("""COMPUTED_VALUE"""),45831.0)</f>
        <v>45831</v>
      </c>
      <c r="Y158" s="187">
        <f>IFERROR(__xludf.DUMMYFUNCTION("""COMPUTED_VALUE"""),45780.0)</f>
        <v>45780</v>
      </c>
      <c r="Z158" s="182" t="b">
        <f>IFERROR(__xludf.DUMMYFUNCTION("""COMPUTED_VALUE"""),FALSE)</f>
        <v>0</v>
      </c>
      <c r="AA158" s="187">
        <f>IFERROR(__xludf.DUMMYFUNCTION("""COMPUTED_VALUE"""),45780.0)</f>
        <v>45780</v>
      </c>
      <c r="AB158" s="182" t="b">
        <f>IFERROR(__xludf.DUMMYFUNCTION("""COMPUTED_VALUE"""),FALSE)</f>
        <v>0</v>
      </c>
      <c r="AC158" s="187">
        <f>IFERROR(__xludf.DUMMYFUNCTION("""COMPUTED_VALUE"""),45787.0)</f>
        <v>45787</v>
      </c>
      <c r="AD158" s="187">
        <f>IFERROR(__xludf.DUMMYFUNCTION("""COMPUTED_VALUE"""),45787.0)</f>
        <v>45787</v>
      </c>
      <c r="AE158" s="188" t="str">
        <f>IFERROR(__xludf.DUMMYFUNCTION("""COMPUTED_VALUE"""),"CLNRGA10511")</f>
        <v>CLNRGA10511</v>
      </c>
      <c r="AF158" s="182"/>
      <c r="AG158" s="188" t="str">
        <f>IFERROR(__xludf.DUMMYFUNCTION("""COMPUTED_VALUE"""),"CLNRGA10511")</f>
        <v>CLNRGA10511</v>
      </c>
      <c r="AH158" s="182" t="str">
        <f>IFERROR(__xludf.DUMMYFUNCTION("""COMPUTED_VALUE"""),"N/A")</f>
        <v>N/A</v>
      </c>
      <c r="AI158" s="188" t="str">
        <f>IFERROR(__xludf.DUMMYFUNCTION("""COMPUTED_VALUE"""),"CLNRGA10511")</f>
        <v>CLNRGA10511</v>
      </c>
      <c r="AJ158" s="187">
        <f>IFERROR(__xludf.DUMMYFUNCTION("""COMPUTED_VALUE"""),45793.0)</f>
        <v>45793</v>
      </c>
      <c r="AK158" s="187">
        <f>IFERROR(__xludf.DUMMYFUNCTION("""COMPUTED_VALUE"""),45801.0)</f>
        <v>45801</v>
      </c>
      <c r="AL158" s="182" t="b">
        <f>IFERROR(__xludf.DUMMYFUNCTION("""COMPUTED_VALUE"""),FALSE)</f>
        <v>0</v>
      </c>
      <c r="AM158" s="182" t="b">
        <f>IFERROR(__xludf.DUMMYFUNCTION("""COMPUTED_VALUE"""),FALSE)</f>
        <v>0</v>
      </c>
      <c r="AN158" s="187">
        <f>IFERROR(__xludf.DUMMYFUNCTION("""COMPUTED_VALUE"""),45801.0)</f>
        <v>45801</v>
      </c>
      <c r="AO158" s="182" t="b">
        <f>IFERROR(__xludf.DUMMYFUNCTION("""COMPUTED_VALUE"""),TRUE)</f>
        <v>1</v>
      </c>
      <c r="AP158" s="182" t="str">
        <f>IFERROR(__xludf.DUMMYFUNCTION("""COMPUTED_VALUE"""),"N")</f>
        <v>N</v>
      </c>
      <c r="AQ158" s="182"/>
      <c r="AR158" s="182"/>
      <c r="AS158" s="182" t="b">
        <f>IFERROR(__xludf.DUMMYFUNCTION("""COMPUTED_VALUE"""),FALSE)</f>
        <v>0</v>
      </c>
      <c r="AT158" s="182"/>
      <c r="AU158" s="182"/>
      <c r="AV158" s="187">
        <f>IFERROR(__xludf.DUMMYFUNCTION("""COMPUTED_VALUE"""),45801.0)</f>
        <v>45801</v>
      </c>
      <c r="AW158" s="182" t="b">
        <f>IFERROR(__xludf.DUMMYFUNCTION("""COMPUTED_VALUE"""),FALSE)</f>
        <v>0</v>
      </c>
      <c r="AX158" s="182"/>
      <c r="AY158" s="182"/>
      <c r="AZ158" s="187">
        <f>IFERROR(__xludf.DUMMYFUNCTION("""COMPUTED_VALUE"""),45827.0)</f>
        <v>45827</v>
      </c>
      <c r="BA158" s="182" t="b">
        <f>IFERROR(__xludf.DUMMYFUNCTION("""COMPUTED_VALUE"""),FALSE)</f>
        <v>0</v>
      </c>
      <c r="BB158" s="187">
        <f>IFERROR(__xludf.DUMMYFUNCTION("""COMPUTED_VALUE"""),45827.0)</f>
        <v>45827</v>
      </c>
    </row>
    <row r="159">
      <c r="A159" s="184" t="str">
        <f t="shared" si="1"/>
        <v>#VALUE!</v>
      </c>
      <c r="B159" s="69" t="str">
        <f t="shared" si="2"/>
        <v>#VALUE!</v>
      </c>
      <c r="C159" s="182" t="str">
        <f>IFERROR(__xludf.DUMMYFUNCTION("""COMPUTED_VALUE"""),"EU")</f>
        <v>EU</v>
      </c>
      <c r="D159" s="182" t="str">
        <f>IFERROR(__xludf.DUMMYFUNCTION("""COMPUTED_VALUE"""),"MP")</f>
        <v>MP</v>
      </c>
      <c r="E159" s="182" t="str">
        <f>IFERROR(__xludf.DUMMYFUNCTION("""COMPUTED_VALUE"""),"CLNR")</f>
        <v>CLNR</v>
      </c>
      <c r="F159" s="182" t="str">
        <f>IFERROR(__xludf.DUMMYFUNCTION("""COMPUTED_VALUE"""),"CLNRGA10512")</f>
        <v>CLNRGA10512</v>
      </c>
      <c r="G159" s="182" t="str">
        <f>IFERROR(__xludf.DUMMYFUNCTION("""COMPUTED_VALUE"""),"GEHN3")</f>
        <v>GEHN3</v>
      </c>
      <c r="H159" s="182">
        <f>IFERROR(__xludf.DUMMYFUNCTION("""COMPUTED_VALUE"""),8.40353937369E11)</f>
        <v>840353937369</v>
      </c>
      <c r="I159" s="185" t="str">
        <f>IFERROR(__xludf.DUMMYFUNCTION("""COMPUTED_VALUE"""),"0840353937369")</f>
        <v>0840353937369</v>
      </c>
      <c r="J159" s="182"/>
      <c r="K159" s="182"/>
      <c r="L159" s="182"/>
      <c r="M159" s="182" t="str">
        <f>IFERROR(__xludf.DUMMYFUNCTION("""COMPUTED_VALUE"""),"N/A")</f>
        <v>N/A</v>
      </c>
      <c r="N159" s="182" t="str">
        <f>IFERROR(__xludf.DUMMYFUNCTION("""COMPUTED_VALUE"""),"N/A")</f>
        <v>N/A</v>
      </c>
      <c r="O159" s="182" t="str">
        <f>IFERROR(__xludf.DUMMYFUNCTION("""COMPUTED_VALUE"""),"N/A")</f>
        <v>N/A</v>
      </c>
      <c r="P159" s="182"/>
      <c r="Q159" s="182" t="str">
        <f>IFERROR(__xludf.DUMMYFUNCTION("""COMPUTED_VALUE"""),"512GB")</f>
        <v>512GB</v>
      </c>
      <c r="R159" s="182" t="str">
        <f>IFERROR(__xludf.DUMMYFUNCTION("""COMPUTED_VALUE"""),"Jade")</f>
        <v>Jade</v>
      </c>
      <c r="S159" s="182" t="str">
        <f>IFERROR(__xludf.DUMMYFUNCTION("""COMPUTED_VALUE"""),"Smokey Green")</f>
        <v>Smokey Green</v>
      </c>
      <c r="T159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59" s="182" t="str">
        <f>IFERROR(__xludf.DUMMYFUNCTION("""COMPUTED_VALUE"""),"SKU,CLR4, BEST, SUB6, EU/UK, BZ5, FRU")</f>
        <v>SKU,CLR4, BEST, SUB6, EU/UK, BZ5, FRU</v>
      </c>
      <c r="V159" s="182"/>
      <c r="W159" s="183" t="str">
        <f>IFERROR(__xludf.DUMMYFUNCTION("""COMPUTED_VALUE"""),"#NUM!")</f>
        <v>#NUM!</v>
      </c>
      <c r="X159" s="186">
        <f>IFERROR(__xludf.DUMMYFUNCTION("""COMPUTED_VALUE"""),45831.0)</f>
        <v>45831</v>
      </c>
      <c r="Y159" s="187">
        <f>IFERROR(__xludf.DUMMYFUNCTION("""COMPUTED_VALUE"""),45780.0)</f>
        <v>45780</v>
      </c>
      <c r="Z159" s="182" t="b">
        <f>IFERROR(__xludf.DUMMYFUNCTION("""COMPUTED_VALUE"""),FALSE)</f>
        <v>0</v>
      </c>
      <c r="AA159" s="187">
        <f>IFERROR(__xludf.DUMMYFUNCTION("""COMPUTED_VALUE"""),45780.0)</f>
        <v>45780</v>
      </c>
      <c r="AB159" s="182" t="b">
        <f>IFERROR(__xludf.DUMMYFUNCTION("""COMPUTED_VALUE"""),FALSE)</f>
        <v>0</v>
      </c>
      <c r="AC159" s="187">
        <f>IFERROR(__xludf.DUMMYFUNCTION("""COMPUTED_VALUE"""),45787.0)</f>
        <v>45787</v>
      </c>
      <c r="AD159" s="187">
        <f>IFERROR(__xludf.DUMMYFUNCTION("""COMPUTED_VALUE"""),45787.0)</f>
        <v>45787</v>
      </c>
      <c r="AE159" s="182"/>
      <c r="AF159" s="182"/>
      <c r="AG159" s="182"/>
      <c r="AH159" s="182"/>
      <c r="AI159" s="182"/>
      <c r="AJ159" s="187">
        <f>IFERROR(__xludf.DUMMYFUNCTION("""COMPUTED_VALUE"""),45793.0)</f>
        <v>45793</v>
      </c>
      <c r="AK159" s="187">
        <f>IFERROR(__xludf.DUMMYFUNCTION("""COMPUTED_VALUE"""),45801.0)</f>
        <v>45801</v>
      </c>
      <c r="AL159" s="182"/>
      <c r="AM159" s="182"/>
      <c r="AN159" s="187">
        <f>IFERROR(__xludf.DUMMYFUNCTION("""COMPUTED_VALUE"""),45801.0)</f>
        <v>45801</v>
      </c>
      <c r="AO159" s="182" t="b">
        <f>IFERROR(__xludf.DUMMYFUNCTION("""COMPUTED_VALUE"""),FALSE)</f>
        <v>0</v>
      </c>
      <c r="AP159" s="182"/>
      <c r="AQ159" s="182"/>
      <c r="AR159" s="182"/>
      <c r="AS159" s="182" t="b">
        <f>IFERROR(__xludf.DUMMYFUNCTION("""COMPUTED_VALUE"""),FALSE)</f>
        <v>0</v>
      </c>
      <c r="AT159" s="182"/>
      <c r="AU159" s="182"/>
      <c r="AV159" s="187">
        <f>IFERROR(__xludf.DUMMYFUNCTION("""COMPUTED_VALUE"""),45801.0)</f>
        <v>45801</v>
      </c>
      <c r="AW159" s="182" t="b">
        <f>IFERROR(__xludf.DUMMYFUNCTION("""COMPUTED_VALUE"""),FALSE)</f>
        <v>0</v>
      </c>
      <c r="AX159" s="182"/>
      <c r="AY159" s="182"/>
      <c r="AZ159" s="187">
        <f>IFERROR(__xludf.DUMMYFUNCTION("""COMPUTED_VALUE"""),45827.0)</f>
        <v>45827</v>
      </c>
      <c r="BA159" s="182" t="b">
        <f>IFERROR(__xludf.DUMMYFUNCTION("""COMPUTED_VALUE"""),FALSE)</f>
        <v>0</v>
      </c>
      <c r="BB159" s="187">
        <f>IFERROR(__xludf.DUMMYFUNCTION("""COMPUTED_VALUE"""),45827.0)</f>
        <v>45827</v>
      </c>
    </row>
    <row r="160">
      <c r="A160" s="184" t="str">
        <f t="shared" si="1"/>
        <v>#VALUE!</v>
      </c>
      <c r="B160" s="69" t="str">
        <f t="shared" si="2"/>
        <v>#VALUE!</v>
      </c>
      <c r="C160" s="182" t="str">
        <f>IFERROR(__xludf.DUMMYFUNCTION("""COMPUTED_VALUE"""),"EU")</f>
        <v>EU</v>
      </c>
      <c r="D160" s="182" t="str">
        <f>IFERROR(__xludf.DUMMYFUNCTION("""COMPUTED_VALUE"""),"MP")</f>
        <v>MP</v>
      </c>
      <c r="E160" s="182" t="str">
        <f>IFERROR(__xludf.DUMMYFUNCTION("""COMPUTED_VALUE"""),"CLNR")</f>
        <v>CLNR</v>
      </c>
      <c r="F160" s="182" t="str">
        <f>IFERROR(__xludf.DUMMYFUNCTION("""COMPUTED_VALUE"""),"CLNRGA10513")</f>
        <v>CLNRGA10513</v>
      </c>
      <c r="G160" s="182" t="str">
        <f>IFERROR(__xludf.DUMMYFUNCTION("""COMPUTED_VALUE"""),"GEHN3")</f>
        <v>GEHN3</v>
      </c>
      <c r="H160" s="182">
        <f>IFERROR(__xludf.DUMMYFUNCTION("""COMPUTED_VALUE"""),8.40353937376E11)</f>
        <v>840353937376</v>
      </c>
      <c r="I160" s="185" t="str">
        <f>IFERROR(__xludf.DUMMYFUNCTION("""COMPUTED_VALUE"""),"0840353937376")</f>
        <v>0840353937376</v>
      </c>
      <c r="J160" s="182"/>
      <c r="K160" s="182" t="str">
        <f>IFERROR(__xludf.DUMMYFUNCTION("""COMPUTED_VALUE"""),"ROW Master Carton Label (EAN)")</f>
        <v>ROW Master Carton Label (EAN)</v>
      </c>
      <c r="L160" s="182" t="str">
        <f>IFERROR(__xludf.DUMMYFUNCTION("""COMPUTED_VALUE"""),"Standard Pallet Label -&gt; BTO(EDI)
Standard Pallet Label -&gt; BTS(Normal case)")</f>
        <v>Standard Pallet Label -&gt; BTO(EDI)
Standard Pallet Label -&gt; BTS(Normal case)</v>
      </c>
      <c r="M160" s="182" t="str">
        <f>IFERROR(__xludf.DUMMYFUNCTION("""COMPUTED_VALUE"""),"N/A")</f>
        <v>N/A</v>
      </c>
      <c r="N160" s="182" t="str">
        <f>IFERROR(__xludf.DUMMYFUNCTION("""COMPUTED_VALUE"""),"N/A")</f>
        <v>N/A</v>
      </c>
      <c r="O160" s="182" t="str">
        <f>IFERROR(__xludf.DUMMYFUNCTION("""COMPUTED_VALUE"""),"N/A")</f>
        <v>N/A</v>
      </c>
      <c r="P160" s="182"/>
      <c r="Q160" s="182" t="str">
        <f>IFERROR(__xludf.DUMMYFUNCTION("""COMPUTED_VALUE"""),"1TB")</f>
        <v>1TB</v>
      </c>
      <c r="R160" s="182" t="str">
        <f>IFERROR(__xludf.DUMMYFUNCTION("""COMPUTED_VALUE"""),"Obsidian")</f>
        <v>Obsidian</v>
      </c>
      <c r="S160" s="182" t="str">
        <f>IFERROR(__xludf.DUMMYFUNCTION("""COMPUTED_VALUE"""),"Midnight")</f>
        <v>Midnight</v>
      </c>
      <c r="T160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60" s="182" t="str">
        <f>IFERROR(__xludf.DUMMYFUNCTION("""COMPUTED_VALUE"""),"SKU,CLR1, ULTRA, SUB6, EU/UK, BZ5, FRU")</f>
        <v>SKU,CLR1, ULTRA, SUB6, EU/UK, BZ5, FRU</v>
      </c>
      <c r="V160" s="182"/>
      <c r="W160" s="183" t="str">
        <f>IFERROR(__xludf.DUMMYFUNCTION("""COMPUTED_VALUE"""),"#NUM!")</f>
        <v>#NUM!</v>
      </c>
      <c r="X160" s="186">
        <f>IFERROR(__xludf.DUMMYFUNCTION("""COMPUTED_VALUE"""),45831.0)</f>
        <v>45831</v>
      </c>
      <c r="Y160" s="187">
        <f>IFERROR(__xludf.DUMMYFUNCTION("""COMPUTED_VALUE"""),45780.0)</f>
        <v>45780</v>
      </c>
      <c r="Z160" s="182" t="b">
        <f>IFERROR(__xludf.DUMMYFUNCTION("""COMPUTED_VALUE"""),FALSE)</f>
        <v>0</v>
      </c>
      <c r="AA160" s="187">
        <f>IFERROR(__xludf.DUMMYFUNCTION("""COMPUTED_VALUE"""),45780.0)</f>
        <v>45780</v>
      </c>
      <c r="AB160" s="182" t="b">
        <f>IFERROR(__xludf.DUMMYFUNCTION("""COMPUTED_VALUE"""),FALSE)</f>
        <v>0</v>
      </c>
      <c r="AC160" s="187">
        <f>IFERROR(__xludf.DUMMYFUNCTION("""COMPUTED_VALUE"""),45787.0)</f>
        <v>45787</v>
      </c>
      <c r="AD160" s="187">
        <f>IFERROR(__xludf.DUMMYFUNCTION("""COMPUTED_VALUE"""),45787.0)</f>
        <v>45787</v>
      </c>
      <c r="AE160" s="188" t="str">
        <f>IFERROR(__xludf.DUMMYFUNCTION("""COMPUTED_VALUE"""),"CLNRGA10513")</f>
        <v>CLNRGA10513</v>
      </c>
      <c r="AF160" s="182"/>
      <c r="AG160" s="188" t="str">
        <f>IFERROR(__xludf.DUMMYFUNCTION("""COMPUTED_VALUE"""),"CLNRGA10513")</f>
        <v>CLNRGA10513</v>
      </c>
      <c r="AH160" s="182" t="str">
        <f>IFERROR(__xludf.DUMMYFUNCTION("""COMPUTED_VALUE"""),"N/A")</f>
        <v>N/A</v>
      </c>
      <c r="AI160" s="188" t="str">
        <f>IFERROR(__xludf.DUMMYFUNCTION("""COMPUTED_VALUE"""),"CLNRGA10513")</f>
        <v>CLNRGA10513</v>
      </c>
      <c r="AJ160" s="187">
        <f>IFERROR(__xludf.DUMMYFUNCTION("""COMPUTED_VALUE"""),45793.0)</f>
        <v>45793</v>
      </c>
      <c r="AK160" s="187">
        <f>IFERROR(__xludf.DUMMYFUNCTION("""COMPUTED_VALUE"""),45801.0)</f>
        <v>45801</v>
      </c>
      <c r="AL160" s="182" t="b">
        <f>IFERROR(__xludf.DUMMYFUNCTION("""COMPUTED_VALUE"""),FALSE)</f>
        <v>0</v>
      </c>
      <c r="AM160" s="182" t="b">
        <f>IFERROR(__xludf.DUMMYFUNCTION("""COMPUTED_VALUE"""),FALSE)</f>
        <v>0</v>
      </c>
      <c r="AN160" s="187">
        <f>IFERROR(__xludf.DUMMYFUNCTION("""COMPUTED_VALUE"""),45801.0)</f>
        <v>45801</v>
      </c>
      <c r="AO160" s="182" t="b">
        <f>IFERROR(__xludf.DUMMYFUNCTION("""COMPUTED_VALUE"""),TRUE)</f>
        <v>1</v>
      </c>
      <c r="AP160" s="182" t="str">
        <f>IFERROR(__xludf.DUMMYFUNCTION("""COMPUTED_VALUE"""),"N")</f>
        <v>N</v>
      </c>
      <c r="AQ160" s="182"/>
      <c r="AR160" s="182"/>
      <c r="AS160" s="182" t="b">
        <f>IFERROR(__xludf.DUMMYFUNCTION("""COMPUTED_VALUE"""),FALSE)</f>
        <v>0</v>
      </c>
      <c r="AT160" s="182"/>
      <c r="AU160" s="182"/>
      <c r="AV160" s="187">
        <f>IFERROR(__xludf.DUMMYFUNCTION("""COMPUTED_VALUE"""),45801.0)</f>
        <v>45801</v>
      </c>
      <c r="AW160" s="182" t="b">
        <f>IFERROR(__xludf.DUMMYFUNCTION("""COMPUTED_VALUE"""),FALSE)</f>
        <v>0</v>
      </c>
      <c r="AX160" s="182"/>
      <c r="AY160" s="182"/>
      <c r="AZ160" s="187">
        <f>IFERROR(__xludf.DUMMYFUNCTION("""COMPUTED_VALUE"""),45827.0)</f>
        <v>45827</v>
      </c>
      <c r="BA160" s="182" t="b">
        <f>IFERROR(__xludf.DUMMYFUNCTION("""COMPUTED_VALUE"""),FALSE)</f>
        <v>0</v>
      </c>
      <c r="BB160" s="187">
        <f>IFERROR(__xludf.DUMMYFUNCTION("""COMPUTED_VALUE"""),45827.0)</f>
        <v>45827</v>
      </c>
    </row>
    <row r="161">
      <c r="A161" s="184" t="str">
        <f t="shared" si="1"/>
        <v>#VALUE!</v>
      </c>
      <c r="B161" s="69" t="str">
        <f t="shared" si="2"/>
        <v>#VALUE!</v>
      </c>
      <c r="C161" s="182" t="str">
        <f>IFERROR(__xludf.DUMMYFUNCTION("""COMPUTED_VALUE"""),"EU")</f>
        <v>EU</v>
      </c>
      <c r="D161" s="182" t="str">
        <f>IFERROR(__xludf.DUMMYFUNCTION("""COMPUTED_VALUE"""),"MP")</f>
        <v>MP</v>
      </c>
      <c r="E161" s="182" t="str">
        <f>IFERROR(__xludf.DUMMYFUNCTION("""COMPUTED_VALUE"""),"CLNR")</f>
        <v>CLNR</v>
      </c>
      <c r="F161" s="182" t="str">
        <f>IFERROR(__xludf.DUMMYFUNCTION("""COMPUTED_VALUE"""),"CLNRGA10514")</f>
        <v>CLNRGA10514</v>
      </c>
      <c r="G161" s="182" t="str">
        <f>IFERROR(__xludf.DUMMYFUNCTION("""COMPUTED_VALUE"""),"GEHN3")</f>
        <v>GEHN3</v>
      </c>
      <c r="H161" s="182">
        <f>IFERROR(__xludf.DUMMYFUNCTION("""COMPUTED_VALUE"""),8.40353937383E11)</f>
        <v>840353937383</v>
      </c>
      <c r="I161" s="185" t="str">
        <f>IFERROR(__xludf.DUMMYFUNCTION("""COMPUTED_VALUE"""),"0840353937383")</f>
        <v>0840353937383</v>
      </c>
      <c r="J161" s="182"/>
      <c r="K161" s="182"/>
      <c r="L161" s="182"/>
      <c r="M161" s="182" t="str">
        <f>IFERROR(__xludf.DUMMYFUNCTION("""COMPUTED_VALUE"""),"N/A")</f>
        <v>N/A</v>
      </c>
      <c r="N161" s="182"/>
      <c r="O161" s="182" t="str">
        <f>IFERROR(__xludf.DUMMYFUNCTION("""COMPUTED_VALUE"""),"N/A")</f>
        <v>N/A</v>
      </c>
      <c r="P161" s="182"/>
      <c r="Q161" s="182" t="str">
        <f>IFERROR(__xludf.DUMMYFUNCTION("""COMPUTED_VALUE"""),"1TB")</f>
        <v>1TB</v>
      </c>
      <c r="R161" s="182" t="str">
        <f>IFERROR(__xludf.DUMMYFUNCTION("""COMPUTED_VALUE"""),"Moonstone")</f>
        <v>Moonstone</v>
      </c>
      <c r="S161" s="182" t="str">
        <f>IFERROR(__xludf.DUMMYFUNCTION("""COMPUTED_VALUE"""),"Sterling")</f>
        <v>Sterling</v>
      </c>
      <c r="T161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U161" s="182" t="str">
        <f>IFERROR(__xludf.DUMMYFUNCTION("""COMPUTED_VALUE"""),"SKU,CLR3, ULTRA, SUB6, UK/EU, BZ5, FRU")</f>
        <v>SKU,CLR3, ULTRA, SUB6, UK/EU, BZ5, FRU</v>
      </c>
      <c r="V161" s="182"/>
      <c r="W161" s="183" t="str">
        <f>IFERROR(__xludf.DUMMYFUNCTION("""COMPUTED_VALUE"""),"#NUM!")</f>
        <v>#NUM!</v>
      </c>
      <c r="X161" s="186">
        <f>IFERROR(__xludf.DUMMYFUNCTION("""COMPUTED_VALUE"""),45831.0)</f>
        <v>45831</v>
      </c>
      <c r="Y161" s="187">
        <f>IFERROR(__xludf.DUMMYFUNCTION("""COMPUTED_VALUE"""),45780.0)</f>
        <v>45780</v>
      </c>
      <c r="Z161" s="182" t="b">
        <f>IFERROR(__xludf.DUMMYFUNCTION("""COMPUTED_VALUE"""),FALSE)</f>
        <v>0</v>
      </c>
      <c r="AA161" s="187">
        <f>IFERROR(__xludf.DUMMYFUNCTION("""COMPUTED_VALUE"""),45780.0)</f>
        <v>45780</v>
      </c>
      <c r="AB161" s="182" t="b">
        <f>IFERROR(__xludf.DUMMYFUNCTION("""COMPUTED_VALUE"""),FALSE)</f>
        <v>0</v>
      </c>
      <c r="AC161" s="187">
        <f>IFERROR(__xludf.DUMMYFUNCTION("""COMPUTED_VALUE"""),45787.0)</f>
        <v>45787</v>
      </c>
      <c r="AD161" s="187">
        <f>IFERROR(__xludf.DUMMYFUNCTION("""COMPUTED_VALUE"""),45787.0)</f>
        <v>45787</v>
      </c>
      <c r="AE161" s="182"/>
      <c r="AF161" s="182"/>
      <c r="AG161" s="182"/>
      <c r="AH161" s="182"/>
      <c r="AI161" s="182"/>
      <c r="AJ161" s="187">
        <f>IFERROR(__xludf.DUMMYFUNCTION("""COMPUTED_VALUE"""),45793.0)</f>
        <v>45793</v>
      </c>
      <c r="AK161" s="187">
        <f>IFERROR(__xludf.DUMMYFUNCTION("""COMPUTED_VALUE"""),45801.0)</f>
        <v>45801</v>
      </c>
      <c r="AL161" s="182" t="b">
        <f>IFERROR(__xludf.DUMMYFUNCTION("""COMPUTED_VALUE"""),FALSE)</f>
        <v>0</v>
      </c>
      <c r="AM161" s="182"/>
      <c r="AN161" s="187">
        <f>IFERROR(__xludf.DUMMYFUNCTION("""COMPUTED_VALUE"""),45801.0)</f>
        <v>45801</v>
      </c>
      <c r="AO161" s="182" t="b">
        <f>IFERROR(__xludf.DUMMYFUNCTION("""COMPUTED_VALUE"""),FALSE)</f>
        <v>0</v>
      </c>
      <c r="AP161" s="182"/>
      <c r="AQ161" s="182"/>
      <c r="AR161" s="182"/>
      <c r="AS161" s="182"/>
      <c r="AT161" s="182"/>
      <c r="AU161" s="182"/>
      <c r="AV161" s="187">
        <f>IFERROR(__xludf.DUMMYFUNCTION("""COMPUTED_VALUE"""),45801.0)</f>
        <v>45801</v>
      </c>
      <c r="AW161" s="182"/>
      <c r="AX161" s="182"/>
      <c r="AY161" s="182"/>
      <c r="AZ161" s="187">
        <f>IFERROR(__xludf.DUMMYFUNCTION("""COMPUTED_VALUE"""),45827.0)</f>
        <v>45827</v>
      </c>
      <c r="BA161" s="182" t="b">
        <f>IFERROR(__xludf.DUMMYFUNCTION("""COMPUTED_VALUE"""),FALSE)</f>
        <v>0</v>
      </c>
      <c r="BB161" s="187">
        <f>IFERROR(__xludf.DUMMYFUNCTION("""COMPUTED_VALUE"""),45827.0)</f>
        <v>45827</v>
      </c>
    </row>
    <row r="162">
      <c r="A162" s="184" t="str">
        <f t="shared" si="1"/>
        <v>#VALUE!</v>
      </c>
      <c r="B162" s="69" t="str">
        <f t="shared" si="2"/>
        <v>#VALUE!</v>
      </c>
      <c r="C162" s="182" t="str">
        <f>IFERROR(__xludf.DUMMYFUNCTION("""COMPUTED_VALUE"""),"IN")</f>
        <v>IN</v>
      </c>
      <c r="D162" s="182" t="str">
        <f>IFERROR(__xludf.DUMMYFUNCTION("""COMPUTED_VALUE"""),"MP")</f>
        <v>MP</v>
      </c>
      <c r="E162" s="182" t="str">
        <f>IFERROR(__xludf.DUMMYFUNCTION("""COMPUTED_VALUE"""),"CLNR")</f>
        <v>CLNR</v>
      </c>
      <c r="F162" s="182" t="str">
        <f>IFERROR(__xludf.DUMMYFUNCTION("""COMPUTED_VALUE"""),"CLNRGA10515")</f>
        <v>CLNRGA10515</v>
      </c>
      <c r="G162" s="182" t="str">
        <f>IFERROR(__xludf.DUMMYFUNCTION("""COMPUTED_VALUE"""),"GEHN3")</f>
        <v>GEHN3</v>
      </c>
      <c r="H162" s="182">
        <f>IFERROR(__xludf.DUMMYFUNCTION("""COMPUTED_VALUE"""),8.4035393739E11)</f>
        <v>840353937390</v>
      </c>
      <c r="I162" s="185" t="str">
        <f>IFERROR(__xludf.DUMMYFUNCTION("""COMPUTED_VALUE"""),"0840353937390")</f>
        <v>0840353937390</v>
      </c>
      <c r="J162" s="182"/>
      <c r="K162" s="182"/>
      <c r="L162" s="182"/>
      <c r="M162" s="182" t="str">
        <f>IFERROR(__xludf.DUMMYFUNCTION("""COMPUTED_VALUE"""),"N/A")</f>
        <v>N/A</v>
      </c>
      <c r="N162" s="182"/>
      <c r="O162" s="182" t="str">
        <f>IFERROR(__xludf.DUMMYFUNCTION("""COMPUTED_VALUE"""),"N/A")</f>
        <v>N/A</v>
      </c>
      <c r="P162" s="182"/>
      <c r="Q162" s="182" t="str">
        <f>IFERROR(__xludf.DUMMYFUNCTION("""COMPUTED_VALUE"""),"256GB")</f>
        <v>256GB</v>
      </c>
      <c r="R162" s="182" t="str">
        <f>IFERROR(__xludf.DUMMYFUNCTION("""COMPUTED_VALUE"""),"Obsidian")</f>
        <v>Obsidian</v>
      </c>
      <c r="S162" s="182" t="str">
        <f>IFERROR(__xludf.DUMMYFUNCTION("""COMPUTED_VALUE"""),"Midnight")</f>
        <v>Midnight</v>
      </c>
      <c r="T162" s="182" t="str">
        <f>IFERROR(__xludf.DUMMYFUNCTION("""COMPUTED_VALUE"""),"IN")</f>
        <v>IN</v>
      </c>
      <c r="U162" s="182" t="str">
        <f>IFERROR(__xludf.DUMMYFUNCTION("""COMPUTED_VALUE"""),"SKU,CLR1, BETTER, SUB6, IN, BZ5, FRU")</f>
        <v>SKU,CLR1, BETTER, SUB6, IN, BZ5, FRU</v>
      </c>
      <c r="V162" s="182"/>
      <c r="W162" s="183" t="str">
        <f>IFERROR(__xludf.DUMMYFUNCTION("""COMPUTED_VALUE"""),"#NUM!")</f>
        <v>#NUM!</v>
      </c>
      <c r="X162" s="186">
        <f>IFERROR(__xludf.DUMMYFUNCTION("""COMPUTED_VALUE"""),45831.0)</f>
        <v>45831</v>
      </c>
      <c r="Y162" s="187">
        <f>IFERROR(__xludf.DUMMYFUNCTION("""COMPUTED_VALUE"""),45780.0)</f>
        <v>45780</v>
      </c>
      <c r="Z162" s="182" t="b">
        <f>IFERROR(__xludf.DUMMYFUNCTION("""COMPUTED_VALUE"""),FALSE)</f>
        <v>0</v>
      </c>
      <c r="AA162" s="187">
        <f>IFERROR(__xludf.DUMMYFUNCTION("""COMPUTED_VALUE"""),45780.0)</f>
        <v>45780</v>
      </c>
      <c r="AB162" s="182" t="b">
        <f>IFERROR(__xludf.DUMMYFUNCTION("""COMPUTED_VALUE"""),FALSE)</f>
        <v>0</v>
      </c>
      <c r="AC162" s="187">
        <f>IFERROR(__xludf.DUMMYFUNCTION("""COMPUTED_VALUE"""),45787.0)</f>
        <v>45787</v>
      </c>
      <c r="AD162" s="187">
        <f>IFERROR(__xludf.DUMMYFUNCTION("""COMPUTED_VALUE"""),45787.0)</f>
        <v>45787</v>
      </c>
      <c r="AE162" s="182"/>
      <c r="AF162" s="182"/>
      <c r="AG162" s="182"/>
      <c r="AH162" s="182"/>
      <c r="AI162" s="182"/>
      <c r="AJ162" s="187">
        <f>IFERROR(__xludf.DUMMYFUNCTION("""COMPUTED_VALUE"""),45793.0)</f>
        <v>45793</v>
      </c>
      <c r="AK162" s="187">
        <f>IFERROR(__xludf.DUMMYFUNCTION("""COMPUTED_VALUE"""),45801.0)</f>
        <v>45801</v>
      </c>
      <c r="AL162" s="182" t="b">
        <f>IFERROR(__xludf.DUMMYFUNCTION("""COMPUTED_VALUE"""),FALSE)</f>
        <v>0</v>
      </c>
      <c r="AM162" s="182"/>
      <c r="AN162" s="187">
        <f>IFERROR(__xludf.DUMMYFUNCTION("""COMPUTED_VALUE"""),45801.0)</f>
        <v>45801</v>
      </c>
      <c r="AO162" s="182" t="b">
        <f>IFERROR(__xludf.DUMMYFUNCTION("""COMPUTED_VALUE"""),FALSE)</f>
        <v>0</v>
      </c>
      <c r="AP162" s="182"/>
      <c r="AQ162" s="182"/>
      <c r="AR162" s="182"/>
      <c r="AS162" s="182"/>
      <c r="AT162" s="182"/>
      <c r="AU162" s="182"/>
      <c r="AV162" s="187">
        <f>IFERROR(__xludf.DUMMYFUNCTION("""COMPUTED_VALUE"""),45801.0)</f>
        <v>45801</v>
      </c>
      <c r="AW162" s="182"/>
      <c r="AX162" s="182"/>
      <c r="AY162" s="182"/>
      <c r="AZ162" s="187">
        <f>IFERROR(__xludf.DUMMYFUNCTION("""COMPUTED_VALUE"""),45827.0)</f>
        <v>45827</v>
      </c>
      <c r="BA162" s="182" t="b">
        <f>IFERROR(__xludf.DUMMYFUNCTION("""COMPUTED_VALUE"""),FALSE)</f>
        <v>0</v>
      </c>
      <c r="BB162" s="187">
        <f>IFERROR(__xludf.DUMMYFUNCTION("""COMPUTED_VALUE"""),45827.0)</f>
        <v>45827</v>
      </c>
    </row>
    <row r="163">
      <c r="A163" s="184" t="str">
        <f t="shared" si="1"/>
        <v>#VALUE!</v>
      </c>
      <c r="B163" s="69" t="str">
        <f t="shared" si="2"/>
        <v>#VALUE!</v>
      </c>
      <c r="C163" s="182" t="str">
        <f>IFERROR(__xludf.DUMMYFUNCTION("""COMPUTED_VALUE"""),"IN")</f>
        <v>IN</v>
      </c>
      <c r="D163" s="182" t="str">
        <f>IFERROR(__xludf.DUMMYFUNCTION("""COMPUTED_VALUE"""),"MP")</f>
        <v>MP</v>
      </c>
      <c r="E163" s="182" t="str">
        <f>IFERROR(__xludf.DUMMYFUNCTION("""COMPUTED_VALUE"""),"CLNR")</f>
        <v>CLNR</v>
      </c>
      <c r="F163" s="182" t="str">
        <f>IFERROR(__xludf.DUMMYFUNCTION("""COMPUTED_VALUE"""),"CLNRGA10516")</f>
        <v>CLNRGA10516</v>
      </c>
      <c r="G163" s="182" t="str">
        <f>IFERROR(__xludf.DUMMYFUNCTION("""COMPUTED_VALUE"""),"GEHN3")</f>
        <v>GEHN3</v>
      </c>
      <c r="H163" s="182">
        <f>IFERROR(__xludf.DUMMYFUNCTION("""COMPUTED_VALUE"""),8.40353937406E11)</f>
        <v>840353937406</v>
      </c>
      <c r="I163" s="185" t="str">
        <f>IFERROR(__xludf.DUMMYFUNCTION("""COMPUTED_VALUE"""),"0840353937406")</f>
        <v>0840353937406</v>
      </c>
      <c r="J163" s="182"/>
      <c r="K163" s="182"/>
      <c r="L163" s="182"/>
      <c r="M163" s="182" t="str">
        <f>IFERROR(__xludf.DUMMYFUNCTION("""COMPUTED_VALUE"""),"N/A")</f>
        <v>N/A</v>
      </c>
      <c r="N163" s="182"/>
      <c r="O163" s="182" t="str">
        <f>IFERROR(__xludf.DUMMYFUNCTION("""COMPUTED_VALUE"""),"N/A")</f>
        <v>N/A</v>
      </c>
      <c r="P163" s="182"/>
      <c r="Q163" s="182" t="str">
        <f>IFERROR(__xludf.DUMMYFUNCTION("""COMPUTED_VALUE"""),"256GB")</f>
        <v>256GB</v>
      </c>
      <c r="R163" s="182" t="str">
        <f>IFERROR(__xludf.DUMMYFUNCTION("""COMPUTED_VALUE"""),"Porcelain")</f>
        <v>Porcelain</v>
      </c>
      <c r="S163" s="182" t="str">
        <f>IFERROR(__xludf.DUMMYFUNCTION("""COMPUTED_VALUE"""),"Light Porcelain")</f>
        <v>Light Porcelain</v>
      </c>
      <c r="T163" s="182" t="str">
        <f>IFERROR(__xludf.DUMMYFUNCTION("""COMPUTED_VALUE"""),"IN")</f>
        <v>IN</v>
      </c>
      <c r="U163" s="182" t="str">
        <f>IFERROR(__xludf.DUMMYFUNCTION("""COMPUTED_VALUE"""),"SKU,CLR2, BETTER, SUB6, IN, BZ5, FRU")</f>
        <v>SKU,CLR2, BETTER, SUB6, IN, BZ5, FRU</v>
      </c>
      <c r="V163" s="182"/>
      <c r="W163" s="183" t="str">
        <f>IFERROR(__xludf.DUMMYFUNCTION("""COMPUTED_VALUE"""),"#NUM!")</f>
        <v>#NUM!</v>
      </c>
      <c r="X163" s="186">
        <f>IFERROR(__xludf.DUMMYFUNCTION("""COMPUTED_VALUE"""),45831.0)</f>
        <v>45831</v>
      </c>
      <c r="Y163" s="187">
        <f>IFERROR(__xludf.DUMMYFUNCTION("""COMPUTED_VALUE"""),45780.0)</f>
        <v>45780</v>
      </c>
      <c r="Z163" s="182" t="b">
        <f>IFERROR(__xludf.DUMMYFUNCTION("""COMPUTED_VALUE"""),FALSE)</f>
        <v>0</v>
      </c>
      <c r="AA163" s="187">
        <f>IFERROR(__xludf.DUMMYFUNCTION("""COMPUTED_VALUE"""),45780.0)</f>
        <v>45780</v>
      </c>
      <c r="AB163" s="182" t="b">
        <f>IFERROR(__xludf.DUMMYFUNCTION("""COMPUTED_VALUE"""),FALSE)</f>
        <v>0</v>
      </c>
      <c r="AC163" s="187">
        <f>IFERROR(__xludf.DUMMYFUNCTION("""COMPUTED_VALUE"""),45787.0)</f>
        <v>45787</v>
      </c>
      <c r="AD163" s="187">
        <f>IFERROR(__xludf.DUMMYFUNCTION("""COMPUTED_VALUE"""),45787.0)</f>
        <v>45787</v>
      </c>
      <c r="AE163" s="182"/>
      <c r="AF163" s="182"/>
      <c r="AG163" s="182"/>
      <c r="AH163" s="182"/>
      <c r="AI163" s="182"/>
      <c r="AJ163" s="187">
        <f>IFERROR(__xludf.DUMMYFUNCTION("""COMPUTED_VALUE"""),45793.0)</f>
        <v>45793</v>
      </c>
      <c r="AK163" s="187">
        <f>IFERROR(__xludf.DUMMYFUNCTION("""COMPUTED_VALUE"""),45801.0)</f>
        <v>45801</v>
      </c>
      <c r="AL163" s="182" t="b">
        <f>IFERROR(__xludf.DUMMYFUNCTION("""COMPUTED_VALUE"""),FALSE)</f>
        <v>0</v>
      </c>
      <c r="AM163" s="182"/>
      <c r="AN163" s="187">
        <f>IFERROR(__xludf.DUMMYFUNCTION("""COMPUTED_VALUE"""),45801.0)</f>
        <v>45801</v>
      </c>
      <c r="AO163" s="182" t="b">
        <f>IFERROR(__xludf.DUMMYFUNCTION("""COMPUTED_VALUE"""),FALSE)</f>
        <v>0</v>
      </c>
      <c r="AP163" s="182"/>
      <c r="AQ163" s="182"/>
      <c r="AR163" s="182"/>
      <c r="AS163" s="182"/>
      <c r="AT163" s="182"/>
      <c r="AU163" s="182"/>
      <c r="AV163" s="187">
        <f>IFERROR(__xludf.DUMMYFUNCTION("""COMPUTED_VALUE"""),45801.0)</f>
        <v>45801</v>
      </c>
      <c r="AW163" s="182"/>
      <c r="AX163" s="182"/>
      <c r="AY163" s="182"/>
      <c r="AZ163" s="187">
        <f>IFERROR(__xludf.DUMMYFUNCTION("""COMPUTED_VALUE"""),45827.0)</f>
        <v>45827</v>
      </c>
      <c r="BA163" s="182" t="b">
        <f>IFERROR(__xludf.DUMMYFUNCTION("""COMPUTED_VALUE"""),FALSE)</f>
        <v>0</v>
      </c>
      <c r="BB163" s="187">
        <f>IFERROR(__xludf.DUMMYFUNCTION("""COMPUTED_VALUE"""),45827.0)</f>
        <v>45827</v>
      </c>
    </row>
    <row r="164">
      <c r="A164" s="184" t="str">
        <f t="shared" si="1"/>
        <v>#VALUE!</v>
      </c>
      <c r="B164" s="69" t="str">
        <f t="shared" si="2"/>
        <v>#VALUE!</v>
      </c>
      <c r="C164" s="182" t="str">
        <f>IFERROR(__xludf.DUMMYFUNCTION("""COMPUTED_VALUE"""),"IN")</f>
        <v>IN</v>
      </c>
      <c r="D164" s="182" t="str">
        <f>IFERROR(__xludf.DUMMYFUNCTION("""COMPUTED_VALUE"""),"MP")</f>
        <v>MP</v>
      </c>
      <c r="E164" s="182" t="str">
        <f>IFERROR(__xludf.DUMMYFUNCTION("""COMPUTED_VALUE"""),"CLNR")</f>
        <v>CLNR</v>
      </c>
      <c r="F164" s="182" t="str">
        <f>IFERROR(__xludf.DUMMYFUNCTION("""COMPUTED_VALUE"""),"CLNRGA10517")</f>
        <v>CLNRGA10517</v>
      </c>
      <c r="G164" s="182" t="str">
        <f>IFERROR(__xludf.DUMMYFUNCTION("""COMPUTED_VALUE"""),"GEHN3")</f>
        <v>GEHN3</v>
      </c>
      <c r="H164" s="182">
        <f>IFERROR(__xludf.DUMMYFUNCTION("""COMPUTED_VALUE"""),8.40353937413E11)</f>
        <v>840353937413</v>
      </c>
      <c r="I164" s="185" t="str">
        <f>IFERROR(__xludf.DUMMYFUNCTION("""COMPUTED_VALUE"""),"0840353937413")</f>
        <v>0840353937413</v>
      </c>
      <c r="J164" s="182"/>
      <c r="K164" s="182"/>
      <c r="L164" s="182"/>
      <c r="M164" s="182" t="str">
        <f>IFERROR(__xludf.DUMMYFUNCTION("""COMPUTED_VALUE"""),"N/A")</f>
        <v>N/A</v>
      </c>
      <c r="N164" s="182"/>
      <c r="O164" s="182" t="str">
        <f>IFERROR(__xludf.DUMMYFUNCTION("""COMPUTED_VALUE"""),"N/A")</f>
        <v>N/A</v>
      </c>
      <c r="P164" s="182"/>
      <c r="Q164" s="182" t="str">
        <f>IFERROR(__xludf.DUMMYFUNCTION("""COMPUTED_VALUE"""),"256GB")</f>
        <v>256GB</v>
      </c>
      <c r="R164" s="182" t="str">
        <f>IFERROR(__xludf.DUMMYFUNCTION("""COMPUTED_VALUE"""),"Moonstone")</f>
        <v>Moonstone</v>
      </c>
      <c r="S164" s="182" t="str">
        <f>IFERROR(__xludf.DUMMYFUNCTION("""COMPUTED_VALUE"""),"Sterling")</f>
        <v>Sterling</v>
      </c>
      <c r="T164" s="182" t="str">
        <f>IFERROR(__xludf.DUMMYFUNCTION("""COMPUTED_VALUE"""),"IN")</f>
        <v>IN</v>
      </c>
      <c r="U164" s="182" t="str">
        <f>IFERROR(__xludf.DUMMYFUNCTION("""COMPUTED_VALUE"""),"SKU,CLR3, BETTER, SUB6, IN, BZ5, FRU")</f>
        <v>SKU,CLR3, BETTER, SUB6, IN, BZ5, FRU</v>
      </c>
      <c r="V164" s="182"/>
      <c r="W164" s="183" t="str">
        <f>IFERROR(__xludf.DUMMYFUNCTION("""COMPUTED_VALUE"""),"#NUM!")</f>
        <v>#NUM!</v>
      </c>
      <c r="X164" s="186">
        <f>IFERROR(__xludf.DUMMYFUNCTION("""COMPUTED_VALUE"""),45831.0)</f>
        <v>45831</v>
      </c>
      <c r="Y164" s="187">
        <f>IFERROR(__xludf.DUMMYFUNCTION("""COMPUTED_VALUE"""),45780.0)</f>
        <v>45780</v>
      </c>
      <c r="Z164" s="182" t="b">
        <f>IFERROR(__xludf.DUMMYFUNCTION("""COMPUTED_VALUE"""),FALSE)</f>
        <v>0</v>
      </c>
      <c r="AA164" s="187">
        <f>IFERROR(__xludf.DUMMYFUNCTION("""COMPUTED_VALUE"""),45780.0)</f>
        <v>45780</v>
      </c>
      <c r="AB164" s="182" t="b">
        <f>IFERROR(__xludf.DUMMYFUNCTION("""COMPUTED_VALUE"""),FALSE)</f>
        <v>0</v>
      </c>
      <c r="AC164" s="187">
        <f>IFERROR(__xludf.DUMMYFUNCTION("""COMPUTED_VALUE"""),45787.0)</f>
        <v>45787</v>
      </c>
      <c r="AD164" s="187">
        <f>IFERROR(__xludf.DUMMYFUNCTION("""COMPUTED_VALUE"""),45787.0)</f>
        <v>45787</v>
      </c>
      <c r="AE164" s="182"/>
      <c r="AF164" s="182"/>
      <c r="AG164" s="182"/>
      <c r="AH164" s="182"/>
      <c r="AI164" s="182"/>
      <c r="AJ164" s="187">
        <f>IFERROR(__xludf.DUMMYFUNCTION("""COMPUTED_VALUE"""),45793.0)</f>
        <v>45793</v>
      </c>
      <c r="AK164" s="187">
        <f>IFERROR(__xludf.DUMMYFUNCTION("""COMPUTED_VALUE"""),45801.0)</f>
        <v>45801</v>
      </c>
      <c r="AL164" s="182" t="b">
        <f>IFERROR(__xludf.DUMMYFUNCTION("""COMPUTED_VALUE"""),FALSE)</f>
        <v>0</v>
      </c>
      <c r="AM164" s="182"/>
      <c r="AN164" s="187">
        <f>IFERROR(__xludf.DUMMYFUNCTION("""COMPUTED_VALUE"""),45801.0)</f>
        <v>45801</v>
      </c>
      <c r="AO164" s="182" t="b">
        <f>IFERROR(__xludf.DUMMYFUNCTION("""COMPUTED_VALUE"""),FALSE)</f>
        <v>0</v>
      </c>
      <c r="AP164" s="182"/>
      <c r="AQ164" s="182"/>
      <c r="AR164" s="182"/>
      <c r="AS164" s="182"/>
      <c r="AT164" s="182"/>
      <c r="AU164" s="182"/>
      <c r="AV164" s="187">
        <f>IFERROR(__xludf.DUMMYFUNCTION("""COMPUTED_VALUE"""),45801.0)</f>
        <v>45801</v>
      </c>
      <c r="AW164" s="182"/>
      <c r="AX164" s="182"/>
      <c r="AY164" s="182"/>
      <c r="AZ164" s="187">
        <f>IFERROR(__xludf.DUMMYFUNCTION("""COMPUTED_VALUE"""),45827.0)</f>
        <v>45827</v>
      </c>
      <c r="BA164" s="182" t="b">
        <f>IFERROR(__xludf.DUMMYFUNCTION("""COMPUTED_VALUE"""),FALSE)</f>
        <v>0</v>
      </c>
      <c r="BB164" s="187">
        <f>IFERROR(__xludf.DUMMYFUNCTION("""COMPUTED_VALUE"""),45827.0)</f>
        <v>45827</v>
      </c>
    </row>
    <row r="165">
      <c r="A165" s="184" t="str">
        <f t="shared" si="1"/>
        <v>#VALUE!</v>
      </c>
      <c r="B165" s="69" t="str">
        <f t="shared" si="2"/>
        <v>#VALUE!</v>
      </c>
      <c r="C165" s="182" t="str">
        <f>IFERROR(__xludf.DUMMYFUNCTION("""COMPUTED_VALUE"""),"IN")</f>
        <v>IN</v>
      </c>
      <c r="D165" s="182" t="str">
        <f>IFERROR(__xludf.DUMMYFUNCTION("""COMPUTED_VALUE"""),"MP")</f>
        <v>MP</v>
      </c>
      <c r="E165" s="182" t="str">
        <f>IFERROR(__xludf.DUMMYFUNCTION("""COMPUTED_VALUE"""),"CLNR")</f>
        <v>CLNR</v>
      </c>
      <c r="F165" s="182" t="str">
        <f>IFERROR(__xludf.DUMMYFUNCTION("""COMPUTED_VALUE"""),"CLNRGA10518")</f>
        <v>CLNRGA10518</v>
      </c>
      <c r="G165" s="182" t="str">
        <f>IFERROR(__xludf.DUMMYFUNCTION("""COMPUTED_VALUE"""),"GEHN3")</f>
        <v>GEHN3</v>
      </c>
      <c r="H165" s="182">
        <f>IFERROR(__xludf.DUMMYFUNCTION("""COMPUTED_VALUE"""),8.4035393742E11)</f>
        <v>840353937420</v>
      </c>
      <c r="I165" s="185" t="str">
        <f>IFERROR(__xludf.DUMMYFUNCTION("""COMPUTED_VALUE"""),"0840353937420")</f>
        <v>0840353937420</v>
      </c>
      <c r="J165" s="182"/>
      <c r="K165" s="182"/>
      <c r="L165" s="182"/>
      <c r="M165" s="182" t="str">
        <f>IFERROR(__xludf.DUMMYFUNCTION("""COMPUTED_VALUE"""),"N/A")</f>
        <v>N/A</v>
      </c>
      <c r="N165" s="182"/>
      <c r="O165" s="182" t="str">
        <f>IFERROR(__xludf.DUMMYFUNCTION("""COMPUTED_VALUE"""),"N/A")</f>
        <v>N/A</v>
      </c>
      <c r="P165" s="182"/>
      <c r="Q165" s="182" t="str">
        <f>IFERROR(__xludf.DUMMYFUNCTION("""COMPUTED_VALUE"""),"256GB")</f>
        <v>256GB</v>
      </c>
      <c r="R165" s="182" t="str">
        <f>IFERROR(__xludf.DUMMYFUNCTION("""COMPUTED_VALUE"""),"Jade")</f>
        <v>Jade</v>
      </c>
      <c r="S165" s="182" t="str">
        <f>IFERROR(__xludf.DUMMYFUNCTION("""COMPUTED_VALUE"""),"Smokey Green")</f>
        <v>Smokey Green</v>
      </c>
      <c r="T165" s="182" t="str">
        <f>IFERROR(__xludf.DUMMYFUNCTION("""COMPUTED_VALUE"""),"IN")</f>
        <v>IN</v>
      </c>
      <c r="U165" s="182" t="str">
        <f>IFERROR(__xludf.DUMMYFUNCTION("""COMPUTED_VALUE"""),"SKU,CLR4, BETTER, SUB6, IN, BZ5, FRU")</f>
        <v>SKU,CLR4, BETTER, SUB6, IN, BZ5, FRU</v>
      </c>
      <c r="V165" s="182"/>
      <c r="W165" s="183" t="str">
        <f>IFERROR(__xludf.DUMMYFUNCTION("""COMPUTED_VALUE"""),"#NUM!")</f>
        <v>#NUM!</v>
      </c>
      <c r="X165" s="186">
        <f>IFERROR(__xludf.DUMMYFUNCTION("""COMPUTED_VALUE"""),45831.0)</f>
        <v>45831</v>
      </c>
      <c r="Y165" s="187">
        <f>IFERROR(__xludf.DUMMYFUNCTION("""COMPUTED_VALUE"""),45780.0)</f>
        <v>45780</v>
      </c>
      <c r="Z165" s="182" t="b">
        <f>IFERROR(__xludf.DUMMYFUNCTION("""COMPUTED_VALUE"""),FALSE)</f>
        <v>0</v>
      </c>
      <c r="AA165" s="187">
        <f>IFERROR(__xludf.DUMMYFUNCTION("""COMPUTED_VALUE"""),45780.0)</f>
        <v>45780</v>
      </c>
      <c r="AB165" s="182" t="b">
        <f>IFERROR(__xludf.DUMMYFUNCTION("""COMPUTED_VALUE"""),FALSE)</f>
        <v>0</v>
      </c>
      <c r="AC165" s="187">
        <f>IFERROR(__xludf.DUMMYFUNCTION("""COMPUTED_VALUE"""),45787.0)</f>
        <v>45787</v>
      </c>
      <c r="AD165" s="187">
        <f>IFERROR(__xludf.DUMMYFUNCTION("""COMPUTED_VALUE"""),45787.0)</f>
        <v>45787</v>
      </c>
      <c r="AE165" s="182"/>
      <c r="AF165" s="182"/>
      <c r="AG165" s="182"/>
      <c r="AH165" s="182"/>
      <c r="AI165" s="182"/>
      <c r="AJ165" s="187">
        <f>IFERROR(__xludf.DUMMYFUNCTION("""COMPUTED_VALUE"""),45793.0)</f>
        <v>45793</v>
      </c>
      <c r="AK165" s="187">
        <f>IFERROR(__xludf.DUMMYFUNCTION("""COMPUTED_VALUE"""),45801.0)</f>
        <v>45801</v>
      </c>
      <c r="AL165" s="182" t="b">
        <f>IFERROR(__xludf.DUMMYFUNCTION("""COMPUTED_VALUE"""),FALSE)</f>
        <v>0</v>
      </c>
      <c r="AM165" s="182"/>
      <c r="AN165" s="187">
        <f>IFERROR(__xludf.DUMMYFUNCTION("""COMPUTED_VALUE"""),45801.0)</f>
        <v>45801</v>
      </c>
      <c r="AO165" s="182" t="b">
        <f>IFERROR(__xludf.DUMMYFUNCTION("""COMPUTED_VALUE"""),FALSE)</f>
        <v>0</v>
      </c>
      <c r="AP165" s="182"/>
      <c r="AQ165" s="182"/>
      <c r="AR165" s="182"/>
      <c r="AS165" s="182"/>
      <c r="AT165" s="182"/>
      <c r="AU165" s="182"/>
      <c r="AV165" s="187">
        <f>IFERROR(__xludf.DUMMYFUNCTION("""COMPUTED_VALUE"""),45801.0)</f>
        <v>45801</v>
      </c>
      <c r="AW165" s="182"/>
      <c r="AX165" s="182"/>
      <c r="AY165" s="182"/>
      <c r="AZ165" s="187">
        <f>IFERROR(__xludf.DUMMYFUNCTION("""COMPUTED_VALUE"""),45827.0)</f>
        <v>45827</v>
      </c>
      <c r="BA165" s="182" t="b">
        <f>IFERROR(__xludf.DUMMYFUNCTION("""COMPUTED_VALUE"""),FALSE)</f>
        <v>0</v>
      </c>
      <c r="BB165" s="187">
        <f>IFERROR(__xludf.DUMMYFUNCTION("""COMPUTED_VALUE"""),45827.0)</f>
        <v>45827</v>
      </c>
    </row>
    <row r="166">
      <c r="A166" s="184" t="str">
        <f t="shared" si="1"/>
        <v>#VALUE!</v>
      </c>
      <c r="B166" s="69" t="str">
        <f t="shared" si="2"/>
        <v>#VALUE!</v>
      </c>
      <c r="C166" s="182" t="str">
        <f>IFERROR(__xludf.DUMMYFUNCTION("""COMPUTED_VALUE"""),"IN")</f>
        <v>IN</v>
      </c>
      <c r="D166" s="182" t="str">
        <f>IFERROR(__xludf.DUMMYFUNCTION("""COMPUTED_VALUE"""),"MP")</f>
        <v>MP</v>
      </c>
      <c r="E166" s="182" t="str">
        <f>IFERROR(__xludf.DUMMYFUNCTION("""COMPUTED_VALUE"""),"CLNR")</f>
        <v>CLNR</v>
      </c>
      <c r="F166" s="182" t="str">
        <f>IFERROR(__xludf.DUMMYFUNCTION("""COMPUTED_VALUE"""),"CLNRGA10519")</f>
        <v>CLNRGA10519</v>
      </c>
      <c r="G166" s="182" t="str">
        <f>IFERROR(__xludf.DUMMYFUNCTION("""COMPUTED_VALUE"""),"GEHN3")</f>
        <v>GEHN3</v>
      </c>
      <c r="H166" s="182">
        <f>IFERROR(__xludf.DUMMYFUNCTION("""COMPUTED_VALUE"""),8.40353937437E11)</f>
        <v>840353937437</v>
      </c>
      <c r="I166" s="185" t="str">
        <f>IFERROR(__xludf.DUMMYFUNCTION("""COMPUTED_VALUE"""),"0840353937437")</f>
        <v>0840353937437</v>
      </c>
      <c r="J166" s="182"/>
      <c r="K166" s="182"/>
      <c r="L166" s="182"/>
      <c r="M166" s="182" t="str">
        <f>IFERROR(__xludf.DUMMYFUNCTION("""COMPUTED_VALUE"""),"N/A")</f>
        <v>N/A</v>
      </c>
      <c r="N166" s="182"/>
      <c r="O166" s="182" t="str">
        <f>IFERROR(__xludf.DUMMYFUNCTION("""COMPUTED_VALUE"""),"N/A")</f>
        <v>N/A</v>
      </c>
      <c r="P166" s="182"/>
      <c r="Q166" s="182" t="str">
        <f>IFERROR(__xludf.DUMMYFUNCTION("""COMPUTED_VALUE"""),"512GB")</f>
        <v>512GB</v>
      </c>
      <c r="R166" s="182" t="str">
        <f>IFERROR(__xludf.DUMMYFUNCTION("""COMPUTED_VALUE"""),"Obsidian")</f>
        <v>Obsidian</v>
      </c>
      <c r="S166" s="182" t="str">
        <f>IFERROR(__xludf.DUMMYFUNCTION("""COMPUTED_VALUE"""),"Midnight")</f>
        <v>Midnight</v>
      </c>
      <c r="T166" s="182" t="str">
        <f>IFERROR(__xludf.DUMMYFUNCTION("""COMPUTED_VALUE"""),"IN")</f>
        <v>IN</v>
      </c>
      <c r="U166" s="182" t="str">
        <f>IFERROR(__xludf.DUMMYFUNCTION("""COMPUTED_VALUE"""),"SKU,CLR1, BEST, SUB6, IN, BZ5, FRU")</f>
        <v>SKU,CLR1, BEST, SUB6, IN, BZ5, FRU</v>
      </c>
      <c r="V166" s="182"/>
      <c r="W166" s="183" t="str">
        <f>IFERROR(__xludf.DUMMYFUNCTION("""COMPUTED_VALUE"""),"#NUM!")</f>
        <v>#NUM!</v>
      </c>
      <c r="X166" s="186">
        <f>IFERROR(__xludf.DUMMYFUNCTION("""COMPUTED_VALUE"""),45831.0)</f>
        <v>45831</v>
      </c>
      <c r="Y166" s="187">
        <f>IFERROR(__xludf.DUMMYFUNCTION("""COMPUTED_VALUE"""),45780.0)</f>
        <v>45780</v>
      </c>
      <c r="Z166" s="182" t="b">
        <f>IFERROR(__xludf.DUMMYFUNCTION("""COMPUTED_VALUE"""),FALSE)</f>
        <v>0</v>
      </c>
      <c r="AA166" s="187">
        <f>IFERROR(__xludf.DUMMYFUNCTION("""COMPUTED_VALUE"""),45780.0)</f>
        <v>45780</v>
      </c>
      <c r="AB166" s="182" t="b">
        <f>IFERROR(__xludf.DUMMYFUNCTION("""COMPUTED_VALUE"""),FALSE)</f>
        <v>0</v>
      </c>
      <c r="AC166" s="187">
        <f>IFERROR(__xludf.DUMMYFUNCTION("""COMPUTED_VALUE"""),45787.0)</f>
        <v>45787</v>
      </c>
      <c r="AD166" s="187">
        <f>IFERROR(__xludf.DUMMYFUNCTION("""COMPUTED_VALUE"""),45787.0)</f>
        <v>45787</v>
      </c>
      <c r="AE166" s="182"/>
      <c r="AF166" s="182"/>
      <c r="AG166" s="182"/>
      <c r="AH166" s="182"/>
      <c r="AI166" s="182"/>
      <c r="AJ166" s="187">
        <f>IFERROR(__xludf.DUMMYFUNCTION("""COMPUTED_VALUE"""),45793.0)</f>
        <v>45793</v>
      </c>
      <c r="AK166" s="187">
        <f>IFERROR(__xludf.DUMMYFUNCTION("""COMPUTED_VALUE"""),45801.0)</f>
        <v>45801</v>
      </c>
      <c r="AL166" s="182" t="b">
        <f>IFERROR(__xludf.DUMMYFUNCTION("""COMPUTED_VALUE"""),FALSE)</f>
        <v>0</v>
      </c>
      <c r="AM166" s="182"/>
      <c r="AN166" s="187">
        <f>IFERROR(__xludf.DUMMYFUNCTION("""COMPUTED_VALUE"""),45801.0)</f>
        <v>45801</v>
      </c>
      <c r="AO166" s="182" t="b">
        <f>IFERROR(__xludf.DUMMYFUNCTION("""COMPUTED_VALUE"""),FALSE)</f>
        <v>0</v>
      </c>
      <c r="AP166" s="182"/>
      <c r="AQ166" s="182"/>
      <c r="AR166" s="182"/>
      <c r="AS166" s="182"/>
      <c r="AT166" s="182"/>
      <c r="AU166" s="182"/>
      <c r="AV166" s="187">
        <f>IFERROR(__xludf.DUMMYFUNCTION("""COMPUTED_VALUE"""),45801.0)</f>
        <v>45801</v>
      </c>
      <c r="AW166" s="182"/>
      <c r="AX166" s="182"/>
      <c r="AY166" s="182"/>
      <c r="AZ166" s="187">
        <f>IFERROR(__xludf.DUMMYFUNCTION("""COMPUTED_VALUE"""),45827.0)</f>
        <v>45827</v>
      </c>
      <c r="BA166" s="182" t="b">
        <f>IFERROR(__xludf.DUMMYFUNCTION("""COMPUTED_VALUE"""),FALSE)</f>
        <v>0</v>
      </c>
      <c r="BB166" s="187">
        <f>IFERROR(__xludf.DUMMYFUNCTION("""COMPUTED_VALUE"""),45827.0)</f>
        <v>45827</v>
      </c>
    </row>
    <row r="167">
      <c r="A167" s="184" t="str">
        <f t="shared" si="1"/>
        <v>#VALUE!</v>
      </c>
      <c r="B167" s="69" t="str">
        <f t="shared" si="2"/>
        <v>#VALUE!</v>
      </c>
      <c r="C167" s="182" t="str">
        <f>IFERROR(__xludf.DUMMYFUNCTION("""COMPUTED_VALUE"""),"IN")</f>
        <v>IN</v>
      </c>
      <c r="D167" s="182" t="str">
        <f>IFERROR(__xludf.DUMMYFUNCTION("""COMPUTED_VALUE"""),"MP")</f>
        <v>MP</v>
      </c>
      <c r="E167" s="182" t="str">
        <f>IFERROR(__xludf.DUMMYFUNCTION("""COMPUTED_VALUE"""),"CLNR")</f>
        <v>CLNR</v>
      </c>
      <c r="F167" s="182" t="str">
        <f>IFERROR(__xludf.DUMMYFUNCTION("""COMPUTED_VALUE"""),"CLNRGA10520")</f>
        <v>CLNRGA10520</v>
      </c>
      <c r="G167" s="182" t="str">
        <f>IFERROR(__xludf.DUMMYFUNCTION("""COMPUTED_VALUE"""),"GEHN3")</f>
        <v>GEHN3</v>
      </c>
      <c r="H167" s="182">
        <f>IFERROR(__xludf.DUMMYFUNCTION("""COMPUTED_VALUE"""),8.840353937444E12)</f>
        <v>8840353937444</v>
      </c>
      <c r="I167" s="185" t="str">
        <f>IFERROR(__xludf.DUMMYFUNCTION("""COMPUTED_VALUE"""),"0840353937444")</f>
        <v>0840353937444</v>
      </c>
      <c r="J167" s="182"/>
      <c r="K167" s="182"/>
      <c r="L167" s="182"/>
      <c r="M167" s="182" t="str">
        <f>IFERROR(__xludf.DUMMYFUNCTION("""COMPUTED_VALUE"""),"N/A")</f>
        <v>N/A</v>
      </c>
      <c r="N167" s="182"/>
      <c r="O167" s="182" t="str">
        <f>IFERROR(__xludf.DUMMYFUNCTION("""COMPUTED_VALUE"""),"N/A")</f>
        <v>N/A</v>
      </c>
      <c r="P167" s="182"/>
      <c r="Q167" s="182" t="str">
        <f>IFERROR(__xludf.DUMMYFUNCTION("""COMPUTED_VALUE"""),"512GB")</f>
        <v>512GB</v>
      </c>
      <c r="R167" s="182" t="str">
        <f>IFERROR(__xludf.DUMMYFUNCTION("""COMPUTED_VALUE"""),"Porcelain")</f>
        <v>Porcelain</v>
      </c>
      <c r="S167" s="182" t="str">
        <f>IFERROR(__xludf.DUMMYFUNCTION("""COMPUTED_VALUE"""),"Light Porcelain")</f>
        <v>Light Porcelain</v>
      </c>
      <c r="T167" s="182" t="str">
        <f>IFERROR(__xludf.DUMMYFUNCTION("""COMPUTED_VALUE"""),"IN")</f>
        <v>IN</v>
      </c>
      <c r="U167" s="182" t="str">
        <f>IFERROR(__xludf.DUMMYFUNCTION("""COMPUTED_VALUE"""),"SKU,CLR2, BEST, SUB6, IN, BZ5, FRU")</f>
        <v>SKU,CLR2, BEST, SUB6, IN, BZ5, FRU</v>
      </c>
      <c r="V167" s="182"/>
      <c r="W167" s="183" t="str">
        <f>IFERROR(__xludf.DUMMYFUNCTION("""COMPUTED_VALUE"""),"#NUM!")</f>
        <v>#NUM!</v>
      </c>
      <c r="X167" s="186">
        <f>IFERROR(__xludf.DUMMYFUNCTION("""COMPUTED_VALUE"""),45831.0)</f>
        <v>45831</v>
      </c>
      <c r="Y167" s="187">
        <f>IFERROR(__xludf.DUMMYFUNCTION("""COMPUTED_VALUE"""),45780.0)</f>
        <v>45780</v>
      </c>
      <c r="Z167" s="182" t="b">
        <f>IFERROR(__xludf.DUMMYFUNCTION("""COMPUTED_VALUE"""),FALSE)</f>
        <v>0</v>
      </c>
      <c r="AA167" s="187">
        <f>IFERROR(__xludf.DUMMYFUNCTION("""COMPUTED_VALUE"""),45780.0)</f>
        <v>45780</v>
      </c>
      <c r="AB167" s="182" t="b">
        <f>IFERROR(__xludf.DUMMYFUNCTION("""COMPUTED_VALUE"""),FALSE)</f>
        <v>0</v>
      </c>
      <c r="AC167" s="187">
        <f>IFERROR(__xludf.DUMMYFUNCTION("""COMPUTED_VALUE"""),45787.0)</f>
        <v>45787</v>
      </c>
      <c r="AD167" s="187">
        <f>IFERROR(__xludf.DUMMYFUNCTION("""COMPUTED_VALUE"""),45787.0)</f>
        <v>45787</v>
      </c>
      <c r="AE167" s="182"/>
      <c r="AF167" s="182"/>
      <c r="AG167" s="182"/>
      <c r="AH167" s="182"/>
      <c r="AI167" s="182"/>
      <c r="AJ167" s="187">
        <f>IFERROR(__xludf.DUMMYFUNCTION("""COMPUTED_VALUE"""),45793.0)</f>
        <v>45793</v>
      </c>
      <c r="AK167" s="187">
        <f>IFERROR(__xludf.DUMMYFUNCTION("""COMPUTED_VALUE"""),45801.0)</f>
        <v>45801</v>
      </c>
      <c r="AL167" s="182" t="b">
        <f>IFERROR(__xludf.DUMMYFUNCTION("""COMPUTED_VALUE"""),FALSE)</f>
        <v>0</v>
      </c>
      <c r="AM167" s="182"/>
      <c r="AN167" s="187">
        <f>IFERROR(__xludf.DUMMYFUNCTION("""COMPUTED_VALUE"""),45801.0)</f>
        <v>45801</v>
      </c>
      <c r="AO167" s="182" t="b">
        <f>IFERROR(__xludf.DUMMYFUNCTION("""COMPUTED_VALUE"""),FALSE)</f>
        <v>0</v>
      </c>
      <c r="AP167" s="182"/>
      <c r="AQ167" s="182"/>
      <c r="AR167" s="182"/>
      <c r="AS167" s="182"/>
      <c r="AT167" s="182"/>
      <c r="AU167" s="182"/>
      <c r="AV167" s="187">
        <f>IFERROR(__xludf.DUMMYFUNCTION("""COMPUTED_VALUE"""),45801.0)</f>
        <v>45801</v>
      </c>
      <c r="AW167" s="182"/>
      <c r="AX167" s="182"/>
      <c r="AY167" s="182"/>
      <c r="AZ167" s="187">
        <f>IFERROR(__xludf.DUMMYFUNCTION("""COMPUTED_VALUE"""),45827.0)</f>
        <v>45827</v>
      </c>
      <c r="BA167" s="182" t="b">
        <f>IFERROR(__xludf.DUMMYFUNCTION("""COMPUTED_VALUE"""),FALSE)</f>
        <v>0</v>
      </c>
      <c r="BB167" s="187">
        <f>IFERROR(__xludf.DUMMYFUNCTION("""COMPUTED_VALUE"""),45827.0)</f>
        <v>45827</v>
      </c>
    </row>
    <row r="168">
      <c r="A168" s="184" t="str">
        <f t="shared" si="1"/>
        <v>#VALUE!</v>
      </c>
      <c r="B168" s="69" t="str">
        <f t="shared" si="2"/>
        <v>#VALUE!</v>
      </c>
      <c r="C168" s="182" t="str">
        <f>IFERROR(__xludf.DUMMYFUNCTION("""COMPUTED_VALUE"""),"IN")</f>
        <v>IN</v>
      </c>
      <c r="D168" s="182" t="str">
        <f>IFERROR(__xludf.DUMMYFUNCTION("""COMPUTED_VALUE"""),"MP")</f>
        <v>MP</v>
      </c>
      <c r="E168" s="182" t="str">
        <f>IFERROR(__xludf.DUMMYFUNCTION("""COMPUTED_VALUE"""),"CLNR")</f>
        <v>CLNR</v>
      </c>
      <c r="F168" s="182" t="str">
        <f>IFERROR(__xludf.DUMMYFUNCTION("""COMPUTED_VALUE"""),"CLNRGA10521")</f>
        <v>CLNRGA10521</v>
      </c>
      <c r="G168" s="182" t="str">
        <f>IFERROR(__xludf.DUMMYFUNCTION("""COMPUTED_VALUE"""),"GEHN3")</f>
        <v>GEHN3</v>
      </c>
      <c r="H168" s="182">
        <f>IFERROR(__xludf.DUMMYFUNCTION("""COMPUTED_VALUE"""),8.40353937451E11)</f>
        <v>840353937451</v>
      </c>
      <c r="I168" s="185" t="str">
        <f>IFERROR(__xludf.DUMMYFUNCTION("""COMPUTED_VALUE"""),"0840353937451")</f>
        <v>0840353937451</v>
      </c>
      <c r="J168" s="182"/>
      <c r="K168" s="182"/>
      <c r="L168" s="182"/>
      <c r="M168" s="182" t="str">
        <f>IFERROR(__xludf.DUMMYFUNCTION("""COMPUTED_VALUE"""),"N/A")</f>
        <v>N/A</v>
      </c>
      <c r="N168" s="182"/>
      <c r="O168" s="182" t="str">
        <f>IFERROR(__xludf.DUMMYFUNCTION("""COMPUTED_VALUE"""),"N/A")</f>
        <v>N/A</v>
      </c>
      <c r="P168" s="182"/>
      <c r="Q168" s="182" t="str">
        <f>IFERROR(__xludf.DUMMYFUNCTION("""COMPUTED_VALUE"""),"512GB")</f>
        <v>512GB</v>
      </c>
      <c r="R168" s="182" t="str">
        <f>IFERROR(__xludf.DUMMYFUNCTION("""COMPUTED_VALUE"""),"Moonstone")</f>
        <v>Moonstone</v>
      </c>
      <c r="S168" s="182" t="str">
        <f>IFERROR(__xludf.DUMMYFUNCTION("""COMPUTED_VALUE"""),"Sterling")</f>
        <v>Sterling</v>
      </c>
      <c r="T168" s="182" t="str">
        <f>IFERROR(__xludf.DUMMYFUNCTION("""COMPUTED_VALUE"""),"IN")</f>
        <v>IN</v>
      </c>
      <c r="U168" s="182" t="str">
        <f>IFERROR(__xludf.DUMMYFUNCTION("""COMPUTED_VALUE"""),"SKU,CLR3, BEST, SUB6, IN, BZ5, FRU")</f>
        <v>SKU,CLR3, BEST, SUB6, IN, BZ5, FRU</v>
      </c>
      <c r="V168" s="182"/>
      <c r="W168" s="183" t="str">
        <f>IFERROR(__xludf.DUMMYFUNCTION("""COMPUTED_VALUE"""),"#NUM!")</f>
        <v>#NUM!</v>
      </c>
      <c r="X168" s="186">
        <f>IFERROR(__xludf.DUMMYFUNCTION("""COMPUTED_VALUE"""),45831.0)</f>
        <v>45831</v>
      </c>
      <c r="Y168" s="187">
        <f>IFERROR(__xludf.DUMMYFUNCTION("""COMPUTED_VALUE"""),45780.0)</f>
        <v>45780</v>
      </c>
      <c r="Z168" s="182" t="b">
        <f>IFERROR(__xludf.DUMMYFUNCTION("""COMPUTED_VALUE"""),FALSE)</f>
        <v>0</v>
      </c>
      <c r="AA168" s="187">
        <f>IFERROR(__xludf.DUMMYFUNCTION("""COMPUTED_VALUE"""),45780.0)</f>
        <v>45780</v>
      </c>
      <c r="AB168" s="182" t="b">
        <f>IFERROR(__xludf.DUMMYFUNCTION("""COMPUTED_VALUE"""),FALSE)</f>
        <v>0</v>
      </c>
      <c r="AC168" s="187">
        <f>IFERROR(__xludf.DUMMYFUNCTION("""COMPUTED_VALUE"""),45787.0)</f>
        <v>45787</v>
      </c>
      <c r="AD168" s="187">
        <f>IFERROR(__xludf.DUMMYFUNCTION("""COMPUTED_VALUE"""),45787.0)</f>
        <v>45787</v>
      </c>
      <c r="AE168" s="182"/>
      <c r="AF168" s="182"/>
      <c r="AG168" s="182"/>
      <c r="AH168" s="182"/>
      <c r="AI168" s="182"/>
      <c r="AJ168" s="187">
        <f>IFERROR(__xludf.DUMMYFUNCTION("""COMPUTED_VALUE"""),45793.0)</f>
        <v>45793</v>
      </c>
      <c r="AK168" s="187">
        <f>IFERROR(__xludf.DUMMYFUNCTION("""COMPUTED_VALUE"""),45801.0)</f>
        <v>45801</v>
      </c>
      <c r="AL168" s="182" t="b">
        <f>IFERROR(__xludf.DUMMYFUNCTION("""COMPUTED_VALUE"""),FALSE)</f>
        <v>0</v>
      </c>
      <c r="AM168" s="182"/>
      <c r="AN168" s="187">
        <f>IFERROR(__xludf.DUMMYFUNCTION("""COMPUTED_VALUE"""),45801.0)</f>
        <v>45801</v>
      </c>
      <c r="AO168" s="182" t="b">
        <f>IFERROR(__xludf.DUMMYFUNCTION("""COMPUTED_VALUE"""),FALSE)</f>
        <v>0</v>
      </c>
      <c r="AP168" s="182"/>
      <c r="AQ168" s="182"/>
      <c r="AR168" s="182"/>
      <c r="AS168" s="182"/>
      <c r="AT168" s="182"/>
      <c r="AU168" s="182"/>
      <c r="AV168" s="187">
        <f>IFERROR(__xludf.DUMMYFUNCTION("""COMPUTED_VALUE"""),45801.0)</f>
        <v>45801</v>
      </c>
      <c r="AW168" s="182"/>
      <c r="AX168" s="182"/>
      <c r="AY168" s="182"/>
      <c r="AZ168" s="187">
        <f>IFERROR(__xludf.DUMMYFUNCTION("""COMPUTED_VALUE"""),45827.0)</f>
        <v>45827</v>
      </c>
      <c r="BA168" s="182" t="b">
        <f>IFERROR(__xludf.DUMMYFUNCTION("""COMPUTED_VALUE"""),FALSE)</f>
        <v>0</v>
      </c>
      <c r="BB168" s="187">
        <f>IFERROR(__xludf.DUMMYFUNCTION("""COMPUTED_VALUE"""),45827.0)</f>
        <v>45827</v>
      </c>
    </row>
    <row r="169">
      <c r="A169" s="184" t="str">
        <f t="shared" si="1"/>
        <v>#VALUE!</v>
      </c>
      <c r="B169" s="69" t="str">
        <f t="shared" si="2"/>
        <v>#VALUE!</v>
      </c>
      <c r="C169" s="182" t="str">
        <f>IFERROR(__xludf.DUMMYFUNCTION("""COMPUTED_VALUE"""),"IN")</f>
        <v>IN</v>
      </c>
      <c r="D169" s="182" t="str">
        <f>IFERROR(__xludf.DUMMYFUNCTION("""COMPUTED_VALUE"""),"MP")</f>
        <v>MP</v>
      </c>
      <c r="E169" s="182" t="str">
        <f>IFERROR(__xludf.DUMMYFUNCTION("""COMPUTED_VALUE"""),"CLNR")</f>
        <v>CLNR</v>
      </c>
      <c r="F169" s="182" t="str">
        <f>IFERROR(__xludf.DUMMYFUNCTION("""COMPUTED_VALUE"""),"CLNRGA10522")</f>
        <v>CLNRGA10522</v>
      </c>
      <c r="G169" s="182" t="str">
        <f>IFERROR(__xludf.DUMMYFUNCTION("""COMPUTED_VALUE"""),"GEHN3")</f>
        <v>GEHN3</v>
      </c>
      <c r="H169" s="182">
        <f>IFERROR(__xludf.DUMMYFUNCTION("""COMPUTED_VALUE"""),8.40353937468E11)</f>
        <v>840353937468</v>
      </c>
      <c r="I169" s="185" t="str">
        <f>IFERROR(__xludf.DUMMYFUNCTION("""COMPUTED_VALUE"""),"0840353937468")</f>
        <v>0840353937468</v>
      </c>
      <c r="J169" s="182"/>
      <c r="K169" s="182"/>
      <c r="L169" s="182"/>
      <c r="M169" s="182" t="str">
        <f>IFERROR(__xludf.DUMMYFUNCTION("""COMPUTED_VALUE"""),"N/A")</f>
        <v>N/A</v>
      </c>
      <c r="N169" s="182"/>
      <c r="O169" s="182" t="str">
        <f>IFERROR(__xludf.DUMMYFUNCTION("""COMPUTED_VALUE"""),"N/A")</f>
        <v>N/A</v>
      </c>
      <c r="P169" s="182"/>
      <c r="Q169" s="182" t="str">
        <f>IFERROR(__xludf.DUMMYFUNCTION("""COMPUTED_VALUE"""),"512GB")</f>
        <v>512GB</v>
      </c>
      <c r="R169" s="182" t="str">
        <f>IFERROR(__xludf.DUMMYFUNCTION("""COMPUTED_VALUE"""),"Jade")</f>
        <v>Jade</v>
      </c>
      <c r="S169" s="182" t="str">
        <f>IFERROR(__xludf.DUMMYFUNCTION("""COMPUTED_VALUE"""),"Smokey Green")</f>
        <v>Smokey Green</v>
      </c>
      <c r="T169" s="182" t="str">
        <f>IFERROR(__xludf.DUMMYFUNCTION("""COMPUTED_VALUE"""),"IN")</f>
        <v>IN</v>
      </c>
      <c r="U169" s="182" t="str">
        <f>IFERROR(__xludf.DUMMYFUNCTION("""COMPUTED_VALUE"""),"SKU,CLR4, BEST, SUB6, IN, BZ5, FRU")</f>
        <v>SKU,CLR4, BEST, SUB6, IN, BZ5, FRU</v>
      </c>
      <c r="V169" s="182"/>
      <c r="W169" s="183" t="str">
        <f>IFERROR(__xludf.DUMMYFUNCTION("""COMPUTED_VALUE"""),"#NUM!")</f>
        <v>#NUM!</v>
      </c>
      <c r="X169" s="186">
        <f>IFERROR(__xludf.DUMMYFUNCTION("""COMPUTED_VALUE"""),45831.0)</f>
        <v>45831</v>
      </c>
      <c r="Y169" s="187">
        <f>IFERROR(__xludf.DUMMYFUNCTION("""COMPUTED_VALUE"""),45780.0)</f>
        <v>45780</v>
      </c>
      <c r="Z169" s="182" t="b">
        <f>IFERROR(__xludf.DUMMYFUNCTION("""COMPUTED_VALUE"""),FALSE)</f>
        <v>0</v>
      </c>
      <c r="AA169" s="187">
        <f>IFERROR(__xludf.DUMMYFUNCTION("""COMPUTED_VALUE"""),45780.0)</f>
        <v>45780</v>
      </c>
      <c r="AB169" s="182" t="b">
        <f>IFERROR(__xludf.DUMMYFUNCTION("""COMPUTED_VALUE"""),FALSE)</f>
        <v>0</v>
      </c>
      <c r="AC169" s="187">
        <f>IFERROR(__xludf.DUMMYFUNCTION("""COMPUTED_VALUE"""),45787.0)</f>
        <v>45787</v>
      </c>
      <c r="AD169" s="187">
        <f>IFERROR(__xludf.DUMMYFUNCTION("""COMPUTED_VALUE"""),45787.0)</f>
        <v>45787</v>
      </c>
      <c r="AE169" s="182"/>
      <c r="AF169" s="182"/>
      <c r="AG169" s="182"/>
      <c r="AH169" s="182"/>
      <c r="AI169" s="182"/>
      <c r="AJ169" s="187">
        <f>IFERROR(__xludf.DUMMYFUNCTION("""COMPUTED_VALUE"""),45793.0)</f>
        <v>45793</v>
      </c>
      <c r="AK169" s="187">
        <f>IFERROR(__xludf.DUMMYFUNCTION("""COMPUTED_VALUE"""),45801.0)</f>
        <v>45801</v>
      </c>
      <c r="AL169" s="182" t="b">
        <f>IFERROR(__xludf.DUMMYFUNCTION("""COMPUTED_VALUE"""),FALSE)</f>
        <v>0</v>
      </c>
      <c r="AM169" s="182"/>
      <c r="AN169" s="187">
        <f>IFERROR(__xludf.DUMMYFUNCTION("""COMPUTED_VALUE"""),45801.0)</f>
        <v>45801</v>
      </c>
      <c r="AO169" s="182" t="b">
        <f>IFERROR(__xludf.DUMMYFUNCTION("""COMPUTED_VALUE"""),FALSE)</f>
        <v>0</v>
      </c>
      <c r="AP169" s="182"/>
      <c r="AQ169" s="182"/>
      <c r="AR169" s="182"/>
      <c r="AS169" s="182"/>
      <c r="AT169" s="182"/>
      <c r="AU169" s="182"/>
      <c r="AV169" s="187">
        <f>IFERROR(__xludf.DUMMYFUNCTION("""COMPUTED_VALUE"""),45801.0)</f>
        <v>45801</v>
      </c>
      <c r="AW169" s="182"/>
      <c r="AX169" s="182"/>
      <c r="AY169" s="182"/>
      <c r="AZ169" s="187">
        <f>IFERROR(__xludf.DUMMYFUNCTION("""COMPUTED_VALUE"""),45827.0)</f>
        <v>45827</v>
      </c>
      <c r="BA169" s="182" t="b">
        <f>IFERROR(__xludf.DUMMYFUNCTION("""COMPUTED_VALUE"""),FALSE)</f>
        <v>0</v>
      </c>
      <c r="BB169" s="187">
        <f>IFERROR(__xludf.DUMMYFUNCTION("""COMPUTED_VALUE"""),45827.0)</f>
        <v>45827</v>
      </c>
    </row>
    <row r="170">
      <c r="A170" s="184" t="str">
        <f t="shared" si="1"/>
        <v>#VALUE!</v>
      </c>
      <c r="B170" s="69" t="str">
        <f t="shared" si="2"/>
        <v>#VALUE!</v>
      </c>
      <c r="C170" s="182" t="str">
        <f>IFERROR(__xludf.DUMMYFUNCTION("""COMPUTED_VALUE"""),"IN")</f>
        <v>IN</v>
      </c>
      <c r="D170" s="182" t="str">
        <f>IFERROR(__xludf.DUMMYFUNCTION("""COMPUTED_VALUE"""),"MP")</f>
        <v>MP</v>
      </c>
      <c r="E170" s="182" t="str">
        <f>IFERROR(__xludf.DUMMYFUNCTION("""COMPUTED_VALUE"""),"CLNR")</f>
        <v>CLNR</v>
      </c>
      <c r="F170" s="182" t="str">
        <f>IFERROR(__xludf.DUMMYFUNCTION("""COMPUTED_VALUE"""),"CLNRGA10523")</f>
        <v>CLNRGA10523</v>
      </c>
      <c r="G170" s="182" t="str">
        <f>IFERROR(__xludf.DUMMYFUNCTION("""COMPUTED_VALUE"""),"GEHN3")</f>
        <v>GEHN3</v>
      </c>
      <c r="H170" s="182">
        <f>IFERROR(__xludf.DUMMYFUNCTION("""COMPUTED_VALUE"""),8.40353937475E11)</f>
        <v>840353937475</v>
      </c>
      <c r="I170" s="185" t="str">
        <f>IFERROR(__xludf.DUMMYFUNCTION("""COMPUTED_VALUE"""),"0840353937475")</f>
        <v>0840353937475</v>
      </c>
      <c r="J170" s="182"/>
      <c r="K170" s="182"/>
      <c r="L170" s="182"/>
      <c r="M170" s="182" t="str">
        <f>IFERROR(__xludf.DUMMYFUNCTION("""COMPUTED_VALUE"""),"N/A")</f>
        <v>N/A</v>
      </c>
      <c r="N170" s="182"/>
      <c r="O170" s="182" t="str">
        <f>IFERROR(__xludf.DUMMYFUNCTION("""COMPUTED_VALUE"""),"N/A")</f>
        <v>N/A</v>
      </c>
      <c r="P170" s="182"/>
      <c r="Q170" s="182" t="str">
        <f>IFERROR(__xludf.DUMMYFUNCTION("""COMPUTED_VALUE"""),"1TB")</f>
        <v>1TB</v>
      </c>
      <c r="R170" s="182" t="str">
        <f>IFERROR(__xludf.DUMMYFUNCTION("""COMPUTED_VALUE"""),"Obsidian")</f>
        <v>Obsidian</v>
      </c>
      <c r="S170" s="182" t="str">
        <f>IFERROR(__xludf.DUMMYFUNCTION("""COMPUTED_VALUE"""),"Midnight")</f>
        <v>Midnight</v>
      </c>
      <c r="T170" s="182" t="str">
        <f>IFERROR(__xludf.DUMMYFUNCTION("""COMPUTED_VALUE"""),"IN")</f>
        <v>IN</v>
      </c>
      <c r="U170" s="182" t="str">
        <f>IFERROR(__xludf.DUMMYFUNCTION("""COMPUTED_VALUE"""),"SKU,CLR1, ULTRA, SUB6, IN, BZ5, FRU")</f>
        <v>SKU,CLR1, ULTRA, SUB6, IN, BZ5, FRU</v>
      </c>
      <c r="V170" s="182"/>
      <c r="W170" s="183" t="str">
        <f>IFERROR(__xludf.DUMMYFUNCTION("""COMPUTED_VALUE"""),"#NUM!")</f>
        <v>#NUM!</v>
      </c>
      <c r="X170" s="186">
        <f>IFERROR(__xludf.DUMMYFUNCTION("""COMPUTED_VALUE"""),45831.0)</f>
        <v>45831</v>
      </c>
      <c r="Y170" s="187">
        <f>IFERROR(__xludf.DUMMYFUNCTION("""COMPUTED_VALUE"""),45780.0)</f>
        <v>45780</v>
      </c>
      <c r="Z170" s="182" t="b">
        <f>IFERROR(__xludf.DUMMYFUNCTION("""COMPUTED_VALUE"""),FALSE)</f>
        <v>0</v>
      </c>
      <c r="AA170" s="187">
        <f>IFERROR(__xludf.DUMMYFUNCTION("""COMPUTED_VALUE"""),45780.0)</f>
        <v>45780</v>
      </c>
      <c r="AB170" s="182" t="b">
        <f>IFERROR(__xludf.DUMMYFUNCTION("""COMPUTED_VALUE"""),FALSE)</f>
        <v>0</v>
      </c>
      <c r="AC170" s="187">
        <f>IFERROR(__xludf.DUMMYFUNCTION("""COMPUTED_VALUE"""),45787.0)</f>
        <v>45787</v>
      </c>
      <c r="AD170" s="187">
        <f>IFERROR(__xludf.DUMMYFUNCTION("""COMPUTED_VALUE"""),45787.0)</f>
        <v>45787</v>
      </c>
      <c r="AE170" s="182"/>
      <c r="AF170" s="182"/>
      <c r="AG170" s="182"/>
      <c r="AH170" s="182"/>
      <c r="AI170" s="182"/>
      <c r="AJ170" s="187">
        <f>IFERROR(__xludf.DUMMYFUNCTION("""COMPUTED_VALUE"""),45793.0)</f>
        <v>45793</v>
      </c>
      <c r="AK170" s="187">
        <f>IFERROR(__xludf.DUMMYFUNCTION("""COMPUTED_VALUE"""),45801.0)</f>
        <v>45801</v>
      </c>
      <c r="AL170" s="182" t="b">
        <f>IFERROR(__xludf.DUMMYFUNCTION("""COMPUTED_VALUE"""),FALSE)</f>
        <v>0</v>
      </c>
      <c r="AM170" s="182"/>
      <c r="AN170" s="187">
        <f>IFERROR(__xludf.DUMMYFUNCTION("""COMPUTED_VALUE"""),45801.0)</f>
        <v>45801</v>
      </c>
      <c r="AO170" s="182" t="b">
        <f>IFERROR(__xludf.DUMMYFUNCTION("""COMPUTED_VALUE"""),FALSE)</f>
        <v>0</v>
      </c>
      <c r="AP170" s="182"/>
      <c r="AQ170" s="182"/>
      <c r="AR170" s="182"/>
      <c r="AS170" s="182"/>
      <c r="AT170" s="182"/>
      <c r="AU170" s="182"/>
      <c r="AV170" s="187">
        <f>IFERROR(__xludf.DUMMYFUNCTION("""COMPUTED_VALUE"""),45801.0)</f>
        <v>45801</v>
      </c>
      <c r="AW170" s="182"/>
      <c r="AX170" s="182"/>
      <c r="AY170" s="182"/>
      <c r="AZ170" s="187">
        <f>IFERROR(__xludf.DUMMYFUNCTION("""COMPUTED_VALUE"""),45827.0)</f>
        <v>45827</v>
      </c>
      <c r="BA170" s="182" t="b">
        <f>IFERROR(__xludf.DUMMYFUNCTION("""COMPUTED_VALUE"""),FALSE)</f>
        <v>0</v>
      </c>
      <c r="BB170" s="187">
        <f>IFERROR(__xludf.DUMMYFUNCTION("""COMPUTED_VALUE"""),45827.0)</f>
        <v>45827</v>
      </c>
    </row>
    <row r="171">
      <c r="A171" s="184" t="str">
        <f t="shared" si="1"/>
        <v>#VALUE!</v>
      </c>
      <c r="B171" s="69" t="str">
        <f t="shared" si="2"/>
        <v>#VALUE!</v>
      </c>
      <c r="C171" s="182" t="str">
        <f>IFERROR(__xludf.DUMMYFUNCTION("""COMPUTED_VALUE"""),"IN")</f>
        <v>IN</v>
      </c>
      <c r="D171" s="182" t="str">
        <f>IFERROR(__xludf.DUMMYFUNCTION("""COMPUTED_VALUE"""),"MP")</f>
        <v>MP</v>
      </c>
      <c r="E171" s="182" t="str">
        <f>IFERROR(__xludf.DUMMYFUNCTION("""COMPUTED_VALUE"""),"CLNR")</f>
        <v>CLNR</v>
      </c>
      <c r="F171" s="182" t="str">
        <f>IFERROR(__xludf.DUMMYFUNCTION("""COMPUTED_VALUE"""),"CLNRGA10524")</f>
        <v>CLNRGA10524</v>
      </c>
      <c r="G171" s="182" t="str">
        <f>IFERROR(__xludf.DUMMYFUNCTION("""COMPUTED_VALUE"""),"GEHN3")</f>
        <v>GEHN3</v>
      </c>
      <c r="H171" s="182">
        <f>IFERROR(__xludf.DUMMYFUNCTION("""COMPUTED_VALUE"""),8.40353937482E11)</f>
        <v>840353937482</v>
      </c>
      <c r="I171" s="185" t="str">
        <f>IFERROR(__xludf.DUMMYFUNCTION("""COMPUTED_VALUE"""),"0840353937482")</f>
        <v>0840353937482</v>
      </c>
      <c r="J171" s="182"/>
      <c r="K171" s="182"/>
      <c r="L171" s="182"/>
      <c r="M171" s="182" t="str">
        <f>IFERROR(__xludf.DUMMYFUNCTION("""COMPUTED_VALUE"""),"N/A")</f>
        <v>N/A</v>
      </c>
      <c r="N171" s="182"/>
      <c r="O171" s="182" t="str">
        <f>IFERROR(__xludf.DUMMYFUNCTION("""COMPUTED_VALUE"""),"N/A")</f>
        <v>N/A</v>
      </c>
      <c r="P171" s="182"/>
      <c r="Q171" s="182" t="str">
        <f>IFERROR(__xludf.DUMMYFUNCTION("""COMPUTED_VALUE"""),"1TB")</f>
        <v>1TB</v>
      </c>
      <c r="R171" s="182" t="str">
        <f>IFERROR(__xludf.DUMMYFUNCTION("""COMPUTED_VALUE"""),"Moonstone")</f>
        <v>Moonstone</v>
      </c>
      <c r="S171" s="182" t="str">
        <f>IFERROR(__xludf.DUMMYFUNCTION("""COMPUTED_VALUE"""),"Sterling")</f>
        <v>Sterling</v>
      </c>
      <c r="T171" s="182" t="str">
        <f>IFERROR(__xludf.DUMMYFUNCTION("""COMPUTED_VALUE"""),"IN")</f>
        <v>IN</v>
      </c>
      <c r="U171" s="182" t="str">
        <f>IFERROR(__xludf.DUMMYFUNCTION("""COMPUTED_VALUE"""),"SKU,CLR3, ULTRA, SUB6, IN, BZ5, FRU")</f>
        <v>SKU,CLR3, ULTRA, SUB6, IN, BZ5, FRU</v>
      </c>
      <c r="V171" s="182"/>
      <c r="W171" s="183" t="str">
        <f>IFERROR(__xludf.DUMMYFUNCTION("""COMPUTED_VALUE"""),"#NUM!")</f>
        <v>#NUM!</v>
      </c>
      <c r="X171" s="186">
        <f>IFERROR(__xludf.DUMMYFUNCTION("""COMPUTED_VALUE"""),45831.0)</f>
        <v>45831</v>
      </c>
      <c r="Y171" s="187">
        <f>IFERROR(__xludf.DUMMYFUNCTION("""COMPUTED_VALUE"""),45780.0)</f>
        <v>45780</v>
      </c>
      <c r="Z171" s="182" t="b">
        <f>IFERROR(__xludf.DUMMYFUNCTION("""COMPUTED_VALUE"""),FALSE)</f>
        <v>0</v>
      </c>
      <c r="AA171" s="187">
        <f>IFERROR(__xludf.DUMMYFUNCTION("""COMPUTED_VALUE"""),45780.0)</f>
        <v>45780</v>
      </c>
      <c r="AB171" s="182" t="b">
        <f>IFERROR(__xludf.DUMMYFUNCTION("""COMPUTED_VALUE"""),FALSE)</f>
        <v>0</v>
      </c>
      <c r="AC171" s="187">
        <f>IFERROR(__xludf.DUMMYFUNCTION("""COMPUTED_VALUE"""),45787.0)</f>
        <v>45787</v>
      </c>
      <c r="AD171" s="187">
        <f>IFERROR(__xludf.DUMMYFUNCTION("""COMPUTED_VALUE"""),45787.0)</f>
        <v>45787</v>
      </c>
      <c r="AE171" s="182"/>
      <c r="AF171" s="182"/>
      <c r="AG171" s="182"/>
      <c r="AH171" s="182"/>
      <c r="AI171" s="182"/>
      <c r="AJ171" s="187">
        <f>IFERROR(__xludf.DUMMYFUNCTION("""COMPUTED_VALUE"""),45793.0)</f>
        <v>45793</v>
      </c>
      <c r="AK171" s="187">
        <f>IFERROR(__xludf.DUMMYFUNCTION("""COMPUTED_VALUE"""),45801.0)</f>
        <v>45801</v>
      </c>
      <c r="AL171" s="182" t="b">
        <f>IFERROR(__xludf.DUMMYFUNCTION("""COMPUTED_VALUE"""),FALSE)</f>
        <v>0</v>
      </c>
      <c r="AM171" s="182"/>
      <c r="AN171" s="187">
        <f>IFERROR(__xludf.DUMMYFUNCTION("""COMPUTED_VALUE"""),45801.0)</f>
        <v>45801</v>
      </c>
      <c r="AO171" s="182" t="b">
        <f>IFERROR(__xludf.DUMMYFUNCTION("""COMPUTED_VALUE"""),FALSE)</f>
        <v>0</v>
      </c>
      <c r="AP171" s="182"/>
      <c r="AQ171" s="182"/>
      <c r="AR171" s="182"/>
      <c r="AS171" s="182"/>
      <c r="AT171" s="182"/>
      <c r="AU171" s="182"/>
      <c r="AV171" s="187">
        <f>IFERROR(__xludf.DUMMYFUNCTION("""COMPUTED_VALUE"""),45801.0)</f>
        <v>45801</v>
      </c>
      <c r="AW171" s="182"/>
      <c r="AX171" s="182"/>
      <c r="AY171" s="182"/>
      <c r="AZ171" s="187">
        <f>IFERROR(__xludf.DUMMYFUNCTION("""COMPUTED_VALUE"""),45827.0)</f>
        <v>45827</v>
      </c>
      <c r="BA171" s="182" t="b">
        <f>IFERROR(__xludf.DUMMYFUNCTION("""COMPUTED_VALUE"""),FALSE)</f>
        <v>0</v>
      </c>
      <c r="BB171" s="187">
        <f>IFERROR(__xludf.DUMMYFUNCTION("""COMPUTED_VALUE"""),45827.0)</f>
        <v>45827</v>
      </c>
    </row>
    <row r="172">
      <c r="A172" s="184" t="str">
        <f t="shared" si="1"/>
        <v>#VALUE!</v>
      </c>
      <c r="B172" s="69" t="str">
        <f t="shared" si="2"/>
        <v>#VALUE!</v>
      </c>
      <c r="C172" s="182" t="str">
        <f>IFERROR(__xludf.DUMMYFUNCTION("""COMPUTED_VALUE"""),"JP")</f>
        <v>JP</v>
      </c>
      <c r="D172" s="182" t="str">
        <f>IFERROR(__xludf.DUMMYFUNCTION("""COMPUTED_VALUE"""),"MP")</f>
        <v>MP</v>
      </c>
      <c r="E172" s="182" t="str">
        <f>IFERROR(__xludf.DUMMYFUNCTION("""COMPUTED_VALUE"""),"CLNR")</f>
        <v>CLNR</v>
      </c>
      <c r="F172" s="182" t="str">
        <f>IFERROR(__xludf.DUMMYFUNCTION("""COMPUTED_VALUE"""),"CLNRGA10525")</f>
        <v>CLNRGA10525</v>
      </c>
      <c r="G172" s="182" t="str">
        <f>IFERROR(__xludf.DUMMYFUNCTION("""COMPUTED_VALUE"""),"GN4F5")</f>
        <v>GN4F5</v>
      </c>
      <c r="H172" s="182">
        <f>IFERROR(__xludf.DUMMYFUNCTION("""COMPUTED_VALUE"""),8.40353936768E11)</f>
        <v>840353936768</v>
      </c>
      <c r="I172" s="185" t="str">
        <f>IFERROR(__xludf.DUMMYFUNCTION("""COMPUTED_VALUE"""),"0840353936768")</f>
        <v>0840353936768</v>
      </c>
      <c r="J172" s="182"/>
      <c r="K172" s="182"/>
      <c r="L172" s="182"/>
      <c r="M172" s="182" t="str">
        <f>IFERROR(__xludf.DUMMYFUNCTION("""COMPUTED_VALUE"""),"N/A")</f>
        <v>N/A</v>
      </c>
      <c r="N172" s="182"/>
      <c r="O172" s="182" t="str">
        <f>IFERROR(__xludf.DUMMYFUNCTION("""COMPUTED_VALUE"""),"N/A")</f>
        <v>N/A</v>
      </c>
      <c r="P172" s="182"/>
      <c r="Q172" s="182" t="str">
        <f>IFERROR(__xludf.DUMMYFUNCTION("""COMPUTED_VALUE"""),"128GB")</f>
        <v>128GB</v>
      </c>
      <c r="R172" s="182" t="str">
        <f>IFERROR(__xludf.DUMMYFUNCTION("""COMPUTED_VALUE"""),"Obsidian")</f>
        <v>Obsidian</v>
      </c>
      <c r="S172" s="182" t="str">
        <f>IFERROR(__xludf.DUMMYFUNCTION("""COMPUTED_VALUE"""),"Midnight")</f>
        <v>Midnight</v>
      </c>
      <c r="T172" s="182" t="str">
        <f>IFERROR(__xludf.DUMMYFUNCTION("""COMPUTED_VALUE"""),"JP")</f>
        <v>JP</v>
      </c>
      <c r="U172" s="182" t="str">
        <f>IFERROR(__xludf.DUMMYFUNCTION("""COMPUTED_VALUE"""),"SKU,CLR1, GOOD, SUB6, JP, BZ5, FRU")</f>
        <v>SKU,CLR1, GOOD, SUB6, JP, BZ5, FRU</v>
      </c>
      <c r="V172" s="182"/>
      <c r="W172" s="183" t="str">
        <f>IFERROR(__xludf.DUMMYFUNCTION("""COMPUTED_VALUE"""),"#NUM!")</f>
        <v>#NUM!</v>
      </c>
      <c r="X172" s="186">
        <f>IFERROR(__xludf.DUMMYFUNCTION("""COMPUTED_VALUE"""),45831.0)</f>
        <v>45831</v>
      </c>
      <c r="Y172" s="187">
        <f>IFERROR(__xludf.DUMMYFUNCTION("""COMPUTED_VALUE"""),45780.0)</f>
        <v>45780</v>
      </c>
      <c r="Z172" s="182" t="b">
        <f>IFERROR(__xludf.DUMMYFUNCTION("""COMPUTED_VALUE"""),FALSE)</f>
        <v>0</v>
      </c>
      <c r="AA172" s="187">
        <f>IFERROR(__xludf.DUMMYFUNCTION("""COMPUTED_VALUE"""),45780.0)</f>
        <v>45780</v>
      </c>
      <c r="AB172" s="182" t="b">
        <f>IFERROR(__xludf.DUMMYFUNCTION("""COMPUTED_VALUE"""),FALSE)</f>
        <v>0</v>
      </c>
      <c r="AC172" s="187">
        <f>IFERROR(__xludf.DUMMYFUNCTION("""COMPUTED_VALUE"""),45787.0)</f>
        <v>45787</v>
      </c>
      <c r="AD172" s="187">
        <f>IFERROR(__xludf.DUMMYFUNCTION("""COMPUTED_VALUE"""),45787.0)</f>
        <v>45787</v>
      </c>
      <c r="AE172" s="182"/>
      <c r="AF172" s="182"/>
      <c r="AG172" s="182"/>
      <c r="AH172" s="182"/>
      <c r="AI172" s="182"/>
      <c r="AJ172" s="187">
        <f>IFERROR(__xludf.DUMMYFUNCTION("""COMPUTED_VALUE"""),45793.0)</f>
        <v>45793</v>
      </c>
      <c r="AK172" s="187">
        <f>IFERROR(__xludf.DUMMYFUNCTION("""COMPUTED_VALUE"""),45801.0)</f>
        <v>45801</v>
      </c>
      <c r="AL172" s="182" t="b">
        <f>IFERROR(__xludf.DUMMYFUNCTION("""COMPUTED_VALUE"""),FALSE)</f>
        <v>0</v>
      </c>
      <c r="AM172" s="182"/>
      <c r="AN172" s="187">
        <f>IFERROR(__xludf.DUMMYFUNCTION("""COMPUTED_VALUE"""),45801.0)</f>
        <v>45801</v>
      </c>
      <c r="AO172" s="182" t="b">
        <f>IFERROR(__xludf.DUMMYFUNCTION("""COMPUTED_VALUE"""),FALSE)</f>
        <v>0</v>
      </c>
      <c r="AP172" s="182"/>
      <c r="AQ172" s="182"/>
      <c r="AR172" s="182"/>
      <c r="AS172" s="182"/>
      <c r="AT172" s="182"/>
      <c r="AU172" s="182"/>
      <c r="AV172" s="187">
        <f>IFERROR(__xludf.DUMMYFUNCTION("""COMPUTED_VALUE"""),45801.0)</f>
        <v>45801</v>
      </c>
      <c r="AW172" s="182"/>
      <c r="AX172" s="182"/>
      <c r="AY172" s="182"/>
      <c r="AZ172" s="187">
        <f>IFERROR(__xludf.DUMMYFUNCTION("""COMPUTED_VALUE"""),45827.0)</f>
        <v>45827</v>
      </c>
      <c r="BA172" s="182" t="b">
        <f>IFERROR(__xludf.DUMMYFUNCTION("""COMPUTED_VALUE"""),FALSE)</f>
        <v>0</v>
      </c>
      <c r="BB172" s="187">
        <f>IFERROR(__xludf.DUMMYFUNCTION("""COMPUTED_VALUE"""),45827.0)</f>
        <v>45827</v>
      </c>
    </row>
    <row r="173">
      <c r="A173" s="184" t="str">
        <f t="shared" si="1"/>
        <v>#VALUE!</v>
      </c>
      <c r="B173" s="69" t="str">
        <f t="shared" si="2"/>
        <v>#VALUE!</v>
      </c>
      <c r="C173" s="182" t="str">
        <f>IFERROR(__xludf.DUMMYFUNCTION("""COMPUTED_VALUE"""),"JP")</f>
        <v>JP</v>
      </c>
      <c r="D173" s="182" t="str">
        <f>IFERROR(__xludf.DUMMYFUNCTION("""COMPUTED_VALUE"""),"MP")</f>
        <v>MP</v>
      </c>
      <c r="E173" s="182" t="str">
        <f>IFERROR(__xludf.DUMMYFUNCTION("""COMPUTED_VALUE"""),"CLNR")</f>
        <v>CLNR</v>
      </c>
      <c r="F173" s="182" t="str">
        <f>IFERROR(__xludf.DUMMYFUNCTION("""COMPUTED_VALUE"""),"CLNRGA10526")</f>
        <v>CLNRGA10526</v>
      </c>
      <c r="G173" s="182" t="str">
        <f>IFERROR(__xludf.DUMMYFUNCTION("""COMPUTED_VALUE"""),"GN4F5")</f>
        <v>GN4F5</v>
      </c>
      <c r="H173" s="182">
        <f>IFERROR(__xludf.DUMMYFUNCTION("""COMPUTED_VALUE"""),8.40353936829E11)</f>
        <v>840353936829</v>
      </c>
      <c r="I173" s="185" t="str">
        <f>IFERROR(__xludf.DUMMYFUNCTION("""COMPUTED_VALUE"""),"0840353936829")</f>
        <v>0840353936829</v>
      </c>
      <c r="J173" s="182"/>
      <c r="K173" s="182"/>
      <c r="L173" s="182"/>
      <c r="M173" s="182" t="str">
        <f>IFERROR(__xludf.DUMMYFUNCTION("""COMPUTED_VALUE"""),"N/A")</f>
        <v>N/A</v>
      </c>
      <c r="N173" s="182"/>
      <c r="O173" s="182" t="str">
        <f>IFERROR(__xludf.DUMMYFUNCTION("""COMPUTED_VALUE"""),"N/A")</f>
        <v>N/A</v>
      </c>
      <c r="P173" s="182"/>
      <c r="Q173" s="182" t="str">
        <f>IFERROR(__xludf.DUMMYFUNCTION("""COMPUTED_VALUE"""),"128GB")</f>
        <v>128GB</v>
      </c>
      <c r="R173" s="182" t="str">
        <f>IFERROR(__xludf.DUMMYFUNCTION("""COMPUTED_VALUE"""),"Porcelain")</f>
        <v>Porcelain</v>
      </c>
      <c r="S173" s="182" t="str">
        <f>IFERROR(__xludf.DUMMYFUNCTION("""COMPUTED_VALUE"""),"Light Porcelain")</f>
        <v>Light Porcelain</v>
      </c>
      <c r="T173" s="182" t="str">
        <f>IFERROR(__xludf.DUMMYFUNCTION("""COMPUTED_VALUE"""),"JP")</f>
        <v>JP</v>
      </c>
      <c r="U173" s="182" t="str">
        <f>IFERROR(__xludf.DUMMYFUNCTION("""COMPUTED_VALUE"""),"SKU,CLR2, GOOD, SUB6, JP, BZ5, FRU")</f>
        <v>SKU,CLR2, GOOD, SUB6, JP, BZ5, FRU</v>
      </c>
      <c r="V173" s="182"/>
      <c r="W173" s="183" t="str">
        <f>IFERROR(__xludf.DUMMYFUNCTION("""COMPUTED_VALUE"""),"#NUM!")</f>
        <v>#NUM!</v>
      </c>
      <c r="X173" s="186">
        <f>IFERROR(__xludf.DUMMYFUNCTION("""COMPUTED_VALUE"""),45831.0)</f>
        <v>45831</v>
      </c>
      <c r="Y173" s="187">
        <f>IFERROR(__xludf.DUMMYFUNCTION("""COMPUTED_VALUE"""),45780.0)</f>
        <v>45780</v>
      </c>
      <c r="Z173" s="182" t="b">
        <f>IFERROR(__xludf.DUMMYFUNCTION("""COMPUTED_VALUE"""),FALSE)</f>
        <v>0</v>
      </c>
      <c r="AA173" s="187">
        <f>IFERROR(__xludf.DUMMYFUNCTION("""COMPUTED_VALUE"""),45780.0)</f>
        <v>45780</v>
      </c>
      <c r="AB173" s="182" t="b">
        <f>IFERROR(__xludf.DUMMYFUNCTION("""COMPUTED_VALUE"""),FALSE)</f>
        <v>0</v>
      </c>
      <c r="AC173" s="187">
        <f>IFERROR(__xludf.DUMMYFUNCTION("""COMPUTED_VALUE"""),45787.0)</f>
        <v>45787</v>
      </c>
      <c r="AD173" s="187">
        <f>IFERROR(__xludf.DUMMYFUNCTION("""COMPUTED_VALUE"""),45787.0)</f>
        <v>45787</v>
      </c>
      <c r="AE173" s="182"/>
      <c r="AF173" s="182"/>
      <c r="AG173" s="182"/>
      <c r="AH173" s="182"/>
      <c r="AI173" s="182"/>
      <c r="AJ173" s="187">
        <f>IFERROR(__xludf.DUMMYFUNCTION("""COMPUTED_VALUE"""),45793.0)</f>
        <v>45793</v>
      </c>
      <c r="AK173" s="187">
        <f>IFERROR(__xludf.DUMMYFUNCTION("""COMPUTED_VALUE"""),45801.0)</f>
        <v>45801</v>
      </c>
      <c r="AL173" s="182" t="b">
        <f>IFERROR(__xludf.DUMMYFUNCTION("""COMPUTED_VALUE"""),FALSE)</f>
        <v>0</v>
      </c>
      <c r="AM173" s="182"/>
      <c r="AN173" s="187">
        <f>IFERROR(__xludf.DUMMYFUNCTION("""COMPUTED_VALUE"""),45801.0)</f>
        <v>45801</v>
      </c>
      <c r="AO173" s="182" t="b">
        <f>IFERROR(__xludf.DUMMYFUNCTION("""COMPUTED_VALUE"""),FALSE)</f>
        <v>0</v>
      </c>
      <c r="AP173" s="182"/>
      <c r="AQ173" s="182"/>
      <c r="AR173" s="182"/>
      <c r="AS173" s="182"/>
      <c r="AT173" s="182"/>
      <c r="AU173" s="182"/>
      <c r="AV173" s="187">
        <f>IFERROR(__xludf.DUMMYFUNCTION("""COMPUTED_VALUE"""),45801.0)</f>
        <v>45801</v>
      </c>
      <c r="AW173" s="182"/>
      <c r="AX173" s="182"/>
      <c r="AY173" s="182"/>
      <c r="AZ173" s="187">
        <f>IFERROR(__xludf.DUMMYFUNCTION("""COMPUTED_VALUE"""),45827.0)</f>
        <v>45827</v>
      </c>
      <c r="BA173" s="182" t="b">
        <f>IFERROR(__xludf.DUMMYFUNCTION("""COMPUTED_VALUE"""),FALSE)</f>
        <v>0</v>
      </c>
      <c r="BB173" s="187">
        <f>IFERROR(__xludf.DUMMYFUNCTION("""COMPUTED_VALUE"""),45827.0)</f>
        <v>45827</v>
      </c>
    </row>
    <row r="174">
      <c r="A174" s="184" t="str">
        <f t="shared" si="1"/>
        <v>#VALUE!</v>
      </c>
      <c r="B174" s="69" t="str">
        <f t="shared" si="2"/>
        <v>#VALUE!</v>
      </c>
      <c r="C174" s="182" t="str">
        <f>IFERROR(__xludf.DUMMYFUNCTION("""COMPUTED_VALUE"""),"JP")</f>
        <v>JP</v>
      </c>
      <c r="D174" s="182" t="str">
        <f>IFERROR(__xludf.DUMMYFUNCTION("""COMPUTED_VALUE"""),"MP")</f>
        <v>MP</v>
      </c>
      <c r="E174" s="182" t="str">
        <f>IFERROR(__xludf.DUMMYFUNCTION("""COMPUTED_VALUE"""),"CLNR")</f>
        <v>CLNR</v>
      </c>
      <c r="F174" s="182" t="str">
        <f>IFERROR(__xludf.DUMMYFUNCTION("""COMPUTED_VALUE"""),"CLNRGA10527")</f>
        <v>CLNRGA10527</v>
      </c>
      <c r="G174" s="182" t="str">
        <f>IFERROR(__xludf.DUMMYFUNCTION("""COMPUTED_VALUE"""),"GN4F5")</f>
        <v>GN4F5</v>
      </c>
      <c r="H174" s="182">
        <f>IFERROR(__xludf.DUMMYFUNCTION("""COMPUTED_VALUE"""),8.40353936881E11)</f>
        <v>840353936881</v>
      </c>
      <c r="I174" s="185" t="str">
        <f>IFERROR(__xludf.DUMMYFUNCTION("""COMPUTED_VALUE"""),"0840353936881")</f>
        <v>0840353936881</v>
      </c>
      <c r="J174" s="182"/>
      <c r="K174" s="182"/>
      <c r="L174" s="182"/>
      <c r="M174" s="182" t="str">
        <f>IFERROR(__xludf.DUMMYFUNCTION("""COMPUTED_VALUE"""),"N/A")</f>
        <v>N/A</v>
      </c>
      <c r="N174" s="182"/>
      <c r="O174" s="182" t="str">
        <f>IFERROR(__xludf.DUMMYFUNCTION("""COMPUTED_VALUE"""),"N/A")</f>
        <v>N/A</v>
      </c>
      <c r="P174" s="182"/>
      <c r="Q174" s="182" t="str">
        <f>IFERROR(__xludf.DUMMYFUNCTION("""COMPUTED_VALUE"""),"128GB")</f>
        <v>128GB</v>
      </c>
      <c r="R174" s="182" t="str">
        <f>IFERROR(__xludf.DUMMYFUNCTION("""COMPUTED_VALUE"""),"Moonstone")</f>
        <v>Moonstone</v>
      </c>
      <c r="S174" s="182" t="str">
        <f>IFERROR(__xludf.DUMMYFUNCTION("""COMPUTED_VALUE"""),"Sterling")</f>
        <v>Sterling</v>
      </c>
      <c r="T174" s="182" t="str">
        <f>IFERROR(__xludf.DUMMYFUNCTION("""COMPUTED_VALUE"""),"JP")</f>
        <v>JP</v>
      </c>
      <c r="U174" s="182" t="str">
        <f>IFERROR(__xludf.DUMMYFUNCTION("""COMPUTED_VALUE"""),"SKU,CLR3, GOOD, SUB6, JP, BZ5, FRU")</f>
        <v>SKU,CLR3, GOOD, SUB6, JP, BZ5, FRU</v>
      </c>
      <c r="V174" s="182"/>
      <c r="W174" s="183" t="str">
        <f>IFERROR(__xludf.DUMMYFUNCTION("""COMPUTED_VALUE"""),"#NUM!")</f>
        <v>#NUM!</v>
      </c>
      <c r="X174" s="186">
        <f>IFERROR(__xludf.DUMMYFUNCTION("""COMPUTED_VALUE"""),45831.0)</f>
        <v>45831</v>
      </c>
      <c r="Y174" s="187">
        <f>IFERROR(__xludf.DUMMYFUNCTION("""COMPUTED_VALUE"""),45780.0)</f>
        <v>45780</v>
      </c>
      <c r="Z174" s="182" t="b">
        <f>IFERROR(__xludf.DUMMYFUNCTION("""COMPUTED_VALUE"""),FALSE)</f>
        <v>0</v>
      </c>
      <c r="AA174" s="187">
        <f>IFERROR(__xludf.DUMMYFUNCTION("""COMPUTED_VALUE"""),45780.0)</f>
        <v>45780</v>
      </c>
      <c r="AB174" s="182" t="b">
        <f>IFERROR(__xludf.DUMMYFUNCTION("""COMPUTED_VALUE"""),FALSE)</f>
        <v>0</v>
      </c>
      <c r="AC174" s="187">
        <f>IFERROR(__xludf.DUMMYFUNCTION("""COMPUTED_VALUE"""),45787.0)</f>
        <v>45787</v>
      </c>
      <c r="AD174" s="187">
        <f>IFERROR(__xludf.DUMMYFUNCTION("""COMPUTED_VALUE"""),45787.0)</f>
        <v>45787</v>
      </c>
      <c r="AE174" s="182"/>
      <c r="AF174" s="182"/>
      <c r="AG174" s="182"/>
      <c r="AH174" s="182"/>
      <c r="AI174" s="182"/>
      <c r="AJ174" s="187">
        <f>IFERROR(__xludf.DUMMYFUNCTION("""COMPUTED_VALUE"""),45793.0)</f>
        <v>45793</v>
      </c>
      <c r="AK174" s="187">
        <f>IFERROR(__xludf.DUMMYFUNCTION("""COMPUTED_VALUE"""),45801.0)</f>
        <v>45801</v>
      </c>
      <c r="AL174" s="182" t="b">
        <f>IFERROR(__xludf.DUMMYFUNCTION("""COMPUTED_VALUE"""),FALSE)</f>
        <v>0</v>
      </c>
      <c r="AM174" s="182"/>
      <c r="AN174" s="187">
        <f>IFERROR(__xludf.DUMMYFUNCTION("""COMPUTED_VALUE"""),45801.0)</f>
        <v>45801</v>
      </c>
      <c r="AO174" s="182" t="b">
        <f>IFERROR(__xludf.DUMMYFUNCTION("""COMPUTED_VALUE"""),FALSE)</f>
        <v>0</v>
      </c>
      <c r="AP174" s="182"/>
      <c r="AQ174" s="182"/>
      <c r="AR174" s="182"/>
      <c r="AS174" s="182"/>
      <c r="AT174" s="182"/>
      <c r="AU174" s="182"/>
      <c r="AV174" s="187">
        <f>IFERROR(__xludf.DUMMYFUNCTION("""COMPUTED_VALUE"""),45801.0)</f>
        <v>45801</v>
      </c>
      <c r="AW174" s="182"/>
      <c r="AX174" s="182"/>
      <c r="AY174" s="182"/>
      <c r="AZ174" s="187">
        <f>IFERROR(__xludf.DUMMYFUNCTION("""COMPUTED_VALUE"""),45827.0)</f>
        <v>45827</v>
      </c>
      <c r="BA174" s="182" t="b">
        <f>IFERROR(__xludf.DUMMYFUNCTION("""COMPUTED_VALUE"""),FALSE)</f>
        <v>0</v>
      </c>
      <c r="BB174" s="187">
        <f>IFERROR(__xludf.DUMMYFUNCTION("""COMPUTED_VALUE"""),45827.0)</f>
        <v>45827</v>
      </c>
    </row>
    <row r="175">
      <c r="A175" s="184" t="str">
        <f t="shared" si="1"/>
        <v>#VALUE!</v>
      </c>
      <c r="B175" s="69" t="str">
        <f t="shared" si="2"/>
        <v>#VALUE!</v>
      </c>
      <c r="C175" s="182" t="str">
        <f>IFERROR(__xludf.DUMMYFUNCTION("""COMPUTED_VALUE"""),"JP")</f>
        <v>JP</v>
      </c>
      <c r="D175" s="182" t="str">
        <f>IFERROR(__xludf.DUMMYFUNCTION("""COMPUTED_VALUE"""),"MP")</f>
        <v>MP</v>
      </c>
      <c r="E175" s="182" t="str">
        <f>IFERROR(__xludf.DUMMYFUNCTION("""COMPUTED_VALUE"""),"CLNR")</f>
        <v>CLNR</v>
      </c>
      <c r="F175" s="182" t="str">
        <f>IFERROR(__xludf.DUMMYFUNCTION("""COMPUTED_VALUE"""),"CLNRGA10528")</f>
        <v>CLNRGA10528</v>
      </c>
      <c r="G175" s="182" t="str">
        <f>IFERROR(__xludf.DUMMYFUNCTION("""COMPUTED_VALUE"""),"GN4F5")</f>
        <v>GN4F5</v>
      </c>
      <c r="H175" s="182">
        <f>IFERROR(__xludf.DUMMYFUNCTION("""COMPUTED_VALUE"""),8.40353937499E11)</f>
        <v>840353937499</v>
      </c>
      <c r="I175" s="185" t="str">
        <f>IFERROR(__xludf.DUMMYFUNCTION("""COMPUTED_VALUE"""),"0840353937499")</f>
        <v>0840353937499</v>
      </c>
      <c r="J175" s="182"/>
      <c r="K175" s="182"/>
      <c r="L175" s="182"/>
      <c r="M175" s="182" t="str">
        <f>IFERROR(__xludf.DUMMYFUNCTION("""COMPUTED_VALUE"""),"N/A")</f>
        <v>N/A</v>
      </c>
      <c r="N175" s="182"/>
      <c r="O175" s="182" t="str">
        <f>IFERROR(__xludf.DUMMYFUNCTION("""COMPUTED_VALUE"""),"N/A")</f>
        <v>N/A</v>
      </c>
      <c r="P175" s="182"/>
      <c r="Q175" s="182" t="str">
        <f>IFERROR(__xludf.DUMMYFUNCTION("""COMPUTED_VALUE"""),"256GB")</f>
        <v>256GB</v>
      </c>
      <c r="R175" s="182" t="str">
        <f>IFERROR(__xludf.DUMMYFUNCTION("""COMPUTED_VALUE"""),"Obsidian")</f>
        <v>Obsidian</v>
      </c>
      <c r="S175" s="182" t="str">
        <f>IFERROR(__xludf.DUMMYFUNCTION("""COMPUTED_VALUE"""),"Midnight")</f>
        <v>Midnight</v>
      </c>
      <c r="T175" s="182" t="str">
        <f>IFERROR(__xludf.DUMMYFUNCTION("""COMPUTED_VALUE"""),"JP")</f>
        <v>JP</v>
      </c>
      <c r="U175" s="182" t="str">
        <f>IFERROR(__xludf.DUMMYFUNCTION("""COMPUTED_VALUE"""),"SKU,CLR1, BETTER, SUB6, JP, BZ5, FRU")</f>
        <v>SKU,CLR1, BETTER, SUB6, JP, BZ5, FRU</v>
      </c>
      <c r="V175" s="182"/>
      <c r="W175" s="183" t="str">
        <f>IFERROR(__xludf.DUMMYFUNCTION("""COMPUTED_VALUE"""),"#NUM!")</f>
        <v>#NUM!</v>
      </c>
      <c r="X175" s="186">
        <f>IFERROR(__xludf.DUMMYFUNCTION("""COMPUTED_VALUE"""),45831.0)</f>
        <v>45831</v>
      </c>
      <c r="Y175" s="187">
        <f>IFERROR(__xludf.DUMMYFUNCTION("""COMPUTED_VALUE"""),45780.0)</f>
        <v>45780</v>
      </c>
      <c r="Z175" s="182" t="b">
        <f>IFERROR(__xludf.DUMMYFUNCTION("""COMPUTED_VALUE"""),FALSE)</f>
        <v>0</v>
      </c>
      <c r="AA175" s="187">
        <f>IFERROR(__xludf.DUMMYFUNCTION("""COMPUTED_VALUE"""),45780.0)</f>
        <v>45780</v>
      </c>
      <c r="AB175" s="182" t="b">
        <f>IFERROR(__xludf.DUMMYFUNCTION("""COMPUTED_VALUE"""),FALSE)</f>
        <v>0</v>
      </c>
      <c r="AC175" s="187">
        <f>IFERROR(__xludf.DUMMYFUNCTION("""COMPUTED_VALUE"""),45787.0)</f>
        <v>45787</v>
      </c>
      <c r="AD175" s="187">
        <f>IFERROR(__xludf.DUMMYFUNCTION("""COMPUTED_VALUE"""),45787.0)</f>
        <v>45787</v>
      </c>
      <c r="AE175" s="182"/>
      <c r="AF175" s="182"/>
      <c r="AG175" s="182"/>
      <c r="AH175" s="182"/>
      <c r="AI175" s="182"/>
      <c r="AJ175" s="187">
        <f>IFERROR(__xludf.DUMMYFUNCTION("""COMPUTED_VALUE"""),45793.0)</f>
        <v>45793</v>
      </c>
      <c r="AK175" s="187">
        <f>IFERROR(__xludf.DUMMYFUNCTION("""COMPUTED_VALUE"""),45801.0)</f>
        <v>45801</v>
      </c>
      <c r="AL175" s="182" t="b">
        <f>IFERROR(__xludf.DUMMYFUNCTION("""COMPUTED_VALUE"""),FALSE)</f>
        <v>0</v>
      </c>
      <c r="AM175" s="182"/>
      <c r="AN175" s="187">
        <f>IFERROR(__xludf.DUMMYFUNCTION("""COMPUTED_VALUE"""),45801.0)</f>
        <v>45801</v>
      </c>
      <c r="AO175" s="182" t="b">
        <f>IFERROR(__xludf.DUMMYFUNCTION("""COMPUTED_VALUE"""),FALSE)</f>
        <v>0</v>
      </c>
      <c r="AP175" s="182"/>
      <c r="AQ175" s="182"/>
      <c r="AR175" s="182"/>
      <c r="AS175" s="182"/>
      <c r="AT175" s="182"/>
      <c r="AU175" s="182"/>
      <c r="AV175" s="187">
        <f>IFERROR(__xludf.DUMMYFUNCTION("""COMPUTED_VALUE"""),45801.0)</f>
        <v>45801</v>
      </c>
      <c r="AW175" s="182"/>
      <c r="AX175" s="182"/>
      <c r="AY175" s="182"/>
      <c r="AZ175" s="187">
        <f>IFERROR(__xludf.DUMMYFUNCTION("""COMPUTED_VALUE"""),45827.0)</f>
        <v>45827</v>
      </c>
      <c r="BA175" s="182" t="b">
        <f>IFERROR(__xludf.DUMMYFUNCTION("""COMPUTED_VALUE"""),FALSE)</f>
        <v>0</v>
      </c>
      <c r="BB175" s="187">
        <f>IFERROR(__xludf.DUMMYFUNCTION("""COMPUTED_VALUE"""),45827.0)</f>
        <v>45827</v>
      </c>
    </row>
    <row r="176">
      <c r="A176" s="184" t="str">
        <f t="shared" si="1"/>
        <v>#VALUE!</v>
      </c>
      <c r="B176" s="69" t="str">
        <f t="shared" si="2"/>
        <v>#VALUE!</v>
      </c>
      <c r="C176" s="182" t="str">
        <f>IFERROR(__xludf.DUMMYFUNCTION("""COMPUTED_VALUE"""),"JP")</f>
        <v>JP</v>
      </c>
      <c r="D176" s="182" t="str">
        <f>IFERROR(__xludf.DUMMYFUNCTION("""COMPUTED_VALUE"""),"MP")</f>
        <v>MP</v>
      </c>
      <c r="E176" s="182" t="str">
        <f>IFERROR(__xludf.DUMMYFUNCTION("""COMPUTED_VALUE"""),"CLNR")</f>
        <v>CLNR</v>
      </c>
      <c r="F176" s="182" t="str">
        <f>IFERROR(__xludf.DUMMYFUNCTION("""COMPUTED_VALUE"""),"CLNRGA10529")</f>
        <v>CLNRGA10529</v>
      </c>
      <c r="G176" s="182" t="str">
        <f>IFERROR(__xludf.DUMMYFUNCTION("""COMPUTED_VALUE"""),"GN4F5")</f>
        <v>GN4F5</v>
      </c>
      <c r="H176" s="182">
        <f>IFERROR(__xludf.DUMMYFUNCTION("""COMPUTED_VALUE"""),8.40353937505E11)</f>
        <v>840353937505</v>
      </c>
      <c r="I176" s="185" t="str">
        <f>IFERROR(__xludf.DUMMYFUNCTION("""COMPUTED_VALUE"""),"0840353937505")</f>
        <v>0840353937505</v>
      </c>
      <c r="J176" s="182"/>
      <c r="K176" s="182"/>
      <c r="L176" s="182"/>
      <c r="M176" s="182" t="str">
        <f>IFERROR(__xludf.DUMMYFUNCTION("""COMPUTED_VALUE"""),"N/A")</f>
        <v>N/A</v>
      </c>
      <c r="N176" s="182"/>
      <c r="O176" s="182" t="str">
        <f>IFERROR(__xludf.DUMMYFUNCTION("""COMPUTED_VALUE"""),"N/A")</f>
        <v>N/A</v>
      </c>
      <c r="P176" s="182"/>
      <c r="Q176" s="182" t="str">
        <f>IFERROR(__xludf.DUMMYFUNCTION("""COMPUTED_VALUE"""),"256GB")</f>
        <v>256GB</v>
      </c>
      <c r="R176" s="182" t="str">
        <f>IFERROR(__xludf.DUMMYFUNCTION("""COMPUTED_VALUE"""),"Porcelain")</f>
        <v>Porcelain</v>
      </c>
      <c r="S176" s="182" t="str">
        <f>IFERROR(__xludf.DUMMYFUNCTION("""COMPUTED_VALUE"""),"Light Porcelain")</f>
        <v>Light Porcelain</v>
      </c>
      <c r="T176" s="182" t="str">
        <f>IFERROR(__xludf.DUMMYFUNCTION("""COMPUTED_VALUE"""),"JP")</f>
        <v>JP</v>
      </c>
      <c r="U176" s="182" t="str">
        <f>IFERROR(__xludf.DUMMYFUNCTION("""COMPUTED_VALUE"""),"SKU,CLR2, BETTER, SUB6, JP, BZ5, FRU")</f>
        <v>SKU,CLR2, BETTER, SUB6, JP, BZ5, FRU</v>
      </c>
      <c r="V176" s="182"/>
      <c r="W176" s="183" t="str">
        <f>IFERROR(__xludf.DUMMYFUNCTION("""COMPUTED_VALUE"""),"#NUM!")</f>
        <v>#NUM!</v>
      </c>
      <c r="X176" s="186">
        <f>IFERROR(__xludf.DUMMYFUNCTION("""COMPUTED_VALUE"""),45831.0)</f>
        <v>45831</v>
      </c>
      <c r="Y176" s="187">
        <f>IFERROR(__xludf.DUMMYFUNCTION("""COMPUTED_VALUE"""),45780.0)</f>
        <v>45780</v>
      </c>
      <c r="Z176" s="182" t="b">
        <f>IFERROR(__xludf.DUMMYFUNCTION("""COMPUTED_VALUE"""),FALSE)</f>
        <v>0</v>
      </c>
      <c r="AA176" s="187">
        <f>IFERROR(__xludf.DUMMYFUNCTION("""COMPUTED_VALUE"""),45780.0)</f>
        <v>45780</v>
      </c>
      <c r="AB176" s="182" t="b">
        <f>IFERROR(__xludf.DUMMYFUNCTION("""COMPUTED_VALUE"""),FALSE)</f>
        <v>0</v>
      </c>
      <c r="AC176" s="187">
        <f>IFERROR(__xludf.DUMMYFUNCTION("""COMPUTED_VALUE"""),45787.0)</f>
        <v>45787</v>
      </c>
      <c r="AD176" s="187">
        <f>IFERROR(__xludf.DUMMYFUNCTION("""COMPUTED_VALUE"""),45787.0)</f>
        <v>45787</v>
      </c>
      <c r="AE176" s="182"/>
      <c r="AF176" s="182"/>
      <c r="AG176" s="182"/>
      <c r="AH176" s="182"/>
      <c r="AI176" s="182"/>
      <c r="AJ176" s="187">
        <f>IFERROR(__xludf.DUMMYFUNCTION("""COMPUTED_VALUE"""),45793.0)</f>
        <v>45793</v>
      </c>
      <c r="AK176" s="187">
        <f>IFERROR(__xludf.DUMMYFUNCTION("""COMPUTED_VALUE"""),45801.0)</f>
        <v>45801</v>
      </c>
      <c r="AL176" s="182" t="b">
        <f>IFERROR(__xludf.DUMMYFUNCTION("""COMPUTED_VALUE"""),FALSE)</f>
        <v>0</v>
      </c>
      <c r="AM176" s="182"/>
      <c r="AN176" s="187">
        <f>IFERROR(__xludf.DUMMYFUNCTION("""COMPUTED_VALUE"""),45801.0)</f>
        <v>45801</v>
      </c>
      <c r="AO176" s="182" t="b">
        <f>IFERROR(__xludf.DUMMYFUNCTION("""COMPUTED_VALUE"""),FALSE)</f>
        <v>0</v>
      </c>
      <c r="AP176" s="182"/>
      <c r="AQ176" s="182"/>
      <c r="AR176" s="182"/>
      <c r="AS176" s="182"/>
      <c r="AT176" s="182"/>
      <c r="AU176" s="182"/>
      <c r="AV176" s="187">
        <f>IFERROR(__xludf.DUMMYFUNCTION("""COMPUTED_VALUE"""),45801.0)</f>
        <v>45801</v>
      </c>
      <c r="AW176" s="182"/>
      <c r="AX176" s="182"/>
      <c r="AY176" s="182"/>
      <c r="AZ176" s="187">
        <f>IFERROR(__xludf.DUMMYFUNCTION("""COMPUTED_VALUE"""),45827.0)</f>
        <v>45827</v>
      </c>
      <c r="BA176" s="182" t="b">
        <f>IFERROR(__xludf.DUMMYFUNCTION("""COMPUTED_VALUE"""),FALSE)</f>
        <v>0</v>
      </c>
      <c r="BB176" s="187">
        <f>IFERROR(__xludf.DUMMYFUNCTION("""COMPUTED_VALUE"""),45827.0)</f>
        <v>45827</v>
      </c>
    </row>
    <row r="177">
      <c r="A177" s="184" t="str">
        <f t="shared" si="1"/>
        <v>#VALUE!</v>
      </c>
      <c r="B177" s="69" t="str">
        <f t="shared" si="2"/>
        <v>#VALUE!</v>
      </c>
      <c r="C177" s="182" t="str">
        <f>IFERROR(__xludf.DUMMYFUNCTION("""COMPUTED_VALUE"""),"JP")</f>
        <v>JP</v>
      </c>
      <c r="D177" s="182" t="str">
        <f>IFERROR(__xludf.DUMMYFUNCTION("""COMPUTED_VALUE"""),"MP")</f>
        <v>MP</v>
      </c>
      <c r="E177" s="182" t="str">
        <f>IFERROR(__xludf.DUMMYFUNCTION("""COMPUTED_VALUE"""),"CLNR")</f>
        <v>CLNR</v>
      </c>
      <c r="F177" s="182" t="str">
        <f>IFERROR(__xludf.DUMMYFUNCTION("""COMPUTED_VALUE"""),"CLNRGA10530")</f>
        <v>CLNRGA10530</v>
      </c>
      <c r="G177" s="182" t="str">
        <f>IFERROR(__xludf.DUMMYFUNCTION("""COMPUTED_VALUE"""),"GN4F5")</f>
        <v>GN4F5</v>
      </c>
      <c r="H177" s="182">
        <f>IFERROR(__xludf.DUMMYFUNCTION("""COMPUTED_VALUE"""),8.40353937512E11)</f>
        <v>840353937512</v>
      </c>
      <c r="I177" s="185" t="str">
        <f>IFERROR(__xludf.DUMMYFUNCTION("""COMPUTED_VALUE"""),"0840353937512")</f>
        <v>0840353937512</v>
      </c>
      <c r="J177" s="182"/>
      <c r="K177" s="182"/>
      <c r="L177" s="182"/>
      <c r="M177" s="182" t="str">
        <f>IFERROR(__xludf.DUMMYFUNCTION("""COMPUTED_VALUE"""),"N/A")</f>
        <v>N/A</v>
      </c>
      <c r="N177" s="182"/>
      <c r="O177" s="182" t="str">
        <f>IFERROR(__xludf.DUMMYFUNCTION("""COMPUTED_VALUE"""),"N/A")</f>
        <v>N/A</v>
      </c>
      <c r="P177" s="182"/>
      <c r="Q177" s="182" t="str">
        <f>IFERROR(__xludf.DUMMYFUNCTION("""COMPUTED_VALUE"""),"256GB")</f>
        <v>256GB</v>
      </c>
      <c r="R177" s="182" t="str">
        <f>IFERROR(__xludf.DUMMYFUNCTION("""COMPUTED_VALUE"""),"Moonstone")</f>
        <v>Moonstone</v>
      </c>
      <c r="S177" s="182" t="str">
        <f>IFERROR(__xludf.DUMMYFUNCTION("""COMPUTED_VALUE"""),"Sterling")</f>
        <v>Sterling</v>
      </c>
      <c r="T177" s="182" t="str">
        <f>IFERROR(__xludf.DUMMYFUNCTION("""COMPUTED_VALUE"""),"JP")</f>
        <v>JP</v>
      </c>
      <c r="U177" s="182" t="str">
        <f>IFERROR(__xludf.DUMMYFUNCTION("""COMPUTED_VALUE"""),"SKU,CLR3, BETTER, SUB6, JP, BZ5, FRU")</f>
        <v>SKU,CLR3, BETTER, SUB6, JP, BZ5, FRU</v>
      </c>
      <c r="V177" s="182"/>
      <c r="W177" s="183" t="str">
        <f>IFERROR(__xludf.DUMMYFUNCTION("""COMPUTED_VALUE"""),"#NUM!")</f>
        <v>#NUM!</v>
      </c>
      <c r="X177" s="186">
        <f>IFERROR(__xludf.DUMMYFUNCTION("""COMPUTED_VALUE"""),45831.0)</f>
        <v>45831</v>
      </c>
      <c r="Y177" s="187">
        <f>IFERROR(__xludf.DUMMYFUNCTION("""COMPUTED_VALUE"""),45780.0)</f>
        <v>45780</v>
      </c>
      <c r="Z177" s="182" t="b">
        <f>IFERROR(__xludf.DUMMYFUNCTION("""COMPUTED_VALUE"""),FALSE)</f>
        <v>0</v>
      </c>
      <c r="AA177" s="187">
        <f>IFERROR(__xludf.DUMMYFUNCTION("""COMPUTED_VALUE"""),45780.0)</f>
        <v>45780</v>
      </c>
      <c r="AB177" s="182" t="b">
        <f>IFERROR(__xludf.DUMMYFUNCTION("""COMPUTED_VALUE"""),FALSE)</f>
        <v>0</v>
      </c>
      <c r="AC177" s="187">
        <f>IFERROR(__xludf.DUMMYFUNCTION("""COMPUTED_VALUE"""),45787.0)</f>
        <v>45787</v>
      </c>
      <c r="AD177" s="187">
        <f>IFERROR(__xludf.DUMMYFUNCTION("""COMPUTED_VALUE"""),45787.0)</f>
        <v>45787</v>
      </c>
      <c r="AE177" s="182"/>
      <c r="AF177" s="182"/>
      <c r="AG177" s="182"/>
      <c r="AH177" s="182"/>
      <c r="AI177" s="182"/>
      <c r="AJ177" s="187">
        <f>IFERROR(__xludf.DUMMYFUNCTION("""COMPUTED_VALUE"""),45793.0)</f>
        <v>45793</v>
      </c>
      <c r="AK177" s="187">
        <f>IFERROR(__xludf.DUMMYFUNCTION("""COMPUTED_VALUE"""),45801.0)</f>
        <v>45801</v>
      </c>
      <c r="AL177" s="182" t="b">
        <f>IFERROR(__xludf.DUMMYFUNCTION("""COMPUTED_VALUE"""),FALSE)</f>
        <v>0</v>
      </c>
      <c r="AM177" s="182"/>
      <c r="AN177" s="187">
        <f>IFERROR(__xludf.DUMMYFUNCTION("""COMPUTED_VALUE"""),45801.0)</f>
        <v>45801</v>
      </c>
      <c r="AO177" s="182" t="b">
        <f>IFERROR(__xludf.DUMMYFUNCTION("""COMPUTED_VALUE"""),FALSE)</f>
        <v>0</v>
      </c>
      <c r="AP177" s="182"/>
      <c r="AQ177" s="182"/>
      <c r="AR177" s="182"/>
      <c r="AS177" s="182"/>
      <c r="AT177" s="182"/>
      <c r="AU177" s="182"/>
      <c r="AV177" s="187">
        <f>IFERROR(__xludf.DUMMYFUNCTION("""COMPUTED_VALUE"""),45801.0)</f>
        <v>45801</v>
      </c>
      <c r="AW177" s="182"/>
      <c r="AX177" s="182"/>
      <c r="AY177" s="182"/>
      <c r="AZ177" s="187">
        <f>IFERROR(__xludf.DUMMYFUNCTION("""COMPUTED_VALUE"""),45827.0)</f>
        <v>45827</v>
      </c>
      <c r="BA177" s="182" t="b">
        <f>IFERROR(__xludf.DUMMYFUNCTION("""COMPUTED_VALUE"""),FALSE)</f>
        <v>0</v>
      </c>
      <c r="BB177" s="187">
        <f>IFERROR(__xludf.DUMMYFUNCTION("""COMPUTED_VALUE"""),45827.0)</f>
        <v>45827</v>
      </c>
    </row>
    <row r="178">
      <c r="A178" s="184" t="str">
        <f t="shared" si="1"/>
        <v>#VALUE!</v>
      </c>
      <c r="B178" s="69" t="str">
        <f t="shared" si="2"/>
        <v>#VALUE!</v>
      </c>
      <c r="C178" s="182" t="str">
        <f>IFERROR(__xludf.DUMMYFUNCTION("""COMPUTED_VALUE"""),"JP")</f>
        <v>JP</v>
      </c>
      <c r="D178" s="182" t="str">
        <f>IFERROR(__xludf.DUMMYFUNCTION("""COMPUTED_VALUE"""),"MP")</f>
        <v>MP</v>
      </c>
      <c r="E178" s="182" t="str">
        <f>IFERROR(__xludf.DUMMYFUNCTION("""COMPUTED_VALUE"""),"CLNR")</f>
        <v>CLNR</v>
      </c>
      <c r="F178" s="182" t="str">
        <f>IFERROR(__xludf.DUMMYFUNCTION("""COMPUTED_VALUE"""),"CLNRGA10531")</f>
        <v>CLNRGA10531</v>
      </c>
      <c r="G178" s="182" t="str">
        <f>IFERROR(__xludf.DUMMYFUNCTION("""COMPUTED_VALUE"""),"GN4F5")</f>
        <v>GN4F5</v>
      </c>
      <c r="H178" s="182">
        <f>IFERROR(__xludf.DUMMYFUNCTION("""COMPUTED_VALUE"""),8.40353937529E11)</f>
        <v>840353937529</v>
      </c>
      <c r="I178" s="185" t="str">
        <f>IFERROR(__xludf.DUMMYFUNCTION("""COMPUTED_VALUE"""),"0840353937529")</f>
        <v>0840353937529</v>
      </c>
      <c r="J178" s="182"/>
      <c r="K178" s="182"/>
      <c r="L178" s="182"/>
      <c r="M178" s="182" t="str">
        <f>IFERROR(__xludf.DUMMYFUNCTION("""COMPUTED_VALUE"""),"N/A")</f>
        <v>N/A</v>
      </c>
      <c r="N178" s="182"/>
      <c r="O178" s="182" t="str">
        <f>IFERROR(__xludf.DUMMYFUNCTION("""COMPUTED_VALUE"""),"N/A")</f>
        <v>N/A</v>
      </c>
      <c r="P178" s="182"/>
      <c r="Q178" s="182" t="str">
        <f>IFERROR(__xludf.DUMMYFUNCTION("""COMPUTED_VALUE"""),"256GB")</f>
        <v>256GB</v>
      </c>
      <c r="R178" s="182" t="str">
        <f>IFERROR(__xludf.DUMMYFUNCTION("""COMPUTED_VALUE"""),"Jade")</f>
        <v>Jade</v>
      </c>
      <c r="S178" s="182" t="str">
        <f>IFERROR(__xludf.DUMMYFUNCTION("""COMPUTED_VALUE"""),"Smokey Green")</f>
        <v>Smokey Green</v>
      </c>
      <c r="T178" s="182" t="str">
        <f>IFERROR(__xludf.DUMMYFUNCTION("""COMPUTED_VALUE"""),"JP")</f>
        <v>JP</v>
      </c>
      <c r="U178" s="182" t="str">
        <f>IFERROR(__xludf.DUMMYFUNCTION("""COMPUTED_VALUE"""),"SKU,CLR4, BETTER, SUB6, JP, BZ5, FRU")</f>
        <v>SKU,CLR4, BETTER, SUB6, JP, BZ5, FRU</v>
      </c>
      <c r="V178" s="182"/>
      <c r="W178" s="183" t="str">
        <f>IFERROR(__xludf.DUMMYFUNCTION("""COMPUTED_VALUE"""),"#NUM!")</f>
        <v>#NUM!</v>
      </c>
      <c r="X178" s="186">
        <f>IFERROR(__xludf.DUMMYFUNCTION("""COMPUTED_VALUE"""),45831.0)</f>
        <v>45831</v>
      </c>
      <c r="Y178" s="187">
        <f>IFERROR(__xludf.DUMMYFUNCTION("""COMPUTED_VALUE"""),45780.0)</f>
        <v>45780</v>
      </c>
      <c r="Z178" s="182" t="b">
        <f>IFERROR(__xludf.DUMMYFUNCTION("""COMPUTED_VALUE"""),FALSE)</f>
        <v>0</v>
      </c>
      <c r="AA178" s="187">
        <f>IFERROR(__xludf.DUMMYFUNCTION("""COMPUTED_VALUE"""),45780.0)</f>
        <v>45780</v>
      </c>
      <c r="AB178" s="182" t="b">
        <f>IFERROR(__xludf.DUMMYFUNCTION("""COMPUTED_VALUE"""),FALSE)</f>
        <v>0</v>
      </c>
      <c r="AC178" s="187">
        <f>IFERROR(__xludf.DUMMYFUNCTION("""COMPUTED_VALUE"""),45787.0)</f>
        <v>45787</v>
      </c>
      <c r="AD178" s="187">
        <f>IFERROR(__xludf.DUMMYFUNCTION("""COMPUTED_VALUE"""),45787.0)</f>
        <v>45787</v>
      </c>
      <c r="AE178" s="182"/>
      <c r="AF178" s="182"/>
      <c r="AG178" s="182"/>
      <c r="AH178" s="182"/>
      <c r="AI178" s="182"/>
      <c r="AJ178" s="187">
        <f>IFERROR(__xludf.DUMMYFUNCTION("""COMPUTED_VALUE"""),45793.0)</f>
        <v>45793</v>
      </c>
      <c r="AK178" s="187">
        <f>IFERROR(__xludf.DUMMYFUNCTION("""COMPUTED_VALUE"""),45801.0)</f>
        <v>45801</v>
      </c>
      <c r="AL178" s="182" t="b">
        <f>IFERROR(__xludf.DUMMYFUNCTION("""COMPUTED_VALUE"""),FALSE)</f>
        <v>0</v>
      </c>
      <c r="AM178" s="182"/>
      <c r="AN178" s="187">
        <f>IFERROR(__xludf.DUMMYFUNCTION("""COMPUTED_VALUE"""),45801.0)</f>
        <v>45801</v>
      </c>
      <c r="AO178" s="182" t="b">
        <f>IFERROR(__xludf.DUMMYFUNCTION("""COMPUTED_VALUE"""),FALSE)</f>
        <v>0</v>
      </c>
      <c r="AP178" s="182"/>
      <c r="AQ178" s="182"/>
      <c r="AR178" s="182"/>
      <c r="AS178" s="182"/>
      <c r="AT178" s="182"/>
      <c r="AU178" s="182"/>
      <c r="AV178" s="187">
        <f>IFERROR(__xludf.DUMMYFUNCTION("""COMPUTED_VALUE"""),45801.0)</f>
        <v>45801</v>
      </c>
      <c r="AW178" s="182"/>
      <c r="AX178" s="182"/>
      <c r="AY178" s="182"/>
      <c r="AZ178" s="187">
        <f>IFERROR(__xludf.DUMMYFUNCTION("""COMPUTED_VALUE"""),45827.0)</f>
        <v>45827</v>
      </c>
      <c r="BA178" s="182" t="b">
        <f>IFERROR(__xludf.DUMMYFUNCTION("""COMPUTED_VALUE"""),FALSE)</f>
        <v>0</v>
      </c>
      <c r="BB178" s="187">
        <f>IFERROR(__xludf.DUMMYFUNCTION("""COMPUTED_VALUE"""),45827.0)</f>
        <v>45827</v>
      </c>
    </row>
    <row r="179">
      <c r="A179" s="184" t="str">
        <f t="shared" si="1"/>
        <v>#VALUE!</v>
      </c>
      <c r="B179" s="69" t="str">
        <f t="shared" si="2"/>
        <v>#VALUE!</v>
      </c>
      <c r="C179" s="182" t="str">
        <f>IFERROR(__xludf.DUMMYFUNCTION("""COMPUTED_VALUE"""),"JP")</f>
        <v>JP</v>
      </c>
      <c r="D179" s="182" t="str">
        <f>IFERROR(__xludf.DUMMYFUNCTION("""COMPUTED_VALUE"""),"MP")</f>
        <v>MP</v>
      </c>
      <c r="E179" s="182" t="str">
        <f>IFERROR(__xludf.DUMMYFUNCTION("""COMPUTED_VALUE"""),"CLNR")</f>
        <v>CLNR</v>
      </c>
      <c r="F179" s="182" t="str">
        <f>IFERROR(__xludf.DUMMYFUNCTION("""COMPUTED_VALUE"""),"CLNRGA10532")</f>
        <v>CLNRGA10532</v>
      </c>
      <c r="G179" s="182" t="str">
        <f>IFERROR(__xludf.DUMMYFUNCTION("""COMPUTED_VALUE"""),"GN4F5")</f>
        <v>GN4F5</v>
      </c>
      <c r="H179" s="182">
        <f>IFERROR(__xludf.DUMMYFUNCTION("""COMPUTED_VALUE"""),8.40353937536E11)</f>
        <v>840353937536</v>
      </c>
      <c r="I179" s="185" t="str">
        <f>IFERROR(__xludf.DUMMYFUNCTION("""COMPUTED_VALUE"""),"0840353937536")</f>
        <v>0840353937536</v>
      </c>
      <c r="J179" s="182"/>
      <c r="K179" s="182"/>
      <c r="L179" s="182"/>
      <c r="M179" s="182" t="str">
        <f>IFERROR(__xludf.DUMMYFUNCTION("""COMPUTED_VALUE"""),"N/A")</f>
        <v>N/A</v>
      </c>
      <c r="N179" s="182"/>
      <c r="O179" s="182" t="str">
        <f>IFERROR(__xludf.DUMMYFUNCTION("""COMPUTED_VALUE"""),"N/A")</f>
        <v>N/A</v>
      </c>
      <c r="P179" s="182"/>
      <c r="Q179" s="182" t="str">
        <f>IFERROR(__xludf.DUMMYFUNCTION("""COMPUTED_VALUE"""),"512GB")</f>
        <v>512GB</v>
      </c>
      <c r="R179" s="182" t="str">
        <f>IFERROR(__xludf.DUMMYFUNCTION("""COMPUTED_VALUE"""),"Obsidian")</f>
        <v>Obsidian</v>
      </c>
      <c r="S179" s="182" t="str">
        <f>IFERROR(__xludf.DUMMYFUNCTION("""COMPUTED_VALUE"""),"Midnight")</f>
        <v>Midnight</v>
      </c>
      <c r="T179" s="182" t="str">
        <f>IFERROR(__xludf.DUMMYFUNCTION("""COMPUTED_VALUE"""),"JP")</f>
        <v>JP</v>
      </c>
      <c r="U179" s="182" t="str">
        <f>IFERROR(__xludf.DUMMYFUNCTION("""COMPUTED_VALUE"""),"SKU,CLR1, BEST, SUB6, JP, BZ5, FRU")</f>
        <v>SKU,CLR1, BEST, SUB6, JP, BZ5, FRU</v>
      </c>
      <c r="V179" s="182"/>
      <c r="W179" s="183" t="str">
        <f>IFERROR(__xludf.DUMMYFUNCTION("""COMPUTED_VALUE"""),"#NUM!")</f>
        <v>#NUM!</v>
      </c>
      <c r="X179" s="186">
        <f>IFERROR(__xludf.DUMMYFUNCTION("""COMPUTED_VALUE"""),45831.0)</f>
        <v>45831</v>
      </c>
      <c r="Y179" s="187">
        <f>IFERROR(__xludf.DUMMYFUNCTION("""COMPUTED_VALUE"""),45780.0)</f>
        <v>45780</v>
      </c>
      <c r="Z179" s="182" t="b">
        <f>IFERROR(__xludf.DUMMYFUNCTION("""COMPUTED_VALUE"""),FALSE)</f>
        <v>0</v>
      </c>
      <c r="AA179" s="187">
        <f>IFERROR(__xludf.DUMMYFUNCTION("""COMPUTED_VALUE"""),45780.0)</f>
        <v>45780</v>
      </c>
      <c r="AB179" s="182" t="b">
        <f>IFERROR(__xludf.DUMMYFUNCTION("""COMPUTED_VALUE"""),FALSE)</f>
        <v>0</v>
      </c>
      <c r="AC179" s="187">
        <f>IFERROR(__xludf.DUMMYFUNCTION("""COMPUTED_VALUE"""),45787.0)</f>
        <v>45787</v>
      </c>
      <c r="AD179" s="187">
        <f>IFERROR(__xludf.DUMMYFUNCTION("""COMPUTED_VALUE"""),45787.0)</f>
        <v>45787</v>
      </c>
      <c r="AE179" s="182"/>
      <c r="AF179" s="182"/>
      <c r="AG179" s="182"/>
      <c r="AH179" s="182"/>
      <c r="AI179" s="182"/>
      <c r="AJ179" s="187">
        <f>IFERROR(__xludf.DUMMYFUNCTION("""COMPUTED_VALUE"""),45793.0)</f>
        <v>45793</v>
      </c>
      <c r="AK179" s="187">
        <f>IFERROR(__xludf.DUMMYFUNCTION("""COMPUTED_VALUE"""),45801.0)</f>
        <v>45801</v>
      </c>
      <c r="AL179" s="182" t="b">
        <f>IFERROR(__xludf.DUMMYFUNCTION("""COMPUTED_VALUE"""),FALSE)</f>
        <v>0</v>
      </c>
      <c r="AM179" s="182"/>
      <c r="AN179" s="187">
        <f>IFERROR(__xludf.DUMMYFUNCTION("""COMPUTED_VALUE"""),45801.0)</f>
        <v>45801</v>
      </c>
      <c r="AO179" s="182" t="b">
        <f>IFERROR(__xludf.DUMMYFUNCTION("""COMPUTED_VALUE"""),FALSE)</f>
        <v>0</v>
      </c>
      <c r="AP179" s="182"/>
      <c r="AQ179" s="182"/>
      <c r="AR179" s="182"/>
      <c r="AS179" s="182"/>
      <c r="AT179" s="182"/>
      <c r="AU179" s="182"/>
      <c r="AV179" s="187">
        <f>IFERROR(__xludf.DUMMYFUNCTION("""COMPUTED_VALUE"""),45801.0)</f>
        <v>45801</v>
      </c>
      <c r="AW179" s="182"/>
      <c r="AX179" s="182"/>
      <c r="AY179" s="182"/>
      <c r="AZ179" s="187">
        <f>IFERROR(__xludf.DUMMYFUNCTION("""COMPUTED_VALUE"""),45827.0)</f>
        <v>45827</v>
      </c>
      <c r="BA179" s="182" t="b">
        <f>IFERROR(__xludf.DUMMYFUNCTION("""COMPUTED_VALUE"""),FALSE)</f>
        <v>0</v>
      </c>
      <c r="BB179" s="187">
        <f>IFERROR(__xludf.DUMMYFUNCTION("""COMPUTED_VALUE"""),45827.0)</f>
        <v>45827</v>
      </c>
    </row>
    <row r="180">
      <c r="A180" s="184" t="str">
        <f t="shared" si="1"/>
        <v>#VALUE!</v>
      </c>
      <c r="B180" s="69" t="str">
        <f t="shared" si="2"/>
        <v>#VALUE!</v>
      </c>
      <c r="C180" s="182" t="str">
        <f>IFERROR(__xludf.DUMMYFUNCTION("""COMPUTED_VALUE"""),"JP")</f>
        <v>JP</v>
      </c>
      <c r="D180" s="182" t="str">
        <f>IFERROR(__xludf.DUMMYFUNCTION("""COMPUTED_VALUE"""),"MP")</f>
        <v>MP</v>
      </c>
      <c r="E180" s="182" t="str">
        <f>IFERROR(__xludf.DUMMYFUNCTION("""COMPUTED_VALUE"""),"CLNR")</f>
        <v>CLNR</v>
      </c>
      <c r="F180" s="182" t="str">
        <f>IFERROR(__xludf.DUMMYFUNCTION("""COMPUTED_VALUE"""),"CLNRGA10533")</f>
        <v>CLNRGA10533</v>
      </c>
      <c r="G180" s="182" t="str">
        <f>IFERROR(__xludf.DUMMYFUNCTION("""COMPUTED_VALUE"""),"GN4F5")</f>
        <v>GN4F5</v>
      </c>
      <c r="H180" s="182">
        <f>IFERROR(__xludf.DUMMYFUNCTION("""COMPUTED_VALUE"""),8.40353937543E11)</f>
        <v>840353937543</v>
      </c>
      <c r="I180" s="185" t="str">
        <f>IFERROR(__xludf.DUMMYFUNCTION("""COMPUTED_VALUE"""),"0840353937543")</f>
        <v>0840353937543</v>
      </c>
      <c r="J180" s="182"/>
      <c r="K180" s="182"/>
      <c r="L180" s="182"/>
      <c r="M180" s="182" t="str">
        <f>IFERROR(__xludf.DUMMYFUNCTION("""COMPUTED_VALUE"""),"N/A")</f>
        <v>N/A</v>
      </c>
      <c r="N180" s="182"/>
      <c r="O180" s="182" t="str">
        <f>IFERROR(__xludf.DUMMYFUNCTION("""COMPUTED_VALUE"""),"N/A")</f>
        <v>N/A</v>
      </c>
      <c r="P180" s="182"/>
      <c r="Q180" s="182" t="str">
        <f>IFERROR(__xludf.DUMMYFUNCTION("""COMPUTED_VALUE"""),"512GB")</f>
        <v>512GB</v>
      </c>
      <c r="R180" s="182" t="str">
        <f>IFERROR(__xludf.DUMMYFUNCTION("""COMPUTED_VALUE"""),"Porcelain")</f>
        <v>Porcelain</v>
      </c>
      <c r="S180" s="182" t="str">
        <f>IFERROR(__xludf.DUMMYFUNCTION("""COMPUTED_VALUE"""),"Light Porcelain")</f>
        <v>Light Porcelain</v>
      </c>
      <c r="T180" s="182" t="str">
        <f>IFERROR(__xludf.DUMMYFUNCTION("""COMPUTED_VALUE"""),"JP")</f>
        <v>JP</v>
      </c>
      <c r="U180" s="182" t="str">
        <f>IFERROR(__xludf.DUMMYFUNCTION("""COMPUTED_VALUE"""),"SKU,CLR2, BEST, SUB6, JP, BZ5, FRU")</f>
        <v>SKU,CLR2, BEST, SUB6, JP, BZ5, FRU</v>
      </c>
      <c r="V180" s="182"/>
      <c r="W180" s="183" t="str">
        <f>IFERROR(__xludf.DUMMYFUNCTION("""COMPUTED_VALUE"""),"#NUM!")</f>
        <v>#NUM!</v>
      </c>
      <c r="X180" s="186">
        <f>IFERROR(__xludf.DUMMYFUNCTION("""COMPUTED_VALUE"""),45831.0)</f>
        <v>45831</v>
      </c>
      <c r="Y180" s="187">
        <f>IFERROR(__xludf.DUMMYFUNCTION("""COMPUTED_VALUE"""),45780.0)</f>
        <v>45780</v>
      </c>
      <c r="Z180" s="182" t="b">
        <f>IFERROR(__xludf.DUMMYFUNCTION("""COMPUTED_VALUE"""),FALSE)</f>
        <v>0</v>
      </c>
      <c r="AA180" s="187">
        <f>IFERROR(__xludf.DUMMYFUNCTION("""COMPUTED_VALUE"""),45780.0)</f>
        <v>45780</v>
      </c>
      <c r="AB180" s="182" t="b">
        <f>IFERROR(__xludf.DUMMYFUNCTION("""COMPUTED_VALUE"""),FALSE)</f>
        <v>0</v>
      </c>
      <c r="AC180" s="187">
        <f>IFERROR(__xludf.DUMMYFUNCTION("""COMPUTED_VALUE"""),45787.0)</f>
        <v>45787</v>
      </c>
      <c r="AD180" s="187">
        <f>IFERROR(__xludf.DUMMYFUNCTION("""COMPUTED_VALUE"""),45787.0)</f>
        <v>45787</v>
      </c>
      <c r="AE180" s="182"/>
      <c r="AF180" s="182"/>
      <c r="AG180" s="182"/>
      <c r="AH180" s="182"/>
      <c r="AI180" s="182"/>
      <c r="AJ180" s="187">
        <f>IFERROR(__xludf.DUMMYFUNCTION("""COMPUTED_VALUE"""),45793.0)</f>
        <v>45793</v>
      </c>
      <c r="AK180" s="187">
        <f>IFERROR(__xludf.DUMMYFUNCTION("""COMPUTED_VALUE"""),45801.0)</f>
        <v>45801</v>
      </c>
      <c r="AL180" s="182" t="b">
        <f>IFERROR(__xludf.DUMMYFUNCTION("""COMPUTED_VALUE"""),FALSE)</f>
        <v>0</v>
      </c>
      <c r="AM180" s="182"/>
      <c r="AN180" s="187">
        <f>IFERROR(__xludf.DUMMYFUNCTION("""COMPUTED_VALUE"""),45801.0)</f>
        <v>45801</v>
      </c>
      <c r="AO180" s="182" t="b">
        <f>IFERROR(__xludf.DUMMYFUNCTION("""COMPUTED_VALUE"""),FALSE)</f>
        <v>0</v>
      </c>
      <c r="AP180" s="182"/>
      <c r="AQ180" s="182"/>
      <c r="AR180" s="182"/>
      <c r="AS180" s="182"/>
      <c r="AT180" s="182"/>
      <c r="AU180" s="182"/>
      <c r="AV180" s="187">
        <f>IFERROR(__xludf.DUMMYFUNCTION("""COMPUTED_VALUE"""),45801.0)</f>
        <v>45801</v>
      </c>
      <c r="AW180" s="182"/>
      <c r="AX180" s="182"/>
      <c r="AY180" s="182"/>
      <c r="AZ180" s="187">
        <f>IFERROR(__xludf.DUMMYFUNCTION("""COMPUTED_VALUE"""),45827.0)</f>
        <v>45827</v>
      </c>
      <c r="BA180" s="182" t="b">
        <f>IFERROR(__xludf.DUMMYFUNCTION("""COMPUTED_VALUE"""),FALSE)</f>
        <v>0</v>
      </c>
      <c r="BB180" s="187">
        <f>IFERROR(__xludf.DUMMYFUNCTION("""COMPUTED_VALUE"""),45827.0)</f>
        <v>45827</v>
      </c>
    </row>
    <row r="181">
      <c r="A181" s="184" t="str">
        <f t="shared" si="1"/>
        <v>#VALUE!</v>
      </c>
      <c r="B181" s="69" t="str">
        <f t="shared" si="2"/>
        <v>#VALUE!</v>
      </c>
      <c r="C181" s="182" t="str">
        <f>IFERROR(__xludf.DUMMYFUNCTION("""COMPUTED_VALUE"""),"JP")</f>
        <v>JP</v>
      </c>
      <c r="D181" s="182" t="str">
        <f>IFERROR(__xludf.DUMMYFUNCTION("""COMPUTED_VALUE"""),"MP")</f>
        <v>MP</v>
      </c>
      <c r="E181" s="182" t="str">
        <f>IFERROR(__xludf.DUMMYFUNCTION("""COMPUTED_VALUE"""),"CLNR")</f>
        <v>CLNR</v>
      </c>
      <c r="F181" s="182" t="str">
        <f>IFERROR(__xludf.DUMMYFUNCTION("""COMPUTED_VALUE"""),"CLNRGA10534")</f>
        <v>CLNRGA10534</v>
      </c>
      <c r="G181" s="182" t="str">
        <f>IFERROR(__xludf.DUMMYFUNCTION("""COMPUTED_VALUE"""),"GN4F5")</f>
        <v>GN4F5</v>
      </c>
      <c r="H181" s="182">
        <f>IFERROR(__xludf.DUMMYFUNCTION("""COMPUTED_VALUE"""),8.4035393755E11)</f>
        <v>840353937550</v>
      </c>
      <c r="I181" s="185" t="str">
        <f>IFERROR(__xludf.DUMMYFUNCTION("""COMPUTED_VALUE"""),"0840353937550")</f>
        <v>0840353937550</v>
      </c>
      <c r="J181" s="182"/>
      <c r="K181" s="182"/>
      <c r="L181" s="182"/>
      <c r="M181" s="182" t="str">
        <f>IFERROR(__xludf.DUMMYFUNCTION("""COMPUTED_VALUE"""),"N/A")</f>
        <v>N/A</v>
      </c>
      <c r="N181" s="182"/>
      <c r="O181" s="182" t="str">
        <f>IFERROR(__xludf.DUMMYFUNCTION("""COMPUTED_VALUE"""),"N/A")</f>
        <v>N/A</v>
      </c>
      <c r="P181" s="182"/>
      <c r="Q181" s="182" t="str">
        <f>IFERROR(__xludf.DUMMYFUNCTION("""COMPUTED_VALUE"""),"512GB")</f>
        <v>512GB</v>
      </c>
      <c r="R181" s="182" t="str">
        <f>IFERROR(__xludf.DUMMYFUNCTION("""COMPUTED_VALUE"""),"Moonstone")</f>
        <v>Moonstone</v>
      </c>
      <c r="S181" s="182" t="str">
        <f>IFERROR(__xludf.DUMMYFUNCTION("""COMPUTED_VALUE"""),"Sterling")</f>
        <v>Sterling</v>
      </c>
      <c r="T181" s="182" t="str">
        <f>IFERROR(__xludf.DUMMYFUNCTION("""COMPUTED_VALUE"""),"JP")</f>
        <v>JP</v>
      </c>
      <c r="U181" s="182" t="str">
        <f>IFERROR(__xludf.DUMMYFUNCTION("""COMPUTED_VALUE"""),"SKU,CLR3, BEST, SUB6, JP, BZ5, FRU")</f>
        <v>SKU,CLR3, BEST, SUB6, JP, BZ5, FRU</v>
      </c>
      <c r="V181" s="182"/>
      <c r="W181" s="183" t="str">
        <f>IFERROR(__xludf.DUMMYFUNCTION("""COMPUTED_VALUE"""),"#NUM!")</f>
        <v>#NUM!</v>
      </c>
      <c r="X181" s="186">
        <f>IFERROR(__xludf.DUMMYFUNCTION("""COMPUTED_VALUE"""),45831.0)</f>
        <v>45831</v>
      </c>
      <c r="Y181" s="187">
        <f>IFERROR(__xludf.DUMMYFUNCTION("""COMPUTED_VALUE"""),45780.0)</f>
        <v>45780</v>
      </c>
      <c r="Z181" s="182" t="b">
        <f>IFERROR(__xludf.DUMMYFUNCTION("""COMPUTED_VALUE"""),FALSE)</f>
        <v>0</v>
      </c>
      <c r="AA181" s="187">
        <f>IFERROR(__xludf.DUMMYFUNCTION("""COMPUTED_VALUE"""),45780.0)</f>
        <v>45780</v>
      </c>
      <c r="AB181" s="182" t="b">
        <f>IFERROR(__xludf.DUMMYFUNCTION("""COMPUTED_VALUE"""),FALSE)</f>
        <v>0</v>
      </c>
      <c r="AC181" s="187">
        <f>IFERROR(__xludf.DUMMYFUNCTION("""COMPUTED_VALUE"""),45787.0)</f>
        <v>45787</v>
      </c>
      <c r="AD181" s="187">
        <f>IFERROR(__xludf.DUMMYFUNCTION("""COMPUTED_VALUE"""),45787.0)</f>
        <v>45787</v>
      </c>
      <c r="AE181" s="182"/>
      <c r="AF181" s="182"/>
      <c r="AG181" s="182"/>
      <c r="AH181" s="182"/>
      <c r="AI181" s="182"/>
      <c r="AJ181" s="187">
        <f>IFERROR(__xludf.DUMMYFUNCTION("""COMPUTED_VALUE"""),45793.0)</f>
        <v>45793</v>
      </c>
      <c r="AK181" s="187">
        <f>IFERROR(__xludf.DUMMYFUNCTION("""COMPUTED_VALUE"""),45801.0)</f>
        <v>45801</v>
      </c>
      <c r="AL181" s="182" t="b">
        <f>IFERROR(__xludf.DUMMYFUNCTION("""COMPUTED_VALUE"""),FALSE)</f>
        <v>0</v>
      </c>
      <c r="AM181" s="182"/>
      <c r="AN181" s="187">
        <f>IFERROR(__xludf.DUMMYFUNCTION("""COMPUTED_VALUE"""),45801.0)</f>
        <v>45801</v>
      </c>
      <c r="AO181" s="182" t="b">
        <f>IFERROR(__xludf.DUMMYFUNCTION("""COMPUTED_VALUE"""),FALSE)</f>
        <v>0</v>
      </c>
      <c r="AP181" s="182"/>
      <c r="AQ181" s="182"/>
      <c r="AR181" s="182"/>
      <c r="AS181" s="182"/>
      <c r="AT181" s="182"/>
      <c r="AU181" s="182"/>
      <c r="AV181" s="187">
        <f>IFERROR(__xludf.DUMMYFUNCTION("""COMPUTED_VALUE"""),45801.0)</f>
        <v>45801</v>
      </c>
      <c r="AW181" s="182"/>
      <c r="AX181" s="182"/>
      <c r="AY181" s="182"/>
      <c r="AZ181" s="187">
        <f>IFERROR(__xludf.DUMMYFUNCTION("""COMPUTED_VALUE"""),45827.0)</f>
        <v>45827</v>
      </c>
      <c r="BA181" s="182" t="b">
        <f>IFERROR(__xludf.DUMMYFUNCTION("""COMPUTED_VALUE"""),FALSE)</f>
        <v>0</v>
      </c>
      <c r="BB181" s="187">
        <f>IFERROR(__xludf.DUMMYFUNCTION("""COMPUTED_VALUE"""),45827.0)</f>
        <v>45827</v>
      </c>
    </row>
    <row r="182">
      <c r="A182" s="184" t="str">
        <f t="shared" si="1"/>
        <v>#VALUE!</v>
      </c>
      <c r="B182" s="69" t="str">
        <f t="shared" si="2"/>
        <v>#VALUE!</v>
      </c>
      <c r="C182" s="182" t="str">
        <f>IFERROR(__xludf.DUMMYFUNCTION("""COMPUTED_VALUE"""),"JP")</f>
        <v>JP</v>
      </c>
      <c r="D182" s="182" t="str">
        <f>IFERROR(__xludf.DUMMYFUNCTION("""COMPUTED_VALUE"""),"MP")</f>
        <v>MP</v>
      </c>
      <c r="E182" s="182" t="str">
        <f>IFERROR(__xludf.DUMMYFUNCTION("""COMPUTED_VALUE"""),"CLNR")</f>
        <v>CLNR</v>
      </c>
      <c r="F182" s="182" t="str">
        <f>IFERROR(__xludf.DUMMYFUNCTION("""COMPUTED_VALUE"""),"CLNRGA10535")</f>
        <v>CLNRGA10535</v>
      </c>
      <c r="G182" s="182" t="str">
        <f>IFERROR(__xludf.DUMMYFUNCTION("""COMPUTED_VALUE"""),"GN4F5")</f>
        <v>GN4F5</v>
      </c>
      <c r="H182" s="182">
        <f>IFERROR(__xludf.DUMMYFUNCTION("""COMPUTED_VALUE"""),8.40353937567E11)</f>
        <v>840353937567</v>
      </c>
      <c r="I182" s="185" t="str">
        <f>IFERROR(__xludf.DUMMYFUNCTION("""COMPUTED_VALUE"""),"0840353937567")</f>
        <v>0840353937567</v>
      </c>
      <c r="J182" s="182"/>
      <c r="K182" s="182"/>
      <c r="L182" s="182"/>
      <c r="M182" s="182" t="str">
        <f>IFERROR(__xludf.DUMMYFUNCTION("""COMPUTED_VALUE"""),"N/A")</f>
        <v>N/A</v>
      </c>
      <c r="N182" s="182"/>
      <c r="O182" s="182" t="str">
        <f>IFERROR(__xludf.DUMMYFUNCTION("""COMPUTED_VALUE"""),"N/A")</f>
        <v>N/A</v>
      </c>
      <c r="P182" s="182"/>
      <c r="Q182" s="182" t="str">
        <f>IFERROR(__xludf.DUMMYFUNCTION("""COMPUTED_VALUE"""),"512GB")</f>
        <v>512GB</v>
      </c>
      <c r="R182" s="182" t="str">
        <f>IFERROR(__xludf.DUMMYFUNCTION("""COMPUTED_VALUE"""),"Jade")</f>
        <v>Jade</v>
      </c>
      <c r="S182" s="182" t="str">
        <f>IFERROR(__xludf.DUMMYFUNCTION("""COMPUTED_VALUE"""),"Smokey Green")</f>
        <v>Smokey Green</v>
      </c>
      <c r="T182" s="182" t="str">
        <f>IFERROR(__xludf.DUMMYFUNCTION("""COMPUTED_VALUE"""),"JP")</f>
        <v>JP</v>
      </c>
      <c r="U182" s="182" t="str">
        <f>IFERROR(__xludf.DUMMYFUNCTION("""COMPUTED_VALUE"""),"SKU,CLR4, BEST, SUB6, JP, BZ5, FRU")</f>
        <v>SKU,CLR4, BEST, SUB6, JP, BZ5, FRU</v>
      </c>
      <c r="V182" s="182"/>
      <c r="W182" s="183" t="str">
        <f>IFERROR(__xludf.DUMMYFUNCTION("""COMPUTED_VALUE"""),"#NUM!")</f>
        <v>#NUM!</v>
      </c>
      <c r="X182" s="186">
        <f>IFERROR(__xludf.DUMMYFUNCTION("""COMPUTED_VALUE"""),45831.0)</f>
        <v>45831</v>
      </c>
      <c r="Y182" s="187">
        <f>IFERROR(__xludf.DUMMYFUNCTION("""COMPUTED_VALUE"""),45780.0)</f>
        <v>45780</v>
      </c>
      <c r="Z182" s="182" t="b">
        <f>IFERROR(__xludf.DUMMYFUNCTION("""COMPUTED_VALUE"""),FALSE)</f>
        <v>0</v>
      </c>
      <c r="AA182" s="187">
        <f>IFERROR(__xludf.DUMMYFUNCTION("""COMPUTED_VALUE"""),45780.0)</f>
        <v>45780</v>
      </c>
      <c r="AB182" s="182" t="b">
        <f>IFERROR(__xludf.DUMMYFUNCTION("""COMPUTED_VALUE"""),FALSE)</f>
        <v>0</v>
      </c>
      <c r="AC182" s="187">
        <f>IFERROR(__xludf.DUMMYFUNCTION("""COMPUTED_VALUE"""),45787.0)</f>
        <v>45787</v>
      </c>
      <c r="AD182" s="187">
        <f>IFERROR(__xludf.DUMMYFUNCTION("""COMPUTED_VALUE"""),45787.0)</f>
        <v>45787</v>
      </c>
      <c r="AE182" s="182"/>
      <c r="AF182" s="182"/>
      <c r="AG182" s="182"/>
      <c r="AH182" s="182"/>
      <c r="AI182" s="182"/>
      <c r="AJ182" s="187">
        <f>IFERROR(__xludf.DUMMYFUNCTION("""COMPUTED_VALUE"""),45793.0)</f>
        <v>45793</v>
      </c>
      <c r="AK182" s="187">
        <f>IFERROR(__xludf.DUMMYFUNCTION("""COMPUTED_VALUE"""),45801.0)</f>
        <v>45801</v>
      </c>
      <c r="AL182" s="182" t="b">
        <f>IFERROR(__xludf.DUMMYFUNCTION("""COMPUTED_VALUE"""),FALSE)</f>
        <v>0</v>
      </c>
      <c r="AM182" s="182"/>
      <c r="AN182" s="187">
        <f>IFERROR(__xludf.DUMMYFUNCTION("""COMPUTED_VALUE"""),45801.0)</f>
        <v>45801</v>
      </c>
      <c r="AO182" s="182" t="b">
        <f>IFERROR(__xludf.DUMMYFUNCTION("""COMPUTED_VALUE"""),FALSE)</f>
        <v>0</v>
      </c>
      <c r="AP182" s="182"/>
      <c r="AQ182" s="182"/>
      <c r="AR182" s="182"/>
      <c r="AS182" s="182"/>
      <c r="AT182" s="182"/>
      <c r="AU182" s="182"/>
      <c r="AV182" s="187">
        <f>IFERROR(__xludf.DUMMYFUNCTION("""COMPUTED_VALUE"""),45801.0)</f>
        <v>45801</v>
      </c>
      <c r="AW182" s="182"/>
      <c r="AX182" s="182"/>
      <c r="AY182" s="182"/>
      <c r="AZ182" s="187">
        <f>IFERROR(__xludf.DUMMYFUNCTION("""COMPUTED_VALUE"""),45827.0)</f>
        <v>45827</v>
      </c>
      <c r="BA182" s="182" t="b">
        <f>IFERROR(__xludf.DUMMYFUNCTION("""COMPUTED_VALUE"""),FALSE)</f>
        <v>0</v>
      </c>
      <c r="BB182" s="187">
        <f>IFERROR(__xludf.DUMMYFUNCTION("""COMPUTED_VALUE"""),45827.0)</f>
        <v>45827</v>
      </c>
    </row>
    <row r="183">
      <c r="A183" s="184" t="str">
        <f t="shared" si="1"/>
        <v>#VALUE!</v>
      </c>
      <c r="B183" s="69" t="str">
        <f t="shared" si="2"/>
        <v>#VALUE!</v>
      </c>
      <c r="C183" s="182" t="str">
        <f>IFERROR(__xludf.DUMMYFUNCTION("""COMPUTED_VALUE"""),"JP")</f>
        <v>JP</v>
      </c>
      <c r="D183" s="182" t="str">
        <f>IFERROR(__xludf.DUMMYFUNCTION("""COMPUTED_VALUE"""),"MP")</f>
        <v>MP</v>
      </c>
      <c r="E183" s="182" t="str">
        <f>IFERROR(__xludf.DUMMYFUNCTION("""COMPUTED_VALUE"""),"CLNR")</f>
        <v>CLNR</v>
      </c>
      <c r="F183" s="182" t="str">
        <f>IFERROR(__xludf.DUMMYFUNCTION("""COMPUTED_VALUE"""),"CLNRGA10536")</f>
        <v>CLNRGA10536</v>
      </c>
      <c r="G183" s="182" t="str">
        <f>IFERROR(__xludf.DUMMYFUNCTION("""COMPUTED_VALUE"""),"GN4F5")</f>
        <v>GN4F5</v>
      </c>
      <c r="H183" s="182">
        <f>IFERROR(__xludf.DUMMYFUNCTION("""COMPUTED_VALUE"""),8.40353937574E11)</f>
        <v>840353937574</v>
      </c>
      <c r="I183" s="185" t="str">
        <f>IFERROR(__xludf.DUMMYFUNCTION("""COMPUTED_VALUE"""),"0840353937574")</f>
        <v>0840353937574</v>
      </c>
      <c r="J183" s="182"/>
      <c r="K183" s="182"/>
      <c r="L183" s="182"/>
      <c r="M183" s="182" t="str">
        <f>IFERROR(__xludf.DUMMYFUNCTION("""COMPUTED_VALUE"""),"N/A")</f>
        <v>N/A</v>
      </c>
      <c r="N183" s="182"/>
      <c r="O183" s="182" t="str">
        <f>IFERROR(__xludf.DUMMYFUNCTION("""COMPUTED_VALUE"""),"N/A")</f>
        <v>N/A</v>
      </c>
      <c r="P183" s="182"/>
      <c r="Q183" s="182" t="str">
        <f>IFERROR(__xludf.DUMMYFUNCTION("""COMPUTED_VALUE"""),"1TB")</f>
        <v>1TB</v>
      </c>
      <c r="R183" s="182" t="str">
        <f>IFERROR(__xludf.DUMMYFUNCTION("""COMPUTED_VALUE"""),"Obsidian")</f>
        <v>Obsidian</v>
      </c>
      <c r="S183" s="182" t="str">
        <f>IFERROR(__xludf.DUMMYFUNCTION("""COMPUTED_VALUE"""),"Midnight")</f>
        <v>Midnight</v>
      </c>
      <c r="T183" s="182" t="str">
        <f>IFERROR(__xludf.DUMMYFUNCTION("""COMPUTED_VALUE"""),"JP")</f>
        <v>JP</v>
      </c>
      <c r="U183" s="182" t="str">
        <f>IFERROR(__xludf.DUMMYFUNCTION("""COMPUTED_VALUE"""),"SKU,CLR1, ULTRA, SUB6, JP, BZ5, FRU")</f>
        <v>SKU,CLR1, ULTRA, SUB6, JP, BZ5, FRU</v>
      </c>
      <c r="V183" s="182"/>
      <c r="W183" s="183" t="str">
        <f>IFERROR(__xludf.DUMMYFUNCTION("""COMPUTED_VALUE"""),"#NUM!")</f>
        <v>#NUM!</v>
      </c>
      <c r="X183" s="186">
        <f>IFERROR(__xludf.DUMMYFUNCTION("""COMPUTED_VALUE"""),45831.0)</f>
        <v>45831</v>
      </c>
      <c r="Y183" s="187">
        <f>IFERROR(__xludf.DUMMYFUNCTION("""COMPUTED_VALUE"""),45780.0)</f>
        <v>45780</v>
      </c>
      <c r="Z183" s="182" t="b">
        <f>IFERROR(__xludf.DUMMYFUNCTION("""COMPUTED_VALUE"""),FALSE)</f>
        <v>0</v>
      </c>
      <c r="AA183" s="187">
        <f>IFERROR(__xludf.DUMMYFUNCTION("""COMPUTED_VALUE"""),45780.0)</f>
        <v>45780</v>
      </c>
      <c r="AB183" s="182" t="b">
        <f>IFERROR(__xludf.DUMMYFUNCTION("""COMPUTED_VALUE"""),FALSE)</f>
        <v>0</v>
      </c>
      <c r="AC183" s="187">
        <f>IFERROR(__xludf.DUMMYFUNCTION("""COMPUTED_VALUE"""),45787.0)</f>
        <v>45787</v>
      </c>
      <c r="AD183" s="187">
        <f>IFERROR(__xludf.DUMMYFUNCTION("""COMPUTED_VALUE"""),45787.0)</f>
        <v>45787</v>
      </c>
      <c r="AE183" s="182"/>
      <c r="AF183" s="182"/>
      <c r="AG183" s="182"/>
      <c r="AH183" s="182"/>
      <c r="AI183" s="182"/>
      <c r="AJ183" s="187">
        <f>IFERROR(__xludf.DUMMYFUNCTION("""COMPUTED_VALUE"""),45793.0)</f>
        <v>45793</v>
      </c>
      <c r="AK183" s="187">
        <f>IFERROR(__xludf.DUMMYFUNCTION("""COMPUTED_VALUE"""),45801.0)</f>
        <v>45801</v>
      </c>
      <c r="AL183" s="182" t="b">
        <f>IFERROR(__xludf.DUMMYFUNCTION("""COMPUTED_VALUE"""),FALSE)</f>
        <v>0</v>
      </c>
      <c r="AM183" s="182"/>
      <c r="AN183" s="187">
        <f>IFERROR(__xludf.DUMMYFUNCTION("""COMPUTED_VALUE"""),45801.0)</f>
        <v>45801</v>
      </c>
      <c r="AO183" s="182" t="b">
        <f>IFERROR(__xludf.DUMMYFUNCTION("""COMPUTED_VALUE"""),FALSE)</f>
        <v>0</v>
      </c>
      <c r="AP183" s="182"/>
      <c r="AQ183" s="182"/>
      <c r="AR183" s="182"/>
      <c r="AS183" s="182"/>
      <c r="AT183" s="182"/>
      <c r="AU183" s="182"/>
      <c r="AV183" s="187">
        <f>IFERROR(__xludf.DUMMYFUNCTION("""COMPUTED_VALUE"""),45801.0)</f>
        <v>45801</v>
      </c>
      <c r="AW183" s="182"/>
      <c r="AX183" s="182"/>
      <c r="AY183" s="182"/>
      <c r="AZ183" s="187">
        <f>IFERROR(__xludf.DUMMYFUNCTION("""COMPUTED_VALUE"""),45827.0)</f>
        <v>45827</v>
      </c>
      <c r="BA183" s="182" t="b">
        <f>IFERROR(__xludf.DUMMYFUNCTION("""COMPUTED_VALUE"""),FALSE)</f>
        <v>0</v>
      </c>
      <c r="BB183" s="187">
        <f>IFERROR(__xludf.DUMMYFUNCTION("""COMPUTED_VALUE"""),45827.0)</f>
        <v>45827</v>
      </c>
    </row>
    <row r="184">
      <c r="A184" s="184" t="str">
        <f t="shared" si="1"/>
        <v>#VALUE!</v>
      </c>
      <c r="B184" s="69" t="str">
        <f t="shared" si="2"/>
        <v>#VALUE!</v>
      </c>
      <c r="C184" s="182" t="str">
        <f>IFERROR(__xludf.DUMMYFUNCTION("""COMPUTED_VALUE"""),"JP")</f>
        <v>JP</v>
      </c>
      <c r="D184" s="182" t="str">
        <f>IFERROR(__xludf.DUMMYFUNCTION("""COMPUTED_VALUE"""),"MP")</f>
        <v>MP</v>
      </c>
      <c r="E184" s="182" t="str">
        <f>IFERROR(__xludf.DUMMYFUNCTION("""COMPUTED_VALUE"""),"CLNR")</f>
        <v>CLNR</v>
      </c>
      <c r="F184" s="182" t="str">
        <f>IFERROR(__xludf.DUMMYFUNCTION("""COMPUTED_VALUE"""),"CLNRGA10537")</f>
        <v>CLNRGA10537</v>
      </c>
      <c r="G184" s="182" t="str">
        <f>IFERROR(__xludf.DUMMYFUNCTION("""COMPUTED_VALUE"""),"GN4F5")</f>
        <v>GN4F5</v>
      </c>
      <c r="H184" s="182">
        <f>IFERROR(__xludf.DUMMYFUNCTION("""COMPUTED_VALUE"""),8.40353937581E11)</f>
        <v>840353937581</v>
      </c>
      <c r="I184" s="185" t="str">
        <f>IFERROR(__xludf.DUMMYFUNCTION("""COMPUTED_VALUE"""),"0840353937581")</f>
        <v>0840353937581</v>
      </c>
      <c r="J184" s="182"/>
      <c r="K184" s="182"/>
      <c r="L184" s="182"/>
      <c r="M184" s="182" t="str">
        <f>IFERROR(__xludf.DUMMYFUNCTION("""COMPUTED_VALUE"""),"N/A")</f>
        <v>N/A</v>
      </c>
      <c r="N184" s="182"/>
      <c r="O184" s="182" t="str">
        <f>IFERROR(__xludf.DUMMYFUNCTION("""COMPUTED_VALUE"""),"N/A")</f>
        <v>N/A</v>
      </c>
      <c r="P184" s="182"/>
      <c r="Q184" s="182" t="str">
        <f>IFERROR(__xludf.DUMMYFUNCTION("""COMPUTED_VALUE"""),"1TB")</f>
        <v>1TB</v>
      </c>
      <c r="R184" s="182" t="str">
        <f>IFERROR(__xludf.DUMMYFUNCTION("""COMPUTED_VALUE"""),"Moonstone")</f>
        <v>Moonstone</v>
      </c>
      <c r="S184" s="182" t="str">
        <f>IFERROR(__xludf.DUMMYFUNCTION("""COMPUTED_VALUE"""),"Sterling")</f>
        <v>Sterling</v>
      </c>
      <c r="T184" s="182" t="str">
        <f>IFERROR(__xludf.DUMMYFUNCTION("""COMPUTED_VALUE"""),"JP")</f>
        <v>JP</v>
      </c>
      <c r="U184" s="182" t="str">
        <f>IFERROR(__xludf.DUMMYFUNCTION("""COMPUTED_VALUE"""),"SKU,CLR3, ULTRA, SUB6, JP, BZ5, FRU")</f>
        <v>SKU,CLR3, ULTRA, SUB6, JP, BZ5, FRU</v>
      </c>
      <c r="V184" s="182"/>
      <c r="W184" s="183" t="str">
        <f>IFERROR(__xludf.DUMMYFUNCTION("""COMPUTED_VALUE"""),"#NUM!")</f>
        <v>#NUM!</v>
      </c>
      <c r="X184" s="186">
        <f>IFERROR(__xludf.DUMMYFUNCTION("""COMPUTED_VALUE"""),45831.0)</f>
        <v>45831</v>
      </c>
      <c r="Y184" s="187">
        <f>IFERROR(__xludf.DUMMYFUNCTION("""COMPUTED_VALUE"""),45780.0)</f>
        <v>45780</v>
      </c>
      <c r="Z184" s="182" t="b">
        <f>IFERROR(__xludf.DUMMYFUNCTION("""COMPUTED_VALUE"""),FALSE)</f>
        <v>0</v>
      </c>
      <c r="AA184" s="187">
        <f>IFERROR(__xludf.DUMMYFUNCTION("""COMPUTED_VALUE"""),45780.0)</f>
        <v>45780</v>
      </c>
      <c r="AB184" s="182" t="b">
        <f>IFERROR(__xludf.DUMMYFUNCTION("""COMPUTED_VALUE"""),FALSE)</f>
        <v>0</v>
      </c>
      <c r="AC184" s="187">
        <f>IFERROR(__xludf.DUMMYFUNCTION("""COMPUTED_VALUE"""),45787.0)</f>
        <v>45787</v>
      </c>
      <c r="AD184" s="187">
        <f>IFERROR(__xludf.DUMMYFUNCTION("""COMPUTED_VALUE"""),45787.0)</f>
        <v>45787</v>
      </c>
      <c r="AE184" s="182"/>
      <c r="AF184" s="182"/>
      <c r="AG184" s="182"/>
      <c r="AH184" s="182"/>
      <c r="AI184" s="182"/>
      <c r="AJ184" s="187">
        <f>IFERROR(__xludf.DUMMYFUNCTION("""COMPUTED_VALUE"""),45793.0)</f>
        <v>45793</v>
      </c>
      <c r="AK184" s="187">
        <f>IFERROR(__xludf.DUMMYFUNCTION("""COMPUTED_VALUE"""),45801.0)</f>
        <v>45801</v>
      </c>
      <c r="AL184" s="182" t="b">
        <f>IFERROR(__xludf.DUMMYFUNCTION("""COMPUTED_VALUE"""),FALSE)</f>
        <v>0</v>
      </c>
      <c r="AM184" s="182"/>
      <c r="AN184" s="187">
        <f>IFERROR(__xludf.DUMMYFUNCTION("""COMPUTED_VALUE"""),45801.0)</f>
        <v>45801</v>
      </c>
      <c r="AO184" s="182" t="b">
        <f>IFERROR(__xludf.DUMMYFUNCTION("""COMPUTED_VALUE"""),FALSE)</f>
        <v>0</v>
      </c>
      <c r="AP184" s="182"/>
      <c r="AQ184" s="182"/>
      <c r="AR184" s="182"/>
      <c r="AS184" s="182"/>
      <c r="AT184" s="182"/>
      <c r="AU184" s="182"/>
      <c r="AV184" s="187">
        <f>IFERROR(__xludf.DUMMYFUNCTION("""COMPUTED_VALUE"""),45801.0)</f>
        <v>45801</v>
      </c>
      <c r="AW184" s="182"/>
      <c r="AX184" s="182"/>
      <c r="AY184" s="182"/>
      <c r="AZ184" s="187">
        <f>IFERROR(__xludf.DUMMYFUNCTION("""COMPUTED_VALUE"""),45827.0)</f>
        <v>45827</v>
      </c>
      <c r="BA184" s="182" t="b">
        <f>IFERROR(__xludf.DUMMYFUNCTION("""COMPUTED_VALUE"""),FALSE)</f>
        <v>0</v>
      </c>
      <c r="BB184" s="187">
        <f>IFERROR(__xludf.DUMMYFUNCTION("""COMPUTED_VALUE"""),45827.0)</f>
        <v>45827</v>
      </c>
    </row>
    <row r="185">
      <c r="A185" s="184" t="str">
        <f t="shared" si="1"/>
        <v>#VALUE!</v>
      </c>
      <c r="B185" s="69" t="str">
        <f t="shared" si="2"/>
        <v>#VALUE!</v>
      </c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3" t="str">
        <f>IFERROR(__xludf.DUMMYFUNCTION("""COMPUTED_VALUE"""),"#NUM!")</f>
        <v>#NUM!</v>
      </c>
      <c r="X185" s="182"/>
      <c r="Y185" s="182" t="str">
        <f>IFERROR(__xludf.DUMMYFUNCTION("""COMPUTED_VALUE"""),"#VALUE!")</f>
        <v>#VALUE!</v>
      </c>
      <c r="Z185" s="182" t="b">
        <f>IFERROR(__xludf.DUMMYFUNCTION("""COMPUTED_VALUE"""),FALSE)</f>
        <v>0</v>
      </c>
      <c r="AA185" s="182" t="str">
        <f>IFERROR(__xludf.DUMMYFUNCTION("""COMPUTED_VALUE"""),"#VALUE!")</f>
        <v>#VALUE!</v>
      </c>
      <c r="AB185" s="182" t="b">
        <f>IFERROR(__xludf.DUMMYFUNCTION("""COMPUTED_VALUE"""),FALSE)</f>
        <v>0</v>
      </c>
      <c r="AC185" s="182" t="str">
        <f>IFERROR(__xludf.DUMMYFUNCTION("""COMPUTED_VALUE"""),"#VALUE!")</f>
        <v>#VALUE!</v>
      </c>
      <c r="AD185" s="182" t="str">
        <f>IFERROR(__xludf.DUMMYFUNCTION("""COMPUTED_VALUE"""),"#VALUE!")</f>
        <v>#VALUE!</v>
      </c>
      <c r="AE185" s="182"/>
      <c r="AF185" s="182"/>
      <c r="AG185" s="182"/>
      <c r="AH185" s="182"/>
      <c r="AI185" s="182"/>
      <c r="AJ185" s="182" t="str">
        <f>IFERROR(__xludf.DUMMYFUNCTION("""COMPUTED_VALUE"""),"#VALUE!")</f>
        <v>#VALUE!</v>
      </c>
      <c r="AK185" s="182" t="str">
        <f>IFERROR(__xludf.DUMMYFUNCTION("""COMPUTED_VALUE"""),"#VALUE!")</f>
        <v>#VALUE!</v>
      </c>
      <c r="AL185" s="182" t="b">
        <f>IFERROR(__xludf.DUMMYFUNCTION("""COMPUTED_VALUE"""),FALSE)</f>
        <v>0</v>
      </c>
      <c r="AM185" s="182"/>
      <c r="AN185" s="182" t="str">
        <f>IFERROR(__xludf.DUMMYFUNCTION("""COMPUTED_VALUE"""),"#VALUE!")</f>
        <v>#VALUE!</v>
      </c>
      <c r="AO185" s="182" t="b">
        <f>IFERROR(__xludf.DUMMYFUNCTION("""COMPUTED_VALUE"""),FALSE)</f>
        <v>0</v>
      </c>
      <c r="AP185" s="182"/>
      <c r="AQ185" s="182"/>
      <c r="AR185" s="182"/>
      <c r="AS185" s="182"/>
      <c r="AT185" s="182"/>
      <c r="AU185" s="182"/>
      <c r="AV185" s="182" t="str">
        <f>IFERROR(__xludf.DUMMYFUNCTION("""COMPUTED_VALUE"""),"#VALUE!")</f>
        <v>#VALUE!</v>
      </c>
      <c r="AW185" s="182"/>
      <c r="AX185" s="182"/>
      <c r="AY185" s="182"/>
      <c r="AZ185" s="182" t="str">
        <f>IFERROR(__xludf.DUMMYFUNCTION("""COMPUTED_VALUE"""),"#VALUE!")</f>
        <v>#VALUE!</v>
      </c>
      <c r="BA185" s="182" t="b">
        <f>IFERROR(__xludf.DUMMYFUNCTION("""COMPUTED_VALUE"""),FALSE)</f>
        <v>0</v>
      </c>
      <c r="BB185" s="182" t="str">
        <f>IFERROR(__xludf.DUMMYFUNCTION("""COMPUTED_VALUE"""),"#VALUE!")</f>
        <v>#VALUE!</v>
      </c>
    </row>
    <row r="186">
      <c r="A186" s="184" t="str">
        <f t="shared" si="1"/>
        <v>#VALUE!</v>
      </c>
      <c r="B186" s="69" t="str">
        <f t="shared" si="2"/>
        <v>#VALUE!</v>
      </c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3" t="str">
        <f>IFERROR(__xludf.DUMMYFUNCTION("""COMPUTED_VALUE"""),"#NUM!")</f>
        <v>#NUM!</v>
      </c>
      <c r="X186" s="182"/>
      <c r="Y186" s="182" t="str">
        <f>IFERROR(__xludf.DUMMYFUNCTION("""COMPUTED_VALUE"""),"#VALUE!")</f>
        <v>#VALUE!</v>
      </c>
      <c r="Z186" s="182" t="b">
        <f>IFERROR(__xludf.DUMMYFUNCTION("""COMPUTED_VALUE"""),FALSE)</f>
        <v>0</v>
      </c>
      <c r="AA186" s="182" t="str">
        <f>IFERROR(__xludf.DUMMYFUNCTION("""COMPUTED_VALUE"""),"#VALUE!")</f>
        <v>#VALUE!</v>
      </c>
      <c r="AB186" s="182" t="b">
        <f>IFERROR(__xludf.DUMMYFUNCTION("""COMPUTED_VALUE"""),FALSE)</f>
        <v>0</v>
      </c>
      <c r="AC186" s="182" t="str">
        <f>IFERROR(__xludf.DUMMYFUNCTION("""COMPUTED_VALUE"""),"#VALUE!")</f>
        <v>#VALUE!</v>
      </c>
      <c r="AD186" s="182" t="str">
        <f>IFERROR(__xludf.DUMMYFUNCTION("""COMPUTED_VALUE"""),"#VALUE!")</f>
        <v>#VALUE!</v>
      </c>
      <c r="AE186" s="182"/>
      <c r="AF186" s="182"/>
      <c r="AG186" s="182"/>
      <c r="AH186" s="182"/>
      <c r="AI186" s="182"/>
      <c r="AJ186" s="182" t="str">
        <f>IFERROR(__xludf.DUMMYFUNCTION("""COMPUTED_VALUE"""),"#VALUE!")</f>
        <v>#VALUE!</v>
      </c>
      <c r="AK186" s="182" t="str">
        <f>IFERROR(__xludf.DUMMYFUNCTION("""COMPUTED_VALUE"""),"#VALUE!")</f>
        <v>#VALUE!</v>
      </c>
      <c r="AL186" s="182" t="b">
        <f>IFERROR(__xludf.DUMMYFUNCTION("""COMPUTED_VALUE"""),FALSE)</f>
        <v>0</v>
      </c>
      <c r="AM186" s="182"/>
      <c r="AN186" s="182" t="str">
        <f>IFERROR(__xludf.DUMMYFUNCTION("""COMPUTED_VALUE"""),"#VALUE!")</f>
        <v>#VALUE!</v>
      </c>
      <c r="AO186" s="182" t="b">
        <f>IFERROR(__xludf.DUMMYFUNCTION("""COMPUTED_VALUE"""),FALSE)</f>
        <v>0</v>
      </c>
      <c r="AP186" s="182"/>
      <c r="AQ186" s="182"/>
      <c r="AR186" s="182"/>
      <c r="AS186" s="182"/>
      <c r="AT186" s="182"/>
      <c r="AU186" s="182"/>
      <c r="AV186" s="182" t="str">
        <f>IFERROR(__xludf.DUMMYFUNCTION("""COMPUTED_VALUE"""),"#VALUE!")</f>
        <v>#VALUE!</v>
      </c>
      <c r="AW186" s="182"/>
      <c r="AX186" s="182"/>
      <c r="AY186" s="182"/>
      <c r="AZ186" s="182" t="str">
        <f>IFERROR(__xludf.DUMMYFUNCTION("""COMPUTED_VALUE"""),"#VALUE!")</f>
        <v>#VALUE!</v>
      </c>
      <c r="BA186" s="182" t="b">
        <f>IFERROR(__xludf.DUMMYFUNCTION("""COMPUTED_VALUE"""),FALSE)</f>
        <v>0</v>
      </c>
      <c r="BB186" s="182" t="str">
        <f>IFERROR(__xludf.DUMMYFUNCTION("""COMPUTED_VALUE"""),"#VALUE!")</f>
        <v>#VALUE!</v>
      </c>
    </row>
    <row r="187">
      <c r="A187" s="184" t="str">
        <f t="shared" si="1"/>
        <v>#VALUE!</v>
      </c>
      <c r="B187" s="69" t="str">
        <f t="shared" si="2"/>
        <v>#VALUE!</v>
      </c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3" t="str">
        <f>IFERROR(__xludf.DUMMYFUNCTION("""COMPUTED_VALUE"""),"#NUM!")</f>
        <v>#NUM!</v>
      </c>
      <c r="X187" s="182"/>
      <c r="Y187" s="182" t="str">
        <f>IFERROR(__xludf.DUMMYFUNCTION("""COMPUTED_VALUE"""),"#VALUE!")</f>
        <v>#VALUE!</v>
      </c>
      <c r="Z187" s="182" t="b">
        <f>IFERROR(__xludf.DUMMYFUNCTION("""COMPUTED_VALUE"""),FALSE)</f>
        <v>0</v>
      </c>
      <c r="AA187" s="182" t="str">
        <f>IFERROR(__xludf.DUMMYFUNCTION("""COMPUTED_VALUE"""),"#VALUE!")</f>
        <v>#VALUE!</v>
      </c>
      <c r="AB187" s="182" t="b">
        <f>IFERROR(__xludf.DUMMYFUNCTION("""COMPUTED_VALUE"""),FALSE)</f>
        <v>0</v>
      </c>
      <c r="AC187" s="182" t="str">
        <f>IFERROR(__xludf.DUMMYFUNCTION("""COMPUTED_VALUE"""),"#VALUE!")</f>
        <v>#VALUE!</v>
      </c>
      <c r="AD187" s="182" t="str">
        <f>IFERROR(__xludf.DUMMYFUNCTION("""COMPUTED_VALUE"""),"#VALUE!")</f>
        <v>#VALUE!</v>
      </c>
      <c r="AE187" s="182"/>
      <c r="AF187" s="182"/>
      <c r="AG187" s="182"/>
      <c r="AH187" s="182"/>
      <c r="AI187" s="182"/>
      <c r="AJ187" s="182" t="str">
        <f>IFERROR(__xludf.DUMMYFUNCTION("""COMPUTED_VALUE"""),"#VALUE!")</f>
        <v>#VALUE!</v>
      </c>
      <c r="AK187" s="182" t="str">
        <f>IFERROR(__xludf.DUMMYFUNCTION("""COMPUTED_VALUE"""),"#VALUE!")</f>
        <v>#VALUE!</v>
      </c>
      <c r="AL187" s="182" t="b">
        <f>IFERROR(__xludf.DUMMYFUNCTION("""COMPUTED_VALUE"""),FALSE)</f>
        <v>0</v>
      </c>
      <c r="AM187" s="182"/>
      <c r="AN187" s="182" t="str">
        <f>IFERROR(__xludf.DUMMYFUNCTION("""COMPUTED_VALUE"""),"#VALUE!")</f>
        <v>#VALUE!</v>
      </c>
      <c r="AO187" s="182" t="b">
        <f>IFERROR(__xludf.DUMMYFUNCTION("""COMPUTED_VALUE"""),FALSE)</f>
        <v>0</v>
      </c>
      <c r="AP187" s="182"/>
      <c r="AQ187" s="182"/>
      <c r="AR187" s="182"/>
      <c r="AS187" s="182"/>
      <c r="AT187" s="182"/>
      <c r="AU187" s="182"/>
      <c r="AV187" s="182" t="str">
        <f>IFERROR(__xludf.DUMMYFUNCTION("""COMPUTED_VALUE"""),"#VALUE!")</f>
        <v>#VALUE!</v>
      </c>
      <c r="AW187" s="182"/>
      <c r="AX187" s="182"/>
      <c r="AY187" s="182"/>
      <c r="AZ187" s="182" t="str">
        <f>IFERROR(__xludf.DUMMYFUNCTION("""COMPUTED_VALUE"""),"#VALUE!")</f>
        <v>#VALUE!</v>
      </c>
      <c r="BA187" s="182" t="b">
        <f>IFERROR(__xludf.DUMMYFUNCTION("""COMPUTED_VALUE"""),FALSE)</f>
        <v>0</v>
      </c>
      <c r="BB187" s="182" t="str">
        <f>IFERROR(__xludf.DUMMYFUNCTION("""COMPUTED_VALUE"""),"#VALUE!")</f>
        <v>#VALUE!</v>
      </c>
    </row>
    <row r="188">
      <c r="A188" s="184" t="str">
        <f t="shared" si="1"/>
        <v>#VALUE!</v>
      </c>
      <c r="B188" s="69" t="str">
        <f t="shared" si="2"/>
        <v>#VALUE!</v>
      </c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3" t="str">
        <f>IFERROR(__xludf.DUMMYFUNCTION("""COMPUTED_VALUE"""),"#NUM!")</f>
        <v>#NUM!</v>
      </c>
      <c r="X188" s="182"/>
      <c r="Y188" s="182" t="str">
        <f>IFERROR(__xludf.DUMMYFUNCTION("""COMPUTED_VALUE"""),"#VALUE!")</f>
        <v>#VALUE!</v>
      </c>
      <c r="Z188" s="182" t="b">
        <f>IFERROR(__xludf.DUMMYFUNCTION("""COMPUTED_VALUE"""),FALSE)</f>
        <v>0</v>
      </c>
      <c r="AA188" s="182" t="str">
        <f>IFERROR(__xludf.DUMMYFUNCTION("""COMPUTED_VALUE"""),"#VALUE!")</f>
        <v>#VALUE!</v>
      </c>
      <c r="AB188" s="182" t="b">
        <f>IFERROR(__xludf.DUMMYFUNCTION("""COMPUTED_VALUE"""),FALSE)</f>
        <v>0</v>
      </c>
      <c r="AC188" s="182" t="str">
        <f>IFERROR(__xludf.DUMMYFUNCTION("""COMPUTED_VALUE"""),"#VALUE!")</f>
        <v>#VALUE!</v>
      </c>
      <c r="AD188" s="182" t="str">
        <f>IFERROR(__xludf.DUMMYFUNCTION("""COMPUTED_VALUE"""),"#VALUE!")</f>
        <v>#VALUE!</v>
      </c>
      <c r="AE188" s="182"/>
      <c r="AF188" s="182"/>
      <c r="AG188" s="182"/>
      <c r="AH188" s="182"/>
      <c r="AI188" s="182"/>
      <c r="AJ188" s="182" t="str">
        <f>IFERROR(__xludf.DUMMYFUNCTION("""COMPUTED_VALUE"""),"#VALUE!")</f>
        <v>#VALUE!</v>
      </c>
      <c r="AK188" s="182" t="str">
        <f>IFERROR(__xludf.DUMMYFUNCTION("""COMPUTED_VALUE"""),"#VALUE!")</f>
        <v>#VALUE!</v>
      </c>
      <c r="AL188" s="182" t="b">
        <f>IFERROR(__xludf.DUMMYFUNCTION("""COMPUTED_VALUE"""),FALSE)</f>
        <v>0</v>
      </c>
      <c r="AM188" s="182"/>
      <c r="AN188" s="182" t="str">
        <f>IFERROR(__xludf.DUMMYFUNCTION("""COMPUTED_VALUE"""),"#VALUE!")</f>
        <v>#VALUE!</v>
      </c>
      <c r="AO188" s="182" t="b">
        <f>IFERROR(__xludf.DUMMYFUNCTION("""COMPUTED_VALUE"""),FALSE)</f>
        <v>0</v>
      </c>
      <c r="AP188" s="182"/>
      <c r="AQ188" s="182"/>
      <c r="AR188" s="182"/>
      <c r="AS188" s="182"/>
      <c r="AT188" s="182"/>
      <c r="AU188" s="182"/>
      <c r="AV188" s="182" t="str">
        <f>IFERROR(__xludf.DUMMYFUNCTION("""COMPUTED_VALUE"""),"#VALUE!")</f>
        <v>#VALUE!</v>
      </c>
      <c r="AW188" s="182"/>
      <c r="AX188" s="182"/>
      <c r="AY188" s="182"/>
      <c r="AZ188" s="182" t="str">
        <f>IFERROR(__xludf.DUMMYFUNCTION("""COMPUTED_VALUE"""),"#VALUE!")</f>
        <v>#VALUE!</v>
      </c>
      <c r="BA188" s="182" t="b">
        <f>IFERROR(__xludf.DUMMYFUNCTION("""COMPUTED_VALUE"""),FALSE)</f>
        <v>0</v>
      </c>
      <c r="BB188" s="182" t="str">
        <f>IFERROR(__xludf.DUMMYFUNCTION("""COMPUTED_VALUE"""),"#VALUE!")</f>
        <v>#VALUE!</v>
      </c>
    </row>
    <row r="189">
      <c r="A189" s="184" t="str">
        <f t="shared" si="1"/>
        <v>#VALUE!</v>
      </c>
      <c r="B189" s="69" t="str">
        <f t="shared" si="2"/>
        <v>#VALUE!</v>
      </c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3" t="str">
        <f>IFERROR(__xludf.DUMMYFUNCTION("""COMPUTED_VALUE"""),"#NUM!")</f>
        <v>#NUM!</v>
      </c>
      <c r="X189" s="182"/>
      <c r="Y189" s="182" t="str">
        <f>IFERROR(__xludf.DUMMYFUNCTION("""COMPUTED_VALUE"""),"#VALUE!")</f>
        <v>#VALUE!</v>
      </c>
      <c r="Z189" s="182" t="b">
        <f>IFERROR(__xludf.DUMMYFUNCTION("""COMPUTED_VALUE"""),FALSE)</f>
        <v>0</v>
      </c>
      <c r="AA189" s="182" t="str">
        <f>IFERROR(__xludf.DUMMYFUNCTION("""COMPUTED_VALUE"""),"#VALUE!")</f>
        <v>#VALUE!</v>
      </c>
      <c r="AB189" s="182" t="b">
        <f>IFERROR(__xludf.DUMMYFUNCTION("""COMPUTED_VALUE"""),FALSE)</f>
        <v>0</v>
      </c>
      <c r="AC189" s="182" t="str">
        <f>IFERROR(__xludf.DUMMYFUNCTION("""COMPUTED_VALUE"""),"#VALUE!")</f>
        <v>#VALUE!</v>
      </c>
      <c r="AD189" s="182" t="str">
        <f>IFERROR(__xludf.DUMMYFUNCTION("""COMPUTED_VALUE"""),"#VALUE!")</f>
        <v>#VALUE!</v>
      </c>
      <c r="AE189" s="182"/>
      <c r="AF189" s="182"/>
      <c r="AG189" s="182"/>
      <c r="AH189" s="182"/>
      <c r="AI189" s="182"/>
      <c r="AJ189" s="182" t="str">
        <f>IFERROR(__xludf.DUMMYFUNCTION("""COMPUTED_VALUE"""),"#VALUE!")</f>
        <v>#VALUE!</v>
      </c>
      <c r="AK189" s="182" t="str">
        <f>IFERROR(__xludf.DUMMYFUNCTION("""COMPUTED_VALUE"""),"#VALUE!")</f>
        <v>#VALUE!</v>
      </c>
      <c r="AL189" s="182" t="b">
        <f>IFERROR(__xludf.DUMMYFUNCTION("""COMPUTED_VALUE"""),FALSE)</f>
        <v>0</v>
      </c>
      <c r="AM189" s="182"/>
      <c r="AN189" s="182" t="str">
        <f>IFERROR(__xludf.DUMMYFUNCTION("""COMPUTED_VALUE"""),"#VALUE!")</f>
        <v>#VALUE!</v>
      </c>
      <c r="AO189" s="182" t="b">
        <f>IFERROR(__xludf.DUMMYFUNCTION("""COMPUTED_VALUE"""),FALSE)</f>
        <v>0</v>
      </c>
      <c r="AP189" s="182"/>
      <c r="AQ189" s="182"/>
      <c r="AR189" s="182"/>
      <c r="AS189" s="182"/>
      <c r="AT189" s="182"/>
      <c r="AU189" s="182"/>
      <c r="AV189" s="182" t="str">
        <f>IFERROR(__xludf.DUMMYFUNCTION("""COMPUTED_VALUE"""),"#VALUE!")</f>
        <v>#VALUE!</v>
      </c>
      <c r="AW189" s="182"/>
      <c r="AX189" s="182"/>
      <c r="AY189" s="182"/>
      <c r="AZ189" s="182" t="str">
        <f>IFERROR(__xludf.DUMMYFUNCTION("""COMPUTED_VALUE"""),"#VALUE!")</f>
        <v>#VALUE!</v>
      </c>
      <c r="BA189" s="182" t="b">
        <f>IFERROR(__xludf.DUMMYFUNCTION("""COMPUTED_VALUE"""),FALSE)</f>
        <v>0</v>
      </c>
      <c r="BB189" s="182" t="str">
        <f>IFERROR(__xludf.DUMMYFUNCTION("""COMPUTED_VALUE"""),"#VALUE!")</f>
        <v>#VALUE!</v>
      </c>
    </row>
    <row r="190">
      <c r="A190" s="184" t="str">
        <f t="shared" si="1"/>
        <v>#VALUE!</v>
      </c>
      <c r="B190" s="69" t="str">
        <f t="shared" si="2"/>
        <v>#VALUE!</v>
      </c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3" t="str">
        <f>IFERROR(__xludf.DUMMYFUNCTION("""COMPUTED_VALUE"""),"#NUM!")</f>
        <v>#NUM!</v>
      </c>
      <c r="X190" s="182"/>
      <c r="Y190" s="182" t="str">
        <f>IFERROR(__xludf.DUMMYFUNCTION("""COMPUTED_VALUE"""),"#VALUE!")</f>
        <v>#VALUE!</v>
      </c>
      <c r="Z190" s="182" t="b">
        <f>IFERROR(__xludf.DUMMYFUNCTION("""COMPUTED_VALUE"""),FALSE)</f>
        <v>0</v>
      </c>
      <c r="AA190" s="182" t="str">
        <f>IFERROR(__xludf.DUMMYFUNCTION("""COMPUTED_VALUE"""),"#VALUE!")</f>
        <v>#VALUE!</v>
      </c>
      <c r="AB190" s="182" t="b">
        <f>IFERROR(__xludf.DUMMYFUNCTION("""COMPUTED_VALUE"""),FALSE)</f>
        <v>0</v>
      </c>
      <c r="AC190" s="182" t="str">
        <f>IFERROR(__xludf.DUMMYFUNCTION("""COMPUTED_VALUE"""),"#VALUE!")</f>
        <v>#VALUE!</v>
      </c>
      <c r="AD190" s="182" t="str">
        <f>IFERROR(__xludf.DUMMYFUNCTION("""COMPUTED_VALUE"""),"#VALUE!")</f>
        <v>#VALUE!</v>
      </c>
      <c r="AE190" s="182"/>
      <c r="AF190" s="182"/>
      <c r="AG190" s="182"/>
      <c r="AH190" s="182"/>
      <c r="AI190" s="182"/>
      <c r="AJ190" s="182" t="str">
        <f>IFERROR(__xludf.DUMMYFUNCTION("""COMPUTED_VALUE"""),"#VALUE!")</f>
        <v>#VALUE!</v>
      </c>
      <c r="AK190" s="182" t="str">
        <f>IFERROR(__xludf.DUMMYFUNCTION("""COMPUTED_VALUE"""),"#VALUE!")</f>
        <v>#VALUE!</v>
      </c>
      <c r="AL190" s="182" t="b">
        <f>IFERROR(__xludf.DUMMYFUNCTION("""COMPUTED_VALUE"""),FALSE)</f>
        <v>0</v>
      </c>
      <c r="AM190" s="182"/>
      <c r="AN190" s="182" t="str">
        <f>IFERROR(__xludf.DUMMYFUNCTION("""COMPUTED_VALUE"""),"#VALUE!")</f>
        <v>#VALUE!</v>
      </c>
      <c r="AO190" s="182" t="b">
        <f>IFERROR(__xludf.DUMMYFUNCTION("""COMPUTED_VALUE"""),FALSE)</f>
        <v>0</v>
      </c>
      <c r="AP190" s="182"/>
      <c r="AQ190" s="182"/>
      <c r="AR190" s="182"/>
      <c r="AS190" s="182"/>
      <c r="AT190" s="182"/>
      <c r="AU190" s="182"/>
      <c r="AV190" s="182" t="str">
        <f>IFERROR(__xludf.DUMMYFUNCTION("""COMPUTED_VALUE"""),"#VALUE!")</f>
        <v>#VALUE!</v>
      </c>
      <c r="AW190" s="182"/>
      <c r="AX190" s="182"/>
      <c r="AY190" s="182"/>
      <c r="AZ190" s="182" t="str">
        <f>IFERROR(__xludf.DUMMYFUNCTION("""COMPUTED_VALUE"""),"#VALUE!")</f>
        <v>#VALUE!</v>
      </c>
      <c r="BA190" s="182" t="b">
        <f>IFERROR(__xludf.DUMMYFUNCTION("""COMPUTED_VALUE"""),FALSE)</f>
        <v>0</v>
      </c>
      <c r="BB190" s="182" t="str">
        <f>IFERROR(__xludf.DUMMYFUNCTION("""COMPUTED_VALUE"""),"#VALUE!")</f>
        <v>#VALUE!</v>
      </c>
    </row>
    <row r="191">
      <c r="A191" s="184" t="str">
        <f t="shared" si="1"/>
        <v>#VALUE!</v>
      </c>
      <c r="B191" s="69" t="str">
        <f t="shared" si="2"/>
        <v>#VALUE!</v>
      </c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3" t="str">
        <f>IFERROR(__xludf.DUMMYFUNCTION("""COMPUTED_VALUE"""),"#NUM!")</f>
        <v>#NUM!</v>
      </c>
      <c r="X191" s="182"/>
      <c r="Y191" s="182" t="str">
        <f>IFERROR(__xludf.DUMMYFUNCTION("""COMPUTED_VALUE"""),"#VALUE!")</f>
        <v>#VALUE!</v>
      </c>
      <c r="Z191" s="182" t="b">
        <f>IFERROR(__xludf.DUMMYFUNCTION("""COMPUTED_VALUE"""),FALSE)</f>
        <v>0</v>
      </c>
      <c r="AA191" s="182" t="str">
        <f>IFERROR(__xludf.DUMMYFUNCTION("""COMPUTED_VALUE"""),"#VALUE!")</f>
        <v>#VALUE!</v>
      </c>
      <c r="AB191" s="182" t="b">
        <f>IFERROR(__xludf.DUMMYFUNCTION("""COMPUTED_VALUE"""),FALSE)</f>
        <v>0</v>
      </c>
      <c r="AC191" s="182" t="str">
        <f>IFERROR(__xludf.DUMMYFUNCTION("""COMPUTED_VALUE"""),"#VALUE!")</f>
        <v>#VALUE!</v>
      </c>
      <c r="AD191" s="182" t="str">
        <f>IFERROR(__xludf.DUMMYFUNCTION("""COMPUTED_VALUE"""),"#VALUE!")</f>
        <v>#VALUE!</v>
      </c>
      <c r="AE191" s="182"/>
      <c r="AF191" s="182"/>
      <c r="AG191" s="182"/>
      <c r="AH191" s="182"/>
      <c r="AI191" s="182"/>
      <c r="AJ191" s="182" t="str">
        <f>IFERROR(__xludf.DUMMYFUNCTION("""COMPUTED_VALUE"""),"#VALUE!")</f>
        <v>#VALUE!</v>
      </c>
      <c r="AK191" s="182" t="str">
        <f>IFERROR(__xludf.DUMMYFUNCTION("""COMPUTED_VALUE"""),"#VALUE!")</f>
        <v>#VALUE!</v>
      </c>
      <c r="AL191" s="182" t="b">
        <f>IFERROR(__xludf.DUMMYFUNCTION("""COMPUTED_VALUE"""),FALSE)</f>
        <v>0</v>
      </c>
      <c r="AM191" s="182"/>
      <c r="AN191" s="182" t="str">
        <f>IFERROR(__xludf.DUMMYFUNCTION("""COMPUTED_VALUE"""),"#VALUE!")</f>
        <v>#VALUE!</v>
      </c>
      <c r="AO191" s="182" t="b">
        <f>IFERROR(__xludf.DUMMYFUNCTION("""COMPUTED_VALUE"""),FALSE)</f>
        <v>0</v>
      </c>
      <c r="AP191" s="182"/>
      <c r="AQ191" s="182"/>
      <c r="AR191" s="182"/>
      <c r="AS191" s="182"/>
      <c r="AT191" s="182"/>
      <c r="AU191" s="182"/>
      <c r="AV191" s="182" t="str">
        <f>IFERROR(__xludf.DUMMYFUNCTION("""COMPUTED_VALUE"""),"#VALUE!")</f>
        <v>#VALUE!</v>
      </c>
      <c r="AW191" s="182"/>
      <c r="AX191" s="182"/>
      <c r="AY191" s="182"/>
      <c r="AZ191" s="182" t="str">
        <f>IFERROR(__xludf.DUMMYFUNCTION("""COMPUTED_VALUE"""),"#VALUE!")</f>
        <v>#VALUE!</v>
      </c>
      <c r="BA191" s="182" t="b">
        <f>IFERROR(__xludf.DUMMYFUNCTION("""COMPUTED_VALUE"""),FALSE)</f>
        <v>0</v>
      </c>
      <c r="BB191" s="182" t="str">
        <f>IFERROR(__xludf.DUMMYFUNCTION("""COMPUTED_VALUE"""),"#VALUE!")</f>
        <v>#VALUE!</v>
      </c>
    </row>
    <row r="192">
      <c r="A192" s="184" t="str">
        <f t="shared" si="1"/>
        <v>#VALUE!</v>
      </c>
      <c r="B192" s="69" t="str">
        <f t="shared" si="2"/>
        <v>#VALUE!</v>
      </c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3" t="str">
        <f>IFERROR(__xludf.DUMMYFUNCTION("""COMPUTED_VALUE"""),"#NUM!")</f>
        <v>#NUM!</v>
      </c>
      <c r="X192" s="182"/>
      <c r="Y192" s="182" t="str">
        <f>IFERROR(__xludf.DUMMYFUNCTION("""COMPUTED_VALUE"""),"#VALUE!")</f>
        <v>#VALUE!</v>
      </c>
      <c r="Z192" s="182" t="b">
        <f>IFERROR(__xludf.DUMMYFUNCTION("""COMPUTED_VALUE"""),FALSE)</f>
        <v>0</v>
      </c>
      <c r="AA192" s="182" t="str">
        <f>IFERROR(__xludf.DUMMYFUNCTION("""COMPUTED_VALUE"""),"#VALUE!")</f>
        <v>#VALUE!</v>
      </c>
      <c r="AB192" s="182" t="b">
        <f>IFERROR(__xludf.DUMMYFUNCTION("""COMPUTED_VALUE"""),FALSE)</f>
        <v>0</v>
      </c>
      <c r="AC192" s="182" t="str">
        <f>IFERROR(__xludf.DUMMYFUNCTION("""COMPUTED_VALUE"""),"#VALUE!")</f>
        <v>#VALUE!</v>
      </c>
      <c r="AD192" s="182" t="str">
        <f>IFERROR(__xludf.DUMMYFUNCTION("""COMPUTED_VALUE"""),"#VALUE!")</f>
        <v>#VALUE!</v>
      </c>
      <c r="AE192" s="182"/>
      <c r="AF192" s="182"/>
      <c r="AG192" s="182"/>
      <c r="AH192" s="182"/>
      <c r="AI192" s="182"/>
      <c r="AJ192" s="182" t="str">
        <f>IFERROR(__xludf.DUMMYFUNCTION("""COMPUTED_VALUE"""),"#VALUE!")</f>
        <v>#VALUE!</v>
      </c>
      <c r="AK192" s="182" t="str">
        <f>IFERROR(__xludf.DUMMYFUNCTION("""COMPUTED_VALUE"""),"#VALUE!")</f>
        <v>#VALUE!</v>
      </c>
      <c r="AL192" s="182" t="b">
        <f>IFERROR(__xludf.DUMMYFUNCTION("""COMPUTED_VALUE"""),FALSE)</f>
        <v>0</v>
      </c>
      <c r="AM192" s="182"/>
      <c r="AN192" s="182" t="str">
        <f>IFERROR(__xludf.DUMMYFUNCTION("""COMPUTED_VALUE"""),"#VALUE!")</f>
        <v>#VALUE!</v>
      </c>
      <c r="AO192" s="182" t="b">
        <f>IFERROR(__xludf.DUMMYFUNCTION("""COMPUTED_VALUE"""),FALSE)</f>
        <v>0</v>
      </c>
      <c r="AP192" s="182"/>
      <c r="AQ192" s="182"/>
      <c r="AR192" s="182"/>
      <c r="AS192" s="182"/>
      <c r="AT192" s="182"/>
      <c r="AU192" s="182"/>
      <c r="AV192" s="182" t="str">
        <f>IFERROR(__xludf.DUMMYFUNCTION("""COMPUTED_VALUE"""),"#VALUE!")</f>
        <v>#VALUE!</v>
      </c>
      <c r="AW192" s="182"/>
      <c r="AX192" s="182"/>
      <c r="AY192" s="182"/>
      <c r="AZ192" s="182" t="str">
        <f>IFERROR(__xludf.DUMMYFUNCTION("""COMPUTED_VALUE"""),"#VALUE!")</f>
        <v>#VALUE!</v>
      </c>
      <c r="BA192" s="182" t="b">
        <f>IFERROR(__xludf.DUMMYFUNCTION("""COMPUTED_VALUE"""),FALSE)</f>
        <v>0</v>
      </c>
      <c r="BB192" s="182" t="str">
        <f>IFERROR(__xludf.DUMMYFUNCTION("""COMPUTED_VALUE"""),"#VALUE!")</f>
        <v>#VALUE!</v>
      </c>
    </row>
    <row r="193">
      <c r="A193" s="184" t="str">
        <f t="shared" si="1"/>
        <v>#VALUE!</v>
      </c>
      <c r="B193" s="69" t="str">
        <f t="shared" si="2"/>
        <v>#VALUE!</v>
      </c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3" t="str">
        <f>IFERROR(__xludf.DUMMYFUNCTION("""COMPUTED_VALUE"""),"#NUM!")</f>
        <v>#NUM!</v>
      </c>
      <c r="X193" s="182"/>
      <c r="Y193" s="182" t="str">
        <f>IFERROR(__xludf.DUMMYFUNCTION("""COMPUTED_VALUE"""),"#VALUE!")</f>
        <v>#VALUE!</v>
      </c>
      <c r="Z193" s="182" t="b">
        <f>IFERROR(__xludf.DUMMYFUNCTION("""COMPUTED_VALUE"""),FALSE)</f>
        <v>0</v>
      </c>
      <c r="AA193" s="182" t="str">
        <f>IFERROR(__xludf.DUMMYFUNCTION("""COMPUTED_VALUE"""),"#VALUE!")</f>
        <v>#VALUE!</v>
      </c>
      <c r="AB193" s="182" t="b">
        <f>IFERROR(__xludf.DUMMYFUNCTION("""COMPUTED_VALUE"""),FALSE)</f>
        <v>0</v>
      </c>
      <c r="AC193" s="182" t="str">
        <f>IFERROR(__xludf.DUMMYFUNCTION("""COMPUTED_VALUE"""),"#VALUE!")</f>
        <v>#VALUE!</v>
      </c>
      <c r="AD193" s="182" t="str">
        <f>IFERROR(__xludf.DUMMYFUNCTION("""COMPUTED_VALUE"""),"#VALUE!")</f>
        <v>#VALUE!</v>
      </c>
      <c r="AE193" s="182"/>
      <c r="AF193" s="182"/>
      <c r="AG193" s="182"/>
      <c r="AH193" s="182"/>
      <c r="AI193" s="182"/>
      <c r="AJ193" s="182" t="str">
        <f>IFERROR(__xludf.DUMMYFUNCTION("""COMPUTED_VALUE"""),"#VALUE!")</f>
        <v>#VALUE!</v>
      </c>
      <c r="AK193" s="182" t="str">
        <f>IFERROR(__xludf.DUMMYFUNCTION("""COMPUTED_VALUE"""),"#VALUE!")</f>
        <v>#VALUE!</v>
      </c>
      <c r="AL193" s="182" t="b">
        <f>IFERROR(__xludf.DUMMYFUNCTION("""COMPUTED_VALUE"""),FALSE)</f>
        <v>0</v>
      </c>
      <c r="AM193" s="182"/>
      <c r="AN193" s="182" t="str">
        <f>IFERROR(__xludf.DUMMYFUNCTION("""COMPUTED_VALUE"""),"#VALUE!")</f>
        <v>#VALUE!</v>
      </c>
      <c r="AO193" s="182" t="b">
        <f>IFERROR(__xludf.DUMMYFUNCTION("""COMPUTED_VALUE"""),FALSE)</f>
        <v>0</v>
      </c>
      <c r="AP193" s="182"/>
      <c r="AQ193" s="182"/>
      <c r="AR193" s="182"/>
      <c r="AS193" s="182"/>
      <c r="AT193" s="182"/>
      <c r="AU193" s="182"/>
      <c r="AV193" s="182" t="str">
        <f>IFERROR(__xludf.DUMMYFUNCTION("""COMPUTED_VALUE"""),"#VALUE!")</f>
        <v>#VALUE!</v>
      </c>
      <c r="AW193" s="182"/>
      <c r="AX193" s="182"/>
      <c r="AY193" s="182"/>
      <c r="AZ193" s="182" t="str">
        <f>IFERROR(__xludf.DUMMYFUNCTION("""COMPUTED_VALUE"""),"#VALUE!")</f>
        <v>#VALUE!</v>
      </c>
      <c r="BA193" s="182" t="b">
        <f>IFERROR(__xludf.DUMMYFUNCTION("""COMPUTED_VALUE"""),FALSE)</f>
        <v>0</v>
      </c>
      <c r="BB193" s="182" t="str">
        <f>IFERROR(__xludf.DUMMYFUNCTION("""COMPUTED_VALUE"""),"#VALUE!")</f>
        <v>#VALUE!</v>
      </c>
    </row>
    <row r="194">
      <c r="A194" s="184" t="str">
        <f t="shared" si="1"/>
        <v>#VALUE!</v>
      </c>
      <c r="B194" s="69" t="str">
        <f t="shared" si="2"/>
        <v>#VALUE!</v>
      </c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3" t="str">
        <f>IFERROR(__xludf.DUMMYFUNCTION("""COMPUTED_VALUE"""),"#NUM!")</f>
        <v>#NUM!</v>
      </c>
      <c r="X194" s="182"/>
      <c r="Y194" s="182" t="str">
        <f>IFERROR(__xludf.DUMMYFUNCTION("""COMPUTED_VALUE"""),"#VALUE!")</f>
        <v>#VALUE!</v>
      </c>
      <c r="Z194" s="182" t="b">
        <f>IFERROR(__xludf.DUMMYFUNCTION("""COMPUTED_VALUE"""),FALSE)</f>
        <v>0</v>
      </c>
      <c r="AA194" s="182" t="str">
        <f>IFERROR(__xludf.DUMMYFUNCTION("""COMPUTED_VALUE"""),"#VALUE!")</f>
        <v>#VALUE!</v>
      </c>
      <c r="AB194" s="182" t="b">
        <f>IFERROR(__xludf.DUMMYFUNCTION("""COMPUTED_VALUE"""),FALSE)</f>
        <v>0</v>
      </c>
      <c r="AC194" s="182" t="str">
        <f>IFERROR(__xludf.DUMMYFUNCTION("""COMPUTED_VALUE"""),"#VALUE!")</f>
        <v>#VALUE!</v>
      </c>
      <c r="AD194" s="182" t="str">
        <f>IFERROR(__xludf.DUMMYFUNCTION("""COMPUTED_VALUE"""),"#VALUE!")</f>
        <v>#VALUE!</v>
      </c>
      <c r="AE194" s="182"/>
      <c r="AF194" s="182"/>
      <c r="AG194" s="182"/>
      <c r="AH194" s="182"/>
      <c r="AI194" s="182"/>
      <c r="AJ194" s="182" t="str">
        <f>IFERROR(__xludf.DUMMYFUNCTION("""COMPUTED_VALUE"""),"#VALUE!")</f>
        <v>#VALUE!</v>
      </c>
      <c r="AK194" s="182" t="str">
        <f>IFERROR(__xludf.DUMMYFUNCTION("""COMPUTED_VALUE"""),"#VALUE!")</f>
        <v>#VALUE!</v>
      </c>
      <c r="AL194" s="182" t="b">
        <f>IFERROR(__xludf.DUMMYFUNCTION("""COMPUTED_VALUE"""),FALSE)</f>
        <v>0</v>
      </c>
      <c r="AM194" s="182"/>
      <c r="AN194" s="182" t="str">
        <f>IFERROR(__xludf.DUMMYFUNCTION("""COMPUTED_VALUE"""),"#VALUE!")</f>
        <v>#VALUE!</v>
      </c>
      <c r="AO194" s="182" t="b">
        <f>IFERROR(__xludf.DUMMYFUNCTION("""COMPUTED_VALUE"""),FALSE)</f>
        <v>0</v>
      </c>
      <c r="AP194" s="182"/>
      <c r="AQ194" s="182"/>
      <c r="AR194" s="182"/>
      <c r="AS194" s="182"/>
      <c r="AT194" s="182"/>
      <c r="AU194" s="182"/>
      <c r="AV194" s="182" t="str">
        <f>IFERROR(__xludf.DUMMYFUNCTION("""COMPUTED_VALUE"""),"#VALUE!")</f>
        <v>#VALUE!</v>
      </c>
      <c r="AW194" s="182"/>
      <c r="AX194" s="182"/>
      <c r="AY194" s="182"/>
      <c r="AZ194" s="182" t="str">
        <f>IFERROR(__xludf.DUMMYFUNCTION("""COMPUTED_VALUE"""),"#VALUE!")</f>
        <v>#VALUE!</v>
      </c>
      <c r="BA194" s="182" t="b">
        <f>IFERROR(__xludf.DUMMYFUNCTION("""COMPUTED_VALUE"""),FALSE)</f>
        <v>0</v>
      </c>
      <c r="BB194" s="182" t="str">
        <f>IFERROR(__xludf.DUMMYFUNCTION("""COMPUTED_VALUE"""),"#VALUE!")</f>
        <v>#VALUE!</v>
      </c>
    </row>
    <row r="195">
      <c r="A195" s="184" t="str">
        <f t="shared" si="1"/>
        <v>#VALUE!</v>
      </c>
      <c r="B195" s="69" t="str">
        <f t="shared" si="2"/>
        <v>#VALUE!</v>
      </c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3" t="str">
        <f>IFERROR(__xludf.DUMMYFUNCTION("""COMPUTED_VALUE"""),"#NUM!")</f>
        <v>#NUM!</v>
      </c>
      <c r="X195" s="182"/>
      <c r="Y195" s="182" t="str">
        <f>IFERROR(__xludf.DUMMYFUNCTION("""COMPUTED_VALUE"""),"#VALUE!")</f>
        <v>#VALUE!</v>
      </c>
      <c r="Z195" s="182" t="b">
        <f>IFERROR(__xludf.DUMMYFUNCTION("""COMPUTED_VALUE"""),FALSE)</f>
        <v>0</v>
      </c>
      <c r="AA195" s="182" t="str">
        <f>IFERROR(__xludf.DUMMYFUNCTION("""COMPUTED_VALUE"""),"#VALUE!")</f>
        <v>#VALUE!</v>
      </c>
      <c r="AB195" s="182" t="b">
        <f>IFERROR(__xludf.DUMMYFUNCTION("""COMPUTED_VALUE"""),FALSE)</f>
        <v>0</v>
      </c>
      <c r="AC195" s="182" t="str">
        <f>IFERROR(__xludf.DUMMYFUNCTION("""COMPUTED_VALUE"""),"#VALUE!")</f>
        <v>#VALUE!</v>
      </c>
      <c r="AD195" s="182" t="str">
        <f>IFERROR(__xludf.DUMMYFUNCTION("""COMPUTED_VALUE"""),"#VALUE!")</f>
        <v>#VALUE!</v>
      </c>
      <c r="AE195" s="182"/>
      <c r="AF195" s="182"/>
      <c r="AG195" s="182"/>
      <c r="AH195" s="182"/>
      <c r="AI195" s="182"/>
      <c r="AJ195" s="182" t="str">
        <f>IFERROR(__xludf.DUMMYFUNCTION("""COMPUTED_VALUE"""),"#VALUE!")</f>
        <v>#VALUE!</v>
      </c>
      <c r="AK195" s="182" t="str">
        <f>IFERROR(__xludf.DUMMYFUNCTION("""COMPUTED_VALUE"""),"#VALUE!")</f>
        <v>#VALUE!</v>
      </c>
      <c r="AL195" s="182" t="b">
        <f>IFERROR(__xludf.DUMMYFUNCTION("""COMPUTED_VALUE"""),FALSE)</f>
        <v>0</v>
      </c>
      <c r="AM195" s="182"/>
      <c r="AN195" s="182" t="str">
        <f>IFERROR(__xludf.DUMMYFUNCTION("""COMPUTED_VALUE"""),"#VALUE!")</f>
        <v>#VALUE!</v>
      </c>
      <c r="AO195" s="182" t="b">
        <f>IFERROR(__xludf.DUMMYFUNCTION("""COMPUTED_VALUE"""),FALSE)</f>
        <v>0</v>
      </c>
      <c r="AP195" s="182"/>
      <c r="AQ195" s="182"/>
      <c r="AR195" s="182"/>
      <c r="AS195" s="182"/>
      <c r="AT195" s="182"/>
      <c r="AU195" s="182"/>
      <c r="AV195" s="182" t="str">
        <f>IFERROR(__xludf.DUMMYFUNCTION("""COMPUTED_VALUE"""),"#VALUE!")</f>
        <v>#VALUE!</v>
      </c>
      <c r="AW195" s="182"/>
      <c r="AX195" s="182"/>
      <c r="AY195" s="182"/>
      <c r="AZ195" s="182" t="str">
        <f>IFERROR(__xludf.DUMMYFUNCTION("""COMPUTED_VALUE"""),"#VALUE!")</f>
        <v>#VALUE!</v>
      </c>
      <c r="BA195" s="182" t="b">
        <f>IFERROR(__xludf.DUMMYFUNCTION("""COMPUTED_VALUE"""),FALSE)</f>
        <v>0</v>
      </c>
      <c r="BB195" s="182" t="str">
        <f>IFERROR(__xludf.DUMMYFUNCTION("""COMPUTED_VALUE"""),"#VALUE!")</f>
        <v>#VALUE!</v>
      </c>
    </row>
    <row r="196">
      <c r="A196" s="184" t="str">
        <f t="shared" si="1"/>
        <v>#VALUE!</v>
      </c>
      <c r="B196" s="69" t="str">
        <f t="shared" si="2"/>
        <v>#VALUE!</v>
      </c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3" t="str">
        <f>IFERROR(__xludf.DUMMYFUNCTION("""COMPUTED_VALUE"""),"#NUM!")</f>
        <v>#NUM!</v>
      </c>
      <c r="X196" s="182"/>
      <c r="Y196" s="182" t="str">
        <f>IFERROR(__xludf.DUMMYFUNCTION("""COMPUTED_VALUE"""),"#VALUE!")</f>
        <v>#VALUE!</v>
      </c>
      <c r="Z196" s="182" t="b">
        <f>IFERROR(__xludf.DUMMYFUNCTION("""COMPUTED_VALUE"""),FALSE)</f>
        <v>0</v>
      </c>
      <c r="AA196" s="182" t="str">
        <f>IFERROR(__xludf.DUMMYFUNCTION("""COMPUTED_VALUE"""),"#VALUE!")</f>
        <v>#VALUE!</v>
      </c>
      <c r="AB196" s="182" t="b">
        <f>IFERROR(__xludf.DUMMYFUNCTION("""COMPUTED_VALUE"""),FALSE)</f>
        <v>0</v>
      </c>
      <c r="AC196" s="182" t="str">
        <f>IFERROR(__xludf.DUMMYFUNCTION("""COMPUTED_VALUE"""),"#VALUE!")</f>
        <v>#VALUE!</v>
      </c>
      <c r="AD196" s="182" t="str">
        <f>IFERROR(__xludf.DUMMYFUNCTION("""COMPUTED_VALUE"""),"#VALUE!")</f>
        <v>#VALUE!</v>
      </c>
      <c r="AE196" s="182"/>
      <c r="AF196" s="182"/>
      <c r="AG196" s="182"/>
      <c r="AH196" s="182"/>
      <c r="AI196" s="182"/>
      <c r="AJ196" s="182" t="str">
        <f>IFERROR(__xludf.DUMMYFUNCTION("""COMPUTED_VALUE"""),"#VALUE!")</f>
        <v>#VALUE!</v>
      </c>
      <c r="AK196" s="182" t="str">
        <f>IFERROR(__xludf.DUMMYFUNCTION("""COMPUTED_VALUE"""),"#VALUE!")</f>
        <v>#VALUE!</v>
      </c>
      <c r="AL196" s="182" t="b">
        <f>IFERROR(__xludf.DUMMYFUNCTION("""COMPUTED_VALUE"""),FALSE)</f>
        <v>0</v>
      </c>
      <c r="AM196" s="182"/>
      <c r="AN196" s="182" t="str">
        <f>IFERROR(__xludf.DUMMYFUNCTION("""COMPUTED_VALUE"""),"#VALUE!")</f>
        <v>#VALUE!</v>
      </c>
      <c r="AO196" s="182" t="b">
        <f>IFERROR(__xludf.DUMMYFUNCTION("""COMPUTED_VALUE"""),FALSE)</f>
        <v>0</v>
      </c>
      <c r="AP196" s="182"/>
      <c r="AQ196" s="182"/>
      <c r="AR196" s="182"/>
      <c r="AS196" s="182"/>
      <c r="AT196" s="182"/>
      <c r="AU196" s="182"/>
      <c r="AV196" s="182" t="str">
        <f>IFERROR(__xludf.DUMMYFUNCTION("""COMPUTED_VALUE"""),"#VALUE!")</f>
        <v>#VALUE!</v>
      </c>
      <c r="AW196" s="182"/>
      <c r="AX196" s="182"/>
      <c r="AY196" s="182"/>
      <c r="AZ196" s="182" t="str">
        <f>IFERROR(__xludf.DUMMYFUNCTION("""COMPUTED_VALUE"""),"#VALUE!")</f>
        <v>#VALUE!</v>
      </c>
      <c r="BA196" s="182" t="b">
        <f>IFERROR(__xludf.DUMMYFUNCTION("""COMPUTED_VALUE"""),FALSE)</f>
        <v>0</v>
      </c>
      <c r="BB196" s="182" t="str">
        <f>IFERROR(__xludf.DUMMYFUNCTION("""COMPUTED_VALUE"""),"#VALUE!")</f>
        <v>#VALUE!</v>
      </c>
    </row>
    <row r="197">
      <c r="A197" s="184" t="str">
        <f t="shared" si="1"/>
        <v>#VALUE!</v>
      </c>
      <c r="B197" s="69" t="str">
        <f t="shared" si="2"/>
        <v>#VALUE!</v>
      </c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3" t="str">
        <f>IFERROR(__xludf.DUMMYFUNCTION("""COMPUTED_VALUE"""),"#NUM!")</f>
        <v>#NUM!</v>
      </c>
      <c r="X197" s="182"/>
      <c r="Y197" s="182" t="str">
        <f>IFERROR(__xludf.DUMMYFUNCTION("""COMPUTED_VALUE"""),"#VALUE!")</f>
        <v>#VALUE!</v>
      </c>
      <c r="Z197" s="182" t="b">
        <f>IFERROR(__xludf.DUMMYFUNCTION("""COMPUTED_VALUE"""),FALSE)</f>
        <v>0</v>
      </c>
      <c r="AA197" s="182" t="str">
        <f>IFERROR(__xludf.DUMMYFUNCTION("""COMPUTED_VALUE"""),"#VALUE!")</f>
        <v>#VALUE!</v>
      </c>
      <c r="AB197" s="182" t="b">
        <f>IFERROR(__xludf.DUMMYFUNCTION("""COMPUTED_VALUE"""),FALSE)</f>
        <v>0</v>
      </c>
      <c r="AC197" s="182" t="str">
        <f>IFERROR(__xludf.DUMMYFUNCTION("""COMPUTED_VALUE"""),"#VALUE!")</f>
        <v>#VALUE!</v>
      </c>
      <c r="AD197" s="182" t="str">
        <f>IFERROR(__xludf.DUMMYFUNCTION("""COMPUTED_VALUE"""),"#VALUE!")</f>
        <v>#VALUE!</v>
      </c>
      <c r="AE197" s="182"/>
      <c r="AF197" s="182"/>
      <c r="AG197" s="182"/>
      <c r="AH197" s="182"/>
      <c r="AI197" s="182"/>
      <c r="AJ197" s="182" t="str">
        <f>IFERROR(__xludf.DUMMYFUNCTION("""COMPUTED_VALUE"""),"#VALUE!")</f>
        <v>#VALUE!</v>
      </c>
      <c r="AK197" s="182" t="str">
        <f>IFERROR(__xludf.DUMMYFUNCTION("""COMPUTED_VALUE"""),"#VALUE!")</f>
        <v>#VALUE!</v>
      </c>
      <c r="AL197" s="182" t="b">
        <f>IFERROR(__xludf.DUMMYFUNCTION("""COMPUTED_VALUE"""),FALSE)</f>
        <v>0</v>
      </c>
      <c r="AM197" s="182"/>
      <c r="AN197" s="182" t="str">
        <f>IFERROR(__xludf.DUMMYFUNCTION("""COMPUTED_VALUE"""),"#VALUE!")</f>
        <v>#VALUE!</v>
      </c>
      <c r="AO197" s="182" t="b">
        <f>IFERROR(__xludf.DUMMYFUNCTION("""COMPUTED_VALUE"""),FALSE)</f>
        <v>0</v>
      </c>
      <c r="AP197" s="182"/>
      <c r="AQ197" s="182"/>
      <c r="AR197" s="182"/>
      <c r="AS197" s="182"/>
      <c r="AT197" s="182"/>
      <c r="AU197" s="182"/>
      <c r="AV197" s="182" t="str">
        <f>IFERROR(__xludf.DUMMYFUNCTION("""COMPUTED_VALUE"""),"#VALUE!")</f>
        <v>#VALUE!</v>
      </c>
      <c r="AW197" s="182"/>
      <c r="AX197" s="182"/>
      <c r="AY197" s="182"/>
      <c r="AZ197" s="182" t="str">
        <f>IFERROR(__xludf.DUMMYFUNCTION("""COMPUTED_VALUE"""),"#VALUE!")</f>
        <v>#VALUE!</v>
      </c>
      <c r="BA197" s="182" t="b">
        <f>IFERROR(__xludf.DUMMYFUNCTION("""COMPUTED_VALUE"""),FALSE)</f>
        <v>0</v>
      </c>
      <c r="BB197" s="182" t="str">
        <f>IFERROR(__xludf.DUMMYFUNCTION("""COMPUTED_VALUE"""),"#VALUE!")</f>
        <v>#VALUE!</v>
      </c>
    </row>
    <row r="198">
      <c r="A198" s="184" t="str">
        <f t="shared" si="1"/>
        <v>#VALUE!</v>
      </c>
      <c r="B198" s="69" t="str">
        <f t="shared" si="2"/>
        <v>#VALUE!</v>
      </c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3" t="str">
        <f>IFERROR(__xludf.DUMMYFUNCTION("""COMPUTED_VALUE"""),"#NUM!")</f>
        <v>#NUM!</v>
      </c>
      <c r="X198" s="182"/>
      <c r="Y198" s="182" t="str">
        <f>IFERROR(__xludf.DUMMYFUNCTION("""COMPUTED_VALUE"""),"#VALUE!")</f>
        <v>#VALUE!</v>
      </c>
      <c r="Z198" s="182" t="b">
        <f>IFERROR(__xludf.DUMMYFUNCTION("""COMPUTED_VALUE"""),FALSE)</f>
        <v>0</v>
      </c>
      <c r="AA198" s="182" t="str">
        <f>IFERROR(__xludf.DUMMYFUNCTION("""COMPUTED_VALUE"""),"#VALUE!")</f>
        <v>#VALUE!</v>
      </c>
      <c r="AB198" s="182" t="b">
        <f>IFERROR(__xludf.DUMMYFUNCTION("""COMPUTED_VALUE"""),FALSE)</f>
        <v>0</v>
      </c>
      <c r="AC198" s="182" t="str">
        <f>IFERROR(__xludf.DUMMYFUNCTION("""COMPUTED_VALUE"""),"#VALUE!")</f>
        <v>#VALUE!</v>
      </c>
      <c r="AD198" s="182" t="str">
        <f>IFERROR(__xludf.DUMMYFUNCTION("""COMPUTED_VALUE"""),"#VALUE!")</f>
        <v>#VALUE!</v>
      </c>
      <c r="AE198" s="182"/>
      <c r="AF198" s="182"/>
      <c r="AG198" s="182"/>
      <c r="AH198" s="182"/>
      <c r="AI198" s="182"/>
      <c r="AJ198" s="182" t="str">
        <f>IFERROR(__xludf.DUMMYFUNCTION("""COMPUTED_VALUE"""),"#VALUE!")</f>
        <v>#VALUE!</v>
      </c>
      <c r="AK198" s="182" t="str">
        <f>IFERROR(__xludf.DUMMYFUNCTION("""COMPUTED_VALUE"""),"#VALUE!")</f>
        <v>#VALUE!</v>
      </c>
      <c r="AL198" s="182" t="b">
        <f>IFERROR(__xludf.DUMMYFUNCTION("""COMPUTED_VALUE"""),FALSE)</f>
        <v>0</v>
      </c>
      <c r="AM198" s="182"/>
      <c r="AN198" s="182" t="str">
        <f>IFERROR(__xludf.DUMMYFUNCTION("""COMPUTED_VALUE"""),"#VALUE!")</f>
        <v>#VALUE!</v>
      </c>
      <c r="AO198" s="182" t="b">
        <f>IFERROR(__xludf.DUMMYFUNCTION("""COMPUTED_VALUE"""),FALSE)</f>
        <v>0</v>
      </c>
      <c r="AP198" s="182"/>
      <c r="AQ198" s="182"/>
      <c r="AR198" s="182"/>
      <c r="AS198" s="182"/>
      <c r="AT198" s="182"/>
      <c r="AU198" s="182"/>
      <c r="AV198" s="182" t="str">
        <f>IFERROR(__xludf.DUMMYFUNCTION("""COMPUTED_VALUE"""),"#VALUE!")</f>
        <v>#VALUE!</v>
      </c>
      <c r="AW198" s="182"/>
      <c r="AX198" s="182"/>
      <c r="AY198" s="182"/>
      <c r="AZ198" s="182" t="str">
        <f>IFERROR(__xludf.DUMMYFUNCTION("""COMPUTED_VALUE"""),"#VALUE!")</f>
        <v>#VALUE!</v>
      </c>
      <c r="BA198" s="182" t="b">
        <f>IFERROR(__xludf.DUMMYFUNCTION("""COMPUTED_VALUE"""),FALSE)</f>
        <v>0</v>
      </c>
      <c r="BB198" s="182" t="str">
        <f>IFERROR(__xludf.DUMMYFUNCTION("""COMPUTED_VALUE"""),"#VALUE!")</f>
        <v>#VALUE!</v>
      </c>
    </row>
    <row r="199">
      <c r="A199" s="184" t="str">
        <f t="shared" si="1"/>
        <v>#VALUE!</v>
      </c>
      <c r="B199" s="69" t="str">
        <f t="shared" si="2"/>
        <v>#VALUE!</v>
      </c>
    </row>
    <row r="200">
      <c r="A200" s="184" t="str">
        <f t="shared" si="1"/>
        <v>#VALUE!</v>
      </c>
      <c r="B200" s="69" t="str">
        <f t="shared" ref="B200:B303" si="3">MID(N200, FIND(CHAR(10), N200) + 1, LEN(N200) - FIND(CHAR(10), N200))</f>
        <v>#VALUE!</v>
      </c>
      <c r="C200" s="190" t="str">
        <f>IFERROR(__xludf.DUMMYFUNCTION("IMPORTRANGE(""https://docs.google.com/spreadsheets/d/15lzIx3irnFzzB1FWzssnBG7N0TKQQGt1hWrVTnBNvgM/edit?gid=1763328259#gid=1763328259"",""P-103 Master Approval(for ATT/VZN/TMO SKU only)!A3:AZ100"")")," DRI")</f>
        <v> DRI</v>
      </c>
      <c r="D200" s="174" t="str">
        <f>IFERROR(__xludf.DUMMYFUNCTION("""COMPUTED_VALUE"""),"CM EPM")</f>
        <v>CM EPM</v>
      </c>
      <c r="E200" s="174" t="str">
        <f>IFERROR(__xludf.DUMMYFUNCTION("""COMPUTED_VALUE"""),"CM EPM")</f>
        <v>CM EPM</v>
      </c>
      <c r="F200" s="174" t="str">
        <f>IFERROR(__xludf.DUMMYFUNCTION("""COMPUTED_VALUE"""),"CM EPM")</f>
        <v>CM EPM</v>
      </c>
      <c r="G200" s="174" t="str">
        <f>IFERROR(__xludf.DUMMYFUNCTION("""COMPUTED_VALUE"""),"CM EPM")</f>
        <v>CM EPM</v>
      </c>
      <c r="H200" s="174" t="str">
        <f>IFERROR(__xludf.DUMMYFUNCTION("""COMPUTED_VALUE"""),"CM EPM")</f>
        <v>CM EPM</v>
      </c>
      <c r="I200" s="175" t="str">
        <f>IFERROR(__xludf.DUMMYFUNCTION("""COMPUTED_VALUE"""),"CM EPM")</f>
        <v>CM EPM</v>
      </c>
      <c r="J200" s="174" t="str">
        <f>IFERROR(__xludf.DUMMYFUNCTION("""COMPUTED_VALUE"""),"CM EPM")</f>
        <v>CM EPM</v>
      </c>
      <c r="K200" s="174" t="str">
        <f>IFERROR(__xludf.DUMMYFUNCTION("""COMPUTED_VALUE"""),"CM EPM")</f>
        <v>CM EPM</v>
      </c>
      <c r="L200" s="174" t="str">
        <f>IFERROR(__xludf.DUMMYFUNCTION("""COMPUTED_VALUE"""),"CM EPM")</f>
        <v>CM EPM</v>
      </c>
      <c r="M200" s="174" t="str">
        <f>IFERROR(__xludf.DUMMYFUNCTION("""COMPUTED_VALUE"""),"CM Packing PD")</f>
        <v>CM Packing PD</v>
      </c>
      <c r="N200" s="174" t="str">
        <f>IFERROR(__xludf.DUMMYFUNCTION("""COMPUTED_VALUE"""),"CM Packing PD")</f>
        <v>CM Packing PD</v>
      </c>
      <c r="O200" s="174" t="str">
        <f>IFERROR(__xludf.DUMMYFUNCTION("""COMPUTED_VALUE"""),"CM Packing PD")</f>
        <v>CM Packing PD</v>
      </c>
      <c r="P200" s="174" t="str">
        <f>IFERROR(__xludf.DUMMYFUNCTION("""COMPUTED_VALUE"""),"CM EPM")</f>
        <v>CM EPM</v>
      </c>
      <c r="Q200" s="174" t="str">
        <f>IFERROR(__xludf.DUMMYFUNCTION("""COMPUTED_VALUE"""),"CM EPM")</f>
        <v>CM EPM</v>
      </c>
      <c r="R200" s="174" t="str">
        <f>IFERROR(__xludf.DUMMYFUNCTION("""COMPUTED_VALUE"""),"CM EPM")</f>
        <v>CM EPM</v>
      </c>
      <c r="S200" s="174" t="str">
        <f>IFERROR(__xludf.DUMMYFUNCTION("""COMPUTED_VALUE"""),"CM EPM")</f>
        <v>CM EPM</v>
      </c>
      <c r="T200" s="174" t="str">
        <f>IFERROR(__xludf.DUMMYFUNCTION("""COMPUTED_VALUE"""),"CM EPM")</f>
        <v>CM EPM</v>
      </c>
      <c r="U200" s="174" t="str">
        <f>IFERROR(__xludf.DUMMYFUNCTION("""COMPUTED_VALUE"""),"CM EPM")</f>
        <v>CM EPM</v>
      </c>
      <c r="V200" s="174" t="str">
        <f>IFERROR(__xludf.DUMMYFUNCTION("""COMPUTED_VALUE"""),"Google NPI OPM")</f>
        <v>Google NPI OPM</v>
      </c>
      <c r="W200" s="174"/>
      <c r="X200" s="174" t="str">
        <f>IFERROR(__xludf.DUMMYFUNCTION("""COMPUTED_VALUE"""),"CM Packing PD")</f>
        <v>CM Packing PD</v>
      </c>
      <c r="Y200" s="174" t="str">
        <f>IFERROR(__xludf.DUMMYFUNCTION("""COMPUTED_VALUE"""),"Liz Goodyear")</f>
        <v>Liz Goodyear</v>
      </c>
      <c r="Z200" s="174" t="str">
        <f>IFERROR(__xludf.DUMMYFUNCTION("""COMPUTED_VALUE"""),"Ryan Ravagnie")</f>
        <v>Ryan Ravagnie</v>
      </c>
      <c r="AA200" s="174"/>
      <c r="AB200" s="174" t="str">
        <f>IFERROR(__xludf.DUMMYFUNCTION("""COMPUTED_VALUE"""),"CM PD/PE")</f>
        <v>CM PD/PE</v>
      </c>
      <c r="AC200" s="174" t="str">
        <f>IFERROR(__xludf.DUMMYFUNCTION("""COMPUTED_VALUE"""),"CM PD/PE")</f>
        <v>CM PD/PE</v>
      </c>
      <c r="AD200" s="174"/>
      <c r="AE200" s="174" t="str">
        <f>IFERROR(__xludf.DUMMYFUNCTION("""COMPUTED_VALUE"""),"CM PE")</f>
        <v>CM PE</v>
      </c>
      <c r="AF200" s="174" t="str">
        <f>IFERROR(__xludf.DUMMYFUNCTION("""COMPUTED_VALUE"""),"CM PE")</f>
        <v>CM PE</v>
      </c>
      <c r="AG200" s="174"/>
      <c r="AH200" s="174" t="str">
        <f>IFERROR(__xludf.DUMMYFUNCTION("""COMPUTED_VALUE"""),"CM QE")</f>
        <v>CM QE</v>
      </c>
      <c r="AI200" s="174" t="str">
        <f>IFERROR(__xludf.DUMMYFUNCTION("""COMPUTED_VALUE"""),"G Pkg EPM")</f>
        <v>G Pkg EPM</v>
      </c>
      <c r="AJ200" s="174" t="str">
        <f>IFERROR(__xludf.DUMMYFUNCTION("""COMPUTED_VALUE"""),"Liz Goodyear")</f>
        <v>Liz Goodyear</v>
      </c>
      <c r="AK200" s="174" t="str">
        <f>IFERROR(__xludf.DUMMYFUNCTION("""COMPUTED_VALUE"""),"Liz Goodyear")</f>
        <v>Liz Goodyear</v>
      </c>
      <c r="AL200" s="174" t="str">
        <f>IFERROR(__xludf.DUMMYFUNCTION("""COMPUTED_VALUE"""),"Ryan Ravagnie")</f>
        <v>Ryan Ravagnie</v>
      </c>
      <c r="AM200" s="174" t="str">
        <f>IFERROR(__xludf.DUMMYFUNCTION("""COMPUTED_VALUE"""),"Ryan Ravagnie")</f>
        <v>Ryan Ravagnie</v>
      </c>
      <c r="AN200" s="174" t="str">
        <f>IFERROR(__xludf.DUMMYFUNCTION("""COMPUTED_VALUE"""),"HC Li")</f>
        <v>HC Li</v>
      </c>
      <c r="AO200" s="174"/>
      <c r="AP200" s="174" t="str">
        <f>IFERROR(__xludf.DUMMYFUNCTION("""COMPUTED_VALUE"""),"lisaconover@ 
hernandezisaac@")</f>
        <v>lisaconover@ 
hernandezisaac@</v>
      </c>
      <c r="AQ200" s="174" t="str">
        <f>IFERROR(__xludf.DUMMYFUNCTION("""COMPUTED_VALUE"""),"lisaconover@ 
hernandezisaac@")</f>
        <v>lisaconover@ 
hernandezisaac@</v>
      </c>
      <c r="AR200" s="174" t="str">
        <f>IFERROR(__xludf.DUMMYFUNCTION("""COMPUTED_VALUE"""),"lisaconover@ 
hernandezisaac@")</f>
        <v>lisaconover@ 
hernandezisaac@</v>
      </c>
      <c r="AS200" s="174" t="str">
        <f>IFERROR(__xludf.DUMMYFUNCTION("""COMPUTED_VALUE"""),"CM OPM")</f>
        <v>CM OPM</v>
      </c>
      <c r="AT200" s="174" t="str">
        <f>IFERROR(__xludf.DUMMYFUNCTION("""COMPUTED_VALUE"""),"G Carrier PgM")</f>
        <v>G Carrier PgM</v>
      </c>
      <c r="AU200" s="174"/>
      <c r="AV200" s="174"/>
      <c r="AW200" s="174" t="str">
        <f>IFERROR(__xludf.DUMMYFUNCTION("""COMPUTED_VALUE"""),"HC Li")</f>
        <v>HC Li</v>
      </c>
      <c r="AX200" s="174"/>
      <c r="AY200" s="174"/>
      <c r="AZ200" s="174"/>
      <c r="BA200" s="174"/>
      <c r="BB200" s="174"/>
      <c r="BC200" s="174"/>
      <c r="BD200" s="174"/>
      <c r="BE200" s="174"/>
      <c r="BF200" s="174"/>
      <c r="BG200" s="174"/>
      <c r="BH200" s="174"/>
      <c r="BI200" s="174"/>
      <c r="BJ200" s="174"/>
      <c r="BK200" s="174"/>
      <c r="BL200" s="174"/>
    </row>
    <row r="201">
      <c r="A201" s="184" t="str">
        <f t="shared" si="1"/>
        <v>Artwork GPN &amp; Rev</v>
      </c>
      <c r="B201" s="191" t="str">
        <f t="shared" si="3"/>
        <v>Artwork GPN &amp; Rev</v>
      </c>
      <c r="C201" s="182" t="str">
        <f>IFERROR(__xludf.DUMMYFUNCTION("""COMPUTED_VALUE"""),"Item")</f>
        <v>Item</v>
      </c>
      <c r="D201" s="182" t="str">
        <f>IFERROR(__xludf.DUMMYFUNCTION("""COMPUTED_VALUE"""),"Stage")</f>
        <v>Stage</v>
      </c>
      <c r="E201" s="182" t="str">
        <f>IFERROR(__xludf.DUMMYFUNCTION("""COMPUTED_VALUE"""),"Purpose")</f>
        <v>Purpose</v>
      </c>
      <c r="F201" s="182" t="str">
        <f>IFERROR(__xludf.DUMMYFUNCTION("""COMPUTED_VALUE"""),"Sale SKU")</f>
        <v>Sale SKU</v>
      </c>
      <c r="G201" s="182" t="str">
        <f>IFERROR(__xludf.DUMMYFUNCTION("""COMPUTED_VALUE"""),"Model#
產品型號#")</f>
        <v>Model#
產品型號#</v>
      </c>
      <c r="H201" s="182" t="str">
        <f>IFERROR(__xludf.DUMMYFUNCTION("""COMPUTED_VALUE"""),"UPC CODE-12")</f>
        <v>UPC CODE-12</v>
      </c>
      <c r="I201" s="185" t="str">
        <f>IFERROR(__xludf.DUMMYFUNCTION("""COMPUTED_VALUE"""),"EAN CODE-13")</f>
        <v>EAN CODE-13</v>
      </c>
      <c r="J201" s="182" t="str">
        <f>IFERROR(__xludf.DUMMYFUNCTION("""COMPUTED_VALUE"""),"SAP/SKU ID for Retail label")</f>
        <v>SAP/SKU ID for Retail label</v>
      </c>
      <c r="K201" s="182" t="str">
        <f>IFERROR(__xludf.DUMMYFUNCTION("""COMPUTED_VALUE"""),"Master Carton Label")</f>
        <v>Master Carton Label</v>
      </c>
      <c r="L201" s="182" t="str">
        <f>IFERROR(__xludf.DUMMYFUNCTION("""COMPUTED_VALUE"""),"Pallet Label")</f>
        <v>Pallet Label</v>
      </c>
      <c r="M201" s="182" t="str">
        <f>IFERROR(__xludf.DUMMYFUNCTION("""COMPUTED_VALUE"""),"BOB
Artwork GPN &amp; Rev")</f>
        <v>BOB
Artwork GPN &amp; Rev</v>
      </c>
      <c r="N201" s="182" t="str">
        <f>IFERROR(__xludf.DUMMYFUNCTION("""COMPUTED_VALUE"""),"Retail
Artwork GPN &amp; Rev")</f>
        <v>Retail
Artwork GPN &amp; Rev</v>
      </c>
      <c r="O201" s="182" t="str">
        <f>IFERROR(__xludf.DUMMYFUNCTION("""COMPUTED_VALUE"""),"Revison")</f>
        <v>Revison</v>
      </c>
      <c r="P201" s="182" t="str">
        <f>IFERROR(__xludf.DUMMYFUNCTION("""COMPUTED_VALUE"""),"Memory
")</f>
        <v>Memory
</v>
      </c>
      <c r="Q201" s="182" t="str">
        <f>IFERROR(__xludf.DUMMYFUNCTION("""COMPUTED_VALUE"""),"Color Name from sleeve template use")</f>
        <v>Color Name from sleeve template use</v>
      </c>
      <c r="R201" s="182" t="str">
        <f>IFERROR(__xludf.DUMMYFUNCTION("""COMPUTED_VALUE"""),"Color ID
from Znext")</f>
        <v>Color ID
from Znext</v>
      </c>
      <c r="S201" s="182" t="str">
        <f>IFERROR(__xludf.DUMMYFUNCTION("""COMPUTED_VALUE"""),"SKU")</f>
        <v>SKU</v>
      </c>
      <c r="T201" s="182" t="str">
        <f>IFERROR(__xludf.DUMMYFUNCTION("""COMPUTED_VALUE"""),"Description")</f>
        <v>Description</v>
      </c>
      <c r="U201" s="182" t="str">
        <f>IFERROR(__xludf.DUMMYFUNCTION("""COMPUTED_VALUE"""),"Real Description")</f>
        <v>Real Description</v>
      </c>
      <c r="V201" s="182" t="str">
        <f>IFERROR(__xludf.DUMMYFUNCTION("""COMPUTED_VALUE"""),"P-100
Inform NPI OPM if no 65 days buffer")</f>
        <v>P-100
Inform NPI OPM if no 65 days buffer</v>
      </c>
      <c r="W201" s="182" t="str">
        <f>IFERROR(__xludf.DUMMYFUNCTION("""COMPUTED_VALUE"""),"Day P Ok2pack")</f>
        <v>Day P Ok2pack</v>
      </c>
      <c r="X201" s="182" t="str">
        <f>IFERROR(__xludf.DUMMYFUNCTION("""COMPUTED_VALUE""")," P-85 EPM release RevA Date (CM Receive 
from G +1 day)")</f>
        <v> P-85 EPM release RevA Date (CM Receive 
from G +1 day)</v>
      </c>
      <c r="Y201" s="182" t="str">
        <f>IFERROR(__xludf.DUMMYFUNCTION("""COMPUTED_VALUE"""),"EPM Confirm done with ✅")</f>
        <v>EPM Confirm done with ✅</v>
      </c>
      <c r="Z201" s="182" t="str">
        <f>IFERROR(__xludf.DUMMYFUNCTION("""COMPUTED_VALUE"""),"P-85 PPO release RevA Date (CM Receive 
from G +1 day)")</f>
        <v>P-85 PPO release RevA Date (CM Receive 
from G +1 day)</v>
      </c>
      <c r="AA201" s="182" t="str">
        <f>IFERROR(__xludf.DUMMYFUNCTION("""COMPUTED_VALUE"""),"PPO Confirm done with ✅")</f>
        <v>PPO Confirm done with ✅</v>
      </c>
      <c r="AB201" s="182" t="str">
        <f>IFERROR(__xludf.DUMMYFUNCTION("""COMPUTED_VALUE"""),"P-78
Template 
Mock-up")</f>
        <v>P-78
Template 
Mock-up</v>
      </c>
      <c r="AC201" s="182" t="str">
        <f>IFERROR(__xludf.DUMMYFUNCTION("""COMPUTED_VALUE"""),"P-78
Packing PD/PE
 Buy-off")</f>
        <v>P-78
Packing PD/PE
 Buy-off</v>
      </c>
      <c r="AD201" s="182" t="str">
        <f>IFERROR(__xludf.DUMMYFUNCTION("""COMPUTED_VALUE"""),"P-72 Date")</f>
        <v>P-72 Date</v>
      </c>
      <c r="AE201" s="182" t="str">
        <f>IFERROR(__xludf.DUMMYFUNCTION("""COMPUTED_VALUE"""),"P-72 Retail Label Photo in Approval Format(+link)")</f>
        <v>P-72 Retail Label Photo in Approval Format(+link)</v>
      </c>
      <c r="AF201" s="182" t="str">
        <f>IFERROR(__xludf.DUMMYFUNCTION("""COMPUTED_VALUE"""),"P-72 Carton/Pallet Label (SKU + link)
")</f>
        <v>P-72 Carton/Pallet Label (SKU + link)
</v>
      </c>
      <c r="AG201" s="182" t="str">
        <f>IFERROR(__xludf.DUMMYFUNCTION("""COMPUTED_VALUE"""),"P-72 BOB Sleeve (SKU + link)")</f>
        <v>P-72 BOB Sleeve (SKU + link)</v>
      </c>
      <c r="AH201" s="182" t="str">
        <f>IFERROR(__xludf.DUMMYFUNCTION("""COMPUTED_VALUE"""),"P-71
QA Buy-off
 (PDF/SKU with link)")</f>
        <v>P-71
QA Buy-off
 (PDF/SKU with link)</v>
      </c>
      <c r="AI201" s="182" t="str">
        <f>IFERROR(__xludf.DUMMYFUNCTION("""COMPUTED_VALUE"""),"P-50
EPM Approve
(RAP and BOB artwork)")</f>
        <v>P-50
EPM Approve
(RAP and BOB artwork)</v>
      </c>
      <c r="AJ201" s="182" t="str">
        <f>IFERROR(__xludf.DUMMYFUNCTION("""COMPUTED_VALUE"""),"P-50 EPM Soft approved ✅")</f>
        <v>P-50 EPM Soft approved ✅</v>
      </c>
      <c r="AK201" s="182" t="str">
        <f>IFERROR(__xludf.DUMMYFUNCTION("""COMPUTED_VALUE"""),"P-30 EPM BOB POR (Rev A)Soft approved ✅")</f>
        <v>P-30 EPM BOB POR (Rev A)Soft approved ✅</v>
      </c>
      <c r="AL201" s="182" t="str">
        <f>IFERROR(__xludf.DUMMYFUNCTION("""COMPUTED_VALUE"""),"P-50
LSL Approve 
(Carton &amp; Pallet label)")</f>
        <v>P-50
LSL Approve 
(Carton &amp; Pallet label)</v>
      </c>
      <c r="AM201" s="182" t="str">
        <f>IFERROR(__xludf.DUMMYFUNCTION("""COMPUTED_VALUE"""),"P-50 LSL Soft approved ✅")</f>
        <v>P-50 LSL Soft approved ✅</v>
      </c>
      <c r="AN201" s="182" t="str">
        <f>IFERROR(__xludf.DUMMYFUNCTION("""COMPUTED_VALUE"""),"P-47
Origin Logistic Physical Label needed?(Y/N)")</f>
        <v>P-47
Origin Logistic Physical Label needed?(Y/N)</v>
      </c>
      <c r="AO201" s="182" t="str">
        <f>IFERROR(__xludf.DUMMYFUNCTION("""COMPUTED_VALUE"""),"Origin Logistic Tracking #")</f>
        <v>Origin Logistic Tracking #</v>
      </c>
      <c r="AP201" s="182" t="str">
        <f>IFERROR(__xludf.DUMMYFUNCTION("""COMPUTED_VALUE"""),"P-50
Label Approval
( DRI Name -QRcode Required)")</f>
        <v>P-50
Label Approval
( DRI Name -QRcode Required)</v>
      </c>
      <c r="AQ201" s="182" t="str">
        <f>IFERROR(__xludf.DUMMYFUNCTION("""COMPUTED_VALUE"""),"P-50  QRcode DRI approved ✅")</f>
        <v>P-50  QRcode DRI approved ✅</v>
      </c>
      <c r="AR201" s="182" t="str">
        <f>IFERROR(__xludf.DUMMYFUNCTION("""COMPUTED_VALUE"""),"P-50
QRcode Physical sample needed?(Y/N)")</f>
        <v>P-50
QRcode Physical sample needed?(Y/N)</v>
      </c>
      <c r="AS201" s="182" t="str">
        <f>IFERROR(__xludf.DUMMYFUNCTION("""COMPUTED_VALUE"""),"QRcode DRI Tracking #")</f>
        <v>QRcode DRI Tracking #</v>
      </c>
      <c r="AT201" s="182" t="str">
        <f>IFERROR(__xludf.DUMMYFUNCTION("""COMPUTED_VALUE"""),"P-50
Google Approval
(PGM - Carrier info Required)")</f>
        <v>P-50
Google Approval
(PGM - Carrier info Required)</v>
      </c>
      <c r="AU201" s="182" t="str">
        <f>IFERROR(__xludf.DUMMYFUNCTION("""COMPUTED_VALUE"""),"P-47
PGM Physical Label needed?(Y/N)")</f>
        <v>P-47
PGM Physical Label needed?(Y/N)</v>
      </c>
      <c r="AV201" s="182" t="str">
        <f>IFERROR(__xludf.DUMMYFUNCTION("""COMPUTED_VALUE"""),"PGM Tracking #")</f>
        <v>PGM Tracking #</v>
      </c>
      <c r="AW201" s="182" t="str">
        <f>IFERROR(__xludf.DUMMYFUNCTION("""COMPUTED_VALUE"""),"P-3 
Origin Logistic  Hard copy approval")</f>
        <v>P-3 
Origin Logistic  Hard copy approval</v>
      </c>
      <c r="AX201" s="182" t="str">
        <f>IFERROR(__xludf.DUMMYFUNCTION("""COMPUTED_VALUE"""),"P-3 
PGM Hard copy approval")</f>
        <v>P-3 
PGM Hard copy approval</v>
      </c>
      <c r="AY201" s="182" t="str">
        <f>IFERROR(__xludf.DUMMYFUNCTION("""COMPUTED_VALUE"""),"Final Status")</f>
        <v>Final Status</v>
      </c>
      <c r="AZ201" s="182"/>
      <c r="BA201" s="182"/>
      <c r="BB201" s="182"/>
    </row>
    <row r="202">
      <c r="A202" s="184" t="str">
        <f t="shared" si="1"/>
        <v>#VALUE!</v>
      </c>
      <c r="B202" s="191" t="str">
        <f t="shared" si="3"/>
        <v>#VALUE!</v>
      </c>
      <c r="C202" s="182" t="str">
        <f>IFERROR(__xludf.DUMMYFUNCTION("""COMPUTED_VALUE"""),"Example")</f>
        <v>Example</v>
      </c>
      <c r="D202" s="182" t="str">
        <f>IFERROR(__xludf.DUMMYFUNCTION("""COMPUTED_VALUE"""),"PVT/MP")</f>
        <v>PVT/MP</v>
      </c>
      <c r="E202" s="182" t="str">
        <f>IFERROR(__xludf.DUMMYFUNCTION("""COMPUTED_VALUE"""),"Pristine")</f>
        <v>Pristine</v>
      </c>
      <c r="F202" s="182" t="str">
        <f>IFERROR(__xludf.DUMMYFUNCTION("""COMPUTED_VALUE"""),"GA03523-US")</f>
        <v>GA03523-US</v>
      </c>
      <c r="G202" s="182"/>
      <c r="H202" s="182">
        <f>IFERROR(__xludf.DUMMYFUNCTION("""COMPUTED_VALUE"""),8.10029936316E11)</f>
        <v>810029936316</v>
      </c>
      <c r="I202" s="182"/>
      <c r="J202" s="182" t="str">
        <f>IFERROR(__xludf.DUMMYFUNCTION("""COMPUTED_VALUE"""),"no")</f>
        <v>no</v>
      </c>
      <c r="K202" s="182" t="str">
        <f>IFERROR(__xludf.DUMMYFUNCTION("""COMPUTED_VALUE"""),"VZN Master Carton Label")</f>
        <v>VZN Master Carton Label</v>
      </c>
      <c r="L202" s="182" t="str">
        <f>IFERROR(__xludf.DUMMYFUNCTION("""COMPUTED_VALUE"""),"VZN Pallet Label -&gt; BTO(EDI)
VZN Pallet Label -&gt; BTS(Normal case)
")</f>
        <v>VZN Pallet Label -&gt; BTO(EDI)
VZN Pallet Label -&gt; BTS(Normal case)
</v>
      </c>
      <c r="M202" s="182"/>
      <c r="N202" s="182" t="str">
        <f>IFERROR(__xludf.DUMMYFUNCTION("""COMPUTED_VALUE"""),"G952-03249-00")</f>
        <v>G952-03249-00</v>
      </c>
      <c r="O202" s="182" t="str">
        <f>IFERROR(__xludf.DUMMYFUNCTION("""COMPUTED_VALUE"""),"A")</f>
        <v>A</v>
      </c>
      <c r="P202" s="182" t="str">
        <f>IFERROR(__xludf.DUMMYFUNCTION("""COMPUTED_VALUE"""),"128GB")</f>
        <v>128GB</v>
      </c>
      <c r="Q202" s="182"/>
      <c r="R202" s="182" t="str">
        <f>IFERROR(__xludf.DUMMYFUNCTION("""COMPUTED_VALUE"""),"Obsidian")</f>
        <v>Obsidian</v>
      </c>
      <c r="S202" s="182" t="str">
        <f>IFERROR(__xludf.DUMMYFUNCTION("""COMPUTED_VALUE"""),"US-VZW")</f>
        <v>US-VZW</v>
      </c>
      <c r="T202" s="182" t="str">
        <f>IFERROR(__xludf.DUMMYFUNCTION("""COMPUTED_VALUE"""),"Pixel 7, Obsidian, 128GB, VZW")</f>
        <v>Pixel 7, Obsidian, 128GB, VZW</v>
      </c>
      <c r="U202" s="182"/>
      <c r="V202" s="183" t="str">
        <f>IFERROR(__xludf.DUMMYFUNCTION("""COMPUTED_VALUE"""),"#NUM!")</f>
        <v>#NUM!</v>
      </c>
      <c r="W202" s="186">
        <f>IFERROR(__xludf.DUMMYFUNCTION("""COMPUTED_VALUE"""),45311.0)</f>
        <v>45311</v>
      </c>
      <c r="X202" s="187">
        <f>IFERROR(__xludf.DUMMYFUNCTION("""COMPUTED_VALUE"""),45225.0)</f>
        <v>45225</v>
      </c>
      <c r="Y202" s="182" t="b">
        <f>IFERROR(__xludf.DUMMYFUNCTION("""COMPUTED_VALUE"""),FALSE)</f>
        <v>0</v>
      </c>
      <c r="Z202" s="187">
        <f>IFERROR(__xludf.DUMMYFUNCTION("""COMPUTED_VALUE"""),45226.0)</f>
        <v>45226</v>
      </c>
      <c r="AA202" s="182" t="b">
        <f>IFERROR(__xludf.DUMMYFUNCTION("""COMPUTED_VALUE"""),TRUE)</f>
        <v>1</v>
      </c>
      <c r="AB202" s="187">
        <f>IFERROR(__xludf.DUMMYFUNCTION("""COMPUTED_VALUE"""),45232.0)</f>
        <v>45232</v>
      </c>
      <c r="AC202" s="187">
        <f>IFERROR(__xludf.DUMMYFUNCTION("""COMPUTED_VALUE"""),45232.0)</f>
        <v>45232</v>
      </c>
      <c r="AD202" s="187">
        <f>IFERROR(__xludf.DUMMYFUNCTION("""COMPUTED_VALUE"""),45238.0)</f>
        <v>45238</v>
      </c>
      <c r="AE202" s="182" t="str">
        <f>IFERROR(__xludf.DUMMYFUNCTION("""COMPUTED_VALUE"""),"GA03523-US")</f>
        <v>GA03523-US</v>
      </c>
      <c r="AF202" s="182" t="str">
        <f>IFERROR(__xludf.DUMMYFUNCTION("""COMPUTED_VALUE"""),"GA03523-US")</f>
        <v>GA03523-US</v>
      </c>
      <c r="AG202" s="182"/>
      <c r="AH202" s="182" t="str">
        <f>IFERROR(__xludf.DUMMYFUNCTION("""COMPUTED_VALUE"""),"GA03523-US")</f>
        <v>GA03523-US</v>
      </c>
      <c r="AI202" s="187">
        <f>IFERROR(__xludf.DUMMYFUNCTION("""COMPUTED_VALUE"""),45260.0)</f>
        <v>45260</v>
      </c>
      <c r="AJ202" s="182" t="b">
        <f>IFERROR(__xludf.DUMMYFUNCTION("""COMPUTED_VALUE"""),FALSE)</f>
        <v>0</v>
      </c>
      <c r="AK202" s="182" t="b">
        <f>IFERROR(__xludf.DUMMYFUNCTION("""COMPUTED_VALUE"""),FALSE)</f>
        <v>0</v>
      </c>
      <c r="AL202" s="187">
        <f>IFERROR(__xludf.DUMMYFUNCTION("""COMPUTED_VALUE"""),45260.0)</f>
        <v>45260</v>
      </c>
      <c r="AM202" s="182" t="b">
        <f>IFERROR(__xludf.DUMMYFUNCTION("""COMPUTED_VALUE"""),FALSE)</f>
        <v>0</v>
      </c>
      <c r="AN202" s="182"/>
      <c r="AO202" s="182"/>
      <c r="AP202" s="182"/>
      <c r="AQ202" s="182" t="b">
        <f>IFERROR(__xludf.DUMMYFUNCTION("""COMPUTED_VALUE"""),FALSE)</f>
        <v>0</v>
      </c>
      <c r="AR202" s="182"/>
      <c r="AS202" s="182"/>
      <c r="AT202" s="187">
        <f>IFERROR(__xludf.DUMMYFUNCTION("""COMPUTED_VALUE"""),45260.0)</f>
        <v>45260</v>
      </c>
      <c r="AU202" s="182" t="str">
        <f>IFERROR(__xludf.DUMMYFUNCTION("""COMPUTED_VALUE"""),"Y")</f>
        <v>Y</v>
      </c>
      <c r="AV202" s="182"/>
      <c r="AW202" s="187">
        <f>IFERROR(__xludf.DUMMYFUNCTION("""COMPUTED_VALUE"""),45307.0)</f>
        <v>45307</v>
      </c>
      <c r="AX202" s="187">
        <f>IFERROR(__xludf.DUMMYFUNCTION("""COMPUTED_VALUE"""),45307.0)</f>
        <v>45307</v>
      </c>
      <c r="AY202" s="182" t="b">
        <f>IFERROR(__xludf.DUMMYFUNCTION("""COMPUTED_VALUE"""),FALSE)</f>
        <v>0</v>
      </c>
      <c r="AZ202" s="182"/>
      <c r="BA202" s="182"/>
      <c r="BB202" s="182"/>
    </row>
    <row r="203">
      <c r="A203" s="184" t="str">
        <f t="shared" si="1"/>
        <v>#VALUE!</v>
      </c>
      <c r="B203" s="191" t="str">
        <f t="shared" si="3"/>
        <v>#VALUE!</v>
      </c>
      <c r="C203" s="182" t="str">
        <f>IFERROR(__xludf.DUMMYFUNCTION("""COMPUTED_VALUE"""),"Example")</f>
        <v>Example</v>
      </c>
      <c r="D203" s="182" t="str">
        <f>IFERROR(__xludf.DUMMYFUNCTION("""COMPUTED_VALUE"""),"MP")</f>
        <v>MP</v>
      </c>
      <c r="E203" s="182" t="str">
        <f>IFERROR(__xludf.DUMMYFUNCTION("""COMPUTED_VALUE"""),"Pristine")</f>
        <v>Pristine</v>
      </c>
      <c r="F203" s="182" t="str">
        <f>IFERROR(__xludf.DUMMYFUNCTION("""COMPUTED_VALUE"""),"GA03523-US")</f>
        <v>GA03523-US</v>
      </c>
      <c r="G203" s="182"/>
      <c r="H203" s="182">
        <f>IFERROR(__xludf.DUMMYFUNCTION("""COMPUTED_VALUE"""),8.10029936316E11)</f>
        <v>810029936316</v>
      </c>
      <c r="I203" s="182"/>
      <c r="J203" s="182" t="str">
        <f>IFERROR(__xludf.DUMMYFUNCTION("""COMPUTED_VALUE"""),"no")</f>
        <v>no</v>
      </c>
      <c r="K203" s="182"/>
      <c r="L203" s="182"/>
      <c r="M203" s="182"/>
      <c r="N203" s="182" t="str">
        <f>IFERROR(__xludf.DUMMYFUNCTION("""COMPUTED_VALUE"""),"G952-03249-00")</f>
        <v>G952-03249-00</v>
      </c>
      <c r="O203" s="182" t="str">
        <f>IFERROR(__xludf.DUMMYFUNCTION("""COMPUTED_VALUE"""),"A")</f>
        <v>A</v>
      </c>
      <c r="P203" s="182" t="str">
        <f>IFERROR(__xludf.DUMMYFUNCTION("""COMPUTED_VALUE"""),"128GB")</f>
        <v>128GB</v>
      </c>
      <c r="Q203" s="182"/>
      <c r="R203" s="182" t="str">
        <f>IFERROR(__xludf.DUMMYFUNCTION("""COMPUTED_VALUE"""),"Obsidian")</f>
        <v>Obsidian</v>
      </c>
      <c r="S203" s="182" t="str">
        <f>IFERROR(__xludf.DUMMYFUNCTION("""COMPUTED_VALUE"""),"US-VZW")</f>
        <v>US-VZW</v>
      </c>
      <c r="T203" s="182" t="str">
        <f>IFERROR(__xludf.DUMMYFUNCTION("""COMPUTED_VALUE"""),"Pixel 7, Obsidian, 128GB, VZW")</f>
        <v>Pixel 7, Obsidian, 128GB, VZW</v>
      </c>
      <c r="U203" s="182"/>
      <c r="V203" s="183" t="str">
        <f>IFERROR(__xludf.DUMMYFUNCTION("""COMPUTED_VALUE"""),"#NUM!")</f>
        <v>#NUM!</v>
      </c>
      <c r="W203" s="186">
        <f>IFERROR(__xludf.DUMMYFUNCTION("""COMPUTED_VALUE"""),45239.0)</f>
        <v>45239</v>
      </c>
      <c r="X203" s="187">
        <f>IFERROR(__xludf.DUMMYFUNCTION("""COMPUTED_VALUE"""),45153.0)</f>
        <v>45153</v>
      </c>
      <c r="Y203" s="182" t="b">
        <f>IFERROR(__xludf.DUMMYFUNCTION("""COMPUTED_VALUE"""),TRUE)</f>
        <v>1</v>
      </c>
      <c r="Z203" s="187">
        <f>IFERROR(__xludf.DUMMYFUNCTION("""COMPUTED_VALUE"""),45154.0)</f>
        <v>45154</v>
      </c>
      <c r="AA203" s="182" t="b">
        <f>IFERROR(__xludf.DUMMYFUNCTION("""COMPUTED_VALUE"""),FALSE)</f>
        <v>0</v>
      </c>
      <c r="AB203" s="187">
        <f>IFERROR(__xludf.DUMMYFUNCTION("""COMPUTED_VALUE"""),45160.0)</f>
        <v>45160</v>
      </c>
      <c r="AC203" s="187">
        <f>IFERROR(__xludf.DUMMYFUNCTION("""COMPUTED_VALUE"""),45160.0)</f>
        <v>45160</v>
      </c>
      <c r="AD203" s="187">
        <f>IFERROR(__xludf.DUMMYFUNCTION("""COMPUTED_VALUE"""),45166.0)</f>
        <v>45166</v>
      </c>
      <c r="AE203" s="182" t="str">
        <f>IFERROR(__xludf.DUMMYFUNCTION("""COMPUTED_VALUE"""),"GA03523-US")</f>
        <v>GA03523-US</v>
      </c>
      <c r="AF203" s="182" t="str">
        <f>IFERROR(__xludf.DUMMYFUNCTION("""COMPUTED_VALUE"""),"GA03523-US")</f>
        <v>GA03523-US</v>
      </c>
      <c r="AG203" s="182"/>
      <c r="AH203" s="182"/>
      <c r="AI203" s="187">
        <f>IFERROR(__xludf.DUMMYFUNCTION("""COMPUTED_VALUE"""),45188.0)</f>
        <v>45188</v>
      </c>
      <c r="AJ203" s="182" t="b">
        <f>IFERROR(__xludf.DUMMYFUNCTION("""COMPUTED_VALUE"""),FALSE)</f>
        <v>0</v>
      </c>
      <c r="AK203" s="182" t="b">
        <f>IFERROR(__xludf.DUMMYFUNCTION("""COMPUTED_VALUE"""),FALSE)</f>
        <v>0</v>
      </c>
      <c r="AL203" s="187">
        <f>IFERROR(__xludf.DUMMYFUNCTION("""COMPUTED_VALUE"""),45188.0)</f>
        <v>45188</v>
      </c>
      <c r="AM203" s="182" t="b">
        <f>IFERROR(__xludf.DUMMYFUNCTION("""COMPUTED_VALUE"""),FALSE)</f>
        <v>0</v>
      </c>
      <c r="AN203" s="182"/>
      <c r="AO203" s="182"/>
      <c r="AP203" s="182"/>
      <c r="AQ203" s="182" t="b">
        <f>IFERROR(__xludf.DUMMYFUNCTION("""COMPUTED_VALUE"""),FALSE)</f>
        <v>0</v>
      </c>
      <c r="AR203" s="182"/>
      <c r="AS203" s="182"/>
      <c r="AT203" s="187">
        <f>IFERROR(__xludf.DUMMYFUNCTION("""COMPUTED_VALUE"""),45188.0)</f>
        <v>45188</v>
      </c>
      <c r="AU203" s="182" t="str">
        <f>IFERROR(__xludf.DUMMYFUNCTION("""COMPUTED_VALUE"""),"N")</f>
        <v>N</v>
      </c>
      <c r="AV203" s="182" t="str">
        <f>IFERROR(__xludf.DUMMYFUNCTION("""COMPUTED_VALUE"""),"-")</f>
        <v>-</v>
      </c>
      <c r="AW203" s="187">
        <f>IFERROR(__xludf.DUMMYFUNCTION("""COMPUTED_VALUE"""),45235.0)</f>
        <v>45235</v>
      </c>
      <c r="AX203" s="187">
        <f>IFERROR(__xludf.DUMMYFUNCTION("""COMPUTED_VALUE"""),45235.0)</f>
        <v>45235</v>
      </c>
      <c r="AY203" s="182" t="b">
        <f>IFERROR(__xludf.DUMMYFUNCTION("""COMPUTED_VALUE"""),FALSE)</f>
        <v>0</v>
      </c>
      <c r="AZ203" s="182"/>
      <c r="BA203" s="182"/>
      <c r="BB203" s="182"/>
    </row>
    <row r="204">
      <c r="A204" s="184" t="str">
        <f t="shared" si="1"/>
        <v>#VALUE!</v>
      </c>
      <c r="B204" s="69" t="str">
        <f t="shared" si="3"/>
        <v>#VALUE!</v>
      </c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3" t="str">
        <f>IFERROR(__xludf.DUMMYFUNCTION("""COMPUTED_VALUE"""),"#NUM!")</f>
        <v>#NUM!</v>
      </c>
      <c r="W204" s="182"/>
      <c r="X204" s="182" t="str">
        <f>IFERROR(__xludf.DUMMYFUNCTION("""COMPUTED_VALUE"""),"#VALUE!")</f>
        <v>#VALUE!</v>
      </c>
      <c r="Y204" s="182" t="b">
        <f>IFERROR(__xludf.DUMMYFUNCTION("""COMPUTED_VALUE"""),FALSE)</f>
        <v>0</v>
      </c>
      <c r="Z204" s="182" t="str">
        <f>IFERROR(__xludf.DUMMYFUNCTION("""COMPUTED_VALUE"""),"#VALUE!")</f>
        <v>#VALUE!</v>
      </c>
      <c r="AA204" s="182" t="b">
        <f>IFERROR(__xludf.DUMMYFUNCTION("""COMPUTED_VALUE"""),FALSE)</f>
        <v>0</v>
      </c>
      <c r="AB204" s="182" t="str">
        <f>IFERROR(__xludf.DUMMYFUNCTION("""COMPUTED_VALUE"""),"#VALUE!")</f>
        <v>#VALUE!</v>
      </c>
      <c r="AC204" s="182" t="str">
        <f>IFERROR(__xludf.DUMMYFUNCTION("""COMPUTED_VALUE"""),"#VALUE!")</f>
        <v>#VALUE!</v>
      </c>
      <c r="AD204" s="182" t="str">
        <f>IFERROR(__xludf.DUMMYFUNCTION("""COMPUTED_VALUE"""),"#VALUE!")</f>
        <v>#VALUE!</v>
      </c>
      <c r="AE204" s="182" t="str">
        <f>IFERROR(__xludf.DUMMYFUNCTION("""COMPUTED_VALUE"""),"GA03523-US")</f>
        <v>GA03523-US</v>
      </c>
      <c r="AF204" s="182"/>
      <c r="AG204" s="182"/>
      <c r="AH204" s="182" t="str">
        <f>IFERROR(__xludf.DUMMYFUNCTION("""COMPUTED_VALUE"""),"GA03523-US")</f>
        <v>GA03523-US</v>
      </c>
      <c r="AI204" s="182" t="str">
        <f>IFERROR(__xludf.DUMMYFUNCTION("""COMPUTED_VALUE"""),"#VALUE!")</f>
        <v>#VALUE!</v>
      </c>
      <c r="AJ204" s="182"/>
      <c r="AK204" s="182"/>
      <c r="AL204" s="182" t="str">
        <f>IFERROR(__xludf.DUMMYFUNCTION("""COMPUTED_VALUE"""),"#VALUE!")</f>
        <v>#VALUE!</v>
      </c>
      <c r="AM204" s="182"/>
      <c r="AN204" s="182"/>
      <c r="AO204" s="182"/>
      <c r="AP204" s="182"/>
      <c r="AQ204" s="182"/>
      <c r="AR204" s="182"/>
      <c r="AS204" s="182"/>
      <c r="AT204" s="182" t="str">
        <f>IFERROR(__xludf.DUMMYFUNCTION("""COMPUTED_VALUE"""),"#VALUE!")</f>
        <v>#VALUE!</v>
      </c>
      <c r="AU204" s="182"/>
      <c r="AV204" s="182"/>
      <c r="AW204" s="182" t="str">
        <f>IFERROR(__xludf.DUMMYFUNCTION("""COMPUTED_VALUE"""),"#VALUE!")</f>
        <v>#VALUE!</v>
      </c>
      <c r="AX204" s="182" t="str">
        <f>IFERROR(__xludf.DUMMYFUNCTION("""COMPUTED_VALUE"""),"#VALUE!")</f>
        <v>#VALUE!</v>
      </c>
      <c r="AY204" s="182" t="b">
        <f>IFERROR(__xludf.DUMMYFUNCTION("""COMPUTED_VALUE"""),FALSE)</f>
        <v>0</v>
      </c>
      <c r="AZ204" s="182"/>
      <c r="BA204" s="182"/>
      <c r="BB204" s="182"/>
    </row>
    <row r="205">
      <c r="A205" s="184" t="str">
        <f t="shared" si="1"/>
        <v>G990-08499-11-A</v>
      </c>
      <c r="B205" s="191" t="str">
        <f t="shared" si="3"/>
        <v>G990-08505-11-A</v>
      </c>
      <c r="C205" s="182" t="str">
        <f>IFERROR(__xludf.DUMMYFUNCTION("""COMPUTED_VALUE"""),"VZW")</f>
        <v>VZW</v>
      </c>
      <c r="D205" s="182" t="str">
        <f>IFERROR(__xludf.DUMMYFUNCTION("""COMPUTED_VALUE"""),"MP")</f>
        <v>MP</v>
      </c>
      <c r="E205" s="182" t="str">
        <f>IFERROR(__xludf.DUMMYFUNCTION("""COMPUTED_VALUE"""),"Pristine")</f>
        <v>Pristine</v>
      </c>
      <c r="F205" s="182" t="str">
        <f>IFERROR(__xludf.DUMMYFUNCTION("""COMPUTED_VALUE"""),"GA09187-US")</f>
        <v>GA09187-US</v>
      </c>
      <c r="G205" s="182" t="str">
        <f>IFERROR(__xludf.DUMMYFUNCTION("""COMPUTED_VALUE"""),"G4QUR")</f>
        <v>G4QUR</v>
      </c>
      <c r="H205" s="182">
        <f>IFERROR(__xludf.DUMMYFUNCTION("""COMPUTED_VALUE"""),8.40353926042E11)</f>
        <v>840353926042</v>
      </c>
      <c r="I205" s="185" t="str">
        <f>IFERROR(__xludf.DUMMYFUNCTION("""COMPUTED_VALUE"""),"0840353926042")</f>
        <v>0840353926042</v>
      </c>
      <c r="J205" s="182"/>
      <c r="K205" s="182" t="str">
        <f>IFERROR(__xludf.DUMMYFUNCTION("""COMPUTED_VALUE"""),"VZN Master Carton Label")</f>
        <v>VZN Master Carton Label</v>
      </c>
      <c r="L205" s="182" t="str">
        <f>IFERROR(__xludf.DUMMYFUNCTION("""COMPUTED_VALUE"""),"VZN Pallet Label -&gt; BTS(Normal case)")</f>
        <v>VZN Pallet Label -&gt; BTS(Normal case)</v>
      </c>
      <c r="M205" s="182" t="str">
        <f>IFERROR(__xludf.DUMMYFUNCTION("""COMPUTED_VALUE"""),"G990-08499-11-02
G990-08499-11-A")</f>
        <v>G990-08499-11-02
G990-08499-11-A</v>
      </c>
      <c r="N205" s="182" t="str">
        <f>IFERROR(__xludf.DUMMYFUNCTION("""COMPUTED_VALUE"""),"G990-08505-11-01
G990-08505-11-A")</f>
        <v>G990-08505-11-01
G990-08505-11-A</v>
      </c>
      <c r="O205" s="182" t="str">
        <f>IFERROR(__xludf.DUMMYFUNCTION("""COMPUTED_VALUE"""),"BOB→A
Retail→A")</f>
        <v>BOB→A
Retail→A</v>
      </c>
      <c r="P205" s="182" t="str">
        <f>IFERROR(__xludf.DUMMYFUNCTION("""COMPUTED_VALUE"""),"128GB")</f>
        <v>128GB</v>
      </c>
      <c r="Q205" s="182" t="str">
        <f>IFERROR(__xludf.DUMMYFUNCTION("""COMPUTED_VALUE"""),"Obsidian")</f>
        <v>Obsidian</v>
      </c>
      <c r="R205" s="182" t="str">
        <f>IFERROR(__xludf.DUMMYFUNCTION("""COMPUTED_VALUE"""),"Midnight")</f>
        <v>Midnight</v>
      </c>
      <c r="S205" s="182" t="str">
        <f>IFERROR(__xludf.DUMMYFUNCTION("""COMPUTED_VALUE"""),"US-VZW")</f>
        <v>US-VZW</v>
      </c>
      <c r="T205" s="182" t="str">
        <f>IFERROR(__xludf.DUMMYFUNCTION("""COMPUTED_VALUE"""),"SKU,CLR1, GOOD, MMWAVE, VZW, BZ5")</f>
        <v>SKU,CLR1, GOOD, MMWAVE, VZW, BZ5</v>
      </c>
      <c r="U205" s="182"/>
      <c r="V205" s="183" t="str">
        <f>IFERROR(__xludf.DUMMYFUNCTION("""COMPUTED_VALUE"""),"#NUM!")</f>
        <v>#NUM!</v>
      </c>
      <c r="W205" s="186">
        <f>IFERROR(__xludf.DUMMYFUNCTION("""COMPUTED_VALUE"""),45831.0)</f>
        <v>45831</v>
      </c>
      <c r="X205" s="187">
        <f>IFERROR(__xludf.DUMMYFUNCTION("""COMPUTED_VALUE"""),45745.0)</f>
        <v>45745</v>
      </c>
      <c r="Y205" s="182" t="b">
        <f>IFERROR(__xludf.DUMMYFUNCTION("""COMPUTED_VALUE"""),TRUE)</f>
        <v>1</v>
      </c>
      <c r="Z205" s="187">
        <f>IFERROR(__xludf.DUMMYFUNCTION("""COMPUTED_VALUE"""),45746.0)</f>
        <v>45746</v>
      </c>
      <c r="AA205" s="182" t="b">
        <f>IFERROR(__xludf.DUMMYFUNCTION("""COMPUTED_VALUE"""),FALSE)</f>
        <v>0</v>
      </c>
      <c r="AB205" s="187">
        <f>IFERROR(__xludf.DUMMYFUNCTION("""COMPUTED_VALUE"""),45752.0)</f>
        <v>45752</v>
      </c>
      <c r="AC205" s="187">
        <f>IFERROR(__xludf.DUMMYFUNCTION("""COMPUTED_VALUE"""),45752.0)</f>
        <v>45752</v>
      </c>
      <c r="AD205" s="187">
        <f>IFERROR(__xludf.DUMMYFUNCTION("""COMPUTED_VALUE"""),45758.0)</f>
        <v>45758</v>
      </c>
      <c r="AE205" s="182" t="str">
        <f>IFERROR(__xludf.DUMMYFUNCTION("""COMPUTED_VALUE"""),"GA09187-US
GA09187-US RevA")</f>
        <v>GA09187-US
GA09187-US RevA</v>
      </c>
      <c r="AF205" s="188" t="str">
        <f>IFERROR(__xludf.DUMMYFUNCTION("""COMPUTED_VALUE"""),"GA09187-US")</f>
        <v>GA09187-US</v>
      </c>
      <c r="AG205" s="189" t="str">
        <f>IFERROR(__xludf.DUMMYFUNCTION("""COMPUTED_VALUE"""),"GA09187-US
GA09187-US RevA")</f>
        <v>GA09187-US
GA09187-US RevA</v>
      </c>
      <c r="AH205" s="188" t="str">
        <f>IFERROR(__xludf.DUMMYFUNCTION("""COMPUTED_VALUE"""),"GA09187-US")</f>
        <v>GA09187-US</v>
      </c>
      <c r="AI205" s="187">
        <f>IFERROR(__xludf.DUMMYFUNCTION("""COMPUTED_VALUE"""),45780.0)</f>
        <v>45780</v>
      </c>
      <c r="AJ205" s="182" t="b">
        <f>IFERROR(__xludf.DUMMYFUNCTION("""COMPUTED_VALUE"""),TRUE)</f>
        <v>1</v>
      </c>
      <c r="AK205" s="182" t="b">
        <f>IFERROR(__xludf.DUMMYFUNCTION("""COMPUTED_VALUE"""),TRUE)</f>
        <v>1</v>
      </c>
      <c r="AL205" s="187">
        <f>IFERROR(__xludf.DUMMYFUNCTION("""COMPUTED_VALUE"""),45780.0)</f>
        <v>45780</v>
      </c>
      <c r="AM205" s="182" t="b">
        <f>IFERROR(__xludf.DUMMYFUNCTION("""COMPUTED_VALUE"""),TRUE)</f>
        <v>1</v>
      </c>
      <c r="AN205" s="182" t="str">
        <f>IFERROR(__xludf.DUMMYFUNCTION("""COMPUTED_VALUE"""),"N")</f>
        <v>N</v>
      </c>
      <c r="AO205" s="182"/>
      <c r="AP205" s="187">
        <f>IFERROR(__xludf.DUMMYFUNCTION("""COMPUTED_VALUE"""),45780.0)</f>
        <v>45780</v>
      </c>
      <c r="AQ205" s="182" t="b">
        <f>IFERROR(__xludf.DUMMYFUNCTION("""COMPUTED_VALUE"""),TRUE)</f>
        <v>1</v>
      </c>
      <c r="AR205" s="182" t="str">
        <f>IFERROR(__xludf.DUMMYFUNCTION("""COMPUTED_VALUE"""),"N")</f>
        <v>N</v>
      </c>
      <c r="AS205" s="182"/>
      <c r="AT205" s="187">
        <f>IFERROR(__xludf.DUMMYFUNCTION("""COMPUTED_VALUE"""),45780.0)</f>
        <v>45780</v>
      </c>
      <c r="AU205" s="182"/>
      <c r="AV205" s="182"/>
      <c r="AW205" s="187">
        <f>IFERROR(__xludf.DUMMYFUNCTION("""COMPUTED_VALUE"""),45827.0)</f>
        <v>45827</v>
      </c>
      <c r="AX205" s="187">
        <f>IFERROR(__xludf.DUMMYFUNCTION("""COMPUTED_VALUE"""),45827.0)</f>
        <v>45827</v>
      </c>
      <c r="AY205" s="182" t="b">
        <f>IFERROR(__xludf.DUMMYFUNCTION("""COMPUTED_VALUE"""),FALSE)</f>
        <v>0</v>
      </c>
      <c r="AZ205" s="182"/>
      <c r="BA205" s="182"/>
      <c r="BB205" s="182"/>
    </row>
    <row r="206">
      <c r="A206" s="184" t="str">
        <f t="shared" si="1"/>
        <v>#VALUE!</v>
      </c>
      <c r="B206" s="69" t="str">
        <f t="shared" si="3"/>
        <v>#VALUE!</v>
      </c>
      <c r="C206" s="182" t="str">
        <f>IFERROR(__xludf.DUMMYFUNCTION("""COMPUTED_VALUE"""),"VZW")</f>
        <v>VZW</v>
      </c>
      <c r="D206" s="182" t="str">
        <f>IFERROR(__xludf.DUMMYFUNCTION("""COMPUTED_VALUE"""),"MP")</f>
        <v>MP</v>
      </c>
      <c r="E206" s="182" t="str">
        <f>IFERROR(__xludf.DUMMYFUNCTION("""COMPUTED_VALUE"""),"Pristine")</f>
        <v>Pristine</v>
      </c>
      <c r="F206" s="182" t="str">
        <f>IFERROR(__xludf.DUMMYFUNCTION("""COMPUTED_VALUE"""),"GA10275-US")</f>
        <v>GA10275-US</v>
      </c>
      <c r="G206" s="182" t="str">
        <f>IFERROR(__xludf.DUMMYFUNCTION("""COMPUTED_VALUE"""),"G4QUR")</f>
        <v>G4QUR</v>
      </c>
      <c r="H206" s="182">
        <f>IFERROR(__xludf.DUMMYFUNCTION("""COMPUTED_VALUE"""),8.40353926059E11)</f>
        <v>840353926059</v>
      </c>
      <c r="I206" s="185" t="str">
        <f>IFERROR(__xludf.DUMMYFUNCTION("""COMPUTED_VALUE"""),"0840353926059")</f>
        <v>0840353926059</v>
      </c>
      <c r="J206" s="182"/>
      <c r="K206" s="182" t="str">
        <f>IFERROR(__xludf.DUMMYFUNCTION("""COMPUTED_VALUE"""),"VZN Master Carton Label")</f>
        <v>VZN Master Carton Label</v>
      </c>
      <c r="L206" s="182" t="str">
        <f>IFERROR(__xludf.DUMMYFUNCTION("""COMPUTED_VALUE"""),"VZN Pallet Label -&gt; BTS(Normal case)")</f>
        <v>VZN Pallet Label -&gt; BTS(Normal case)</v>
      </c>
      <c r="M206" s="188" t="str">
        <f>IFERROR(__xludf.DUMMYFUNCTION("""COMPUTED_VALUE"""),"G990-08499-21-02")</f>
        <v>G990-08499-21-02</v>
      </c>
      <c r="N206" s="188" t="str">
        <f>IFERROR(__xludf.DUMMYFUNCTION("""COMPUTED_VALUE"""),"G990-08505-11-01")</f>
        <v>G990-08505-11-01</v>
      </c>
      <c r="O206" s="182"/>
      <c r="P206" s="182" t="str">
        <f>IFERROR(__xludf.DUMMYFUNCTION("""COMPUTED_VALUE"""),"128GB")</f>
        <v>128GB</v>
      </c>
      <c r="Q206" s="182"/>
      <c r="R206" s="182" t="str">
        <f>IFERROR(__xludf.DUMMYFUNCTION("""COMPUTED_VALUE"""),"Light Porcelain")</f>
        <v>Light Porcelain</v>
      </c>
      <c r="S206" s="182" t="str">
        <f>IFERROR(__xludf.DUMMYFUNCTION("""COMPUTED_VALUE"""),"US-VZW")</f>
        <v>US-VZW</v>
      </c>
      <c r="T206" s="182" t="str">
        <f>IFERROR(__xludf.DUMMYFUNCTION("""COMPUTED_VALUE"""),"SKU,CLR2, GOOD, MMWAVE, VZW, US, BZ5")</f>
        <v>SKU,CLR2, GOOD, MMWAVE, VZW, US, BZ5</v>
      </c>
      <c r="U206" s="182"/>
      <c r="V206" s="183" t="str">
        <f>IFERROR(__xludf.DUMMYFUNCTION("""COMPUTED_VALUE"""),"#NUM!")</f>
        <v>#NUM!</v>
      </c>
      <c r="W206" s="186">
        <f>IFERROR(__xludf.DUMMYFUNCTION("""COMPUTED_VALUE"""),45831.0)</f>
        <v>45831</v>
      </c>
      <c r="X206" s="187">
        <f>IFERROR(__xludf.DUMMYFUNCTION("""COMPUTED_VALUE"""),45745.0)</f>
        <v>45745</v>
      </c>
      <c r="Y206" s="182" t="b">
        <f>IFERROR(__xludf.DUMMYFUNCTION("""COMPUTED_VALUE"""),FALSE)</f>
        <v>0</v>
      </c>
      <c r="Z206" s="187">
        <f>IFERROR(__xludf.DUMMYFUNCTION("""COMPUTED_VALUE"""),45746.0)</f>
        <v>45746</v>
      </c>
      <c r="AA206" s="182" t="b">
        <f>IFERROR(__xludf.DUMMYFUNCTION("""COMPUTED_VALUE"""),FALSE)</f>
        <v>0</v>
      </c>
      <c r="AB206" s="187">
        <f>IFERROR(__xludf.DUMMYFUNCTION("""COMPUTED_VALUE"""),45752.0)</f>
        <v>45752</v>
      </c>
      <c r="AC206" s="187">
        <f>IFERROR(__xludf.DUMMYFUNCTION("""COMPUTED_VALUE"""),45752.0)</f>
        <v>45752</v>
      </c>
      <c r="AD206" s="187">
        <f>IFERROR(__xludf.DUMMYFUNCTION("""COMPUTED_VALUE"""),45758.0)</f>
        <v>45758</v>
      </c>
      <c r="AE206" s="182"/>
      <c r="AF206" s="182"/>
      <c r="AG206" s="182"/>
      <c r="AH206" s="182"/>
      <c r="AI206" s="187">
        <f>IFERROR(__xludf.DUMMYFUNCTION("""COMPUTED_VALUE"""),45780.0)</f>
        <v>45780</v>
      </c>
      <c r="AJ206" s="182"/>
      <c r="AK206" s="182" t="b">
        <f>IFERROR(__xludf.DUMMYFUNCTION("""COMPUTED_VALUE"""),FALSE)</f>
        <v>0</v>
      </c>
      <c r="AL206" s="187">
        <f>IFERROR(__xludf.DUMMYFUNCTION("""COMPUTED_VALUE"""),45780.0)</f>
        <v>45780</v>
      </c>
      <c r="AM206" s="182"/>
      <c r="AN206" s="182"/>
      <c r="AO206" s="182"/>
      <c r="AP206" s="187">
        <f>IFERROR(__xludf.DUMMYFUNCTION("""COMPUTED_VALUE"""),45780.0)</f>
        <v>45780</v>
      </c>
      <c r="AQ206" s="182" t="b">
        <f>IFERROR(__xludf.DUMMYFUNCTION("""COMPUTED_VALUE"""),FALSE)</f>
        <v>0</v>
      </c>
      <c r="AR206" s="182"/>
      <c r="AS206" s="182"/>
      <c r="AT206" s="187">
        <f>IFERROR(__xludf.DUMMYFUNCTION("""COMPUTED_VALUE"""),45780.0)</f>
        <v>45780</v>
      </c>
      <c r="AU206" s="182"/>
      <c r="AV206" s="182"/>
      <c r="AW206" s="187">
        <f>IFERROR(__xludf.DUMMYFUNCTION("""COMPUTED_VALUE"""),45827.0)</f>
        <v>45827</v>
      </c>
      <c r="AX206" s="187">
        <f>IFERROR(__xludf.DUMMYFUNCTION("""COMPUTED_VALUE"""),45827.0)</f>
        <v>45827</v>
      </c>
      <c r="AY206" s="182" t="b">
        <f>IFERROR(__xludf.DUMMYFUNCTION("""COMPUTED_VALUE"""),FALSE)</f>
        <v>0</v>
      </c>
      <c r="AZ206" s="182"/>
      <c r="BA206" s="182"/>
      <c r="BB206" s="182"/>
    </row>
    <row r="207">
      <c r="A207" s="184" t="str">
        <f t="shared" si="1"/>
        <v>G990-08499-31-A</v>
      </c>
      <c r="B207" s="69" t="str">
        <f t="shared" si="3"/>
        <v>G990-08505-11-A</v>
      </c>
      <c r="C207" s="182" t="str">
        <f>IFERROR(__xludf.DUMMYFUNCTION("""COMPUTED_VALUE"""),"VZW")</f>
        <v>VZW</v>
      </c>
      <c r="D207" s="182" t="str">
        <f>IFERROR(__xludf.DUMMYFUNCTION("""COMPUTED_VALUE"""),"MP")</f>
        <v>MP</v>
      </c>
      <c r="E207" s="182" t="str">
        <f>IFERROR(__xludf.DUMMYFUNCTION("""COMPUTED_VALUE"""),"Pristine")</f>
        <v>Pristine</v>
      </c>
      <c r="F207" s="182" t="str">
        <f>IFERROR(__xludf.DUMMYFUNCTION("""COMPUTED_VALUE"""),"GA10276-US")</f>
        <v>GA10276-US</v>
      </c>
      <c r="G207" s="182" t="str">
        <f>IFERROR(__xludf.DUMMYFUNCTION("""COMPUTED_VALUE"""),"G4QUR")</f>
        <v>G4QUR</v>
      </c>
      <c r="H207" s="185" t="str">
        <f>IFERROR(__xludf.DUMMYFUNCTION("""COMPUTED_VALUE"""),"840353926066")</f>
        <v>840353926066</v>
      </c>
      <c r="I207" s="185" t="str">
        <f>IFERROR(__xludf.DUMMYFUNCTION("""COMPUTED_VALUE"""),"0840353926066")</f>
        <v>0840353926066</v>
      </c>
      <c r="J207" s="182"/>
      <c r="K207" s="182" t="str">
        <f>IFERROR(__xludf.DUMMYFUNCTION("""COMPUTED_VALUE"""),"VZN Master Carton Label")</f>
        <v>VZN Master Carton Label</v>
      </c>
      <c r="L207" s="182" t="str">
        <f>IFERROR(__xludf.DUMMYFUNCTION("""COMPUTED_VALUE"""),"VZN Pallet Label -&gt; BTS(Normal case)")</f>
        <v>VZN Pallet Label -&gt; BTS(Normal case)</v>
      </c>
      <c r="M207" s="182" t="str">
        <f>IFERROR(__xludf.DUMMYFUNCTION("""COMPUTED_VALUE"""),"G990-08499-31-02
G990-08499-31-A")</f>
        <v>G990-08499-31-02
G990-08499-31-A</v>
      </c>
      <c r="N207" s="182" t="str">
        <f>IFERROR(__xludf.DUMMYFUNCTION("""COMPUTED_VALUE"""),"G990-08505-11-01
G990-08505-11-A")</f>
        <v>G990-08505-11-01
G990-08505-11-A</v>
      </c>
      <c r="O207" s="182" t="str">
        <f>IFERROR(__xludf.DUMMYFUNCTION("""COMPUTED_VALUE"""),"BOB→A
Retail→A")</f>
        <v>BOB→A
Retail→A</v>
      </c>
      <c r="P207" s="182" t="str">
        <f>IFERROR(__xludf.DUMMYFUNCTION("""COMPUTED_VALUE"""),"128GB")</f>
        <v>128GB</v>
      </c>
      <c r="Q207" s="182" t="str">
        <f>IFERROR(__xludf.DUMMYFUNCTION("""COMPUTED_VALUE"""),"Moonstone")</f>
        <v>Moonstone</v>
      </c>
      <c r="R207" s="182" t="str">
        <f>IFERROR(__xludf.DUMMYFUNCTION("""COMPUTED_VALUE"""),"Sterling")</f>
        <v>Sterling</v>
      </c>
      <c r="S207" s="182" t="str">
        <f>IFERROR(__xludf.DUMMYFUNCTION("""COMPUTED_VALUE"""),"US-VZW")</f>
        <v>US-VZW</v>
      </c>
      <c r="T207" s="182" t="str">
        <f>IFERROR(__xludf.DUMMYFUNCTION("""COMPUTED_VALUE"""),"SKU,CLR3, GOOD, MMWAVE, VZW, US, BZ5")</f>
        <v>SKU,CLR3, GOOD, MMWAVE, VZW, US, BZ5</v>
      </c>
      <c r="U207" s="182"/>
      <c r="V207" s="183" t="str">
        <f>IFERROR(__xludf.DUMMYFUNCTION("""COMPUTED_VALUE"""),"#NUM!")</f>
        <v>#NUM!</v>
      </c>
      <c r="W207" s="186">
        <f>IFERROR(__xludf.DUMMYFUNCTION("""COMPUTED_VALUE"""),45831.0)</f>
        <v>45831</v>
      </c>
      <c r="X207" s="187">
        <f>IFERROR(__xludf.DUMMYFUNCTION("""COMPUTED_VALUE"""),45745.0)</f>
        <v>45745</v>
      </c>
      <c r="Y207" s="182" t="b">
        <f>IFERROR(__xludf.DUMMYFUNCTION("""COMPUTED_VALUE"""),TRUE)</f>
        <v>1</v>
      </c>
      <c r="Z207" s="187">
        <f>IFERROR(__xludf.DUMMYFUNCTION("""COMPUTED_VALUE"""),45746.0)</f>
        <v>45746</v>
      </c>
      <c r="AA207" s="182" t="b">
        <f>IFERROR(__xludf.DUMMYFUNCTION("""COMPUTED_VALUE"""),FALSE)</f>
        <v>0</v>
      </c>
      <c r="AB207" s="187">
        <f>IFERROR(__xludf.DUMMYFUNCTION("""COMPUTED_VALUE"""),45752.0)</f>
        <v>45752</v>
      </c>
      <c r="AC207" s="187">
        <f>IFERROR(__xludf.DUMMYFUNCTION("""COMPUTED_VALUE"""),45752.0)</f>
        <v>45752</v>
      </c>
      <c r="AD207" s="187">
        <f>IFERROR(__xludf.DUMMYFUNCTION("""COMPUTED_VALUE"""),45758.0)</f>
        <v>45758</v>
      </c>
      <c r="AE207" s="182" t="str">
        <f>IFERROR(__xludf.DUMMYFUNCTION("""COMPUTED_VALUE"""),"GA10276-US
GA10276-US RevA")</f>
        <v>GA10276-US
GA10276-US RevA</v>
      </c>
      <c r="AF207" s="188" t="str">
        <f>IFERROR(__xludf.DUMMYFUNCTION("""COMPUTED_VALUE"""),"GA10276-US")</f>
        <v>GA10276-US</v>
      </c>
      <c r="AG207" s="182" t="str">
        <f>IFERROR(__xludf.DUMMYFUNCTION("""COMPUTED_VALUE"""),"GA10276-US
GA10276-US RevA")</f>
        <v>GA10276-US
GA10276-US RevA</v>
      </c>
      <c r="AH207" s="188" t="str">
        <f>IFERROR(__xludf.DUMMYFUNCTION("""COMPUTED_VALUE"""),"GA10276-US")</f>
        <v>GA10276-US</v>
      </c>
      <c r="AI207" s="187">
        <f>IFERROR(__xludf.DUMMYFUNCTION("""COMPUTED_VALUE"""),45780.0)</f>
        <v>45780</v>
      </c>
      <c r="AJ207" s="182" t="b">
        <f>IFERROR(__xludf.DUMMYFUNCTION("""COMPUTED_VALUE"""),TRUE)</f>
        <v>1</v>
      </c>
      <c r="AK207" s="182" t="b">
        <f>IFERROR(__xludf.DUMMYFUNCTION("""COMPUTED_VALUE"""),TRUE)</f>
        <v>1</v>
      </c>
      <c r="AL207" s="187">
        <f>IFERROR(__xludf.DUMMYFUNCTION("""COMPUTED_VALUE"""),45780.0)</f>
        <v>45780</v>
      </c>
      <c r="AM207" s="182" t="b">
        <f>IFERROR(__xludf.DUMMYFUNCTION("""COMPUTED_VALUE"""),TRUE)</f>
        <v>1</v>
      </c>
      <c r="AN207" s="182" t="str">
        <f>IFERROR(__xludf.DUMMYFUNCTION("""COMPUTED_VALUE"""),"Y")</f>
        <v>Y</v>
      </c>
      <c r="AO207" s="182"/>
      <c r="AP207" s="187">
        <f>IFERROR(__xludf.DUMMYFUNCTION("""COMPUTED_VALUE"""),45780.0)</f>
        <v>45780</v>
      </c>
      <c r="AQ207" s="182" t="b">
        <f>IFERROR(__xludf.DUMMYFUNCTION("""COMPUTED_VALUE"""),TRUE)</f>
        <v>1</v>
      </c>
      <c r="AR207" s="182" t="str">
        <f>IFERROR(__xludf.DUMMYFUNCTION("""COMPUTED_VALUE"""),"N")</f>
        <v>N</v>
      </c>
      <c r="AS207" s="182"/>
      <c r="AT207" s="187">
        <f>IFERROR(__xludf.DUMMYFUNCTION("""COMPUTED_VALUE"""),45780.0)</f>
        <v>45780</v>
      </c>
      <c r="AU207" s="182"/>
      <c r="AV207" s="182"/>
      <c r="AW207" s="187">
        <f>IFERROR(__xludf.DUMMYFUNCTION("""COMPUTED_VALUE"""),45827.0)</f>
        <v>45827</v>
      </c>
      <c r="AX207" s="187">
        <f>IFERROR(__xludf.DUMMYFUNCTION("""COMPUTED_VALUE"""),45827.0)</f>
        <v>45827</v>
      </c>
      <c r="AY207" s="182" t="b">
        <f>IFERROR(__xludf.DUMMYFUNCTION("""COMPUTED_VALUE"""),FALSE)</f>
        <v>0</v>
      </c>
      <c r="AZ207" s="182"/>
      <c r="BA207" s="182"/>
      <c r="BB207" s="182"/>
    </row>
    <row r="208">
      <c r="A208" s="184" t="str">
        <f t="shared" si="1"/>
        <v>G990-08499-12-A</v>
      </c>
      <c r="B208" s="69" t="str">
        <f t="shared" si="3"/>
        <v>G990-08505-11-A</v>
      </c>
      <c r="C208" s="182" t="str">
        <f>IFERROR(__xludf.DUMMYFUNCTION("""COMPUTED_VALUE"""),"VZW")</f>
        <v>VZW</v>
      </c>
      <c r="D208" s="182" t="str">
        <f>IFERROR(__xludf.DUMMYFUNCTION("""COMPUTED_VALUE"""),"MP")</f>
        <v>MP</v>
      </c>
      <c r="E208" s="182" t="str">
        <f>IFERROR(__xludf.DUMMYFUNCTION("""COMPUTED_VALUE"""),"Pristine")</f>
        <v>Pristine</v>
      </c>
      <c r="F208" s="182" t="str">
        <f>IFERROR(__xludf.DUMMYFUNCTION("""COMPUTED_VALUE"""),"GA09896-US")</f>
        <v>GA09896-US</v>
      </c>
      <c r="G208" s="182" t="str">
        <f>IFERROR(__xludf.DUMMYFUNCTION("""COMPUTED_VALUE"""),"G4QUR")</f>
        <v>G4QUR</v>
      </c>
      <c r="H208" s="182">
        <f>IFERROR(__xludf.DUMMYFUNCTION("""COMPUTED_VALUE"""),8.40353925328E11)</f>
        <v>840353925328</v>
      </c>
      <c r="I208" s="185" t="str">
        <f>IFERROR(__xludf.DUMMYFUNCTION("""COMPUTED_VALUE"""),"0840353925328")</f>
        <v>0840353925328</v>
      </c>
      <c r="J208" s="182"/>
      <c r="K208" s="182" t="str">
        <f>IFERROR(__xludf.DUMMYFUNCTION("""COMPUTED_VALUE"""),"VZN Master Carton Label")</f>
        <v>VZN Master Carton Label</v>
      </c>
      <c r="L208" s="182" t="str">
        <f>IFERROR(__xludf.DUMMYFUNCTION("""COMPUTED_VALUE"""),"VZN Pallet Label -&gt; BTS(Normal case)")</f>
        <v>VZN Pallet Label -&gt; BTS(Normal case)</v>
      </c>
      <c r="M208" s="182" t="str">
        <f>IFERROR(__xludf.DUMMYFUNCTION("""COMPUTED_VALUE"""),"G990-08499-12-02
G990-08499-12-A")</f>
        <v>G990-08499-12-02
G990-08499-12-A</v>
      </c>
      <c r="N208" s="182" t="str">
        <f>IFERROR(__xludf.DUMMYFUNCTION("""COMPUTED_VALUE"""),"G990-08505-11-01
G990-08505-11-A")</f>
        <v>G990-08505-11-01
G990-08505-11-A</v>
      </c>
      <c r="O208" s="182" t="str">
        <f>IFERROR(__xludf.DUMMYFUNCTION("""COMPUTED_VALUE"""),"BOB→A
Retail→A")</f>
        <v>BOB→A
Retail→A</v>
      </c>
      <c r="P208" s="182" t="str">
        <f>IFERROR(__xludf.DUMMYFUNCTION("""COMPUTED_VALUE"""),"256GB")</f>
        <v>256GB</v>
      </c>
      <c r="Q208" s="182" t="str">
        <f>IFERROR(__xludf.DUMMYFUNCTION("""COMPUTED_VALUE"""),"Obsidian")</f>
        <v>Obsidian</v>
      </c>
      <c r="R208" s="182" t="str">
        <f>IFERROR(__xludf.DUMMYFUNCTION("""COMPUTED_VALUE"""),"Midnight")</f>
        <v>Midnight</v>
      </c>
      <c r="S208" s="182" t="str">
        <f>IFERROR(__xludf.DUMMYFUNCTION("""COMPUTED_VALUE"""),"US-VZW")</f>
        <v>US-VZW</v>
      </c>
      <c r="T208" s="182" t="str">
        <f>IFERROR(__xludf.DUMMYFUNCTION("""COMPUTED_VALUE"""),"SKU,CLR1, BETTER, MMWAVE, VZW, BZ5")</f>
        <v>SKU,CLR1, BETTER, MMWAVE, VZW, BZ5</v>
      </c>
      <c r="U208" s="182"/>
      <c r="V208" s="183" t="str">
        <f>IFERROR(__xludf.DUMMYFUNCTION("""COMPUTED_VALUE"""),"#NUM!")</f>
        <v>#NUM!</v>
      </c>
      <c r="W208" s="186">
        <f>IFERROR(__xludf.DUMMYFUNCTION("""COMPUTED_VALUE"""),45831.0)</f>
        <v>45831</v>
      </c>
      <c r="X208" s="187">
        <f>IFERROR(__xludf.DUMMYFUNCTION("""COMPUTED_VALUE"""),45745.0)</f>
        <v>45745</v>
      </c>
      <c r="Y208" s="182" t="b">
        <f>IFERROR(__xludf.DUMMYFUNCTION("""COMPUTED_VALUE"""),TRUE)</f>
        <v>1</v>
      </c>
      <c r="Z208" s="187">
        <f>IFERROR(__xludf.DUMMYFUNCTION("""COMPUTED_VALUE"""),45746.0)</f>
        <v>45746</v>
      </c>
      <c r="AA208" s="182" t="b">
        <f>IFERROR(__xludf.DUMMYFUNCTION("""COMPUTED_VALUE"""),FALSE)</f>
        <v>0</v>
      </c>
      <c r="AB208" s="187">
        <f>IFERROR(__xludf.DUMMYFUNCTION("""COMPUTED_VALUE"""),45752.0)</f>
        <v>45752</v>
      </c>
      <c r="AC208" s="187">
        <f>IFERROR(__xludf.DUMMYFUNCTION("""COMPUTED_VALUE"""),45752.0)</f>
        <v>45752</v>
      </c>
      <c r="AD208" s="187">
        <f>IFERROR(__xludf.DUMMYFUNCTION("""COMPUTED_VALUE"""),45758.0)</f>
        <v>45758</v>
      </c>
      <c r="AE208" s="182" t="str">
        <f>IFERROR(__xludf.DUMMYFUNCTION("""COMPUTED_VALUE"""),"GA09896-US
GA09896-US RevA")</f>
        <v>GA09896-US
GA09896-US RevA</v>
      </c>
      <c r="AF208" s="188" t="str">
        <f>IFERROR(__xludf.DUMMYFUNCTION("""COMPUTED_VALUE"""),"GA09896-US")</f>
        <v>GA09896-US</v>
      </c>
      <c r="AG208" s="182" t="str">
        <f>IFERROR(__xludf.DUMMYFUNCTION("""COMPUTED_VALUE"""),"GA09896-US
GA09896-US RevA")</f>
        <v>GA09896-US
GA09896-US RevA</v>
      </c>
      <c r="AH208" s="188" t="str">
        <f>IFERROR(__xludf.DUMMYFUNCTION("""COMPUTED_VALUE"""),"GA09896-US")</f>
        <v>GA09896-US</v>
      </c>
      <c r="AI208" s="187">
        <f>IFERROR(__xludf.DUMMYFUNCTION("""COMPUTED_VALUE"""),45780.0)</f>
        <v>45780</v>
      </c>
      <c r="AJ208" s="182" t="b">
        <f>IFERROR(__xludf.DUMMYFUNCTION("""COMPUTED_VALUE"""),TRUE)</f>
        <v>1</v>
      </c>
      <c r="AK208" s="182" t="b">
        <f>IFERROR(__xludf.DUMMYFUNCTION("""COMPUTED_VALUE"""),TRUE)</f>
        <v>1</v>
      </c>
      <c r="AL208" s="187">
        <f>IFERROR(__xludf.DUMMYFUNCTION("""COMPUTED_VALUE"""),45780.0)</f>
        <v>45780</v>
      </c>
      <c r="AM208" s="182" t="b">
        <f>IFERROR(__xludf.DUMMYFUNCTION("""COMPUTED_VALUE"""),TRUE)</f>
        <v>1</v>
      </c>
      <c r="AN208" s="182" t="str">
        <f>IFERROR(__xludf.DUMMYFUNCTION("""COMPUTED_VALUE"""),"N")</f>
        <v>N</v>
      </c>
      <c r="AO208" s="182"/>
      <c r="AP208" s="187">
        <f>IFERROR(__xludf.DUMMYFUNCTION("""COMPUTED_VALUE"""),45780.0)</f>
        <v>45780</v>
      </c>
      <c r="AQ208" s="182" t="b">
        <f>IFERROR(__xludf.DUMMYFUNCTION("""COMPUTED_VALUE"""),TRUE)</f>
        <v>1</v>
      </c>
      <c r="AR208" s="182" t="str">
        <f>IFERROR(__xludf.DUMMYFUNCTION("""COMPUTED_VALUE"""),"N")</f>
        <v>N</v>
      </c>
      <c r="AS208" s="182"/>
      <c r="AT208" s="187">
        <f>IFERROR(__xludf.DUMMYFUNCTION("""COMPUTED_VALUE"""),45780.0)</f>
        <v>45780</v>
      </c>
      <c r="AU208" s="182"/>
      <c r="AV208" s="182"/>
      <c r="AW208" s="187">
        <f>IFERROR(__xludf.DUMMYFUNCTION("""COMPUTED_VALUE"""),45827.0)</f>
        <v>45827</v>
      </c>
      <c r="AX208" s="187">
        <f>IFERROR(__xludf.DUMMYFUNCTION("""COMPUTED_VALUE"""),45827.0)</f>
        <v>45827</v>
      </c>
      <c r="AY208" s="182" t="b">
        <f>IFERROR(__xludf.DUMMYFUNCTION("""COMPUTED_VALUE"""),FALSE)</f>
        <v>0</v>
      </c>
      <c r="AZ208" s="182"/>
      <c r="BA208" s="182"/>
      <c r="BB208" s="182"/>
    </row>
    <row r="209">
      <c r="A209" s="184" t="str">
        <f t="shared" si="1"/>
        <v>#VALUE!</v>
      </c>
      <c r="B209" s="69" t="str">
        <f t="shared" si="3"/>
        <v>#VALUE!</v>
      </c>
      <c r="C209" s="182" t="str">
        <f>IFERROR(__xludf.DUMMYFUNCTION("""COMPUTED_VALUE"""),"VZW")</f>
        <v>VZW</v>
      </c>
      <c r="D209" s="182" t="str">
        <f>IFERROR(__xludf.DUMMYFUNCTION("""COMPUTED_VALUE"""),"MP")</f>
        <v>MP</v>
      </c>
      <c r="E209" s="182" t="str">
        <f>IFERROR(__xludf.DUMMYFUNCTION("""COMPUTED_VALUE"""),"Pristine")</f>
        <v>Pristine</v>
      </c>
      <c r="F209" s="182" t="str">
        <f>IFERROR(__xludf.DUMMYFUNCTION("""COMPUTED_VALUE"""),"GA10277-US")</f>
        <v>GA10277-US</v>
      </c>
      <c r="G209" s="182" t="str">
        <f>IFERROR(__xludf.DUMMYFUNCTION("""COMPUTED_VALUE"""),"G4QUR")</f>
        <v>G4QUR</v>
      </c>
      <c r="H209" s="182">
        <f>IFERROR(__xludf.DUMMYFUNCTION("""COMPUTED_VALUE"""),8.40353925359E11)</f>
        <v>840353925359</v>
      </c>
      <c r="I209" s="185" t="str">
        <f>IFERROR(__xludf.DUMMYFUNCTION("""COMPUTED_VALUE"""),"0840353925359")</f>
        <v>0840353925359</v>
      </c>
      <c r="J209" s="182"/>
      <c r="K209" s="182" t="str">
        <f>IFERROR(__xludf.DUMMYFUNCTION("""COMPUTED_VALUE"""),"VZN Master Carton Label")</f>
        <v>VZN Master Carton Label</v>
      </c>
      <c r="L209" s="182" t="str">
        <f>IFERROR(__xludf.DUMMYFUNCTION("""COMPUTED_VALUE"""),"VZN Pallet Label -&gt; BTS(Normal case)")</f>
        <v>VZN Pallet Label -&gt; BTS(Normal case)</v>
      </c>
      <c r="M209" s="188" t="str">
        <f>IFERROR(__xludf.DUMMYFUNCTION("""COMPUTED_VALUE"""),"G990-08499-22-02")</f>
        <v>G990-08499-22-02</v>
      </c>
      <c r="N209" s="188" t="str">
        <f>IFERROR(__xludf.DUMMYFUNCTION("""COMPUTED_VALUE"""),"G990-08505-11-01")</f>
        <v>G990-08505-11-01</v>
      </c>
      <c r="O209" s="182"/>
      <c r="P209" s="182" t="str">
        <f>IFERROR(__xludf.DUMMYFUNCTION("""COMPUTED_VALUE"""),"256GB")</f>
        <v>256GB</v>
      </c>
      <c r="Q209" s="182"/>
      <c r="R209" s="182" t="str">
        <f>IFERROR(__xludf.DUMMYFUNCTION("""COMPUTED_VALUE"""),"Light Porcelain")</f>
        <v>Light Porcelain</v>
      </c>
      <c r="S209" s="182" t="str">
        <f>IFERROR(__xludf.DUMMYFUNCTION("""COMPUTED_VALUE"""),"US-VZW")</f>
        <v>US-VZW</v>
      </c>
      <c r="T209" s="182" t="str">
        <f>IFERROR(__xludf.DUMMYFUNCTION("""COMPUTED_VALUE"""),"SKU,CLR2, BETTER, MMWAVE, VZW, US, BZ5")</f>
        <v>SKU,CLR2, BETTER, MMWAVE, VZW, US, BZ5</v>
      </c>
      <c r="U209" s="182"/>
      <c r="V209" s="183" t="str">
        <f>IFERROR(__xludf.DUMMYFUNCTION("""COMPUTED_VALUE"""),"#NUM!")</f>
        <v>#NUM!</v>
      </c>
      <c r="W209" s="186">
        <f>IFERROR(__xludf.DUMMYFUNCTION("""COMPUTED_VALUE"""),45831.0)</f>
        <v>45831</v>
      </c>
      <c r="X209" s="187">
        <f>IFERROR(__xludf.DUMMYFUNCTION("""COMPUTED_VALUE"""),45745.0)</f>
        <v>45745</v>
      </c>
      <c r="Y209" s="182" t="b">
        <f>IFERROR(__xludf.DUMMYFUNCTION("""COMPUTED_VALUE"""),FALSE)</f>
        <v>0</v>
      </c>
      <c r="Z209" s="187">
        <f>IFERROR(__xludf.DUMMYFUNCTION("""COMPUTED_VALUE"""),45746.0)</f>
        <v>45746</v>
      </c>
      <c r="AA209" s="182" t="b">
        <f>IFERROR(__xludf.DUMMYFUNCTION("""COMPUTED_VALUE"""),FALSE)</f>
        <v>0</v>
      </c>
      <c r="AB209" s="187">
        <f>IFERROR(__xludf.DUMMYFUNCTION("""COMPUTED_VALUE"""),45752.0)</f>
        <v>45752</v>
      </c>
      <c r="AC209" s="187">
        <f>IFERROR(__xludf.DUMMYFUNCTION("""COMPUTED_VALUE"""),45752.0)</f>
        <v>45752</v>
      </c>
      <c r="AD209" s="187">
        <f>IFERROR(__xludf.DUMMYFUNCTION("""COMPUTED_VALUE"""),45758.0)</f>
        <v>45758</v>
      </c>
      <c r="AE209" s="182"/>
      <c r="AF209" s="182"/>
      <c r="AG209" s="182"/>
      <c r="AH209" s="182"/>
      <c r="AI209" s="187">
        <f>IFERROR(__xludf.DUMMYFUNCTION("""COMPUTED_VALUE"""),45780.0)</f>
        <v>45780</v>
      </c>
      <c r="AJ209" s="182" t="b">
        <f>IFERROR(__xludf.DUMMYFUNCTION("""COMPUTED_VALUE"""),FALSE)</f>
        <v>0</v>
      </c>
      <c r="AK209" s="182" t="b">
        <f>IFERROR(__xludf.DUMMYFUNCTION("""COMPUTED_VALUE"""),FALSE)</f>
        <v>0</v>
      </c>
      <c r="AL209" s="187">
        <f>IFERROR(__xludf.DUMMYFUNCTION("""COMPUTED_VALUE"""),45780.0)</f>
        <v>45780</v>
      </c>
      <c r="AM209" s="182" t="b">
        <f>IFERROR(__xludf.DUMMYFUNCTION("""COMPUTED_VALUE"""),FALSE)</f>
        <v>0</v>
      </c>
      <c r="AN209" s="182"/>
      <c r="AO209" s="182"/>
      <c r="AP209" s="187">
        <f>IFERROR(__xludf.DUMMYFUNCTION("""COMPUTED_VALUE"""),45780.0)</f>
        <v>45780</v>
      </c>
      <c r="AQ209" s="182" t="b">
        <f>IFERROR(__xludf.DUMMYFUNCTION("""COMPUTED_VALUE"""),FALSE)</f>
        <v>0</v>
      </c>
      <c r="AR209" s="182"/>
      <c r="AS209" s="182"/>
      <c r="AT209" s="187">
        <f>IFERROR(__xludf.DUMMYFUNCTION("""COMPUTED_VALUE"""),45780.0)</f>
        <v>45780</v>
      </c>
      <c r="AU209" s="182"/>
      <c r="AV209" s="182"/>
      <c r="AW209" s="187">
        <f>IFERROR(__xludf.DUMMYFUNCTION("""COMPUTED_VALUE"""),45827.0)</f>
        <v>45827</v>
      </c>
      <c r="AX209" s="187">
        <f>IFERROR(__xludf.DUMMYFUNCTION("""COMPUTED_VALUE"""),45827.0)</f>
        <v>45827</v>
      </c>
      <c r="AY209" s="182" t="b">
        <f>IFERROR(__xludf.DUMMYFUNCTION("""COMPUTED_VALUE"""),FALSE)</f>
        <v>0</v>
      </c>
      <c r="AZ209" s="182"/>
      <c r="BA209" s="182"/>
      <c r="BB209" s="182"/>
    </row>
    <row r="210">
      <c r="A210" s="184" t="str">
        <f t="shared" si="1"/>
        <v>G990-08499-32-A</v>
      </c>
      <c r="B210" s="69" t="str">
        <f t="shared" si="3"/>
        <v>G990-08505-11-A</v>
      </c>
      <c r="C210" s="182" t="str">
        <f>IFERROR(__xludf.DUMMYFUNCTION("""COMPUTED_VALUE"""),"VZW")</f>
        <v>VZW</v>
      </c>
      <c r="D210" s="182" t="str">
        <f>IFERROR(__xludf.DUMMYFUNCTION("""COMPUTED_VALUE"""),"MP")</f>
        <v>MP</v>
      </c>
      <c r="E210" s="182" t="str">
        <f>IFERROR(__xludf.DUMMYFUNCTION("""COMPUTED_VALUE"""),"Pristine")</f>
        <v>Pristine</v>
      </c>
      <c r="F210" s="182" t="str">
        <f>IFERROR(__xludf.DUMMYFUNCTION("""COMPUTED_VALUE"""),"GA10278-US")</f>
        <v>GA10278-US</v>
      </c>
      <c r="G210" s="182" t="str">
        <f>IFERROR(__xludf.DUMMYFUNCTION("""COMPUTED_VALUE"""),"G4QUR")</f>
        <v>G4QUR</v>
      </c>
      <c r="H210" s="182">
        <f>IFERROR(__xludf.DUMMYFUNCTION("""COMPUTED_VALUE"""),8.40353925335E11)</f>
        <v>840353925335</v>
      </c>
      <c r="I210" s="185" t="str">
        <f>IFERROR(__xludf.DUMMYFUNCTION("""COMPUTED_VALUE"""),"0840353925335")</f>
        <v>0840353925335</v>
      </c>
      <c r="J210" s="182"/>
      <c r="K210" s="182" t="str">
        <f>IFERROR(__xludf.DUMMYFUNCTION("""COMPUTED_VALUE"""),"VZN Master Carton Label")</f>
        <v>VZN Master Carton Label</v>
      </c>
      <c r="L210" s="182" t="str">
        <f>IFERROR(__xludf.DUMMYFUNCTION("""COMPUTED_VALUE"""),"VZN Pallet Label -&gt; BTS(Normal case)")</f>
        <v>VZN Pallet Label -&gt; BTS(Normal case)</v>
      </c>
      <c r="M210" s="182" t="str">
        <f>IFERROR(__xludf.DUMMYFUNCTION("""COMPUTED_VALUE"""),"G990-08499-32-02
G990-08499-32-A")</f>
        <v>G990-08499-32-02
G990-08499-32-A</v>
      </c>
      <c r="N210" s="182" t="str">
        <f>IFERROR(__xludf.DUMMYFUNCTION("""COMPUTED_VALUE"""),"G990-08505-11-01
G990-08505-11-A")</f>
        <v>G990-08505-11-01
G990-08505-11-A</v>
      </c>
      <c r="O210" s="182" t="str">
        <f>IFERROR(__xludf.DUMMYFUNCTION("""COMPUTED_VALUE"""),"BOB→A
Retail→A")</f>
        <v>BOB→A
Retail→A</v>
      </c>
      <c r="P210" s="182" t="str">
        <f>IFERROR(__xludf.DUMMYFUNCTION("""COMPUTED_VALUE"""),"256GB")</f>
        <v>256GB</v>
      </c>
      <c r="Q210" s="182" t="str">
        <f>IFERROR(__xludf.DUMMYFUNCTION("""COMPUTED_VALUE"""),"Moonstone")</f>
        <v>Moonstone</v>
      </c>
      <c r="R210" s="182" t="str">
        <f>IFERROR(__xludf.DUMMYFUNCTION("""COMPUTED_VALUE"""),"Sterling")</f>
        <v>Sterling</v>
      </c>
      <c r="S210" s="182" t="str">
        <f>IFERROR(__xludf.DUMMYFUNCTION("""COMPUTED_VALUE"""),"US-VZW")</f>
        <v>US-VZW</v>
      </c>
      <c r="T210" s="182" t="str">
        <f>IFERROR(__xludf.DUMMYFUNCTION("""COMPUTED_VALUE"""),"SKU,CLR3, BETTER, MMWAVE, VZW, US, BZ5")</f>
        <v>SKU,CLR3, BETTER, MMWAVE, VZW, US, BZ5</v>
      </c>
      <c r="U210" s="182"/>
      <c r="V210" s="183" t="str">
        <f>IFERROR(__xludf.DUMMYFUNCTION("""COMPUTED_VALUE"""),"#NUM!")</f>
        <v>#NUM!</v>
      </c>
      <c r="W210" s="186">
        <f>IFERROR(__xludf.DUMMYFUNCTION("""COMPUTED_VALUE"""),45831.0)</f>
        <v>45831</v>
      </c>
      <c r="X210" s="187">
        <f>IFERROR(__xludf.DUMMYFUNCTION("""COMPUTED_VALUE"""),45745.0)</f>
        <v>45745</v>
      </c>
      <c r="Y210" s="182" t="b">
        <f>IFERROR(__xludf.DUMMYFUNCTION("""COMPUTED_VALUE"""),TRUE)</f>
        <v>1</v>
      </c>
      <c r="Z210" s="187">
        <f>IFERROR(__xludf.DUMMYFUNCTION("""COMPUTED_VALUE"""),45746.0)</f>
        <v>45746</v>
      </c>
      <c r="AA210" s="182" t="b">
        <f>IFERROR(__xludf.DUMMYFUNCTION("""COMPUTED_VALUE"""),FALSE)</f>
        <v>0</v>
      </c>
      <c r="AB210" s="187">
        <f>IFERROR(__xludf.DUMMYFUNCTION("""COMPUTED_VALUE"""),45752.0)</f>
        <v>45752</v>
      </c>
      <c r="AC210" s="187">
        <f>IFERROR(__xludf.DUMMYFUNCTION("""COMPUTED_VALUE"""),45752.0)</f>
        <v>45752</v>
      </c>
      <c r="AD210" s="187">
        <f>IFERROR(__xludf.DUMMYFUNCTION("""COMPUTED_VALUE"""),45758.0)</f>
        <v>45758</v>
      </c>
      <c r="AE210" s="182" t="str">
        <f>IFERROR(__xludf.DUMMYFUNCTION("""COMPUTED_VALUE"""),"GA10278-US
GA10278-US RevA")</f>
        <v>GA10278-US
GA10278-US RevA</v>
      </c>
      <c r="AF210" s="188" t="str">
        <f>IFERROR(__xludf.DUMMYFUNCTION("""COMPUTED_VALUE"""),"GA10278-US")</f>
        <v>GA10278-US</v>
      </c>
      <c r="AG210" s="182" t="str">
        <f>IFERROR(__xludf.DUMMYFUNCTION("""COMPUTED_VALUE"""),"GA10278-US
GA10278-US RevA")</f>
        <v>GA10278-US
GA10278-US RevA</v>
      </c>
      <c r="AH210" s="188" t="str">
        <f>IFERROR(__xludf.DUMMYFUNCTION("""COMPUTED_VALUE"""),"GA10278-US")</f>
        <v>GA10278-US</v>
      </c>
      <c r="AI210" s="187">
        <f>IFERROR(__xludf.DUMMYFUNCTION("""COMPUTED_VALUE"""),45780.0)</f>
        <v>45780</v>
      </c>
      <c r="AJ210" s="182" t="b">
        <f>IFERROR(__xludf.DUMMYFUNCTION("""COMPUTED_VALUE"""),TRUE)</f>
        <v>1</v>
      </c>
      <c r="AK210" s="182" t="b">
        <f>IFERROR(__xludf.DUMMYFUNCTION("""COMPUTED_VALUE"""),TRUE)</f>
        <v>1</v>
      </c>
      <c r="AL210" s="187">
        <f>IFERROR(__xludf.DUMMYFUNCTION("""COMPUTED_VALUE"""),45780.0)</f>
        <v>45780</v>
      </c>
      <c r="AM210" s="182" t="b">
        <f>IFERROR(__xludf.DUMMYFUNCTION("""COMPUTED_VALUE"""),TRUE)</f>
        <v>1</v>
      </c>
      <c r="AN210" s="182" t="str">
        <f>IFERROR(__xludf.DUMMYFUNCTION("""COMPUTED_VALUE"""),"N")</f>
        <v>N</v>
      </c>
      <c r="AO210" s="182"/>
      <c r="AP210" s="187">
        <f>IFERROR(__xludf.DUMMYFUNCTION("""COMPUTED_VALUE"""),45780.0)</f>
        <v>45780</v>
      </c>
      <c r="AQ210" s="182" t="b">
        <f>IFERROR(__xludf.DUMMYFUNCTION("""COMPUTED_VALUE"""),TRUE)</f>
        <v>1</v>
      </c>
      <c r="AR210" s="182" t="str">
        <f>IFERROR(__xludf.DUMMYFUNCTION("""COMPUTED_VALUE"""),"N")</f>
        <v>N</v>
      </c>
      <c r="AS210" s="182"/>
      <c r="AT210" s="187">
        <f>IFERROR(__xludf.DUMMYFUNCTION("""COMPUTED_VALUE"""),45780.0)</f>
        <v>45780</v>
      </c>
      <c r="AU210" s="182"/>
      <c r="AV210" s="182"/>
      <c r="AW210" s="187">
        <f>IFERROR(__xludf.DUMMYFUNCTION("""COMPUTED_VALUE"""),45827.0)</f>
        <v>45827</v>
      </c>
      <c r="AX210" s="187">
        <f>IFERROR(__xludf.DUMMYFUNCTION("""COMPUTED_VALUE"""),45827.0)</f>
        <v>45827</v>
      </c>
      <c r="AY210" s="182" t="b">
        <f>IFERROR(__xludf.DUMMYFUNCTION("""COMPUTED_VALUE"""),FALSE)</f>
        <v>0</v>
      </c>
      <c r="AZ210" s="182"/>
      <c r="BA210" s="182"/>
      <c r="BB210" s="182"/>
    </row>
    <row r="211">
      <c r="A211" s="184" t="str">
        <f t="shared" si="1"/>
        <v>G990-08499-13-A</v>
      </c>
      <c r="B211" s="69" t="str">
        <f t="shared" si="3"/>
        <v>G990-08505-11-A</v>
      </c>
      <c r="C211" s="182" t="str">
        <f>IFERROR(__xludf.DUMMYFUNCTION("""COMPUTED_VALUE"""),"VZW")</f>
        <v>VZW</v>
      </c>
      <c r="D211" s="182" t="str">
        <f>IFERROR(__xludf.DUMMYFUNCTION("""COMPUTED_VALUE"""),"MP")</f>
        <v>MP</v>
      </c>
      <c r="E211" s="182" t="str">
        <f>IFERROR(__xludf.DUMMYFUNCTION("""COMPUTED_VALUE"""),"Pristine")</f>
        <v>Pristine</v>
      </c>
      <c r="F211" s="182" t="str">
        <f>IFERROR(__xludf.DUMMYFUNCTION("""COMPUTED_VALUE"""),"GA09905-US")</f>
        <v>GA09905-US</v>
      </c>
      <c r="G211" s="182" t="str">
        <f>IFERROR(__xludf.DUMMYFUNCTION("""COMPUTED_VALUE"""),"G4QUR")</f>
        <v>G4QUR</v>
      </c>
      <c r="H211" s="182">
        <f>IFERROR(__xludf.DUMMYFUNCTION("""COMPUTED_VALUE"""),8.403539257E11)</f>
        <v>840353925700</v>
      </c>
      <c r="I211" s="185" t="str">
        <f>IFERROR(__xludf.DUMMYFUNCTION("""COMPUTED_VALUE"""),"0840353925700")</f>
        <v>0840353925700</v>
      </c>
      <c r="J211" s="182"/>
      <c r="K211" s="182" t="str">
        <f>IFERROR(__xludf.DUMMYFUNCTION("""COMPUTED_VALUE"""),"VZN Master Carton Label")</f>
        <v>VZN Master Carton Label</v>
      </c>
      <c r="L211" s="182" t="str">
        <f>IFERROR(__xludf.DUMMYFUNCTION("""COMPUTED_VALUE"""),"VZN Pallet Label -&gt; BTS(Normal case)")</f>
        <v>VZN Pallet Label -&gt; BTS(Normal case)</v>
      </c>
      <c r="M211" s="182" t="str">
        <f>IFERROR(__xludf.DUMMYFUNCTION("""COMPUTED_VALUE"""),"G990-08499-13-02
G990-08499-13-A")</f>
        <v>G990-08499-13-02
G990-08499-13-A</v>
      </c>
      <c r="N211" s="182" t="str">
        <f>IFERROR(__xludf.DUMMYFUNCTION("""COMPUTED_VALUE"""),"G990-08505-11-01
G990-08505-11-A")</f>
        <v>G990-08505-11-01
G990-08505-11-A</v>
      </c>
      <c r="O211" s="182" t="str">
        <f>IFERROR(__xludf.DUMMYFUNCTION("""COMPUTED_VALUE"""),"BOB→A
Retail→A")</f>
        <v>BOB→A
Retail→A</v>
      </c>
      <c r="P211" s="182" t="str">
        <f>IFERROR(__xludf.DUMMYFUNCTION("""COMPUTED_VALUE"""),"512GB")</f>
        <v>512GB</v>
      </c>
      <c r="Q211" s="182" t="str">
        <f>IFERROR(__xludf.DUMMYFUNCTION("""COMPUTED_VALUE"""),"Obsidian")</f>
        <v>Obsidian</v>
      </c>
      <c r="R211" s="182" t="str">
        <f>IFERROR(__xludf.DUMMYFUNCTION("""COMPUTED_VALUE"""),"Midnight")</f>
        <v>Midnight</v>
      </c>
      <c r="S211" s="182" t="str">
        <f>IFERROR(__xludf.DUMMYFUNCTION("""COMPUTED_VALUE"""),"US-VZW")</f>
        <v>US-VZW</v>
      </c>
      <c r="T211" s="182" t="str">
        <f>IFERROR(__xludf.DUMMYFUNCTION("""COMPUTED_VALUE"""),"SKU,CLR1, BEST, MMWAVE, VZW, BZ5")</f>
        <v>SKU,CLR1, BEST, MMWAVE, VZW, BZ5</v>
      </c>
      <c r="U211" s="182"/>
      <c r="V211" s="183" t="str">
        <f>IFERROR(__xludf.DUMMYFUNCTION("""COMPUTED_VALUE"""),"#NUM!")</f>
        <v>#NUM!</v>
      </c>
      <c r="W211" s="186">
        <f>IFERROR(__xludf.DUMMYFUNCTION("""COMPUTED_VALUE"""),45831.0)</f>
        <v>45831</v>
      </c>
      <c r="X211" s="187">
        <f>IFERROR(__xludf.DUMMYFUNCTION("""COMPUTED_VALUE"""),45745.0)</f>
        <v>45745</v>
      </c>
      <c r="Y211" s="182" t="b">
        <f>IFERROR(__xludf.DUMMYFUNCTION("""COMPUTED_VALUE"""),TRUE)</f>
        <v>1</v>
      </c>
      <c r="Z211" s="187">
        <f>IFERROR(__xludf.DUMMYFUNCTION("""COMPUTED_VALUE"""),45746.0)</f>
        <v>45746</v>
      </c>
      <c r="AA211" s="182" t="b">
        <f>IFERROR(__xludf.DUMMYFUNCTION("""COMPUTED_VALUE"""),FALSE)</f>
        <v>0</v>
      </c>
      <c r="AB211" s="187">
        <f>IFERROR(__xludf.DUMMYFUNCTION("""COMPUTED_VALUE"""),45752.0)</f>
        <v>45752</v>
      </c>
      <c r="AC211" s="187">
        <f>IFERROR(__xludf.DUMMYFUNCTION("""COMPUTED_VALUE"""),45752.0)</f>
        <v>45752</v>
      </c>
      <c r="AD211" s="187">
        <f>IFERROR(__xludf.DUMMYFUNCTION("""COMPUTED_VALUE"""),45758.0)</f>
        <v>45758</v>
      </c>
      <c r="AE211" s="182" t="str">
        <f>IFERROR(__xludf.DUMMYFUNCTION("""COMPUTED_VALUE"""),"GA09905-US
GA09905-US RevA")</f>
        <v>GA09905-US
GA09905-US RevA</v>
      </c>
      <c r="AF211" s="188" t="str">
        <f>IFERROR(__xludf.DUMMYFUNCTION("""COMPUTED_VALUE"""),"GA09905-US")</f>
        <v>GA09905-US</v>
      </c>
      <c r="AG211" s="182" t="str">
        <f>IFERROR(__xludf.DUMMYFUNCTION("""COMPUTED_VALUE"""),"GA09905-US
GA09905-US RevA")</f>
        <v>GA09905-US
GA09905-US RevA</v>
      </c>
      <c r="AH211" s="188" t="str">
        <f>IFERROR(__xludf.DUMMYFUNCTION("""COMPUTED_VALUE"""),"GA09905-US")</f>
        <v>GA09905-US</v>
      </c>
      <c r="AI211" s="187">
        <f>IFERROR(__xludf.DUMMYFUNCTION("""COMPUTED_VALUE"""),45780.0)</f>
        <v>45780</v>
      </c>
      <c r="AJ211" s="182" t="b">
        <f>IFERROR(__xludf.DUMMYFUNCTION("""COMPUTED_VALUE"""),TRUE)</f>
        <v>1</v>
      </c>
      <c r="AK211" s="182" t="b">
        <f>IFERROR(__xludf.DUMMYFUNCTION("""COMPUTED_VALUE"""),TRUE)</f>
        <v>1</v>
      </c>
      <c r="AL211" s="187">
        <f>IFERROR(__xludf.DUMMYFUNCTION("""COMPUTED_VALUE"""),45780.0)</f>
        <v>45780</v>
      </c>
      <c r="AM211" s="182" t="b">
        <f>IFERROR(__xludf.DUMMYFUNCTION("""COMPUTED_VALUE"""),TRUE)</f>
        <v>1</v>
      </c>
      <c r="AN211" s="182" t="str">
        <f>IFERROR(__xludf.DUMMYFUNCTION("""COMPUTED_VALUE"""),"N")</f>
        <v>N</v>
      </c>
      <c r="AO211" s="182"/>
      <c r="AP211" s="187">
        <f>IFERROR(__xludf.DUMMYFUNCTION("""COMPUTED_VALUE"""),45780.0)</f>
        <v>45780</v>
      </c>
      <c r="AQ211" s="182" t="b">
        <f>IFERROR(__xludf.DUMMYFUNCTION("""COMPUTED_VALUE"""),TRUE)</f>
        <v>1</v>
      </c>
      <c r="AR211" s="182" t="str">
        <f>IFERROR(__xludf.DUMMYFUNCTION("""COMPUTED_VALUE"""),"N")</f>
        <v>N</v>
      </c>
      <c r="AS211" s="182"/>
      <c r="AT211" s="187">
        <f>IFERROR(__xludf.DUMMYFUNCTION("""COMPUTED_VALUE"""),45780.0)</f>
        <v>45780</v>
      </c>
      <c r="AU211" s="182"/>
      <c r="AV211" s="182"/>
      <c r="AW211" s="187">
        <f>IFERROR(__xludf.DUMMYFUNCTION("""COMPUTED_VALUE"""),45827.0)</f>
        <v>45827</v>
      </c>
      <c r="AX211" s="187">
        <f>IFERROR(__xludf.DUMMYFUNCTION("""COMPUTED_VALUE"""),45827.0)</f>
        <v>45827</v>
      </c>
      <c r="AY211" s="182" t="b">
        <f>IFERROR(__xludf.DUMMYFUNCTION("""COMPUTED_VALUE"""),FALSE)</f>
        <v>0</v>
      </c>
      <c r="AZ211" s="182"/>
      <c r="BA211" s="182"/>
      <c r="BB211" s="182"/>
    </row>
    <row r="212">
      <c r="A212" s="184" t="str">
        <f t="shared" si="1"/>
        <v>#VALUE!</v>
      </c>
      <c r="B212" s="69" t="str">
        <f t="shared" si="3"/>
        <v>#VALUE!</v>
      </c>
      <c r="C212" s="182" t="str">
        <f>IFERROR(__xludf.DUMMYFUNCTION("""COMPUTED_VALUE"""),"VZW")</f>
        <v>VZW</v>
      </c>
      <c r="D212" s="182" t="str">
        <f>IFERROR(__xludf.DUMMYFUNCTION("""COMPUTED_VALUE"""),"MP")</f>
        <v>MP</v>
      </c>
      <c r="E212" s="182" t="str">
        <f>IFERROR(__xludf.DUMMYFUNCTION("""COMPUTED_VALUE"""),"Pristine")</f>
        <v>Pristine</v>
      </c>
      <c r="F212" s="182" t="str">
        <f>IFERROR(__xludf.DUMMYFUNCTION("""COMPUTED_VALUE"""),"GA10280-US")</f>
        <v>GA10280-US</v>
      </c>
      <c r="G212" s="182" t="str">
        <f>IFERROR(__xludf.DUMMYFUNCTION("""COMPUTED_VALUE"""),"G4QUR")</f>
        <v>G4QUR</v>
      </c>
      <c r="H212" s="182">
        <f>IFERROR(__xludf.DUMMYFUNCTION("""COMPUTED_VALUE"""),8.40353925731E11)</f>
        <v>840353925731</v>
      </c>
      <c r="I212" s="185" t="str">
        <f>IFERROR(__xludf.DUMMYFUNCTION("""COMPUTED_VALUE"""),"0840353925731")</f>
        <v>0840353925731</v>
      </c>
      <c r="J212" s="182"/>
      <c r="K212" s="182" t="str">
        <f>IFERROR(__xludf.DUMMYFUNCTION("""COMPUTED_VALUE"""),"VZN Master Carton Label")</f>
        <v>VZN Master Carton Label</v>
      </c>
      <c r="L212" s="182" t="str">
        <f>IFERROR(__xludf.DUMMYFUNCTION("""COMPUTED_VALUE"""),"VZN Pallet Label -&gt; BTS(Normal case)")</f>
        <v>VZN Pallet Label -&gt; BTS(Normal case)</v>
      </c>
      <c r="M212" s="188" t="str">
        <f>IFERROR(__xludf.DUMMYFUNCTION("""COMPUTED_VALUE"""),"G990-08499-23-02")</f>
        <v>G990-08499-23-02</v>
      </c>
      <c r="N212" s="188" t="str">
        <f>IFERROR(__xludf.DUMMYFUNCTION("""COMPUTED_VALUE"""),"G990-08505-11-01")</f>
        <v>G990-08505-11-01</v>
      </c>
      <c r="O212" s="182"/>
      <c r="P212" s="182" t="str">
        <f>IFERROR(__xludf.DUMMYFUNCTION("""COMPUTED_VALUE"""),"512GB")</f>
        <v>512GB</v>
      </c>
      <c r="Q212" s="182"/>
      <c r="R212" s="182" t="str">
        <f>IFERROR(__xludf.DUMMYFUNCTION("""COMPUTED_VALUE"""),"Light Porcelain")</f>
        <v>Light Porcelain</v>
      </c>
      <c r="S212" s="182" t="str">
        <f>IFERROR(__xludf.DUMMYFUNCTION("""COMPUTED_VALUE"""),"US-VZW")</f>
        <v>US-VZW</v>
      </c>
      <c r="T212" s="182" t="str">
        <f>IFERROR(__xludf.DUMMYFUNCTION("""COMPUTED_VALUE"""),"SKU,CLR2, BEST, MMWAVE, VZW, US, BZ5")</f>
        <v>SKU,CLR2, BEST, MMWAVE, VZW, US, BZ5</v>
      </c>
      <c r="U212" s="182"/>
      <c r="V212" s="183" t="str">
        <f>IFERROR(__xludf.DUMMYFUNCTION("""COMPUTED_VALUE"""),"#NUM!")</f>
        <v>#NUM!</v>
      </c>
      <c r="W212" s="186">
        <f>IFERROR(__xludf.DUMMYFUNCTION("""COMPUTED_VALUE"""),45831.0)</f>
        <v>45831</v>
      </c>
      <c r="X212" s="187">
        <f>IFERROR(__xludf.DUMMYFUNCTION("""COMPUTED_VALUE"""),45745.0)</f>
        <v>45745</v>
      </c>
      <c r="Y212" s="182" t="b">
        <f>IFERROR(__xludf.DUMMYFUNCTION("""COMPUTED_VALUE"""),FALSE)</f>
        <v>0</v>
      </c>
      <c r="Z212" s="187">
        <f>IFERROR(__xludf.DUMMYFUNCTION("""COMPUTED_VALUE"""),45746.0)</f>
        <v>45746</v>
      </c>
      <c r="AA212" s="182" t="b">
        <f>IFERROR(__xludf.DUMMYFUNCTION("""COMPUTED_VALUE"""),FALSE)</f>
        <v>0</v>
      </c>
      <c r="AB212" s="187">
        <f>IFERROR(__xludf.DUMMYFUNCTION("""COMPUTED_VALUE"""),45752.0)</f>
        <v>45752</v>
      </c>
      <c r="AC212" s="187">
        <f>IFERROR(__xludf.DUMMYFUNCTION("""COMPUTED_VALUE"""),45752.0)</f>
        <v>45752</v>
      </c>
      <c r="AD212" s="187">
        <f>IFERROR(__xludf.DUMMYFUNCTION("""COMPUTED_VALUE"""),45758.0)</f>
        <v>45758</v>
      </c>
      <c r="AE212" s="182"/>
      <c r="AF212" s="182"/>
      <c r="AG212" s="182"/>
      <c r="AH212" s="182"/>
      <c r="AI212" s="187">
        <f>IFERROR(__xludf.DUMMYFUNCTION("""COMPUTED_VALUE"""),45780.0)</f>
        <v>45780</v>
      </c>
      <c r="AJ212" s="182" t="b">
        <f>IFERROR(__xludf.DUMMYFUNCTION("""COMPUTED_VALUE"""),FALSE)</f>
        <v>0</v>
      </c>
      <c r="AK212" s="182" t="b">
        <f>IFERROR(__xludf.DUMMYFUNCTION("""COMPUTED_VALUE"""),FALSE)</f>
        <v>0</v>
      </c>
      <c r="AL212" s="187">
        <f>IFERROR(__xludf.DUMMYFUNCTION("""COMPUTED_VALUE"""),45780.0)</f>
        <v>45780</v>
      </c>
      <c r="AM212" s="182" t="b">
        <f>IFERROR(__xludf.DUMMYFUNCTION("""COMPUTED_VALUE"""),FALSE)</f>
        <v>0</v>
      </c>
      <c r="AN212" s="182"/>
      <c r="AO212" s="182"/>
      <c r="AP212" s="187">
        <f>IFERROR(__xludf.DUMMYFUNCTION("""COMPUTED_VALUE"""),45780.0)</f>
        <v>45780</v>
      </c>
      <c r="AQ212" s="182" t="b">
        <f>IFERROR(__xludf.DUMMYFUNCTION("""COMPUTED_VALUE"""),FALSE)</f>
        <v>0</v>
      </c>
      <c r="AR212" s="182"/>
      <c r="AS212" s="182"/>
      <c r="AT212" s="187">
        <f>IFERROR(__xludf.DUMMYFUNCTION("""COMPUTED_VALUE"""),45780.0)</f>
        <v>45780</v>
      </c>
      <c r="AU212" s="182"/>
      <c r="AV212" s="182"/>
      <c r="AW212" s="187">
        <f>IFERROR(__xludf.DUMMYFUNCTION("""COMPUTED_VALUE"""),45827.0)</f>
        <v>45827</v>
      </c>
      <c r="AX212" s="187">
        <f>IFERROR(__xludf.DUMMYFUNCTION("""COMPUTED_VALUE"""),45827.0)</f>
        <v>45827</v>
      </c>
      <c r="AY212" s="182" t="b">
        <f>IFERROR(__xludf.DUMMYFUNCTION("""COMPUTED_VALUE"""),FALSE)</f>
        <v>0</v>
      </c>
      <c r="AZ212" s="182"/>
      <c r="BA212" s="182"/>
      <c r="BB212" s="182"/>
    </row>
    <row r="213">
      <c r="A213" s="184" t="str">
        <f t="shared" si="1"/>
        <v>G990-08499-33-A</v>
      </c>
      <c r="B213" s="69" t="str">
        <f t="shared" si="3"/>
        <v>G990-08505-11-A</v>
      </c>
      <c r="C213" s="182" t="str">
        <f>IFERROR(__xludf.DUMMYFUNCTION("""COMPUTED_VALUE"""),"VZW")</f>
        <v>VZW</v>
      </c>
      <c r="D213" s="182" t="str">
        <f>IFERROR(__xludf.DUMMYFUNCTION("""COMPUTED_VALUE"""),"MP")</f>
        <v>MP</v>
      </c>
      <c r="E213" s="182" t="str">
        <f>IFERROR(__xludf.DUMMYFUNCTION("""COMPUTED_VALUE"""),"Pristine")</f>
        <v>Pristine</v>
      </c>
      <c r="F213" s="182" t="str">
        <f>IFERROR(__xludf.DUMMYFUNCTION("""COMPUTED_VALUE"""),"GA10281-US")</f>
        <v>GA10281-US</v>
      </c>
      <c r="G213" s="182" t="str">
        <f>IFERROR(__xludf.DUMMYFUNCTION("""COMPUTED_VALUE"""),"G4QUR")</f>
        <v>G4QUR</v>
      </c>
      <c r="H213" s="182">
        <f>IFERROR(__xludf.DUMMYFUNCTION("""COMPUTED_VALUE"""),8.40353925724E11)</f>
        <v>840353925724</v>
      </c>
      <c r="I213" s="185" t="str">
        <f>IFERROR(__xludf.DUMMYFUNCTION("""COMPUTED_VALUE"""),"0840353925724")</f>
        <v>0840353925724</v>
      </c>
      <c r="J213" s="182"/>
      <c r="K213" s="182" t="str">
        <f>IFERROR(__xludf.DUMMYFUNCTION("""COMPUTED_VALUE"""),"VZN Master Carton Label")</f>
        <v>VZN Master Carton Label</v>
      </c>
      <c r="L213" s="182" t="str">
        <f>IFERROR(__xludf.DUMMYFUNCTION("""COMPUTED_VALUE"""),"VZN Pallet Label -&gt; BTS(Normal case)")</f>
        <v>VZN Pallet Label -&gt; BTS(Normal case)</v>
      </c>
      <c r="M213" s="182" t="str">
        <f>IFERROR(__xludf.DUMMYFUNCTION("""COMPUTED_VALUE"""),"G990-08499-33-02
G990-08499-33-A")</f>
        <v>G990-08499-33-02
G990-08499-33-A</v>
      </c>
      <c r="N213" s="182" t="str">
        <f>IFERROR(__xludf.DUMMYFUNCTION("""COMPUTED_VALUE"""),"G990-08505-11-01
G990-08505-11-A")</f>
        <v>G990-08505-11-01
G990-08505-11-A</v>
      </c>
      <c r="O213" s="182" t="str">
        <f>IFERROR(__xludf.DUMMYFUNCTION("""COMPUTED_VALUE"""),"BOB→A
Retail→A")</f>
        <v>BOB→A
Retail→A</v>
      </c>
      <c r="P213" s="182" t="str">
        <f>IFERROR(__xludf.DUMMYFUNCTION("""COMPUTED_VALUE"""),"512GB")</f>
        <v>512GB</v>
      </c>
      <c r="Q213" s="182" t="str">
        <f>IFERROR(__xludf.DUMMYFUNCTION("""COMPUTED_VALUE"""),"Moonstone")</f>
        <v>Moonstone</v>
      </c>
      <c r="R213" s="182" t="str">
        <f>IFERROR(__xludf.DUMMYFUNCTION("""COMPUTED_VALUE"""),"Sterling")</f>
        <v>Sterling</v>
      </c>
      <c r="S213" s="182" t="str">
        <f>IFERROR(__xludf.DUMMYFUNCTION("""COMPUTED_VALUE"""),"US-VZW")</f>
        <v>US-VZW</v>
      </c>
      <c r="T213" s="182" t="str">
        <f>IFERROR(__xludf.DUMMYFUNCTION("""COMPUTED_VALUE"""),"SKU,CLR3, BEST, MMWAVE, VZW, US, BZ5")</f>
        <v>SKU,CLR3, BEST, MMWAVE, VZW, US, BZ5</v>
      </c>
      <c r="U213" s="182"/>
      <c r="V213" s="183" t="str">
        <f>IFERROR(__xludf.DUMMYFUNCTION("""COMPUTED_VALUE"""),"#NUM!")</f>
        <v>#NUM!</v>
      </c>
      <c r="W213" s="186">
        <f>IFERROR(__xludf.DUMMYFUNCTION("""COMPUTED_VALUE"""),45831.0)</f>
        <v>45831</v>
      </c>
      <c r="X213" s="187">
        <f>IFERROR(__xludf.DUMMYFUNCTION("""COMPUTED_VALUE"""),45745.0)</f>
        <v>45745</v>
      </c>
      <c r="Y213" s="182" t="b">
        <f>IFERROR(__xludf.DUMMYFUNCTION("""COMPUTED_VALUE"""),TRUE)</f>
        <v>1</v>
      </c>
      <c r="Z213" s="187">
        <f>IFERROR(__xludf.DUMMYFUNCTION("""COMPUTED_VALUE"""),45746.0)</f>
        <v>45746</v>
      </c>
      <c r="AA213" s="182" t="b">
        <f>IFERROR(__xludf.DUMMYFUNCTION("""COMPUTED_VALUE"""),TRUE)</f>
        <v>1</v>
      </c>
      <c r="AB213" s="187">
        <f>IFERROR(__xludf.DUMMYFUNCTION("""COMPUTED_VALUE"""),45752.0)</f>
        <v>45752</v>
      </c>
      <c r="AC213" s="187">
        <f>IFERROR(__xludf.DUMMYFUNCTION("""COMPUTED_VALUE"""),45752.0)</f>
        <v>45752</v>
      </c>
      <c r="AD213" s="187">
        <f>IFERROR(__xludf.DUMMYFUNCTION("""COMPUTED_VALUE"""),45758.0)</f>
        <v>45758</v>
      </c>
      <c r="AE213" s="182" t="str">
        <f>IFERROR(__xludf.DUMMYFUNCTION("""COMPUTED_VALUE"""),"GA10281-US
GA10281-US RevA")</f>
        <v>GA10281-US
GA10281-US RevA</v>
      </c>
      <c r="AF213" s="188" t="str">
        <f>IFERROR(__xludf.DUMMYFUNCTION("""COMPUTED_VALUE"""),"GA10281-US")</f>
        <v>GA10281-US</v>
      </c>
      <c r="AG213" s="182" t="str">
        <f>IFERROR(__xludf.DUMMYFUNCTION("""COMPUTED_VALUE"""),"GA10281-US
GA10281-US RevA")</f>
        <v>GA10281-US
GA10281-US RevA</v>
      </c>
      <c r="AH213" s="188" t="str">
        <f>IFERROR(__xludf.DUMMYFUNCTION("""COMPUTED_VALUE"""),"GA10281-US")</f>
        <v>GA10281-US</v>
      </c>
      <c r="AI213" s="187">
        <f>IFERROR(__xludf.DUMMYFUNCTION("""COMPUTED_VALUE"""),45780.0)</f>
        <v>45780</v>
      </c>
      <c r="AJ213" s="182" t="b">
        <f>IFERROR(__xludf.DUMMYFUNCTION("""COMPUTED_VALUE"""),TRUE)</f>
        <v>1</v>
      </c>
      <c r="AK213" s="182" t="b">
        <f>IFERROR(__xludf.DUMMYFUNCTION("""COMPUTED_VALUE"""),TRUE)</f>
        <v>1</v>
      </c>
      <c r="AL213" s="187">
        <f>IFERROR(__xludf.DUMMYFUNCTION("""COMPUTED_VALUE"""),45780.0)</f>
        <v>45780</v>
      </c>
      <c r="AM213" s="182" t="b">
        <f>IFERROR(__xludf.DUMMYFUNCTION("""COMPUTED_VALUE"""),TRUE)</f>
        <v>1</v>
      </c>
      <c r="AN213" s="182" t="str">
        <f>IFERROR(__xludf.DUMMYFUNCTION("""COMPUTED_VALUE"""),"N")</f>
        <v>N</v>
      </c>
      <c r="AO213" s="182"/>
      <c r="AP213" s="187">
        <f>IFERROR(__xludf.DUMMYFUNCTION("""COMPUTED_VALUE"""),45780.0)</f>
        <v>45780</v>
      </c>
      <c r="AQ213" s="182" t="b">
        <f>IFERROR(__xludf.DUMMYFUNCTION("""COMPUTED_VALUE"""),TRUE)</f>
        <v>1</v>
      </c>
      <c r="AR213" s="182" t="str">
        <f>IFERROR(__xludf.DUMMYFUNCTION("""COMPUTED_VALUE"""),"N")</f>
        <v>N</v>
      </c>
      <c r="AS213" s="182"/>
      <c r="AT213" s="187">
        <f>IFERROR(__xludf.DUMMYFUNCTION("""COMPUTED_VALUE"""),45780.0)</f>
        <v>45780</v>
      </c>
      <c r="AU213" s="182"/>
      <c r="AV213" s="182"/>
      <c r="AW213" s="187">
        <f>IFERROR(__xludf.DUMMYFUNCTION("""COMPUTED_VALUE"""),45827.0)</f>
        <v>45827</v>
      </c>
      <c r="AX213" s="187">
        <f>IFERROR(__xludf.DUMMYFUNCTION("""COMPUTED_VALUE"""),45827.0)</f>
        <v>45827</v>
      </c>
      <c r="AY213" s="182" t="b">
        <f>IFERROR(__xludf.DUMMYFUNCTION("""COMPUTED_VALUE"""),TRUE)</f>
        <v>1</v>
      </c>
      <c r="AZ213" s="182"/>
      <c r="BA213" s="182"/>
      <c r="BB213" s="182"/>
    </row>
    <row r="214">
      <c r="A214" s="184" t="str">
        <f t="shared" si="1"/>
        <v>#VALUE!</v>
      </c>
      <c r="B214" s="191" t="str">
        <f t="shared" si="3"/>
        <v>#VALUE!</v>
      </c>
      <c r="C214" s="182" t="str">
        <f>IFERROR(__xludf.DUMMYFUNCTION("""COMPUTED_VALUE"""),"VZW")</f>
        <v>VZW</v>
      </c>
      <c r="D214" s="182" t="str">
        <f>IFERROR(__xludf.DUMMYFUNCTION("""COMPUTED_VALUE"""),"MP")</f>
        <v>MP</v>
      </c>
      <c r="E214" s="182" t="str">
        <f>IFERROR(__xludf.DUMMYFUNCTION("""COMPUTED_VALUE"""),"Pristine")</f>
        <v>Pristine</v>
      </c>
      <c r="F214" s="182" t="str">
        <f>IFERROR(__xludf.DUMMYFUNCTION("""COMPUTED_VALUE"""),"GA10282-US")</f>
        <v>GA10282-US</v>
      </c>
      <c r="G214" s="182" t="str">
        <f>IFERROR(__xludf.DUMMYFUNCTION("""COMPUTED_VALUE"""),"G4QUR")</f>
        <v>G4QUR</v>
      </c>
      <c r="H214" s="182">
        <f>IFERROR(__xludf.DUMMYFUNCTION("""COMPUTED_VALUE"""),8.40353925717E11)</f>
        <v>840353925717</v>
      </c>
      <c r="I214" s="185" t="str">
        <f>IFERROR(__xludf.DUMMYFUNCTION("""COMPUTED_VALUE"""),"0840353925717")</f>
        <v>0840353925717</v>
      </c>
      <c r="J214" s="182"/>
      <c r="K214" s="182" t="str">
        <f>IFERROR(__xludf.DUMMYFUNCTION("""COMPUTED_VALUE"""),"VZN Master Carton Label")</f>
        <v>VZN Master Carton Label</v>
      </c>
      <c r="L214" s="182" t="str">
        <f>IFERROR(__xludf.DUMMYFUNCTION("""COMPUTED_VALUE"""),"VZN Pallet Label -&gt; BTS(Normal case)")</f>
        <v>VZN Pallet Label -&gt; BTS(Normal case)</v>
      </c>
      <c r="M214" s="188" t="str">
        <f>IFERROR(__xludf.DUMMYFUNCTION("""COMPUTED_VALUE"""),"G990-08499-43-02")</f>
        <v>G990-08499-43-02</v>
      </c>
      <c r="N214" s="188" t="str">
        <f>IFERROR(__xludf.DUMMYFUNCTION("""COMPUTED_VALUE"""),"G990-08505-11-01")</f>
        <v>G990-08505-11-01</v>
      </c>
      <c r="O214" s="182"/>
      <c r="P214" s="182" t="str">
        <f>IFERROR(__xludf.DUMMYFUNCTION("""COMPUTED_VALUE"""),"512GB")</f>
        <v>512GB</v>
      </c>
      <c r="Q214" s="182"/>
      <c r="R214" s="182" t="str">
        <f>IFERROR(__xludf.DUMMYFUNCTION("""COMPUTED_VALUE"""),"Smokey Green")</f>
        <v>Smokey Green</v>
      </c>
      <c r="S214" s="182" t="str">
        <f>IFERROR(__xludf.DUMMYFUNCTION("""COMPUTED_VALUE"""),"US-VZW")</f>
        <v>US-VZW</v>
      </c>
      <c r="T214" s="182" t="str">
        <f>IFERROR(__xludf.DUMMYFUNCTION("""COMPUTED_VALUE"""),"SKU,CLR4, BEST, MMWAVE, VZW, US, BZ5")</f>
        <v>SKU,CLR4, BEST, MMWAVE, VZW, US, BZ5</v>
      </c>
      <c r="U214" s="182"/>
      <c r="V214" s="183" t="str">
        <f>IFERROR(__xludf.DUMMYFUNCTION("""COMPUTED_VALUE"""),"#NUM!")</f>
        <v>#NUM!</v>
      </c>
      <c r="W214" s="186">
        <f>IFERROR(__xludf.DUMMYFUNCTION("""COMPUTED_VALUE"""),45831.0)</f>
        <v>45831</v>
      </c>
      <c r="X214" s="187">
        <f>IFERROR(__xludf.DUMMYFUNCTION("""COMPUTED_VALUE"""),45745.0)</f>
        <v>45745</v>
      </c>
      <c r="Y214" s="182" t="b">
        <f>IFERROR(__xludf.DUMMYFUNCTION("""COMPUTED_VALUE"""),FALSE)</f>
        <v>0</v>
      </c>
      <c r="Z214" s="187">
        <f>IFERROR(__xludf.DUMMYFUNCTION("""COMPUTED_VALUE"""),45746.0)</f>
        <v>45746</v>
      </c>
      <c r="AA214" s="182" t="b">
        <f>IFERROR(__xludf.DUMMYFUNCTION("""COMPUTED_VALUE"""),FALSE)</f>
        <v>0</v>
      </c>
      <c r="AB214" s="187">
        <f>IFERROR(__xludf.DUMMYFUNCTION("""COMPUTED_VALUE"""),45752.0)</f>
        <v>45752</v>
      </c>
      <c r="AC214" s="187">
        <f>IFERROR(__xludf.DUMMYFUNCTION("""COMPUTED_VALUE"""),45752.0)</f>
        <v>45752</v>
      </c>
      <c r="AD214" s="187">
        <f>IFERROR(__xludf.DUMMYFUNCTION("""COMPUTED_VALUE"""),45758.0)</f>
        <v>45758</v>
      </c>
      <c r="AE214" s="182"/>
      <c r="AF214" s="182"/>
      <c r="AG214" s="182"/>
      <c r="AH214" s="182"/>
      <c r="AI214" s="187">
        <f>IFERROR(__xludf.DUMMYFUNCTION("""COMPUTED_VALUE"""),45780.0)</f>
        <v>45780</v>
      </c>
      <c r="AJ214" s="182" t="b">
        <f>IFERROR(__xludf.DUMMYFUNCTION("""COMPUTED_VALUE"""),FALSE)</f>
        <v>0</v>
      </c>
      <c r="AK214" s="182" t="b">
        <f>IFERROR(__xludf.DUMMYFUNCTION("""COMPUTED_VALUE"""),FALSE)</f>
        <v>0</v>
      </c>
      <c r="AL214" s="187">
        <f>IFERROR(__xludf.DUMMYFUNCTION("""COMPUTED_VALUE"""),45780.0)</f>
        <v>45780</v>
      </c>
      <c r="AM214" s="182" t="b">
        <f>IFERROR(__xludf.DUMMYFUNCTION("""COMPUTED_VALUE"""),FALSE)</f>
        <v>0</v>
      </c>
      <c r="AN214" s="182"/>
      <c r="AO214" s="182"/>
      <c r="AP214" s="187">
        <f>IFERROR(__xludf.DUMMYFUNCTION("""COMPUTED_VALUE"""),45780.0)</f>
        <v>45780</v>
      </c>
      <c r="AQ214" s="182" t="b">
        <f>IFERROR(__xludf.DUMMYFUNCTION("""COMPUTED_VALUE"""),FALSE)</f>
        <v>0</v>
      </c>
      <c r="AR214" s="182"/>
      <c r="AS214" s="182"/>
      <c r="AT214" s="187">
        <f>IFERROR(__xludf.DUMMYFUNCTION("""COMPUTED_VALUE"""),45780.0)</f>
        <v>45780</v>
      </c>
      <c r="AU214" s="182"/>
      <c r="AV214" s="182"/>
      <c r="AW214" s="187">
        <f>IFERROR(__xludf.DUMMYFUNCTION("""COMPUTED_VALUE"""),45827.0)</f>
        <v>45827</v>
      </c>
      <c r="AX214" s="187">
        <f>IFERROR(__xludf.DUMMYFUNCTION("""COMPUTED_VALUE"""),45827.0)</f>
        <v>45827</v>
      </c>
      <c r="AY214" s="182" t="b">
        <f>IFERROR(__xludf.DUMMYFUNCTION("""COMPUTED_VALUE"""),FALSE)</f>
        <v>0</v>
      </c>
      <c r="AZ214" s="182"/>
      <c r="BA214" s="182"/>
      <c r="BB214" s="182"/>
    </row>
    <row r="215">
      <c r="A215" s="184" t="str">
        <f t="shared" si="1"/>
        <v>#VALUE!</v>
      </c>
      <c r="B215" s="191" t="str">
        <f t="shared" si="3"/>
        <v>#VALUE!</v>
      </c>
      <c r="C215" s="182" t="str">
        <f>IFERROR(__xludf.DUMMYFUNCTION("""COMPUTED_VALUE"""),"VZW")</f>
        <v>VZW</v>
      </c>
      <c r="D215" s="182" t="str">
        <f>IFERROR(__xludf.DUMMYFUNCTION("""COMPUTED_VALUE"""),"MP")</f>
        <v>MP</v>
      </c>
      <c r="E215" s="182" t="str">
        <f>IFERROR(__xludf.DUMMYFUNCTION("""COMPUTED_VALUE"""),"Pristine")</f>
        <v>Pristine</v>
      </c>
      <c r="F215" s="182" t="str">
        <f>IFERROR(__xludf.DUMMYFUNCTION("""COMPUTED_VALUE"""),"GA09930-US")</f>
        <v>GA09930-US</v>
      </c>
      <c r="G215" s="182" t="str">
        <f>IFERROR(__xludf.DUMMYFUNCTION("""COMPUTED_VALUE"""),"G4QUR")</f>
        <v>G4QUR</v>
      </c>
      <c r="H215" s="182">
        <f>IFERROR(__xludf.DUMMYFUNCTION("""COMPUTED_VALUE"""),8.40353925366E11)</f>
        <v>840353925366</v>
      </c>
      <c r="I215" s="185" t="str">
        <f>IFERROR(__xludf.DUMMYFUNCTION("""COMPUTED_VALUE"""),"840353925366")</f>
        <v>840353925366</v>
      </c>
      <c r="J215" s="182"/>
      <c r="K215" s="182" t="str">
        <f>IFERROR(__xludf.DUMMYFUNCTION("""COMPUTED_VALUE"""),"VZN Master Carton Label")</f>
        <v>VZN Master Carton Label</v>
      </c>
      <c r="L215" s="182" t="str">
        <f>IFERROR(__xludf.DUMMYFUNCTION("""COMPUTED_VALUE"""),"VZN Pallet Label -&gt; BTS(Normal case)")</f>
        <v>VZN Pallet Label -&gt; BTS(Normal case)</v>
      </c>
      <c r="M215" s="188" t="str">
        <f>IFERROR(__xludf.DUMMYFUNCTION("""COMPUTED_VALUE"""),"G990-08499-14-02")</f>
        <v>G990-08499-14-02</v>
      </c>
      <c r="N215" s="188" t="str">
        <f>IFERROR(__xludf.DUMMYFUNCTION("""COMPUTED_VALUE"""),"G990-08505-11-01")</f>
        <v>G990-08505-11-01</v>
      </c>
      <c r="O215" s="182"/>
      <c r="P215" s="182" t="str">
        <f>IFERROR(__xludf.DUMMYFUNCTION("""COMPUTED_VALUE"""),"1TB")</f>
        <v>1TB</v>
      </c>
      <c r="Q215" s="182" t="str">
        <f>IFERROR(__xludf.DUMMYFUNCTION("""COMPUTED_VALUE"""),"Obsidian")</f>
        <v>Obsidian</v>
      </c>
      <c r="R215" s="182" t="str">
        <f>IFERROR(__xludf.DUMMYFUNCTION("""COMPUTED_VALUE"""),"Midnight")</f>
        <v>Midnight</v>
      </c>
      <c r="S215" s="182" t="str">
        <f>IFERROR(__xludf.DUMMYFUNCTION("""COMPUTED_VALUE"""),"US-VZW")</f>
        <v>US-VZW</v>
      </c>
      <c r="T215" s="182" t="str">
        <f>IFERROR(__xludf.DUMMYFUNCTION("""COMPUTED_VALUE"""),"SKU,CLR1, ULTRA, MMWAVE, VZW, BZ5")</f>
        <v>SKU,CLR1, ULTRA, MMWAVE, VZW, BZ5</v>
      </c>
      <c r="U215" s="182"/>
      <c r="V215" s="183" t="str">
        <f>IFERROR(__xludf.DUMMYFUNCTION("""COMPUTED_VALUE"""),"#NUM!")</f>
        <v>#NUM!</v>
      </c>
      <c r="W215" s="186">
        <f>IFERROR(__xludf.DUMMYFUNCTION("""COMPUTED_VALUE"""),45831.0)</f>
        <v>45831</v>
      </c>
      <c r="X215" s="187">
        <f>IFERROR(__xludf.DUMMYFUNCTION("""COMPUTED_VALUE"""),45745.0)</f>
        <v>45745</v>
      </c>
      <c r="Y215" s="182" t="b">
        <f>IFERROR(__xludf.DUMMYFUNCTION("""COMPUTED_VALUE"""),FALSE)</f>
        <v>0</v>
      </c>
      <c r="Z215" s="187">
        <f>IFERROR(__xludf.DUMMYFUNCTION("""COMPUTED_VALUE"""),45746.0)</f>
        <v>45746</v>
      </c>
      <c r="AA215" s="182" t="b">
        <f>IFERROR(__xludf.DUMMYFUNCTION("""COMPUTED_VALUE"""),FALSE)</f>
        <v>0</v>
      </c>
      <c r="AB215" s="187">
        <f>IFERROR(__xludf.DUMMYFUNCTION("""COMPUTED_VALUE"""),45752.0)</f>
        <v>45752</v>
      </c>
      <c r="AC215" s="187">
        <f>IFERROR(__xludf.DUMMYFUNCTION("""COMPUTED_VALUE"""),45752.0)</f>
        <v>45752</v>
      </c>
      <c r="AD215" s="187">
        <f>IFERROR(__xludf.DUMMYFUNCTION("""COMPUTED_VALUE"""),45758.0)</f>
        <v>45758</v>
      </c>
      <c r="AE215" s="182"/>
      <c r="AF215" s="182"/>
      <c r="AG215" s="182"/>
      <c r="AH215" s="182"/>
      <c r="AI215" s="187">
        <f>IFERROR(__xludf.DUMMYFUNCTION("""COMPUTED_VALUE"""),45780.0)</f>
        <v>45780</v>
      </c>
      <c r="AJ215" s="182" t="b">
        <f>IFERROR(__xludf.DUMMYFUNCTION("""COMPUTED_VALUE"""),FALSE)</f>
        <v>0</v>
      </c>
      <c r="AK215" s="182" t="b">
        <f>IFERROR(__xludf.DUMMYFUNCTION("""COMPUTED_VALUE"""),FALSE)</f>
        <v>0</v>
      </c>
      <c r="AL215" s="187">
        <f>IFERROR(__xludf.DUMMYFUNCTION("""COMPUTED_VALUE"""),45780.0)</f>
        <v>45780</v>
      </c>
      <c r="AM215" s="182" t="b">
        <f>IFERROR(__xludf.DUMMYFUNCTION("""COMPUTED_VALUE"""),FALSE)</f>
        <v>0</v>
      </c>
      <c r="AN215" s="182"/>
      <c r="AO215" s="182"/>
      <c r="AP215" s="187">
        <f>IFERROR(__xludf.DUMMYFUNCTION("""COMPUTED_VALUE"""),45780.0)</f>
        <v>45780</v>
      </c>
      <c r="AQ215" s="182" t="b">
        <f>IFERROR(__xludf.DUMMYFUNCTION("""COMPUTED_VALUE"""),FALSE)</f>
        <v>0</v>
      </c>
      <c r="AR215" s="182"/>
      <c r="AS215" s="182"/>
      <c r="AT215" s="187">
        <f>IFERROR(__xludf.DUMMYFUNCTION("""COMPUTED_VALUE"""),45780.0)</f>
        <v>45780</v>
      </c>
      <c r="AU215" s="182"/>
      <c r="AV215" s="182"/>
      <c r="AW215" s="187">
        <f>IFERROR(__xludf.DUMMYFUNCTION("""COMPUTED_VALUE"""),45827.0)</f>
        <v>45827</v>
      </c>
      <c r="AX215" s="187">
        <f>IFERROR(__xludf.DUMMYFUNCTION("""COMPUTED_VALUE"""),45827.0)</f>
        <v>45827</v>
      </c>
      <c r="AY215" s="182" t="b">
        <f>IFERROR(__xludf.DUMMYFUNCTION("""COMPUTED_VALUE"""),FALSE)</f>
        <v>0</v>
      </c>
      <c r="AZ215" s="182"/>
      <c r="BA215" s="182"/>
      <c r="BB215" s="182"/>
    </row>
    <row r="216">
      <c r="A216" s="184" t="str">
        <f t="shared" si="1"/>
        <v>G990-08499-42-A</v>
      </c>
      <c r="B216" s="191" t="str">
        <f t="shared" si="3"/>
        <v>G990-08505-11-A</v>
      </c>
      <c r="C216" s="182" t="str">
        <f>IFERROR(__xludf.DUMMYFUNCTION("""COMPUTED_VALUE"""),"VZW")</f>
        <v>VZW</v>
      </c>
      <c r="D216" s="182" t="str">
        <f>IFERROR(__xludf.DUMMYFUNCTION("""COMPUTED_VALUE"""),"MP")</f>
        <v>MP</v>
      </c>
      <c r="E216" s="182" t="str">
        <f>IFERROR(__xludf.DUMMYFUNCTION("""COMPUTED_VALUE"""),"Pristine")</f>
        <v>Pristine</v>
      </c>
      <c r="F216" s="182" t="str">
        <f>IFERROR(__xludf.DUMMYFUNCTION("""COMPUTED_VALUE"""),"GA10279-US")</f>
        <v>GA10279-US</v>
      </c>
      <c r="G216" s="182" t="str">
        <f>IFERROR(__xludf.DUMMYFUNCTION("""COMPUTED_VALUE"""),"G4QUR")</f>
        <v>G4QUR</v>
      </c>
      <c r="H216" s="182">
        <f>IFERROR(__xludf.DUMMYFUNCTION("""COMPUTED_VALUE"""),8.40353925342E11)</f>
        <v>840353925342</v>
      </c>
      <c r="I216" s="185" t="str">
        <f>IFERROR(__xludf.DUMMYFUNCTION("""COMPUTED_VALUE"""),"0840353925342")</f>
        <v>0840353925342</v>
      </c>
      <c r="J216" s="182"/>
      <c r="K216" s="182" t="str">
        <f>IFERROR(__xludf.DUMMYFUNCTION("""COMPUTED_VALUE"""),"VZN Master Carton Label")</f>
        <v>VZN Master Carton Label</v>
      </c>
      <c r="L216" s="182" t="str">
        <f>IFERROR(__xludf.DUMMYFUNCTION("""COMPUTED_VALUE"""),"VZN Pallet Label -&gt; BTS(Normal case)")</f>
        <v>VZN Pallet Label -&gt; BTS(Normal case)</v>
      </c>
      <c r="M216" s="182" t="str">
        <f>IFERROR(__xludf.DUMMYFUNCTION("""COMPUTED_VALUE"""),"G990-08499-42-02
G990-08499-42-A")</f>
        <v>G990-08499-42-02
G990-08499-42-A</v>
      </c>
      <c r="N216" s="182" t="str">
        <f>IFERROR(__xludf.DUMMYFUNCTION("""COMPUTED_VALUE"""),"G990-08505-11-01
G990-08505-11-A")</f>
        <v>G990-08505-11-01
G990-08505-11-A</v>
      </c>
      <c r="O216" s="182" t="str">
        <f>IFERROR(__xludf.DUMMYFUNCTION("""COMPUTED_VALUE"""),"BOB→A
Retail→A")</f>
        <v>BOB→A
Retail→A</v>
      </c>
      <c r="P216" s="182" t="str">
        <f>IFERROR(__xludf.DUMMYFUNCTION("""COMPUTED_VALUE"""),"256GB")</f>
        <v>256GB</v>
      </c>
      <c r="Q216" s="182" t="str">
        <f>IFERROR(__xludf.DUMMYFUNCTION("""COMPUTED_VALUE"""),"Jade")</f>
        <v>Jade</v>
      </c>
      <c r="R216" s="182" t="str">
        <f>IFERROR(__xludf.DUMMYFUNCTION("""COMPUTED_VALUE"""),"Smokey Green")</f>
        <v>Smokey Green</v>
      </c>
      <c r="S216" s="182" t="str">
        <f>IFERROR(__xludf.DUMMYFUNCTION("""COMPUTED_VALUE"""),"US-VZW")</f>
        <v>US-VZW</v>
      </c>
      <c r="T216" s="182" t="str">
        <f>IFERROR(__xludf.DUMMYFUNCTION("""COMPUTED_VALUE"""),"SKU,CLR4, BETTER, MMWAVE, VZW, US, BZ5")</f>
        <v>SKU,CLR4, BETTER, MMWAVE, VZW, US, BZ5</v>
      </c>
      <c r="U216" s="182"/>
      <c r="V216" s="183" t="str">
        <f>IFERROR(__xludf.DUMMYFUNCTION("""COMPUTED_VALUE"""),"#NUM!")</f>
        <v>#NUM!</v>
      </c>
      <c r="W216" s="186">
        <f>IFERROR(__xludf.DUMMYFUNCTION("""COMPUTED_VALUE"""),45831.0)</f>
        <v>45831</v>
      </c>
      <c r="X216" s="187">
        <f>IFERROR(__xludf.DUMMYFUNCTION("""COMPUTED_VALUE"""),45745.0)</f>
        <v>45745</v>
      </c>
      <c r="Y216" s="182" t="b">
        <f>IFERROR(__xludf.DUMMYFUNCTION("""COMPUTED_VALUE"""),TRUE)</f>
        <v>1</v>
      </c>
      <c r="Z216" s="187">
        <f>IFERROR(__xludf.DUMMYFUNCTION("""COMPUTED_VALUE"""),45746.0)</f>
        <v>45746</v>
      </c>
      <c r="AA216" s="182" t="b">
        <f>IFERROR(__xludf.DUMMYFUNCTION("""COMPUTED_VALUE"""),FALSE)</f>
        <v>0</v>
      </c>
      <c r="AB216" s="187">
        <f>IFERROR(__xludf.DUMMYFUNCTION("""COMPUTED_VALUE"""),45752.0)</f>
        <v>45752</v>
      </c>
      <c r="AC216" s="187">
        <f>IFERROR(__xludf.DUMMYFUNCTION("""COMPUTED_VALUE"""),45752.0)</f>
        <v>45752</v>
      </c>
      <c r="AD216" s="187">
        <f>IFERROR(__xludf.DUMMYFUNCTION("""COMPUTED_VALUE"""),45758.0)</f>
        <v>45758</v>
      </c>
      <c r="AE216" s="182" t="str">
        <f>IFERROR(__xludf.DUMMYFUNCTION("""COMPUTED_VALUE"""),"GA10279-US
GA10279-US RevA")</f>
        <v>GA10279-US
GA10279-US RevA</v>
      </c>
      <c r="AF216" s="188" t="str">
        <f>IFERROR(__xludf.DUMMYFUNCTION("""COMPUTED_VALUE"""),"GA10279-US")</f>
        <v>GA10279-US</v>
      </c>
      <c r="AG216" s="182" t="str">
        <f>IFERROR(__xludf.DUMMYFUNCTION("""COMPUTED_VALUE"""),"GA10279-US
GA10279-US RevA")</f>
        <v>GA10279-US
GA10279-US RevA</v>
      </c>
      <c r="AH216" s="188" t="str">
        <f>IFERROR(__xludf.DUMMYFUNCTION("""COMPUTED_VALUE"""),"GA10279-US")</f>
        <v>GA10279-US</v>
      </c>
      <c r="AI216" s="187">
        <f>IFERROR(__xludf.DUMMYFUNCTION("""COMPUTED_VALUE"""),45780.0)</f>
        <v>45780</v>
      </c>
      <c r="AJ216" s="182" t="b">
        <f>IFERROR(__xludf.DUMMYFUNCTION("""COMPUTED_VALUE"""),TRUE)</f>
        <v>1</v>
      </c>
      <c r="AK216" s="182" t="b">
        <f>IFERROR(__xludf.DUMMYFUNCTION("""COMPUTED_VALUE"""),TRUE)</f>
        <v>1</v>
      </c>
      <c r="AL216" s="187">
        <f>IFERROR(__xludf.DUMMYFUNCTION("""COMPUTED_VALUE"""),45780.0)</f>
        <v>45780</v>
      </c>
      <c r="AM216" s="182" t="b">
        <f>IFERROR(__xludf.DUMMYFUNCTION("""COMPUTED_VALUE"""),TRUE)</f>
        <v>1</v>
      </c>
      <c r="AN216" s="182" t="str">
        <f>IFERROR(__xludf.DUMMYFUNCTION("""COMPUTED_VALUE"""),"N")</f>
        <v>N</v>
      </c>
      <c r="AO216" s="182"/>
      <c r="AP216" s="187">
        <f>IFERROR(__xludf.DUMMYFUNCTION("""COMPUTED_VALUE"""),45780.0)</f>
        <v>45780</v>
      </c>
      <c r="AQ216" s="182" t="b">
        <f>IFERROR(__xludf.DUMMYFUNCTION("""COMPUTED_VALUE"""),TRUE)</f>
        <v>1</v>
      </c>
      <c r="AR216" s="182" t="str">
        <f>IFERROR(__xludf.DUMMYFUNCTION("""COMPUTED_VALUE"""),"N")</f>
        <v>N</v>
      </c>
      <c r="AS216" s="182"/>
      <c r="AT216" s="187">
        <f>IFERROR(__xludf.DUMMYFUNCTION("""COMPUTED_VALUE"""),45780.0)</f>
        <v>45780</v>
      </c>
      <c r="AU216" s="182"/>
      <c r="AV216" s="182"/>
      <c r="AW216" s="187">
        <f>IFERROR(__xludf.DUMMYFUNCTION("""COMPUTED_VALUE"""),45827.0)</f>
        <v>45827</v>
      </c>
      <c r="AX216" s="187">
        <f>IFERROR(__xludf.DUMMYFUNCTION("""COMPUTED_VALUE"""),45827.0)</f>
        <v>45827</v>
      </c>
      <c r="AY216" s="182" t="b">
        <f>IFERROR(__xludf.DUMMYFUNCTION("""COMPUTED_VALUE"""),FALSE)</f>
        <v>0</v>
      </c>
      <c r="AZ216" s="182"/>
      <c r="BA216" s="182"/>
      <c r="BB216" s="182"/>
    </row>
    <row r="217">
      <c r="A217" s="184" t="str">
        <f t="shared" si="1"/>
        <v>#VALUE!</v>
      </c>
      <c r="B217" s="69" t="str">
        <f t="shared" si="3"/>
        <v>#VALUE!</v>
      </c>
      <c r="C217" s="182" t="str">
        <f>IFERROR(__xludf.DUMMYFUNCTION("""COMPUTED_VALUE"""),"VZW")</f>
        <v>VZW</v>
      </c>
      <c r="D217" s="182" t="str">
        <f>IFERROR(__xludf.DUMMYFUNCTION("""COMPUTED_VALUE"""),"MP")</f>
        <v>MP</v>
      </c>
      <c r="E217" s="182" t="str">
        <f>IFERROR(__xludf.DUMMYFUNCTION("""COMPUTED_VALUE"""),"Pristine")</f>
        <v>Pristine</v>
      </c>
      <c r="F217" s="182" t="str">
        <f>IFERROR(__xludf.DUMMYFUNCTION("""COMPUTED_VALUE"""),"GA10283-US")</f>
        <v>GA10283-US</v>
      </c>
      <c r="G217" s="182" t="str">
        <f>IFERROR(__xludf.DUMMYFUNCTION("""COMPUTED_VALUE"""),"G4QUR")</f>
        <v>G4QUR</v>
      </c>
      <c r="H217" s="182">
        <f>IFERROR(__xludf.DUMMYFUNCTION("""COMPUTED_VALUE"""),8.40353925373E11)</f>
        <v>840353925373</v>
      </c>
      <c r="I217" s="185" t="str">
        <f>IFERROR(__xludf.DUMMYFUNCTION("""COMPUTED_VALUE"""),"0840353925373")</f>
        <v>0840353925373</v>
      </c>
      <c r="J217" s="182"/>
      <c r="K217" s="182" t="str">
        <f>IFERROR(__xludf.DUMMYFUNCTION("""COMPUTED_VALUE"""),"VZN Master Carton Label")</f>
        <v>VZN Master Carton Label</v>
      </c>
      <c r="L217" s="182" t="str">
        <f>IFERROR(__xludf.DUMMYFUNCTION("""COMPUTED_VALUE"""),"VZN Pallet Label -&gt; BTS(Normal case)")</f>
        <v>VZN Pallet Label -&gt; BTS(Normal case)</v>
      </c>
      <c r="M217" s="188" t="str">
        <f>IFERROR(__xludf.DUMMYFUNCTION("""COMPUTED_VALUE"""),"G990-08499-34-02")</f>
        <v>G990-08499-34-02</v>
      </c>
      <c r="N217" s="188" t="str">
        <f>IFERROR(__xludf.DUMMYFUNCTION("""COMPUTED_VALUE"""),"G990-08505-11-01")</f>
        <v>G990-08505-11-01</v>
      </c>
      <c r="O217" s="182"/>
      <c r="P217" s="182" t="str">
        <f>IFERROR(__xludf.DUMMYFUNCTION("""COMPUTED_VALUE"""),"1TB")</f>
        <v>1TB</v>
      </c>
      <c r="Q217" s="182" t="str">
        <f>IFERROR(__xludf.DUMMYFUNCTION("""COMPUTED_VALUE"""),"Moonstone")</f>
        <v>Moonstone</v>
      </c>
      <c r="R217" s="182" t="str">
        <f>IFERROR(__xludf.DUMMYFUNCTION("""COMPUTED_VALUE"""),"Sterling")</f>
        <v>Sterling</v>
      </c>
      <c r="S217" s="182" t="str">
        <f>IFERROR(__xludf.DUMMYFUNCTION("""COMPUTED_VALUE"""),"US-VZW")</f>
        <v>US-VZW</v>
      </c>
      <c r="T217" s="182" t="str">
        <f>IFERROR(__xludf.DUMMYFUNCTION("""COMPUTED_VALUE"""),"SKU,CLR3, ULTRA, MMWAVE, VZW, US, BZ5")</f>
        <v>SKU,CLR3, ULTRA, MMWAVE, VZW, US, BZ5</v>
      </c>
      <c r="U217" s="182"/>
      <c r="V217" s="183" t="str">
        <f>IFERROR(__xludf.DUMMYFUNCTION("""COMPUTED_VALUE"""),"#NUM!")</f>
        <v>#NUM!</v>
      </c>
      <c r="W217" s="186">
        <f>IFERROR(__xludf.DUMMYFUNCTION("""COMPUTED_VALUE"""),45831.0)</f>
        <v>45831</v>
      </c>
      <c r="X217" s="187">
        <f>IFERROR(__xludf.DUMMYFUNCTION("""COMPUTED_VALUE"""),45745.0)</f>
        <v>45745</v>
      </c>
      <c r="Y217" s="182" t="b">
        <f>IFERROR(__xludf.DUMMYFUNCTION("""COMPUTED_VALUE"""),FALSE)</f>
        <v>0</v>
      </c>
      <c r="Z217" s="187">
        <f>IFERROR(__xludf.DUMMYFUNCTION("""COMPUTED_VALUE"""),45746.0)</f>
        <v>45746</v>
      </c>
      <c r="AA217" s="182" t="b">
        <f>IFERROR(__xludf.DUMMYFUNCTION("""COMPUTED_VALUE"""),FALSE)</f>
        <v>0</v>
      </c>
      <c r="AB217" s="187">
        <f>IFERROR(__xludf.DUMMYFUNCTION("""COMPUTED_VALUE"""),45752.0)</f>
        <v>45752</v>
      </c>
      <c r="AC217" s="187">
        <f>IFERROR(__xludf.DUMMYFUNCTION("""COMPUTED_VALUE"""),45752.0)</f>
        <v>45752</v>
      </c>
      <c r="AD217" s="187">
        <f>IFERROR(__xludf.DUMMYFUNCTION("""COMPUTED_VALUE"""),45758.0)</f>
        <v>45758</v>
      </c>
      <c r="AE217" s="182"/>
      <c r="AF217" s="182"/>
      <c r="AG217" s="182"/>
      <c r="AH217" s="182"/>
      <c r="AI217" s="187">
        <f>IFERROR(__xludf.DUMMYFUNCTION("""COMPUTED_VALUE"""),45780.0)</f>
        <v>45780</v>
      </c>
      <c r="AJ217" s="182" t="b">
        <f>IFERROR(__xludf.DUMMYFUNCTION("""COMPUTED_VALUE"""),FALSE)</f>
        <v>0</v>
      </c>
      <c r="AK217" s="182" t="b">
        <f>IFERROR(__xludf.DUMMYFUNCTION("""COMPUTED_VALUE"""),FALSE)</f>
        <v>0</v>
      </c>
      <c r="AL217" s="187">
        <f>IFERROR(__xludf.DUMMYFUNCTION("""COMPUTED_VALUE"""),45780.0)</f>
        <v>45780</v>
      </c>
      <c r="AM217" s="182" t="b">
        <f>IFERROR(__xludf.DUMMYFUNCTION("""COMPUTED_VALUE"""),FALSE)</f>
        <v>0</v>
      </c>
      <c r="AN217" s="182"/>
      <c r="AO217" s="182"/>
      <c r="AP217" s="187">
        <f>IFERROR(__xludf.DUMMYFUNCTION("""COMPUTED_VALUE"""),45780.0)</f>
        <v>45780</v>
      </c>
      <c r="AQ217" s="182" t="b">
        <f>IFERROR(__xludf.DUMMYFUNCTION("""COMPUTED_VALUE"""),FALSE)</f>
        <v>0</v>
      </c>
      <c r="AR217" s="182"/>
      <c r="AS217" s="182"/>
      <c r="AT217" s="187">
        <f>IFERROR(__xludf.DUMMYFUNCTION("""COMPUTED_VALUE"""),45780.0)</f>
        <v>45780</v>
      </c>
      <c r="AU217" s="182"/>
      <c r="AV217" s="182"/>
      <c r="AW217" s="187">
        <f>IFERROR(__xludf.DUMMYFUNCTION("""COMPUTED_VALUE"""),45827.0)</f>
        <v>45827</v>
      </c>
      <c r="AX217" s="187">
        <f>IFERROR(__xludf.DUMMYFUNCTION("""COMPUTED_VALUE"""),45827.0)</f>
        <v>45827</v>
      </c>
      <c r="AY217" s="182" t="b">
        <f>IFERROR(__xludf.DUMMYFUNCTION("""COMPUTED_VALUE"""),FALSE)</f>
        <v>0</v>
      </c>
      <c r="AZ217" s="182"/>
      <c r="BA217" s="182"/>
      <c r="BB217" s="182"/>
    </row>
    <row r="218">
      <c r="A218" s="184" t="str">
        <f t="shared" si="1"/>
        <v>G990-08499-11-A</v>
      </c>
      <c r="B218" s="191" t="str">
        <f t="shared" si="3"/>
        <v>G990-08504-11-A</v>
      </c>
      <c r="C218" s="182" t="str">
        <f>IFERROR(__xludf.DUMMYFUNCTION("""COMPUTED_VALUE"""),"ATT")</f>
        <v>ATT</v>
      </c>
      <c r="D218" s="182" t="str">
        <f>IFERROR(__xludf.DUMMYFUNCTION("""COMPUTED_VALUE"""),"MP")</f>
        <v>MP</v>
      </c>
      <c r="E218" s="182" t="str">
        <f>IFERROR(__xludf.DUMMYFUNCTION("""COMPUTED_VALUE"""),"Pristine")</f>
        <v>Pristine</v>
      </c>
      <c r="F218" s="182" t="str">
        <f>IFERROR(__xludf.DUMMYFUNCTION("""COMPUTED_VALUE"""),"GA09885-US")</f>
        <v>GA09885-US</v>
      </c>
      <c r="G218" s="182" t="str">
        <f>IFERROR(__xludf.DUMMYFUNCTION("""COMPUTED_VALUE"""),"G4QUR")</f>
        <v>G4QUR</v>
      </c>
      <c r="H218" s="185" t="str">
        <f>IFERROR(__xludf.DUMMYFUNCTION("""COMPUTED_VALUE"""),"840353925069")</f>
        <v>840353925069</v>
      </c>
      <c r="I218" s="185" t="str">
        <f>IFERROR(__xludf.DUMMYFUNCTION("""COMPUTED_VALUE"""),"0840353925069")</f>
        <v>0840353925069</v>
      </c>
      <c r="J218" s="182" t="str">
        <f>IFERROR(__xludf.DUMMYFUNCTION("""COMPUTED_VALUE"""),"6993E")</f>
        <v>6993E</v>
      </c>
      <c r="K218" s="182" t="str">
        <f>IFERROR(__xludf.DUMMYFUNCTION("""COMPUTED_VALUE"""),"MasterCartonLabel_IMEI-EID_ATT_FIH")</f>
        <v>MasterCartonLabel_IMEI-EID_ATT_FIH</v>
      </c>
      <c r="L218" s="182" t="str">
        <f>IFERROR(__xludf.DUMMYFUNCTION("""COMPUTED_VALUE"""),"ATT Pallet label -&gt; BTS(Normal case)
ATT Pallet Label -&gt; BTO(EDI)")</f>
        <v>ATT Pallet label -&gt; BTS(Normal case)
ATT Pallet Label -&gt; BTO(EDI)</v>
      </c>
      <c r="M218" s="182" t="str">
        <f>IFERROR(__xludf.DUMMYFUNCTION("""COMPUTED_VALUE"""),"G990-08499-11-02
G990-08499-11-A")</f>
        <v>G990-08499-11-02
G990-08499-11-A</v>
      </c>
      <c r="N218" s="182" t="str">
        <f>IFERROR(__xludf.DUMMYFUNCTION("""COMPUTED_VALUE"""),"G990-08504-11-01
G990-08504-11-A")</f>
        <v>G990-08504-11-01
G990-08504-11-A</v>
      </c>
      <c r="O218" s="182" t="str">
        <f>IFERROR(__xludf.DUMMYFUNCTION("""COMPUTED_VALUE"""),"BOB→A
Retail→A")</f>
        <v>BOB→A
Retail→A</v>
      </c>
      <c r="P218" s="182" t="str">
        <f>IFERROR(__xludf.DUMMYFUNCTION("""COMPUTED_VALUE"""),"128GB")</f>
        <v>128GB</v>
      </c>
      <c r="Q218" s="182" t="str">
        <f>IFERROR(__xludf.DUMMYFUNCTION("""COMPUTED_VALUE"""),"Obsidian")</f>
        <v>Obsidian</v>
      </c>
      <c r="R218" s="182" t="str">
        <f>IFERROR(__xludf.DUMMYFUNCTION("""COMPUTED_VALUE"""),"Midnight")</f>
        <v>Midnight</v>
      </c>
      <c r="S218" s="182" t="str">
        <f>IFERROR(__xludf.DUMMYFUNCTION("""COMPUTED_VALUE"""),"US - AT&amp;T")</f>
        <v>US - AT&amp;T</v>
      </c>
      <c r="T218" s="182" t="str">
        <f>IFERROR(__xludf.DUMMYFUNCTION("""COMPUTED_VALUE"""),"SKU,CLR1, GOOD, MMWAVE, ATT, BZ5")</f>
        <v>SKU,CLR1, GOOD, MMWAVE, ATT, BZ5</v>
      </c>
      <c r="U218" s="182"/>
      <c r="V218" s="183" t="str">
        <f>IFERROR(__xludf.DUMMYFUNCTION("""COMPUTED_VALUE"""),"#NUM!")</f>
        <v>#NUM!</v>
      </c>
      <c r="W218" s="186">
        <f>IFERROR(__xludf.DUMMYFUNCTION("""COMPUTED_VALUE"""),45831.0)</f>
        <v>45831</v>
      </c>
      <c r="X218" s="187">
        <f>IFERROR(__xludf.DUMMYFUNCTION("""COMPUTED_VALUE"""),45745.0)</f>
        <v>45745</v>
      </c>
      <c r="Y218" s="182" t="b">
        <f>IFERROR(__xludf.DUMMYFUNCTION("""COMPUTED_VALUE"""),TRUE)</f>
        <v>1</v>
      </c>
      <c r="Z218" s="187">
        <f>IFERROR(__xludf.DUMMYFUNCTION("""COMPUTED_VALUE"""),45746.0)</f>
        <v>45746</v>
      </c>
      <c r="AA218" s="182" t="b">
        <f>IFERROR(__xludf.DUMMYFUNCTION("""COMPUTED_VALUE"""),FALSE)</f>
        <v>0</v>
      </c>
      <c r="AB218" s="187">
        <f>IFERROR(__xludf.DUMMYFUNCTION("""COMPUTED_VALUE"""),45752.0)</f>
        <v>45752</v>
      </c>
      <c r="AC218" s="187">
        <f>IFERROR(__xludf.DUMMYFUNCTION("""COMPUTED_VALUE"""),45752.0)</f>
        <v>45752</v>
      </c>
      <c r="AD218" s="187">
        <f>IFERROR(__xludf.DUMMYFUNCTION("""COMPUTED_VALUE"""),45758.0)</f>
        <v>45758</v>
      </c>
      <c r="AE218" s="182" t="str">
        <f>IFERROR(__xludf.DUMMYFUNCTION("""COMPUTED_VALUE"""),"GA09885-US
GA09885-US RevA ")</f>
        <v>GA09885-US
GA09885-US RevA </v>
      </c>
      <c r="AF218" s="188" t="str">
        <f>IFERROR(__xludf.DUMMYFUNCTION("""COMPUTED_VALUE"""),"GA09885-US")</f>
        <v>GA09885-US</v>
      </c>
      <c r="AG218" s="182" t="str">
        <f>IFERROR(__xludf.DUMMYFUNCTION("""COMPUTED_VALUE"""),"GA09885-US
GA09885-US RevA")</f>
        <v>GA09885-US
GA09885-US RevA</v>
      </c>
      <c r="AH218" s="188" t="str">
        <f>IFERROR(__xludf.DUMMYFUNCTION("""COMPUTED_VALUE"""),"GA09885-US")</f>
        <v>GA09885-US</v>
      </c>
      <c r="AI218" s="187">
        <f>IFERROR(__xludf.DUMMYFUNCTION("""COMPUTED_VALUE"""),45780.0)</f>
        <v>45780</v>
      </c>
      <c r="AJ218" s="182" t="b">
        <f>IFERROR(__xludf.DUMMYFUNCTION("""COMPUTED_VALUE"""),TRUE)</f>
        <v>1</v>
      </c>
      <c r="AK218" s="182" t="b">
        <f>IFERROR(__xludf.DUMMYFUNCTION("""COMPUTED_VALUE"""),TRUE)</f>
        <v>1</v>
      </c>
      <c r="AL218" s="187">
        <f>IFERROR(__xludf.DUMMYFUNCTION("""COMPUTED_VALUE"""),45780.0)</f>
        <v>45780</v>
      </c>
      <c r="AM218" s="182" t="b">
        <f>IFERROR(__xludf.DUMMYFUNCTION("""COMPUTED_VALUE"""),TRUE)</f>
        <v>1</v>
      </c>
      <c r="AN218" s="182" t="str">
        <f>IFERROR(__xludf.DUMMYFUNCTION("""COMPUTED_VALUE"""),"Y")</f>
        <v>Y</v>
      </c>
      <c r="AO218" s="182"/>
      <c r="AP218" s="187">
        <f>IFERROR(__xludf.DUMMYFUNCTION("""COMPUTED_VALUE"""),45780.0)</f>
        <v>45780</v>
      </c>
      <c r="AQ218" s="182" t="b">
        <f>IFERROR(__xludf.DUMMYFUNCTION("""COMPUTED_VALUE"""),TRUE)</f>
        <v>1</v>
      </c>
      <c r="AR218" s="182" t="str">
        <f>IFERROR(__xludf.DUMMYFUNCTION("""COMPUTED_VALUE"""),"N")</f>
        <v>N</v>
      </c>
      <c r="AS218" s="182"/>
      <c r="AT218" s="187">
        <f>IFERROR(__xludf.DUMMYFUNCTION("""COMPUTED_VALUE"""),45780.0)</f>
        <v>45780</v>
      </c>
      <c r="AU218" s="182" t="str">
        <f>IFERROR(__xludf.DUMMYFUNCTION("""COMPUTED_VALUE"""),"Y")</f>
        <v>Y</v>
      </c>
      <c r="AV218" s="182"/>
      <c r="AW218" s="187">
        <f>IFERROR(__xludf.DUMMYFUNCTION("""COMPUTED_VALUE"""),45827.0)</f>
        <v>45827</v>
      </c>
      <c r="AX218" s="187">
        <f>IFERROR(__xludf.DUMMYFUNCTION("""COMPUTED_VALUE"""),45827.0)</f>
        <v>45827</v>
      </c>
      <c r="AY218" s="182" t="b">
        <f>IFERROR(__xludf.DUMMYFUNCTION("""COMPUTED_VALUE"""),FALSE)</f>
        <v>0</v>
      </c>
      <c r="AZ218" s="182"/>
      <c r="BA218" s="182"/>
      <c r="BB218" s="182"/>
    </row>
    <row r="219">
      <c r="A219" s="184" t="str">
        <f t="shared" si="1"/>
        <v>#VALUE!</v>
      </c>
      <c r="B219" s="69" t="str">
        <f t="shared" si="3"/>
        <v>#VALUE!</v>
      </c>
      <c r="C219" s="182" t="str">
        <f>IFERROR(__xludf.DUMMYFUNCTION("""COMPUTED_VALUE"""),"ATT")</f>
        <v>ATT</v>
      </c>
      <c r="D219" s="182" t="str">
        <f>IFERROR(__xludf.DUMMYFUNCTION("""COMPUTED_VALUE"""),"MP")</f>
        <v>MP</v>
      </c>
      <c r="E219" s="182" t="str">
        <f>IFERROR(__xludf.DUMMYFUNCTION("""COMPUTED_VALUE"""),"Pristine")</f>
        <v>Pristine</v>
      </c>
      <c r="F219" s="182" t="str">
        <f>IFERROR(__xludf.DUMMYFUNCTION("""COMPUTED_VALUE"""),"GA10284-US")</f>
        <v>GA10284-US</v>
      </c>
      <c r="G219" s="182" t="str">
        <f>IFERROR(__xludf.DUMMYFUNCTION("""COMPUTED_VALUE"""),"G4QUR")</f>
        <v>G4QUR</v>
      </c>
      <c r="H219" s="182">
        <f>IFERROR(__xludf.DUMMYFUNCTION("""COMPUTED_VALUE"""),8.40353925076E11)</f>
        <v>840353925076</v>
      </c>
      <c r="I219" s="185" t="str">
        <f>IFERROR(__xludf.DUMMYFUNCTION("""COMPUTED_VALUE"""),"0840353925076")</f>
        <v>0840353925076</v>
      </c>
      <c r="J219" s="182"/>
      <c r="K219" s="182" t="str">
        <f>IFERROR(__xludf.DUMMYFUNCTION("""COMPUTED_VALUE"""),"MasterCartonLabel_IMEI-EID_ATT_FIH")</f>
        <v>MasterCartonLabel_IMEI-EID_ATT_FIH</v>
      </c>
      <c r="L219" s="182" t="str">
        <f>IFERROR(__xludf.DUMMYFUNCTION("""COMPUTED_VALUE"""),"ATT Pallet label -&gt; BTS(Normal case)
ATT Pallet Label -&gt; BTO(EDI)")</f>
        <v>ATT Pallet label -&gt; BTS(Normal case)
ATT Pallet Label -&gt; BTO(EDI)</v>
      </c>
      <c r="M219" s="188" t="str">
        <f>IFERROR(__xludf.DUMMYFUNCTION("""COMPUTED_VALUE"""),"G990-08499-21-02")</f>
        <v>G990-08499-21-02</v>
      </c>
      <c r="N219" s="188" t="str">
        <f>IFERROR(__xludf.DUMMYFUNCTION("""COMPUTED_VALUE"""),"G990-08504-21-01")</f>
        <v>G990-08504-21-01</v>
      </c>
      <c r="O219" s="182"/>
      <c r="P219" s="182" t="str">
        <f>IFERROR(__xludf.DUMMYFUNCTION("""COMPUTED_VALUE"""),"128GB")</f>
        <v>128GB</v>
      </c>
      <c r="Q219" s="182"/>
      <c r="R219" s="182" t="str">
        <f>IFERROR(__xludf.DUMMYFUNCTION("""COMPUTED_VALUE"""),"Light Porcelain")</f>
        <v>Light Porcelain</v>
      </c>
      <c r="S219" s="182" t="str">
        <f>IFERROR(__xludf.DUMMYFUNCTION("""COMPUTED_VALUE"""),"US - AT&amp;T")</f>
        <v>US - AT&amp;T</v>
      </c>
      <c r="T219" s="182" t="str">
        <f>IFERROR(__xludf.DUMMYFUNCTION("""COMPUTED_VALUE"""),"SKU,CLR2, GOOD, MMWAVE, AT&amp;T, US, BZ5")</f>
        <v>SKU,CLR2, GOOD, MMWAVE, AT&amp;T, US, BZ5</v>
      </c>
      <c r="U219" s="182"/>
      <c r="V219" s="183" t="str">
        <f>IFERROR(__xludf.DUMMYFUNCTION("""COMPUTED_VALUE"""),"#NUM!")</f>
        <v>#NUM!</v>
      </c>
      <c r="W219" s="186">
        <f>IFERROR(__xludf.DUMMYFUNCTION("""COMPUTED_VALUE"""),45831.0)</f>
        <v>45831</v>
      </c>
      <c r="X219" s="187">
        <f>IFERROR(__xludf.DUMMYFUNCTION("""COMPUTED_VALUE"""),45745.0)</f>
        <v>45745</v>
      </c>
      <c r="Y219" s="182" t="b">
        <f>IFERROR(__xludf.DUMMYFUNCTION("""COMPUTED_VALUE"""),FALSE)</f>
        <v>0</v>
      </c>
      <c r="Z219" s="187">
        <f>IFERROR(__xludf.DUMMYFUNCTION("""COMPUTED_VALUE"""),45746.0)</f>
        <v>45746</v>
      </c>
      <c r="AA219" s="182" t="b">
        <f>IFERROR(__xludf.DUMMYFUNCTION("""COMPUTED_VALUE"""),FALSE)</f>
        <v>0</v>
      </c>
      <c r="AB219" s="187">
        <f>IFERROR(__xludf.DUMMYFUNCTION("""COMPUTED_VALUE"""),45752.0)</f>
        <v>45752</v>
      </c>
      <c r="AC219" s="187">
        <f>IFERROR(__xludf.DUMMYFUNCTION("""COMPUTED_VALUE"""),45752.0)</f>
        <v>45752</v>
      </c>
      <c r="AD219" s="187">
        <f>IFERROR(__xludf.DUMMYFUNCTION("""COMPUTED_VALUE"""),45758.0)</f>
        <v>45758</v>
      </c>
      <c r="AE219" s="182"/>
      <c r="AF219" s="182"/>
      <c r="AG219" s="182"/>
      <c r="AH219" s="182"/>
      <c r="AI219" s="187">
        <f>IFERROR(__xludf.DUMMYFUNCTION("""COMPUTED_VALUE"""),45780.0)</f>
        <v>45780</v>
      </c>
      <c r="AJ219" s="182" t="b">
        <f>IFERROR(__xludf.DUMMYFUNCTION("""COMPUTED_VALUE"""),FALSE)</f>
        <v>0</v>
      </c>
      <c r="AK219" s="182" t="b">
        <f>IFERROR(__xludf.DUMMYFUNCTION("""COMPUTED_VALUE"""),FALSE)</f>
        <v>0</v>
      </c>
      <c r="AL219" s="187">
        <f>IFERROR(__xludf.DUMMYFUNCTION("""COMPUTED_VALUE"""),45780.0)</f>
        <v>45780</v>
      </c>
      <c r="AM219" s="182" t="b">
        <f>IFERROR(__xludf.DUMMYFUNCTION("""COMPUTED_VALUE"""),FALSE)</f>
        <v>0</v>
      </c>
      <c r="AN219" s="182"/>
      <c r="AO219" s="182"/>
      <c r="AP219" s="187">
        <f>IFERROR(__xludf.DUMMYFUNCTION("""COMPUTED_VALUE"""),45780.0)</f>
        <v>45780</v>
      </c>
      <c r="AQ219" s="182" t="b">
        <f>IFERROR(__xludf.DUMMYFUNCTION("""COMPUTED_VALUE"""),FALSE)</f>
        <v>0</v>
      </c>
      <c r="AR219" s="182"/>
      <c r="AS219" s="182"/>
      <c r="AT219" s="187">
        <f>IFERROR(__xludf.DUMMYFUNCTION("""COMPUTED_VALUE"""),45780.0)</f>
        <v>45780</v>
      </c>
      <c r="AU219" s="182"/>
      <c r="AV219" s="182"/>
      <c r="AW219" s="187">
        <f>IFERROR(__xludf.DUMMYFUNCTION("""COMPUTED_VALUE"""),45827.0)</f>
        <v>45827</v>
      </c>
      <c r="AX219" s="187">
        <f>IFERROR(__xludf.DUMMYFUNCTION("""COMPUTED_VALUE"""),45827.0)</f>
        <v>45827</v>
      </c>
      <c r="AY219" s="182" t="b">
        <f>IFERROR(__xludf.DUMMYFUNCTION("""COMPUTED_VALUE"""),FALSE)</f>
        <v>0</v>
      </c>
      <c r="AZ219" s="182"/>
      <c r="BA219" s="182"/>
      <c r="BB219" s="182"/>
    </row>
    <row r="220">
      <c r="A220" s="184" t="str">
        <f t="shared" si="1"/>
        <v>G990-08499-31-A</v>
      </c>
      <c r="B220" s="191" t="str">
        <f t="shared" si="3"/>
        <v>G990-08504-31-A</v>
      </c>
      <c r="C220" s="182" t="str">
        <f>IFERROR(__xludf.DUMMYFUNCTION("""COMPUTED_VALUE"""),"ATT")</f>
        <v>ATT</v>
      </c>
      <c r="D220" s="182" t="str">
        <f>IFERROR(__xludf.DUMMYFUNCTION("""COMPUTED_VALUE"""),"MP")</f>
        <v>MP</v>
      </c>
      <c r="E220" s="182" t="str">
        <f>IFERROR(__xludf.DUMMYFUNCTION("""COMPUTED_VALUE"""),"Pristine")</f>
        <v>Pristine</v>
      </c>
      <c r="F220" s="182" t="str">
        <f>IFERROR(__xludf.DUMMYFUNCTION("""COMPUTED_VALUE"""),"GA10285-US")</f>
        <v>GA10285-US</v>
      </c>
      <c r="G220" s="182" t="str">
        <f>IFERROR(__xludf.DUMMYFUNCTION("""COMPUTED_VALUE"""),"G4QUR")</f>
        <v>G4QUR</v>
      </c>
      <c r="H220" s="182">
        <f>IFERROR(__xludf.DUMMYFUNCTION("""COMPUTED_VALUE"""),8.40353925083E11)</f>
        <v>840353925083</v>
      </c>
      <c r="I220" s="185" t="str">
        <f>IFERROR(__xludf.DUMMYFUNCTION("""COMPUTED_VALUE"""),"0840353925083")</f>
        <v>0840353925083</v>
      </c>
      <c r="J220" s="182" t="str">
        <f>IFERROR(__xludf.DUMMYFUNCTION("""COMPUTED_VALUE"""),"6992E")</f>
        <v>6992E</v>
      </c>
      <c r="K220" s="182" t="str">
        <f>IFERROR(__xludf.DUMMYFUNCTION("""COMPUTED_VALUE"""),"MasterCartonLabel_IMEI-EID_ATT_FIH")</f>
        <v>MasterCartonLabel_IMEI-EID_ATT_FIH</v>
      </c>
      <c r="L220" s="182" t="str">
        <f>IFERROR(__xludf.DUMMYFUNCTION("""COMPUTED_VALUE"""),"ATT Pallet label -&gt; BTS(Normal case)
ATT Pallet Label -&gt; BTO(EDI)")</f>
        <v>ATT Pallet label -&gt; BTS(Normal case)
ATT Pallet Label -&gt; BTO(EDI)</v>
      </c>
      <c r="M220" s="182" t="str">
        <f>IFERROR(__xludf.DUMMYFUNCTION("""COMPUTED_VALUE"""),"G990-08499-31-02
G990-08499-31-A")</f>
        <v>G990-08499-31-02
G990-08499-31-A</v>
      </c>
      <c r="N220" s="182" t="str">
        <f>IFERROR(__xludf.DUMMYFUNCTION("""COMPUTED_VALUE"""),"G990-08504-31-01
G990-08504-31-A")</f>
        <v>G990-08504-31-01
G990-08504-31-A</v>
      </c>
      <c r="O220" s="182" t="str">
        <f>IFERROR(__xludf.DUMMYFUNCTION("""COMPUTED_VALUE"""),"BOB→A
Retail→A")</f>
        <v>BOB→A
Retail→A</v>
      </c>
      <c r="P220" s="182" t="str">
        <f>IFERROR(__xludf.DUMMYFUNCTION("""COMPUTED_VALUE"""),"128GB")</f>
        <v>128GB</v>
      </c>
      <c r="Q220" s="182" t="str">
        <f>IFERROR(__xludf.DUMMYFUNCTION("""COMPUTED_VALUE"""),"Moonstone")</f>
        <v>Moonstone</v>
      </c>
      <c r="R220" s="182" t="str">
        <f>IFERROR(__xludf.DUMMYFUNCTION("""COMPUTED_VALUE"""),"Sterling")</f>
        <v>Sterling</v>
      </c>
      <c r="S220" s="182" t="str">
        <f>IFERROR(__xludf.DUMMYFUNCTION("""COMPUTED_VALUE"""),"US - AT&amp;T")</f>
        <v>US - AT&amp;T</v>
      </c>
      <c r="T220" s="182" t="str">
        <f>IFERROR(__xludf.DUMMYFUNCTION("""COMPUTED_VALUE"""),"SKU,CLR3, GOOD, MMWAVE, AT&amp;T, US, BZ5")</f>
        <v>SKU,CLR3, GOOD, MMWAVE, AT&amp;T, US, BZ5</v>
      </c>
      <c r="U220" s="182"/>
      <c r="V220" s="183" t="str">
        <f>IFERROR(__xludf.DUMMYFUNCTION("""COMPUTED_VALUE"""),"#NUM!")</f>
        <v>#NUM!</v>
      </c>
      <c r="W220" s="186">
        <f>IFERROR(__xludf.DUMMYFUNCTION("""COMPUTED_VALUE"""),45831.0)</f>
        <v>45831</v>
      </c>
      <c r="X220" s="187">
        <f>IFERROR(__xludf.DUMMYFUNCTION("""COMPUTED_VALUE"""),45745.0)</f>
        <v>45745</v>
      </c>
      <c r="Y220" s="182" t="b">
        <f>IFERROR(__xludf.DUMMYFUNCTION("""COMPUTED_VALUE"""),TRUE)</f>
        <v>1</v>
      </c>
      <c r="Z220" s="187">
        <f>IFERROR(__xludf.DUMMYFUNCTION("""COMPUTED_VALUE"""),45746.0)</f>
        <v>45746</v>
      </c>
      <c r="AA220" s="182" t="b">
        <f>IFERROR(__xludf.DUMMYFUNCTION("""COMPUTED_VALUE"""),FALSE)</f>
        <v>0</v>
      </c>
      <c r="AB220" s="187">
        <f>IFERROR(__xludf.DUMMYFUNCTION("""COMPUTED_VALUE"""),45752.0)</f>
        <v>45752</v>
      </c>
      <c r="AC220" s="187">
        <f>IFERROR(__xludf.DUMMYFUNCTION("""COMPUTED_VALUE"""),45752.0)</f>
        <v>45752</v>
      </c>
      <c r="AD220" s="187">
        <f>IFERROR(__xludf.DUMMYFUNCTION("""COMPUTED_VALUE"""),45758.0)</f>
        <v>45758</v>
      </c>
      <c r="AE220" s="182" t="str">
        <f>IFERROR(__xludf.DUMMYFUNCTION("""COMPUTED_VALUE"""),"GA10285-US GA10285-US RevA")</f>
        <v>GA10285-US GA10285-US RevA</v>
      </c>
      <c r="AF220" s="188" t="str">
        <f>IFERROR(__xludf.DUMMYFUNCTION("""COMPUTED_VALUE"""),"GA10285-US")</f>
        <v>GA10285-US</v>
      </c>
      <c r="AG220" s="182" t="str">
        <f>IFERROR(__xludf.DUMMYFUNCTION("""COMPUTED_VALUE"""),"GA10285-US
GA10285-US RevA")</f>
        <v>GA10285-US
GA10285-US RevA</v>
      </c>
      <c r="AH220" s="188" t="str">
        <f>IFERROR(__xludf.DUMMYFUNCTION("""COMPUTED_VALUE"""),"GA10285-US")</f>
        <v>GA10285-US</v>
      </c>
      <c r="AI220" s="187">
        <f>IFERROR(__xludf.DUMMYFUNCTION("""COMPUTED_VALUE"""),45780.0)</f>
        <v>45780</v>
      </c>
      <c r="AJ220" s="182" t="b">
        <f>IFERROR(__xludf.DUMMYFUNCTION("""COMPUTED_VALUE"""),TRUE)</f>
        <v>1</v>
      </c>
      <c r="AK220" s="182" t="b">
        <f>IFERROR(__xludf.DUMMYFUNCTION("""COMPUTED_VALUE"""),TRUE)</f>
        <v>1</v>
      </c>
      <c r="AL220" s="187">
        <f>IFERROR(__xludf.DUMMYFUNCTION("""COMPUTED_VALUE"""),45780.0)</f>
        <v>45780</v>
      </c>
      <c r="AM220" s="182" t="b">
        <f>IFERROR(__xludf.DUMMYFUNCTION("""COMPUTED_VALUE"""),TRUE)</f>
        <v>1</v>
      </c>
      <c r="AN220" s="182" t="str">
        <f>IFERROR(__xludf.DUMMYFUNCTION("""COMPUTED_VALUE"""),"N")</f>
        <v>N</v>
      </c>
      <c r="AO220" s="182"/>
      <c r="AP220" s="187">
        <f>IFERROR(__xludf.DUMMYFUNCTION("""COMPUTED_VALUE"""),45780.0)</f>
        <v>45780</v>
      </c>
      <c r="AQ220" s="182" t="b">
        <f>IFERROR(__xludf.DUMMYFUNCTION("""COMPUTED_VALUE"""),TRUE)</f>
        <v>1</v>
      </c>
      <c r="AR220" s="182" t="str">
        <f>IFERROR(__xludf.DUMMYFUNCTION("""COMPUTED_VALUE"""),"N")</f>
        <v>N</v>
      </c>
      <c r="AS220" s="182"/>
      <c r="AT220" s="187">
        <f>IFERROR(__xludf.DUMMYFUNCTION("""COMPUTED_VALUE"""),45780.0)</f>
        <v>45780</v>
      </c>
      <c r="AU220" s="182" t="str">
        <f>IFERROR(__xludf.DUMMYFUNCTION("""COMPUTED_VALUE"""),"Y")</f>
        <v>Y</v>
      </c>
      <c r="AV220" s="182"/>
      <c r="AW220" s="187">
        <f>IFERROR(__xludf.DUMMYFUNCTION("""COMPUTED_VALUE"""),45827.0)</f>
        <v>45827</v>
      </c>
      <c r="AX220" s="187">
        <f>IFERROR(__xludf.DUMMYFUNCTION("""COMPUTED_VALUE"""),45827.0)</f>
        <v>45827</v>
      </c>
      <c r="AY220" s="182" t="b">
        <f>IFERROR(__xludf.DUMMYFUNCTION("""COMPUTED_VALUE"""),FALSE)</f>
        <v>0</v>
      </c>
      <c r="AZ220" s="182"/>
      <c r="BA220" s="182"/>
      <c r="BB220" s="182"/>
    </row>
    <row r="221">
      <c r="A221" s="184" t="str">
        <f t="shared" si="1"/>
        <v>#VALUE!</v>
      </c>
      <c r="B221" s="191" t="str">
        <f t="shared" si="3"/>
        <v>#VALUE!</v>
      </c>
      <c r="C221" s="182" t="str">
        <f>IFERROR(__xludf.DUMMYFUNCTION("""COMPUTED_VALUE"""),"ATT")</f>
        <v>ATT</v>
      </c>
      <c r="D221" s="182" t="str">
        <f>IFERROR(__xludf.DUMMYFUNCTION("""COMPUTED_VALUE"""),"MP")</f>
        <v>MP</v>
      </c>
      <c r="E221" s="182" t="str">
        <f>IFERROR(__xludf.DUMMYFUNCTION("""COMPUTED_VALUE"""),"Pristine")</f>
        <v>Pristine</v>
      </c>
      <c r="F221" s="182" t="str">
        <f>IFERROR(__xludf.DUMMYFUNCTION("""COMPUTED_VALUE"""),"GA09897-US")</f>
        <v>GA09897-US</v>
      </c>
      <c r="G221" s="182" t="str">
        <f>IFERROR(__xludf.DUMMYFUNCTION("""COMPUTED_VALUE"""),"G4QUR")</f>
        <v>G4QUR</v>
      </c>
      <c r="H221" s="182">
        <f>IFERROR(__xludf.DUMMYFUNCTION("""COMPUTED_VALUE"""),8.40353925137E11)</f>
        <v>840353925137</v>
      </c>
      <c r="I221" s="185" t="str">
        <f>IFERROR(__xludf.DUMMYFUNCTION("""COMPUTED_VALUE"""),"0840353925137")</f>
        <v>0840353925137</v>
      </c>
      <c r="J221" s="182"/>
      <c r="K221" s="182" t="str">
        <f>IFERROR(__xludf.DUMMYFUNCTION("""COMPUTED_VALUE"""),"MasterCartonLabel_IMEI-EID_ATT_FIH")</f>
        <v>MasterCartonLabel_IMEI-EID_ATT_FIH</v>
      </c>
      <c r="L221" s="182" t="str">
        <f>IFERROR(__xludf.DUMMYFUNCTION("""COMPUTED_VALUE"""),"ATT Pallet label -&gt; BTS(Normal case)
ATT Pallet Label -&gt; BTO(EDI)")</f>
        <v>ATT Pallet label -&gt; BTS(Normal case)
ATT Pallet Label -&gt; BTO(EDI)</v>
      </c>
      <c r="M221" s="188" t="str">
        <f>IFERROR(__xludf.DUMMYFUNCTION("""COMPUTED_VALUE"""),"G990-08499-12-02")</f>
        <v>G990-08499-12-02</v>
      </c>
      <c r="N221" s="188" t="str">
        <f>IFERROR(__xludf.DUMMYFUNCTION("""COMPUTED_VALUE"""),"G990-08504-12-01")</f>
        <v>G990-08504-12-01</v>
      </c>
      <c r="O221" s="182"/>
      <c r="P221" s="182" t="str">
        <f>IFERROR(__xludf.DUMMYFUNCTION("""COMPUTED_VALUE"""),"256GB")</f>
        <v>256GB</v>
      </c>
      <c r="Q221" s="182" t="str">
        <f>IFERROR(__xludf.DUMMYFUNCTION("""COMPUTED_VALUE"""),"Obsidian")</f>
        <v>Obsidian</v>
      </c>
      <c r="R221" s="182" t="str">
        <f>IFERROR(__xludf.DUMMYFUNCTION("""COMPUTED_VALUE"""),"Midnight")</f>
        <v>Midnight</v>
      </c>
      <c r="S221" s="182" t="str">
        <f>IFERROR(__xludf.DUMMYFUNCTION("""COMPUTED_VALUE"""),"US - AT&amp;T")</f>
        <v>US - AT&amp;T</v>
      </c>
      <c r="T221" s="182" t="str">
        <f>IFERROR(__xludf.DUMMYFUNCTION("""COMPUTED_VALUE"""),"SKU,CLR1, BETTER, MMWAVE, ATT, BZ5")</f>
        <v>SKU,CLR1, BETTER, MMWAVE, ATT, BZ5</v>
      </c>
      <c r="U221" s="182"/>
      <c r="V221" s="183" t="str">
        <f>IFERROR(__xludf.DUMMYFUNCTION("""COMPUTED_VALUE"""),"#NUM!")</f>
        <v>#NUM!</v>
      </c>
      <c r="W221" s="186">
        <f>IFERROR(__xludf.DUMMYFUNCTION("""COMPUTED_VALUE"""),45831.0)</f>
        <v>45831</v>
      </c>
      <c r="X221" s="187">
        <f>IFERROR(__xludf.DUMMYFUNCTION("""COMPUTED_VALUE"""),45745.0)</f>
        <v>45745</v>
      </c>
      <c r="Y221" s="182" t="b">
        <f>IFERROR(__xludf.DUMMYFUNCTION("""COMPUTED_VALUE"""),FALSE)</f>
        <v>0</v>
      </c>
      <c r="Z221" s="187">
        <f>IFERROR(__xludf.DUMMYFUNCTION("""COMPUTED_VALUE"""),45746.0)</f>
        <v>45746</v>
      </c>
      <c r="AA221" s="182" t="b">
        <f>IFERROR(__xludf.DUMMYFUNCTION("""COMPUTED_VALUE"""),FALSE)</f>
        <v>0</v>
      </c>
      <c r="AB221" s="187">
        <f>IFERROR(__xludf.DUMMYFUNCTION("""COMPUTED_VALUE"""),45752.0)</f>
        <v>45752</v>
      </c>
      <c r="AC221" s="187">
        <f>IFERROR(__xludf.DUMMYFUNCTION("""COMPUTED_VALUE"""),45752.0)</f>
        <v>45752</v>
      </c>
      <c r="AD221" s="187">
        <f>IFERROR(__xludf.DUMMYFUNCTION("""COMPUTED_VALUE"""),45758.0)</f>
        <v>45758</v>
      </c>
      <c r="AE221" s="182"/>
      <c r="AF221" s="182"/>
      <c r="AG221" s="182"/>
      <c r="AH221" s="182"/>
      <c r="AI221" s="187">
        <f>IFERROR(__xludf.DUMMYFUNCTION("""COMPUTED_VALUE"""),45780.0)</f>
        <v>45780</v>
      </c>
      <c r="AJ221" s="182" t="b">
        <f>IFERROR(__xludf.DUMMYFUNCTION("""COMPUTED_VALUE"""),FALSE)</f>
        <v>0</v>
      </c>
      <c r="AK221" s="182" t="b">
        <f>IFERROR(__xludf.DUMMYFUNCTION("""COMPUTED_VALUE"""),FALSE)</f>
        <v>0</v>
      </c>
      <c r="AL221" s="187">
        <f>IFERROR(__xludf.DUMMYFUNCTION("""COMPUTED_VALUE"""),45780.0)</f>
        <v>45780</v>
      </c>
      <c r="AM221" s="182" t="b">
        <f>IFERROR(__xludf.DUMMYFUNCTION("""COMPUTED_VALUE"""),FALSE)</f>
        <v>0</v>
      </c>
      <c r="AN221" s="182"/>
      <c r="AO221" s="182"/>
      <c r="AP221" s="187">
        <f>IFERROR(__xludf.DUMMYFUNCTION("""COMPUTED_VALUE"""),45780.0)</f>
        <v>45780</v>
      </c>
      <c r="AQ221" s="182" t="b">
        <f>IFERROR(__xludf.DUMMYFUNCTION("""COMPUTED_VALUE"""),FALSE)</f>
        <v>0</v>
      </c>
      <c r="AR221" s="182"/>
      <c r="AS221" s="182"/>
      <c r="AT221" s="187">
        <f>IFERROR(__xludf.DUMMYFUNCTION("""COMPUTED_VALUE"""),45780.0)</f>
        <v>45780</v>
      </c>
      <c r="AU221" s="182"/>
      <c r="AV221" s="182"/>
      <c r="AW221" s="187">
        <f>IFERROR(__xludf.DUMMYFUNCTION("""COMPUTED_VALUE"""),45827.0)</f>
        <v>45827</v>
      </c>
      <c r="AX221" s="187">
        <f>IFERROR(__xludf.DUMMYFUNCTION("""COMPUTED_VALUE"""),45827.0)</f>
        <v>45827</v>
      </c>
      <c r="AY221" s="182" t="b">
        <f>IFERROR(__xludf.DUMMYFUNCTION("""COMPUTED_VALUE"""),FALSE)</f>
        <v>0</v>
      </c>
      <c r="AZ221" s="182"/>
      <c r="BA221" s="182"/>
      <c r="BB221" s="182"/>
    </row>
    <row r="222">
      <c r="A222" s="184" t="str">
        <f t="shared" si="1"/>
        <v>#VALUE!</v>
      </c>
      <c r="B222" s="69" t="str">
        <f t="shared" si="3"/>
        <v>#VALUE!</v>
      </c>
      <c r="C222" s="182" t="str">
        <f>IFERROR(__xludf.DUMMYFUNCTION("""COMPUTED_VALUE"""),"ATT")</f>
        <v>ATT</v>
      </c>
      <c r="D222" s="182" t="str">
        <f>IFERROR(__xludf.DUMMYFUNCTION("""COMPUTED_VALUE"""),"MP")</f>
        <v>MP</v>
      </c>
      <c r="E222" s="182" t="str">
        <f>IFERROR(__xludf.DUMMYFUNCTION("""COMPUTED_VALUE"""),"Pristine")</f>
        <v>Pristine</v>
      </c>
      <c r="F222" s="182" t="str">
        <f>IFERROR(__xludf.DUMMYFUNCTION("""COMPUTED_VALUE"""),"GA10286-US")</f>
        <v>GA10286-US</v>
      </c>
      <c r="G222" s="182" t="str">
        <f>IFERROR(__xludf.DUMMYFUNCTION("""COMPUTED_VALUE"""),"G4QUR")</f>
        <v>G4QUR</v>
      </c>
      <c r="H222" s="182">
        <f>IFERROR(__xludf.DUMMYFUNCTION("""COMPUTED_VALUE"""),8.40353925144E11)</f>
        <v>840353925144</v>
      </c>
      <c r="I222" s="185" t="str">
        <f>IFERROR(__xludf.DUMMYFUNCTION("""COMPUTED_VALUE"""),"0840353925144")</f>
        <v>0840353925144</v>
      </c>
      <c r="J222" s="182"/>
      <c r="K222" s="182" t="str">
        <f>IFERROR(__xludf.DUMMYFUNCTION("""COMPUTED_VALUE"""),"MasterCartonLabel_IMEI-EID_ATT_FIH")</f>
        <v>MasterCartonLabel_IMEI-EID_ATT_FIH</v>
      </c>
      <c r="L222" s="182" t="str">
        <f>IFERROR(__xludf.DUMMYFUNCTION("""COMPUTED_VALUE"""),"ATT Pallet label -&gt; BTS(Normal case)
ATT Pallet Label -&gt; BTO(EDI)")</f>
        <v>ATT Pallet label -&gt; BTS(Normal case)
ATT Pallet Label -&gt; BTO(EDI)</v>
      </c>
      <c r="M222" s="188" t="str">
        <f>IFERROR(__xludf.DUMMYFUNCTION("""COMPUTED_VALUE"""),"G990-08499-22-02")</f>
        <v>G990-08499-22-02</v>
      </c>
      <c r="N222" s="188" t="str">
        <f>IFERROR(__xludf.DUMMYFUNCTION("""COMPUTED_VALUE"""),"G990-08504-22-01")</f>
        <v>G990-08504-22-01</v>
      </c>
      <c r="O222" s="182"/>
      <c r="P222" s="182" t="str">
        <f>IFERROR(__xludf.DUMMYFUNCTION("""COMPUTED_VALUE"""),"256GB")</f>
        <v>256GB</v>
      </c>
      <c r="Q222" s="182"/>
      <c r="R222" s="182" t="str">
        <f>IFERROR(__xludf.DUMMYFUNCTION("""COMPUTED_VALUE"""),"Light Porcelain")</f>
        <v>Light Porcelain</v>
      </c>
      <c r="S222" s="182" t="str">
        <f>IFERROR(__xludf.DUMMYFUNCTION("""COMPUTED_VALUE"""),"US - AT&amp;T")</f>
        <v>US - AT&amp;T</v>
      </c>
      <c r="T222" s="182" t="str">
        <f>IFERROR(__xludf.DUMMYFUNCTION("""COMPUTED_VALUE"""),"SKU,CLR2, BETTER, MMWAVE, AT&amp;T, US, BZ5")</f>
        <v>SKU,CLR2, BETTER, MMWAVE, AT&amp;T, US, BZ5</v>
      </c>
      <c r="U222" s="182"/>
      <c r="V222" s="183" t="str">
        <f>IFERROR(__xludf.DUMMYFUNCTION("""COMPUTED_VALUE"""),"#NUM!")</f>
        <v>#NUM!</v>
      </c>
      <c r="W222" s="186">
        <f>IFERROR(__xludf.DUMMYFUNCTION("""COMPUTED_VALUE"""),45831.0)</f>
        <v>45831</v>
      </c>
      <c r="X222" s="187">
        <f>IFERROR(__xludf.DUMMYFUNCTION("""COMPUTED_VALUE"""),45745.0)</f>
        <v>45745</v>
      </c>
      <c r="Y222" s="182" t="b">
        <f>IFERROR(__xludf.DUMMYFUNCTION("""COMPUTED_VALUE"""),FALSE)</f>
        <v>0</v>
      </c>
      <c r="Z222" s="187">
        <f>IFERROR(__xludf.DUMMYFUNCTION("""COMPUTED_VALUE"""),45746.0)</f>
        <v>45746</v>
      </c>
      <c r="AA222" s="182" t="b">
        <f>IFERROR(__xludf.DUMMYFUNCTION("""COMPUTED_VALUE"""),FALSE)</f>
        <v>0</v>
      </c>
      <c r="AB222" s="187">
        <f>IFERROR(__xludf.DUMMYFUNCTION("""COMPUTED_VALUE"""),45752.0)</f>
        <v>45752</v>
      </c>
      <c r="AC222" s="187">
        <f>IFERROR(__xludf.DUMMYFUNCTION("""COMPUTED_VALUE"""),45752.0)</f>
        <v>45752</v>
      </c>
      <c r="AD222" s="187">
        <f>IFERROR(__xludf.DUMMYFUNCTION("""COMPUTED_VALUE"""),45758.0)</f>
        <v>45758</v>
      </c>
      <c r="AE222" s="182"/>
      <c r="AF222" s="182"/>
      <c r="AG222" s="182"/>
      <c r="AH222" s="182"/>
      <c r="AI222" s="187">
        <f>IFERROR(__xludf.DUMMYFUNCTION("""COMPUTED_VALUE"""),45780.0)</f>
        <v>45780</v>
      </c>
      <c r="AJ222" s="182" t="b">
        <f>IFERROR(__xludf.DUMMYFUNCTION("""COMPUTED_VALUE"""),FALSE)</f>
        <v>0</v>
      </c>
      <c r="AK222" s="182" t="b">
        <f>IFERROR(__xludf.DUMMYFUNCTION("""COMPUTED_VALUE"""),FALSE)</f>
        <v>0</v>
      </c>
      <c r="AL222" s="187">
        <f>IFERROR(__xludf.DUMMYFUNCTION("""COMPUTED_VALUE"""),45780.0)</f>
        <v>45780</v>
      </c>
      <c r="AM222" s="182" t="b">
        <f>IFERROR(__xludf.DUMMYFUNCTION("""COMPUTED_VALUE"""),FALSE)</f>
        <v>0</v>
      </c>
      <c r="AN222" s="182"/>
      <c r="AO222" s="182"/>
      <c r="AP222" s="187">
        <f>IFERROR(__xludf.DUMMYFUNCTION("""COMPUTED_VALUE"""),45780.0)</f>
        <v>45780</v>
      </c>
      <c r="AQ222" s="182" t="b">
        <f>IFERROR(__xludf.DUMMYFUNCTION("""COMPUTED_VALUE"""),FALSE)</f>
        <v>0</v>
      </c>
      <c r="AR222" s="182"/>
      <c r="AS222" s="182"/>
      <c r="AT222" s="187">
        <f>IFERROR(__xludf.DUMMYFUNCTION("""COMPUTED_VALUE"""),45780.0)</f>
        <v>45780</v>
      </c>
      <c r="AU222" s="182"/>
      <c r="AV222" s="182"/>
      <c r="AW222" s="187">
        <f>IFERROR(__xludf.DUMMYFUNCTION("""COMPUTED_VALUE"""),45827.0)</f>
        <v>45827</v>
      </c>
      <c r="AX222" s="187">
        <f>IFERROR(__xludf.DUMMYFUNCTION("""COMPUTED_VALUE"""),45827.0)</f>
        <v>45827</v>
      </c>
      <c r="AY222" s="182" t="b">
        <f>IFERROR(__xludf.DUMMYFUNCTION("""COMPUTED_VALUE"""),FALSE)</f>
        <v>0</v>
      </c>
      <c r="AZ222" s="182"/>
      <c r="BA222" s="182"/>
      <c r="BB222" s="182"/>
    </row>
    <row r="223">
      <c r="A223" s="184" t="str">
        <f t="shared" si="1"/>
        <v>G990-08499-32-A</v>
      </c>
      <c r="B223" s="191" t="str">
        <f t="shared" si="3"/>
        <v>G990-08504-32-A</v>
      </c>
      <c r="C223" s="182" t="str">
        <f>IFERROR(__xludf.DUMMYFUNCTION("""COMPUTED_VALUE"""),"ATT")</f>
        <v>ATT</v>
      </c>
      <c r="D223" s="182" t="str">
        <f>IFERROR(__xludf.DUMMYFUNCTION("""COMPUTED_VALUE"""),"MP")</f>
        <v>MP</v>
      </c>
      <c r="E223" s="182" t="str">
        <f>IFERROR(__xludf.DUMMYFUNCTION("""COMPUTED_VALUE"""),"Pristine")</f>
        <v>Pristine</v>
      </c>
      <c r="F223" s="188" t="str">
        <f>IFERROR(__xludf.DUMMYFUNCTION("""COMPUTED_VALUE"""),"GA10287-US")</f>
        <v>GA10287-US</v>
      </c>
      <c r="G223" s="182" t="str">
        <f>IFERROR(__xludf.DUMMYFUNCTION("""COMPUTED_VALUE"""),"G4QUR")</f>
        <v>G4QUR</v>
      </c>
      <c r="H223" s="182">
        <f>IFERROR(__xludf.DUMMYFUNCTION("""COMPUTED_VALUE"""),8.40353925151E11)</f>
        <v>840353925151</v>
      </c>
      <c r="I223" s="185" t="str">
        <f>IFERROR(__xludf.DUMMYFUNCTION("""COMPUTED_VALUE"""),"0840353925151")</f>
        <v>0840353925151</v>
      </c>
      <c r="J223" s="182" t="str">
        <f>IFERROR(__xludf.DUMMYFUNCTION("""COMPUTED_VALUE"""),"6994E")</f>
        <v>6994E</v>
      </c>
      <c r="K223" s="182" t="str">
        <f>IFERROR(__xludf.DUMMYFUNCTION("""COMPUTED_VALUE"""),"MasterCartonLabel_IMEI-EID_ATT_FIH")</f>
        <v>MasterCartonLabel_IMEI-EID_ATT_FIH</v>
      </c>
      <c r="L223" s="182" t="str">
        <f>IFERROR(__xludf.DUMMYFUNCTION("""COMPUTED_VALUE"""),"ATT Pallet label -&gt; BTS(Normal case)
ATT Pallet Label -&gt; BTO(EDI)")</f>
        <v>ATT Pallet label -&gt; BTS(Normal case)
ATT Pallet Label -&gt; BTO(EDI)</v>
      </c>
      <c r="M223" s="182" t="str">
        <f>IFERROR(__xludf.DUMMYFUNCTION("""COMPUTED_VALUE"""),"G990-08499-32-02
G990-08499-32-A")</f>
        <v>G990-08499-32-02
G990-08499-32-A</v>
      </c>
      <c r="N223" s="182" t="str">
        <f>IFERROR(__xludf.DUMMYFUNCTION("""COMPUTED_VALUE"""),"G990-08504-32-01
G990-08504-32-A")</f>
        <v>G990-08504-32-01
G990-08504-32-A</v>
      </c>
      <c r="O223" s="182" t="str">
        <f>IFERROR(__xludf.DUMMYFUNCTION("""COMPUTED_VALUE"""),"BOB→A
Retail→A")</f>
        <v>BOB→A
Retail→A</v>
      </c>
      <c r="P223" s="182" t="str">
        <f>IFERROR(__xludf.DUMMYFUNCTION("""COMPUTED_VALUE"""),"256GB")</f>
        <v>256GB</v>
      </c>
      <c r="Q223" s="182" t="str">
        <f>IFERROR(__xludf.DUMMYFUNCTION("""COMPUTED_VALUE"""),"Moonstone")</f>
        <v>Moonstone</v>
      </c>
      <c r="R223" s="182" t="str">
        <f>IFERROR(__xludf.DUMMYFUNCTION("""COMPUTED_VALUE"""),"Sterling")</f>
        <v>Sterling</v>
      </c>
      <c r="S223" s="182" t="str">
        <f>IFERROR(__xludf.DUMMYFUNCTION("""COMPUTED_VALUE"""),"US - AT&amp;T")</f>
        <v>US - AT&amp;T</v>
      </c>
      <c r="T223" s="182" t="str">
        <f>IFERROR(__xludf.DUMMYFUNCTION("""COMPUTED_VALUE"""),"SKU,CLR3, BETTER, MMWAVE, AT&amp;T, US, BZ5")</f>
        <v>SKU,CLR3, BETTER, MMWAVE, AT&amp;T, US, BZ5</v>
      </c>
      <c r="U223" s="182"/>
      <c r="V223" s="183" t="str">
        <f>IFERROR(__xludf.DUMMYFUNCTION("""COMPUTED_VALUE"""),"#NUM!")</f>
        <v>#NUM!</v>
      </c>
      <c r="W223" s="186">
        <f>IFERROR(__xludf.DUMMYFUNCTION("""COMPUTED_VALUE"""),45831.0)</f>
        <v>45831</v>
      </c>
      <c r="X223" s="187">
        <f>IFERROR(__xludf.DUMMYFUNCTION("""COMPUTED_VALUE"""),45745.0)</f>
        <v>45745</v>
      </c>
      <c r="Y223" s="182" t="b">
        <f>IFERROR(__xludf.DUMMYFUNCTION("""COMPUTED_VALUE"""),TRUE)</f>
        <v>1</v>
      </c>
      <c r="Z223" s="187">
        <f>IFERROR(__xludf.DUMMYFUNCTION("""COMPUTED_VALUE"""),45746.0)</f>
        <v>45746</v>
      </c>
      <c r="AA223" s="182" t="b">
        <f>IFERROR(__xludf.DUMMYFUNCTION("""COMPUTED_VALUE"""),FALSE)</f>
        <v>0</v>
      </c>
      <c r="AB223" s="187">
        <f>IFERROR(__xludf.DUMMYFUNCTION("""COMPUTED_VALUE"""),45752.0)</f>
        <v>45752</v>
      </c>
      <c r="AC223" s="187">
        <f>IFERROR(__xludf.DUMMYFUNCTION("""COMPUTED_VALUE"""),45752.0)</f>
        <v>45752</v>
      </c>
      <c r="AD223" s="187">
        <f>IFERROR(__xludf.DUMMYFUNCTION("""COMPUTED_VALUE"""),45758.0)</f>
        <v>45758</v>
      </c>
      <c r="AE223" s="182" t="str">
        <f>IFERROR(__xludf.DUMMYFUNCTION("""COMPUTED_VALUE"""),"GA10287-US
GA10287-US RevA")</f>
        <v>GA10287-US
GA10287-US RevA</v>
      </c>
      <c r="AF223" s="188" t="str">
        <f>IFERROR(__xludf.DUMMYFUNCTION("""COMPUTED_VALUE"""),"GA10287-US")</f>
        <v>GA10287-US</v>
      </c>
      <c r="AG223" s="182" t="str">
        <f>IFERROR(__xludf.DUMMYFUNCTION("""COMPUTED_VALUE"""),"GA10287-US
GA10287-US RevA")</f>
        <v>GA10287-US
GA10287-US RevA</v>
      </c>
      <c r="AH223" s="188" t="str">
        <f>IFERROR(__xludf.DUMMYFUNCTION("""COMPUTED_VALUE"""),"GA10287-US")</f>
        <v>GA10287-US</v>
      </c>
      <c r="AI223" s="187">
        <f>IFERROR(__xludf.DUMMYFUNCTION("""COMPUTED_VALUE"""),45780.0)</f>
        <v>45780</v>
      </c>
      <c r="AJ223" s="182" t="b">
        <f>IFERROR(__xludf.DUMMYFUNCTION("""COMPUTED_VALUE"""),TRUE)</f>
        <v>1</v>
      </c>
      <c r="AK223" s="182" t="b">
        <f>IFERROR(__xludf.DUMMYFUNCTION("""COMPUTED_VALUE"""),TRUE)</f>
        <v>1</v>
      </c>
      <c r="AL223" s="187">
        <f>IFERROR(__xludf.DUMMYFUNCTION("""COMPUTED_VALUE"""),45780.0)</f>
        <v>45780</v>
      </c>
      <c r="AM223" s="182" t="b">
        <f>IFERROR(__xludf.DUMMYFUNCTION("""COMPUTED_VALUE"""),TRUE)</f>
        <v>1</v>
      </c>
      <c r="AN223" s="182" t="str">
        <f>IFERROR(__xludf.DUMMYFUNCTION("""COMPUTED_VALUE"""),"N")</f>
        <v>N</v>
      </c>
      <c r="AO223" s="182"/>
      <c r="AP223" s="187">
        <f>IFERROR(__xludf.DUMMYFUNCTION("""COMPUTED_VALUE"""),45780.0)</f>
        <v>45780</v>
      </c>
      <c r="AQ223" s="182" t="b">
        <f>IFERROR(__xludf.DUMMYFUNCTION("""COMPUTED_VALUE"""),TRUE)</f>
        <v>1</v>
      </c>
      <c r="AR223" s="182" t="str">
        <f>IFERROR(__xludf.DUMMYFUNCTION("""COMPUTED_VALUE"""),"N")</f>
        <v>N</v>
      </c>
      <c r="AS223" s="182"/>
      <c r="AT223" s="187">
        <f>IFERROR(__xludf.DUMMYFUNCTION("""COMPUTED_VALUE"""),45780.0)</f>
        <v>45780</v>
      </c>
      <c r="AU223" s="182" t="str">
        <f>IFERROR(__xludf.DUMMYFUNCTION("""COMPUTED_VALUE"""),"Y")</f>
        <v>Y</v>
      </c>
      <c r="AV223" s="182"/>
      <c r="AW223" s="187">
        <f>IFERROR(__xludf.DUMMYFUNCTION("""COMPUTED_VALUE"""),45827.0)</f>
        <v>45827</v>
      </c>
      <c r="AX223" s="187">
        <f>IFERROR(__xludf.DUMMYFUNCTION("""COMPUTED_VALUE"""),45827.0)</f>
        <v>45827</v>
      </c>
      <c r="AY223" s="182" t="b">
        <f>IFERROR(__xludf.DUMMYFUNCTION("""COMPUTED_VALUE"""),FALSE)</f>
        <v>0</v>
      </c>
      <c r="AZ223" s="182"/>
      <c r="BA223" s="182"/>
      <c r="BB223" s="182"/>
    </row>
    <row r="224">
      <c r="A224" s="184" t="str">
        <f t="shared" si="1"/>
        <v>#VALUE!</v>
      </c>
      <c r="B224" s="191" t="str">
        <f t="shared" si="3"/>
        <v>#VALUE!</v>
      </c>
      <c r="C224" s="182" t="str">
        <f>IFERROR(__xludf.DUMMYFUNCTION("""COMPUTED_VALUE"""),"ATT")</f>
        <v>ATT</v>
      </c>
      <c r="D224" s="182" t="str">
        <f>IFERROR(__xludf.DUMMYFUNCTION("""COMPUTED_VALUE"""),"MP")</f>
        <v>MP</v>
      </c>
      <c r="E224" s="182" t="str">
        <f>IFERROR(__xludf.DUMMYFUNCTION("""COMPUTED_VALUE"""),"Pristine")</f>
        <v>Pristine</v>
      </c>
      <c r="F224" s="182" t="str">
        <f>IFERROR(__xludf.DUMMYFUNCTION("""COMPUTED_VALUE"""),"GA10288-US")</f>
        <v>GA10288-US</v>
      </c>
      <c r="G224" s="182" t="str">
        <f>IFERROR(__xludf.DUMMYFUNCTION("""COMPUTED_VALUE"""),"G4QUR")</f>
        <v>G4QUR</v>
      </c>
      <c r="H224" s="182">
        <f>IFERROR(__xludf.DUMMYFUNCTION("""COMPUTED_VALUE"""),8.40353925168E11)</f>
        <v>840353925168</v>
      </c>
      <c r="I224" s="185" t="str">
        <f>IFERROR(__xludf.DUMMYFUNCTION("""COMPUTED_VALUE"""),"0840353925168")</f>
        <v>0840353925168</v>
      </c>
      <c r="J224" s="182"/>
      <c r="K224" s="182" t="str">
        <f>IFERROR(__xludf.DUMMYFUNCTION("""COMPUTED_VALUE"""),"MasterCartonLabel_IMEI-EID_ATT_FIH")</f>
        <v>MasterCartonLabel_IMEI-EID_ATT_FIH</v>
      </c>
      <c r="L224" s="182" t="str">
        <f>IFERROR(__xludf.DUMMYFUNCTION("""COMPUTED_VALUE"""),"ATT Pallet label -&gt; BTS(Normal case)
ATT Pallet Label -&gt; BTO(EDI)")</f>
        <v>ATT Pallet label -&gt; BTS(Normal case)
ATT Pallet Label -&gt; BTO(EDI)</v>
      </c>
      <c r="M224" s="188" t="str">
        <f>IFERROR(__xludf.DUMMYFUNCTION("""COMPUTED_VALUE"""),"G990-08499-42-02")</f>
        <v>G990-08499-42-02</v>
      </c>
      <c r="N224" s="188" t="str">
        <f>IFERROR(__xludf.DUMMYFUNCTION("""COMPUTED_VALUE"""),"G990-08504-42-01")</f>
        <v>G990-08504-42-01</v>
      </c>
      <c r="O224" s="182"/>
      <c r="P224" s="182" t="str">
        <f>IFERROR(__xludf.DUMMYFUNCTION("""COMPUTED_VALUE"""),"256GB")</f>
        <v>256GB</v>
      </c>
      <c r="Q224" s="182" t="str">
        <f>IFERROR(__xludf.DUMMYFUNCTION("""COMPUTED_VALUE"""),"Jade")</f>
        <v>Jade</v>
      </c>
      <c r="R224" s="182" t="str">
        <f>IFERROR(__xludf.DUMMYFUNCTION("""COMPUTED_VALUE"""),"Smokey Green")</f>
        <v>Smokey Green</v>
      </c>
      <c r="S224" s="182" t="str">
        <f>IFERROR(__xludf.DUMMYFUNCTION("""COMPUTED_VALUE"""),"US - AT&amp;T")</f>
        <v>US - AT&amp;T</v>
      </c>
      <c r="T224" s="182" t="str">
        <f>IFERROR(__xludf.DUMMYFUNCTION("""COMPUTED_VALUE"""),"SKU,CLR4, BETTER, MMWAVE, AT&amp;T, US, BZ5")</f>
        <v>SKU,CLR4, BETTER, MMWAVE, AT&amp;T, US, BZ5</v>
      </c>
      <c r="U224" s="182"/>
      <c r="V224" s="183" t="str">
        <f>IFERROR(__xludf.DUMMYFUNCTION("""COMPUTED_VALUE"""),"#NUM!")</f>
        <v>#NUM!</v>
      </c>
      <c r="W224" s="186">
        <f>IFERROR(__xludf.DUMMYFUNCTION("""COMPUTED_VALUE"""),45831.0)</f>
        <v>45831</v>
      </c>
      <c r="X224" s="187">
        <f>IFERROR(__xludf.DUMMYFUNCTION("""COMPUTED_VALUE"""),45745.0)</f>
        <v>45745</v>
      </c>
      <c r="Y224" s="182" t="b">
        <f>IFERROR(__xludf.DUMMYFUNCTION("""COMPUTED_VALUE"""),FALSE)</f>
        <v>0</v>
      </c>
      <c r="Z224" s="187">
        <f>IFERROR(__xludf.DUMMYFUNCTION("""COMPUTED_VALUE"""),45746.0)</f>
        <v>45746</v>
      </c>
      <c r="AA224" s="182" t="b">
        <f>IFERROR(__xludf.DUMMYFUNCTION("""COMPUTED_VALUE"""),FALSE)</f>
        <v>0</v>
      </c>
      <c r="AB224" s="187">
        <f>IFERROR(__xludf.DUMMYFUNCTION("""COMPUTED_VALUE"""),45752.0)</f>
        <v>45752</v>
      </c>
      <c r="AC224" s="187">
        <f>IFERROR(__xludf.DUMMYFUNCTION("""COMPUTED_VALUE"""),45752.0)</f>
        <v>45752</v>
      </c>
      <c r="AD224" s="187">
        <f>IFERROR(__xludf.DUMMYFUNCTION("""COMPUTED_VALUE"""),45758.0)</f>
        <v>45758</v>
      </c>
      <c r="AE224" s="182"/>
      <c r="AF224" s="182"/>
      <c r="AG224" s="182"/>
      <c r="AH224" s="182"/>
      <c r="AI224" s="187">
        <f>IFERROR(__xludf.DUMMYFUNCTION("""COMPUTED_VALUE"""),45780.0)</f>
        <v>45780</v>
      </c>
      <c r="AJ224" s="182" t="b">
        <f>IFERROR(__xludf.DUMMYFUNCTION("""COMPUTED_VALUE"""),FALSE)</f>
        <v>0</v>
      </c>
      <c r="AK224" s="182" t="b">
        <f>IFERROR(__xludf.DUMMYFUNCTION("""COMPUTED_VALUE"""),FALSE)</f>
        <v>0</v>
      </c>
      <c r="AL224" s="187">
        <f>IFERROR(__xludf.DUMMYFUNCTION("""COMPUTED_VALUE"""),45780.0)</f>
        <v>45780</v>
      </c>
      <c r="AM224" s="182" t="b">
        <f>IFERROR(__xludf.DUMMYFUNCTION("""COMPUTED_VALUE"""),FALSE)</f>
        <v>0</v>
      </c>
      <c r="AN224" s="182"/>
      <c r="AO224" s="182"/>
      <c r="AP224" s="187">
        <f>IFERROR(__xludf.DUMMYFUNCTION("""COMPUTED_VALUE"""),45780.0)</f>
        <v>45780</v>
      </c>
      <c r="AQ224" s="182"/>
      <c r="AR224" s="182"/>
      <c r="AS224" s="182"/>
      <c r="AT224" s="187">
        <f>IFERROR(__xludf.DUMMYFUNCTION("""COMPUTED_VALUE"""),45780.0)</f>
        <v>45780</v>
      </c>
      <c r="AU224" s="182"/>
      <c r="AV224" s="182"/>
      <c r="AW224" s="187">
        <f>IFERROR(__xludf.DUMMYFUNCTION("""COMPUTED_VALUE"""),45827.0)</f>
        <v>45827</v>
      </c>
      <c r="AX224" s="187">
        <f>IFERROR(__xludf.DUMMYFUNCTION("""COMPUTED_VALUE"""),45827.0)</f>
        <v>45827</v>
      </c>
      <c r="AY224" s="182" t="b">
        <f>IFERROR(__xludf.DUMMYFUNCTION("""COMPUTED_VALUE"""),FALSE)</f>
        <v>0</v>
      </c>
      <c r="AZ224" s="182"/>
      <c r="BA224" s="182"/>
      <c r="BB224" s="182"/>
    </row>
    <row r="225">
      <c r="A225" s="184" t="str">
        <f t="shared" si="1"/>
        <v>#VALUE!</v>
      </c>
      <c r="B225" s="191" t="str">
        <f t="shared" si="3"/>
        <v>#VALUE!</v>
      </c>
      <c r="C225" s="182" t="str">
        <f>IFERROR(__xludf.DUMMYFUNCTION("""COMPUTED_VALUE"""),"ATT")</f>
        <v>ATT</v>
      </c>
      <c r="D225" s="182" t="str">
        <f>IFERROR(__xludf.DUMMYFUNCTION("""COMPUTED_VALUE"""),"MP")</f>
        <v>MP</v>
      </c>
      <c r="E225" s="182" t="str">
        <f>IFERROR(__xludf.DUMMYFUNCTION("""COMPUTED_VALUE"""),"Pristine")</f>
        <v>Pristine</v>
      </c>
      <c r="F225" s="182" t="str">
        <f>IFERROR(__xludf.DUMMYFUNCTION("""COMPUTED_VALUE"""),"GA09906-US")</f>
        <v>GA09906-US</v>
      </c>
      <c r="G225" s="182" t="str">
        <f>IFERROR(__xludf.DUMMYFUNCTION("""COMPUTED_VALUE"""),"G4QUR")</f>
        <v>G4QUR</v>
      </c>
      <c r="H225" s="182">
        <f>IFERROR(__xludf.DUMMYFUNCTION("""COMPUTED_VALUE"""),8.40353925175E11)</f>
        <v>840353925175</v>
      </c>
      <c r="I225" s="185" t="str">
        <f>IFERROR(__xludf.DUMMYFUNCTION("""COMPUTED_VALUE"""),"0840353925175")</f>
        <v>0840353925175</v>
      </c>
      <c r="J225" s="182"/>
      <c r="K225" s="182" t="str">
        <f>IFERROR(__xludf.DUMMYFUNCTION("""COMPUTED_VALUE"""),"MasterCartonLabel_IMEI-EID_ATT_FIH")</f>
        <v>MasterCartonLabel_IMEI-EID_ATT_FIH</v>
      </c>
      <c r="L225" s="182" t="str">
        <f>IFERROR(__xludf.DUMMYFUNCTION("""COMPUTED_VALUE"""),"ATT Pallet label -&gt; BTS(Normal case)
ATT Pallet Label -&gt; BTO(EDI)")</f>
        <v>ATT Pallet label -&gt; BTS(Normal case)
ATT Pallet Label -&gt; BTO(EDI)</v>
      </c>
      <c r="M225" s="188" t="str">
        <f>IFERROR(__xludf.DUMMYFUNCTION("""COMPUTED_VALUE"""),"G990-08499-13-02")</f>
        <v>G990-08499-13-02</v>
      </c>
      <c r="N225" s="188" t="str">
        <f>IFERROR(__xludf.DUMMYFUNCTION("""COMPUTED_VALUE"""),"G990-08504-13-01")</f>
        <v>G990-08504-13-01</v>
      </c>
      <c r="O225" s="182"/>
      <c r="P225" s="182" t="str">
        <f>IFERROR(__xludf.DUMMYFUNCTION("""COMPUTED_VALUE"""),"512GB")</f>
        <v>512GB</v>
      </c>
      <c r="Q225" s="182" t="str">
        <f>IFERROR(__xludf.DUMMYFUNCTION("""COMPUTED_VALUE"""),"Obsidian")</f>
        <v>Obsidian</v>
      </c>
      <c r="R225" s="182" t="str">
        <f>IFERROR(__xludf.DUMMYFUNCTION("""COMPUTED_VALUE"""),"Midnight")</f>
        <v>Midnight</v>
      </c>
      <c r="S225" s="182" t="str">
        <f>IFERROR(__xludf.DUMMYFUNCTION("""COMPUTED_VALUE"""),"US - AT&amp;T")</f>
        <v>US - AT&amp;T</v>
      </c>
      <c r="T225" s="182" t="str">
        <f>IFERROR(__xludf.DUMMYFUNCTION("""COMPUTED_VALUE"""),"SKU,CLR1, BEST, MMWAVE, ATT, BZ5")</f>
        <v>SKU,CLR1, BEST, MMWAVE, ATT, BZ5</v>
      </c>
      <c r="U225" s="182"/>
      <c r="V225" s="183" t="str">
        <f>IFERROR(__xludf.DUMMYFUNCTION("""COMPUTED_VALUE"""),"#NUM!")</f>
        <v>#NUM!</v>
      </c>
      <c r="W225" s="186">
        <f>IFERROR(__xludf.DUMMYFUNCTION("""COMPUTED_VALUE"""),45831.0)</f>
        <v>45831</v>
      </c>
      <c r="X225" s="187">
        <f>IFERROR(__xludf.DUMMYFUNCTION("""COMPUTED_VALUE"""),45745.0)</f>
        <v>45745</v>
      </c>
      <c r="Y225" s="182" t="b">
        <f>IFERROR(__xludf.DUMMYFUNCTION("""COMPUTED_VALUE"""),FALSE)</f>
        <v>0</v>
      </c>
      <c r="Z225" s="187">
        <f>IFERROR(__xludf.DUMMYFUNCTION("""COMPUTED_VALUE"""),45746.0)</f>
        <v>45746</v>
      </c>
      <c r="AA225" s="182" t="b">
        <f>IFERROR(__xludf.DUMMYFUNCTION("""COMPUTED_VALUE"""),FALSE)</f>
        <v>0</v>
      </c>
      <c r="AB225" s="187">
        <f>IFERROR(__xludf.DUMMYFUNCTION("""COMPUTED_VALUE"""),45752.0)</f>
        <v>45752</v>
      </c>
      <c r="AC225" s="187">
        <f>IFERROR(__xludf.DUMMYFUNCTION("""COMPUTED_VALUE"""),45752.0)</f>
        <v>45752</v>
      </c>
      <c r="AD225" s="187">
        <f>IFERROR(__xludf.DUMMYFUNCTION("""COMPUTED_VALUE"""),45758.0)</f>
        <v>45758</v>
      </c>
      <c r="AE225" s="182"/>
      <c r="AF225" s="182"/>
      <c r="AG225" s="182"/>
      <c r="AH225" s="182"/>
      <c r="AI225" s="187">
        <f>IFERROR(__xludf.DUMMYFUNCTION("""COMPUTED_VALUE"""),45780.0)</f>
        <v>45780</v>
      </c>
      <c r="AJ225" s="182" t="b">
        <f>IFERROR(__xludf.DUMMYFUNCTION("""COMPUTED_VALUE"""),FALSE)</f>
        <v>0</v>
      </c>
      <c r="AK225" s="182" t="b">
        <f>IFERROR(__xludf.DUMMYFUNCTION("""COMPUTED_VALUE"""),FALSE)</f>
        <v>0</v>
      </c>
      <c r="AL225" s="187">
        <f>IFERROR(__xludf.DUMMYFUNCTION("""COMPUTED_VALUE"""),45780.0)</f>
        <v>45780</v>
      </c>
      <c r="AM225" s="182" t="b">
        <f>IFERROR(__xludf.DUMMYFUNCTION("""COMPUTED_VALUE"""),FALSE)</f>
        <v>0</v>
      </c>
      <c r="AN225" s="182"/>
      <c r="AO225" s="182"/>
      <c r="AP225" s="187">
        <f>IFERROR(__xludf.DUMMYFUNCTION("""COMPUTED_VALUE"""),45780.0)</f>
        <v>45780</v>
      </c>
      <c r="AQ225" s="182"/>
      <c r="AR225" s="182"/>
      <c r="AS225" s="182"/>
      <c r="AT225" s="187">
        <f>IFERROR(__xludf.DUMMYFUNCTION("""COMPUTED_VALUE"""),45780.0)</f>
        <v>45780</v>
      </c>
      <c r="AU225" s="182"/>
      <c r="AV225" s="182"/>
      <c r="AW225" s="187">
        <f>IFERROR(__xludf.DUMMYFUNCTION("""COMPUTED_VALUE"""),45827.0)</f>
        <v>45827</v>
      </c>
      <c r="AX225" s="187">
        <f>IFERROR(__xludf.DUMMYFUNCTION("""COMPUTED_VALUE"""),45827.0)</f>
        <v>45827</v>
      </c>
      <c r="AY225" s="182" t="b">
        <f>IFERROR(__xludf.DUMMYFUNCTION("""COMPUTED_VALUE"""),FALSE)</f>
        <v>0</v>
      </c>
      <c r="AZ225" s="182"/>
      <c r="BA225" s="182"/>
      <c r="BB225" s="182"/>
    </row>
    <row r="226">
      <c r="A226" s="184" t="str">
        <f t="shared" si="1"/>
        <v>#VALUE!</v>
      </c>
      <c r="B226" s="191" t="str">
        <f t="shared" si="3"/>
        <v>#VALUE!</v>
      </c>
      <c r="C226" s="182" t="str">
        <f>IFERROR(__xludf.DUMMYFUNCTION("""COMPUTED_VALUE"""),"ATT")</f>
        <v>ATT</v>
      </c>
      <c r="D226" s="182" t="str">
        <f>IFERROR(__xludf.DUMMYFUNCTION("""COMPUTED_VALUE"""),"MP")</f>
        <v>MP</v>
      </c>
      <c r="E226" s="182" t="str">
        <f>IFERROR(__xludf.DUMMYFUNCTION("""COMPUTED_VALUE"""),"Pristine")</f>
        <v>Pristine</v>
      </c>
      <c r="F226" s="182" t="str">
        <f>IFERROR(__xludf.DUMMYFUNCTION("""COMPUTED_VALUE"""),"GA10289-US")</f>
        <v>GA10289-US</v>
      </c>
      <c r="G226" s="182" t="str">
        <f>IFERROR(__xludf.DUMMYFUNCTION("""COMPUTED_VALUE"""),"G4QUR")</f>
        <v>G4QUR</v>
      </c>
      <c r="H226" s="182">
        <f>IFERROR(__xludf.DUMMYFUNCTION("""COMPUTED_VALUE"""),8.40353925199E11)</f>
        <v>840353925199</v>
      </c>
      <c r="I226" s="185" t="str">
        <f>IFERROR(__xludf.DUMMYFUNCTION("""COMPUTED_VALUE"""),"0840353925199")</f>
        <v>0840353925199</v>
      </c>
      <c r="J226" s="182"/>
      <c r="K226" s="182" t="str">
        <f>IFERROR(__xludf.DUMMYFUNCTION("""COMPUTED_VALUE"""),"MasterCartonLabel_IMEI-EID_ATT_FIH")</f>
        <v>MasterCartonLabel_IMEI-EID_ATT_FIH</v>
      </c>
      <c r="L226" s="182" t="str">
        <f>IFERROR(__xludf.DUMMYFUNCTION("""COMPUTED_VALUE"""),"ATT Pallet label -&gt; BTS(Normal case)
ATT Pallet Label -&gt; BTO(EDI)")</f>
        <v>ATT Pallet label -&gt; BTS(Normal case)
ATT Pallet Label -&gt; BTO(EDI)</v>
      </c>
      <c r="M226" s="188" t="str">
        <f>IFERROR(__xludf.DUMMYFUNCTION("""COMPUTED_VALUE"""),"G990-08499-23-02")</f>
        <v>G990-08499-23-02</v>
      </c>
      <c r="N226" s="188" t="str">
        <f>IFERROR(__xludf.DUMMYFUNCTION("""COMPUTED_VALUE"""),"G990-08504-23-01")</f>
        <v>G990-08504-23-01</v>
      </c>
      <c r="O226" s="182"/>
      <c r="P226" s="182" t="str">
        <f>IFERROR(__xludf.DUMMYFUNCTION("""COMPUTED_VALUE"""),"512GB")</f>
        <v>512GB</v>
      </c>
      <c r="Q226" s="182"/>
      <c r="R226" s="182" t="str">
        <f>IFERROR(__xludf.DUMMYFUNCTION("""COMPUTED_VALUE"""),"Light Porcelain")</f>
        <v>Light Porcelain</v>
      </c>
      <c r="S226" s="182" t="str">
        <f>IFERROR(__xludf.DUMMYFUNCTION("""COMPUTED_VALUE"""),"US - AT&amp;T")</f>
        <v>US - AT&amp;T</v>
      </c>
      <c r="T226" s="182" t="str">
        <f>IFERROR(__xludf.DUMMYFUNCTION("""COMPUTED_VALUE"""),"SKU,CLR2, BEST, MMWAVE, AT&amp;T, US, BZ5")</f>
        <v>SKU,CLR2, BEST, MMWAVE, AT&amp;T, US, BZ5</v>
      </c>
      <c r="U226" s="182"/>
      <c r="V226" s="183" t="str">
        <f>IFERROR(__xludf.DUMMYFUNCTION("""COMPUTED_VALUE"""),"#NUM!")</f>
        <v>#NUM!</v>
      </c>
      <c r="W226" s="186">
        <f>IFERROR(__xludf.DUMMYFUNCTION("""COMPUTED_VALUE"""),45831.0)</f>
        <v>45831</v>
      </c>
      <c r="X226" s="187">
        <f>IFERROR(__xludf.DUMMYFUNCTION("""COMPUTED_VALUE"""),45745.0)</f>
        <v>45745</v>
      </c>
      <c r="Y226" s="182" t="b">
        <f>IFERROR(__xludf.DUMMYFUNCTION("""COMPUTED_VALUE"""),FALSE)</f>
        <v>0</v>
      </c>
      <c r="Z226" s="187">
        <f>IFERROR(__xludf.DUMMYFUNCTION("""COMPUTED_VALUE"""),45746.0)</f>
        <v>45746</v>
      </c>
      <c r="AA226" s="182" t="b">
        <f>IFERROR(__xludf.DUMMYFUNCTION("""COMPUTED_VALUE"""),FALSE)</f>
        <v>0</v>
      </c>
      <c r="AB226" s="187">
        <f>IFERROR(__xludf.DUMMYFUNCTION("""COMPUTED_VALUE"""),45752.0)</f>
        <v>45752</v>
      </c>
      <c r="AC226" s="187">
        <f>IFERROR(__xludf.DUMMYFUNCTION("""COMPUTED_VALUE"""),45752.0)</f>
        <v>45752</v>
      </c>
      <c r="AD226" s="187">
        <f>IFERROR(__xludf.DUMMYFUNCTION("""COMPUTED_VALUE"""),45758.0)</f>
        <v>45758</v>
      </c>
      <c r="AE226" s="182"/>
      <c r="AF226" s="182"/>
      <c r="AG226" s="182"/>
      <c r="AH226" s="182"/>
      <c r="AI226" s="187">
        <f>IFERROR(__xludf.DUMMYFUNCTION("""COMPUTED_VALUE"""),45780.0)</f>
        <v>45780</v>
      </c>
      <c r="AJ226" s="182" t="b">
        <f>IFERROR(__xludf.DUMMYFUNCTION("""COMPUTED_VALUE"""),FALSE)</f>
        <v>0</v>
      </c>
      <c r="AK226" s="182" t="b">
        <f>IFERROR(__xludf.DUMMYFUNCTION("""COMPUTED_VALUE"""),FALSE)</f>
        <v>0</v>
      </c>
      <c r="AL226" s="187">
        <f>IFERROR(__xludf.DUMMYFUNCTION("""COMPUTED_VALUE"""),45780.0)</f>
        <v>45780</v>
      </c>
      <c r="AM226" s="182" t="b">
        <f>IFERROR(__xludf.DUMMYFUNCTION("""COMPUTED_VALUE"""),FALSE)</f>
        <v>0</v>
      </c>
      <c r="AN226" s="182"/>
      <c r="AO226" s="182"/>
      <c r="AP226" s="187">
        <f>IFERROR(__xludf.DUMMYFUNCTION("""COMPUTED_VALUE"""),45780.0)</f>
        <v>45780</v>
      </c>
      <c r="AQ226" s="182"/>
      <c r="AR226" s="182"/>
      <c r="AS226" s="182"/>
      <c r="AT226" s="187">
        <f>IFERROR(__xludf.DUMMYFUNCTION("""COMPUTED_VALUE"""),45780.0)</f>
        <v>45780</v>
      </c>
      <c r="AU226" s="182"/>
      <c r="AV226" s="182"/>
      <c r="AW226" s="187">
        <f>IFERROR(__xludf.DUMMYFUNCTION("""COMPUTED_VALUE"""),45827.0)</f>
        <v>45827</v>
      </c>
      <c r="AX226" s="187">
        <f>IFERROR(__xludf.DUMMYFUNCTION("""COMPUTED_VALUE"""),45827.0)</f>
        <v>45827</v>
      </c>
      <c r="AY226" s="182" t="b">
        <f>IFERROR(__xludf.DUMMYFUNCTION("""COMPUTED_VALUE"""),FALSE)</f>
        <v>0</v>
      </c>
      <c r="AZ226" s="182"/>
      <c r="BA226" s="182"/>
      <c r="BB226" s="182"/>
    </row>
    <row r="227">
      <c r="A227" s="184" t="str">
        <f t="shared" si="1"/>
        <v>#VALUE!</v>
      </c>
      <c r="B227" s="191" t="str">
        <f t="shared" si="3"/>
        <v>#VALUE!</v>
      </c>
      <c r="C227" s="182" t="str">
        <f>IFERROR(__xludf.DUMMYFUNCTION("""COMPUTED_VALUE"""),"ATT")</f>
        <v>ATT</v>
      </c>
      <c r="D227" s="182" t="str">
        <f>IFERROR(__xludf.DUMMYFUNCTION("""COMPUTED_VALUE"""),"MP")</f>
        <v>MP</v>
      </c>
      <c r="E227" s="182" t="str">
        <f>IFERROR(__xludf.DUMMYFUNCTION("""COMPUTED_VALUE"""),"Pristine")</f>
        <v>Pristine</v>
      </c>
      <c r="F227" s="182" t="str">
        <f>IFERROR(__xludf.DUMMYFUNCTION("""COMPUTED_VALUE"""),"GA10290-US")</f>
        <v>GA10290-US</v>
      </c>
      <c r="G227" s="182" t="str">
        <f>IFERROR(__xludf.DUMMYFUNCTION("""COMPUTED_VALUE"""),"G4QUR")</f>
        <v>G4QUR</v>
      </c>
      <c r="H227" s="182">
        <f>IFERROR(__xludf.DUMMYFUNCTION("""COMPUTED_VALUE"""),8.40353925205E11)</f>
        <v>840353925205</v>
      </c>
      <c r="I227" s="185" t="str">
        <f>IFERROR(__xludf.DUMMYFUNCTION("""COMPUTED_VALUE"""),"0840353925205")</f>
        <v>0840353925205</v>
      </c>
      <c r="J227" s="182"/>
      <c r="K227" s="182" t="str">
        <f>IFERROR(__xludf.DUMMYFUNCTION("""COMPUTED_VALUE"""),"MasterCartonLabel_IMEI-EID_ATT_FIH")</f>
        <v>MasterCartonLabel_IMEI-EID_ATT_FIH</v>
      </c>
      <c r="L227" s="182" t="str">
        <f>IFERROR(__xludf.DUMMYFUNCTION("""COMPUTED_VALUE"""),"ATT Pallet label -&gt; BTS(Normal case)
ATT Pallet Label -&gt; BTO(EDI)")</f>
        <v>ATT Pallet label -&gt; BTS(Normal case)
ATT Pallet Label -&gt; BTO(EDI)</v>
      </c>
      <c r="M227" s="188" t="str">
        <f>IFERROR(__xludf.DUMMYFUNCTION("""COMPUTED_VALUE"""),"G990-08499-33-02")</f>
        <v>G990-08499-33-02</v>
      </c>
      <c r="N227" s="188" t="str">
        <f>IFERROR(__xludf.DUMMYFUNCTION("""COMPUTED_VALUE"""),"G990-08504-33-01")</f>
        <v>G990-08504-33-01</v>
      </c>
      <c r="O227" s="182"/>
      <c r="P227" s="182" t="str">
        <f>IFERROR(__xludf.DUMMYFUNCTION("""COMPUTED_VALUE"""),"512GB")</f>
        <v>512GB</v>
      </c>
      <c r="Q227" s="182" t="str">
        <f>IFERROR(__xludf.DUMMYFUNCTION("""COMPUTED_VALUE"""),"Moonstone")</f>
        <v>Moonstone</v>
      </c>
      <c r="R227" s="182" t="str">
        <f>IFERROR(__xludf.DUMMYFUNCTION("""COMPUTED_VALUE"""),"Sterling")</f>
        <v>Sterling</v>
      </c>
      <c r="S227" s="182" t="str">
        <f>IFERROR(__xludf.DUMMYFUNCTION("""COMPUTED_VALUE"""),"US - AT&amp;T")</f>
        <v>US - AT&amp;T</v>
      </c>
      <c r="T227" s="182" t="str">
        <f>IFERROR(__xludf.DUMMYFUNCTION("""COMPUTED_VALUE"""),"SKU,CLR3, BEST, MMWAVE, AT&amp;T, US, BZ5")</f>
        <v>SKU,CLR3, BEST, MMWAVE, AT&amp;T, US, BZ5</v>
      </c>
      <c r="U227" s="182"/>
      <c r="V227" s="183" t="str">
        <f>IFERROR(__xludf.DUMMYFUNCTION("""COMPUTED_VALUE"""),"#NUM!")</f>
        <v>#NUM!</v>
      </c>
      <c r="W227" s="186">
        <f>IFERROR(__xludf.DUMMYFUNCTION("""COMPUTED_VALUE"""),45831.0)</f>
        <v>45831</v>
      </c>
      <c r="X227" s="187">
        <f>IFERROR(__xludf.DUMMYFUNCTION("""COMPUTED_VALUE"""),45745.0)</f>
        <v>45745</v>
      </c>
      <c r="Y227" s="182" t="b">
        <f>IFERROR(__xludf.DUMMYFUNCTION("""COMPUTED_VALUE"""),FALSE)</f>
        <v>0</v>
      </c>
      <c r="Z227" s="187">
        <f>IFERROR(__xludf.DUMMYFUNCTION("""COMPUTED_VALUE"""),45746.0)</f>
        <v>45746</v>
      </c>
      <c r="AA227" s="182" t="b">
        <f>IFERROR(__xludf.DUMMYFUNCTION("""COMPUTED_VALUE"""),FALSE)</f>
        <v>0</v>
      </c>
      <c r="AB227" s="187">
        <f>IFERROR(__xludf.DUMMYFUNCTION("""COMPUTED_VALUE"""),45752.0)</f>
        <v>45752</v>
      </c>
      <c r="AC227" s="187">
        <f>IFERROR(__xludf.DUMMYFUNCTION("""COMPUTED_VALUE"""),45752.0)</f>
        <v>45752</v>
      </c>
      <c r="AD227" s="187">
        <f>IFERROR(__xludf.DUMMYFUNCTION("""COMPUTED_VALUE"""),45758.0)</f>
        <v>45758</v>
      </c>
      <c r="AE227" s="182"/>
      <c r="AF227" s="182"/>
      <c r="AG227" s="182"/>
      <c r="AH227" s="182"/>
      <c r="AI227" s="187">
        <f>IFERROR(__xludf.DUMMYFUNCTION("""COMPUTED_VALUE"""),45780.0)</f>
        <v>45780</v>
      </c>
      <c r="AJ227" s="182" t="b">
        <f>IFERROR(__xludf.DUMMYFUNCTION("""COMPUTED_VALUE"""),FALSE)</f>
        <v>0</v>
      </c>
      <c r="AK227" s="182" t="b">
        <f>IFERROR(__xludf.DUMMYFUNCTION("""COMPUTED_VALUE"""),FALSE)</f>
        <v>0</v>
      </c>
      <c r="AL227" s="187">
        <f>IFERROR(__xludf.DUMMYFUNCTION("""COMPUTED_VALUE"""),45780.0)</f>
        <v>45780</v>
      </c>
      <c r="AM227" s="182" t="b">
        <f>IFERROR(__xludf.DUMMYFUNCTION("""COMPUTED_VALUE"""),FALSE)</f>
        <v>0</v>
      </c>
      <c r="AN227" s="182"/>
      <c r="AO227" s="182"/>
      <c r="AP227" s="187">
        <f>IFERROR(__xludf.DUMMYFUNCTION("""COMPUTED_VALUE"""),45780.0)</f>
        <v>45780</v>
      </c>
      <c r="AQ227" s="182"/>
      <c r="AR227" s="182"/>
      <c r="AS227" s="182"/>
      <c r="AT227" s="187">
        <f>IFERROR(__xludf.DUMMYFUNCTION("""COMPUTED_VALUE"""),45780.0)</f>
        <v>45780</v>
      </c>
      <c r="AU227" s="182"/>
      <c r="AV227" s="182"/>
      <c r="AW227" s="187">
        <f>IFERROR(__xludf.DUMMYFUNCTION("""COMPUTED_VALUE"""),45827.0)</f>
        <v>45827</v>
      </c>
      <c r="AX227" s="187">
        <f>IFERROR(__xludf.DUMMYFUNCTION("""COMPUTED_VALUE"""),45827.0)</f>
        <v>45827</v>
      </c>
      <c r="AY227" s="182" t="b">
        <f>IFERROR(__xludf.DUMMYFUNCTION("""COMPUTED_VALUE"""),FALSE)</f>
        <v>0</v>
      </c>
      <c r="AZ227" s="182"/>
      <c r="BA227" s="182"/>
      <c r="BB227" s="182"/>
    </row>
    <row r="228">
      <c r="A228" s="184" t="str">
        <f t="shared" si="1"/>
        <v>#VALUE!</v>
      </c>
      <c r="B228" s="191" t="str">
        <f t="shared" si="3"/>
        <v>#VALUE!</v>
      </c>
      <c r="C228" s="182" t="str">
        <f>IFERROR(__xludf.DUMMYFUNCTION("""COMPUTED_VALUE"""),"ATT")</f>
        <v>ATT</v>
      </c>
      <c r="D228" s="182" t="str">
        <f>IFERROR(__xludf.DUMMYFUNCTION("""COMPUTED_VALUE"""),"MP")</f>
        <v>MP</v>
      </c>
      <c r="E228" s="182" t="str">
        <f>IFERROR(__xludf.DUMMYFUNCTION("""COMPUTED_VALUE"""),"Pristine")</f>
        <v>Pristine</v>
      </c>
      <c r="F228" s="182" t="str">
        <f>IFERROR(__xludf.DUMMYFUNCTION("""COMPUTED_VALUE"""),"GA10291-US")</f>
        <v>GA10291-US</v>
      </c>
      <c r="G228" s="182" t="str">
        <f>IFERROR(__xludf.DUMMYFUNCTION("""COMPUTED_VALUE"""),"G4QUR")</f>
        <v>G4QUR</v>
      </c>
      <c r="H228" s="182">
        <f>IFERROR(__xludf.DUMMYFUNCTION("""COMPUTED_VALUE"""),8.40353925182E11)</f>
        <v>840353925182</v>
      </c>
      <c r="I228" s="185" t="str">
        <f>IFERROR(__xludf.DUMMYFUNCTION("""COMPUTED_VALUE"""),"0840353925182")</f>
        <v>0840353925182</v>
      </c>
      <c r="J228" s="182"/>
      <c r="K228" s="182" t="str">
        <f>IFERROR(__xludf.DUMMYFUNCTION("""COMPUTED_VALUE"""),"MasterCartonLabel_IMEI-EID_ATT_FIH")</f>
        <v>MasterCartonLabel_IMEI-EID_ATT_FIH</v>
      </c>
      <c r="L228" s="182" t="str">
        <f>IFERROR(__xludf.DUMMYFUNCTION("""COMPUTED_VALUE"""),"ATT Pallet label -&gt; BTS(Normal case)
ATT Pallet Label -&gt; BTO(EDI)")</f>
        <v>ATT Pallet label -&gt; BTS(Normal case)
ATT Pallet Label -&gt; BTO(EDI)</v>
      </c>
      <c r="M228" s="188" t="str">
        <f>IFERROR(__xludf.DUMMYFUNCTION("""COMPUTED_VALUE"""),"G990-08499-43-02")</f>
        <v>G990-08499-43-02</v>
      </c>
      <c r="N228" s="188" t="str">
        <f>IFERROR(__xludf.DUMMYFUNCTION("""COMPUTED_VALUE"""),"G990-08504-43-01")</f>
        <v>G990-08504-43-01</v>
      </c>
      <c r="O228" s="182"/>
      <c r="P228" s="182" t="str">
        <f>IFERROR(__xludf.DUMMYFUNCTION("""COMPUTED_VALUE"""),"512GB")</f>
        <v>512GB</v>
      </c>
      <c r="Q228" s="182" t="str">
        <f>IFERROR(__xludf.DUMMYFUNCTION("""COMPUTED_VALUE"""),"Jade")</f>
        <v>Jade</v>
      </c>
      <c r="R228" s="182" t="str">
        <f>IFERROR(__xludf.DUMMYFUNCTION("""COMPUTED_VALUE"""),"Smokey Green")</f>
        <v>Smokey Green</v>
      </c>
      <c r="S228" s="182" t="str">
        <f>IFERROR(__xludf.DUMMYFUNCTION("""COMPUTED_VALUE"""),"US - AT&amp;T")</f>
        <v>US - AT&amp;T</v>
      </c>
      <c r="T228" s="182" t="str">
        <f>IFERROR(__xludf.DUMMYFUNCTION("""COMPUTED_VALUE"""),"SKU,CLR4, BEST, MMWAVE, AT&amp;T, US, BZ5")</f>
        <v>SKU,CLR4, BEST, MMWAVE, AT&amp;T, US, BZ5</v>
      </c>
      <c r="U228" s="182"/>
      <c r="V228" s="183" t="str">
        <f>IFERROR(__xludf.DUMMYFUNCTION("""COMPUTED_VALUE"""),"#NUM!")</f>
        <v>#NUM!</v>
      </c>
      <c r="W228" s="186">
        <f>IFERROR(__xludf.DUMMYFUNCTION("""COMPUTED_VALUE"""),45831.0)</f>
        <v>45831</v>
      </c>
      <c r="X228" s="187">
        <f>IFERROR(__xludf.DUMMYFUNCTION("""COMPUTED_VALUE"""),45745.0)</f>
        <v>45745</v>
      </c>
      <c r="Y228" s="182" t="b">
        <f>IFERROR(__xludf.DUMMYFUNCTION("""COMPUTED_VALUE"""),FALSE)</f>
        <v>0</v>
      </c>
      <c r="Z228" s="187">
        <f>IFERROR(__xludf.DUMMYFUNCTION("""COMPUTED_VALUE"""),45746.0)</f>
        <v>45746</v>
      </c>
      <c r="AA228" s="182" t="b">
        <f>IFERROR(__xludf.DUMMYFUNCTION("""COMPUTED_VALUE"""),FALSE)</f>
        <v>0</v>
      </c>
      <c r="AB228" s="187">
        <f>IFERROR(__xludf.DUMMYFUNCTION("""COMPUTED_VALUE"""),45752.0)</f>
        <v>45752</v>
      </c>
      <c r="AC228" s="187">
        <f>IFERROR(__xludf.DUMMYFUNCTION("""COMPUTED_VALUE"""),45752.0)</f>
        <v>45752</v>
      </c>
      <c r="AD228" s="187">
        <f>IFERROR(__xludf.DUMMYFUNCTION("""COMPUTED_VALUE"""),45758.0)</f>
        <v>45758</v>
      </c>
      <c r="AE228" s="182"/>
      <c r="AF228" s="182"/>
      <c r="AG228" s="182"/>
      <c r="AH228" s="182"/>
      <c r="AI228" s="187">
        <f>IFERROR(__xludf.DUMMYFUNCTION("""COMPUTED_VALUE"""),45780.0)</f>
        <v>45780</v>
      </c>
      <c r="AJ228" s="182" t="b">
        <f>IFERROR(__xludf.DUMMYFUNCTION("""COMPUTED_VALUE"""),FALSE)</f>
        <v>0</v>
      </c>
      <c r="AK228" s="182" t="b">
        <f>IFERROR(__xludf.DUMMYFUNCTION("""COMPUTED_VALUE"""),FALSE)</f>
        <v>0</v>
      </c>
      <c r="AL228" s="187">
        <f>IFERROR(__xludf.DUMMYFUNCTION("""COMPUTED_VALUE"""),45780.0)</f>
        <v>45780</v>
      </c>
      <c r="AM228" s="182" t="b">
        <f>IFERROR(__xludf.DUMMYFUNCTION("""COMPUTED_VALUE"""),FALSE)</f>
        <v>0</v>
      </c>
      <c r="AN228" s="182"/>
      <c r="AO228" s="182"/>
      <c r="AP228" s="187">
        <f>IFERROR(__xludf.DUMMYFUNCTION("""COMPUTED_VALUE"""),45780.0)</f>
        <v>45780</v>
      </c>
      <c r="AQ228" s="182"/>
      <c r="AR228" s="182"/>
      <c r="AS228" s="182"/>
      <c r="AT228" s="187">
        <f>IFERROR(__xludf.DUMMYFUNCTION("""COMPUTED_VALUE"""),45780.0)</f>
        <v>45780</v>
      </c>
      <c r="AU228" s="182"/>
      <c r="AV228" s="182"/>
      <c r="AW228" s="187">
        <f>IFERROR(__xludf.DUMMYFUNCTION("""COMPUTED_VALUE"""),45827.0)</f>
        <v>45827</v>
      </c>
      <c r="AX228" s="187">
        <f>IFERROR(__xludf.DUMMYFUNCTION("""COMPUTED_VALUE"""),45827.0)</f>
        <v>45827</v>
      </c>
      <c r="AY228" s="182" t="b">
        <f>IFERROR(__xludf.DUMMYFUNCTION("""COMPUTED_VALUE"""),FALSE)</f>
        <v>0</v>
      </c>
      <c r="AZ228" s="182"/>
      <c r="BA228" s="182"/>
      <c r="BB228" s="182"/>
    </row>
    <row r="229">
      <c r="A229" s="184" t="str">
        <f t="shared" si="1"/>
        <v>#VALUE!</v>
      </c>
      <c r="B229" s="191" t="str">
        <f t="shared" si="3"/>
        <v>#VALUE!</v>
      </c>
      <c r="C229" s="182" t="str">
        <f>IFERROR(__xludf.DUMMYFUNCTION("""COMPUTED_VALUE"""),"ATT")</f>
        <v>ATT</v>
      </c>
      <c r="D229" s="182" t="str">
        <f>IFERROR(__xludf.DUMMYFUNCTION("""COMPUTED_VALUE"""),"MP")</f>
        <v>MP</v>
      </c>
      <c r="E229" s="182" t="str">
        <f>IFERROR(__xludf.DUMMYFUNCTION("""COMPUTED_VALUE"""),"Pristine")</f>
        <v>Pristine</v>
      </c>
      <c r="F229" s="182" t="str">
        <f>IFERROR(__xludf.DUMMYFUNCTION("""COMPUTED_VALUE"""),"GA09931-US")</f>
        <v>GA09931-US</v>
      </c>
      <c r="G229" s="182" t="str">
        <f>IFERROR(__xludf.DUMMYFUNCTION("""COMPUTED_VALUE"""),"G4QUR")</f>
        <v>G4QUR</v>
      </c>
      <c r="H229" s="182">
        <f>IFERROR(__xludf.DUMMYFUNCTION("""COMPUTED_VALUE"""),8.40353925281E11)</f>
        <v>840353925281</v>
      </c>
      <c r="I229" s="185" t="str">
        <f>IFERROR(__xludf.DUMMYFUNCTION("""COMPUTED_VALUE"""),"0840353925281")</f>
        <v>0840353925281</v>
      </c>
      <c r="J229" s="182"/>
      <c r="K229" s="182" t="str">
        <f>IFERROR(__xludf.DUMMYFUNCTION("""COMPUTED_VALUE"""),"MasterCartonLabel_IMEI-EID_ATT_FIH")</f>
        <v>MasterCartonLabel_IMEI-EID_ATT_FIH</v>
      </c>
      <c r="L229" s="182" t="str">
        <f>IFERROR(__xludf.DUMMYFUNCTION("""COMPUTED_VALUE"""),"ATT Pallet label -&gt; BTS(Normal case)
ATT Pallet Label -&gt; BTO(EDI)")</f>
        <v>ATT Pallet label -&gt; BTS(Normal case)
ATT Pallet Label -&gt; BTO(EDI)</v>
      </c>
      <c r="M229" s="188" t="str">
        <f>IFERROR(__xludf.DUMMYFUNCTION("""COMPUTED_VALUE"""),"G990-08499-14-02")</f>
        <v>G990-08499-14-02</v>
      </c>
      <c r="N229" s="188" t="str">
        <f>IFERROR(__xludf.DUMMYFUNCTION("""COMPUTED_VALUE"""),"G990-08504-14-01")</f>
        <v>G990-08504-14-01</v>
      </c>
      <c r="O229" s="182"/>
      <c r="P229" s="182" t="str">
        <f>IFERROR(__xludf.DUMMYFUNCTION("""COMPUTED_VALUE"""),"1TB")</f>
        <v>1TB</v>
      </c>
      <c r="Q229" s="182" t="str">
        <f>IFERROR(__xludf.DUMMYFUNCTION("""COMPUTED_VALUE"""),"Obsidian")</f>
        <v>Obsidian</v>
      </c>
      <c r="R229" s="182" t="str">
        <f>IFERROR(__xludf.DUMMYFUNCTION("""COMPUTED_VALUE"""),"Midnight")</f>
        <v>Midnight</v>
      </c>
      <c r="S229" s="182" t="str">
        <f>IFERROR(__xludf.DUMMYFUNCTION("""COMPUTED_VALUE"""),"US - AT&amp;T")</f>
        <v>US - AT&amp;T</v>
      </c>
      <c r="T229" s="182" t="str">
        <f>IFERROR(__xludf.DUMMYFUNCTION("""COMPUTED_VALUE"""),"SKU,CLR1, ULTRA, MMWAVE, ATT, BZ5")</f>
        <v>SKU,CLR1, ULTRA, MMWAVE, ATT, BZ5</v>
      </c>
      <c r="U229" s="182"/>
      <c r="V229" s="183" t="str">
        <f>IFERROR(__xludf.DUMMYFUNCTION("""COMPUTED_VALUE"""),"#NUM!")</f>
        <v>#NUM!</v>
      </c>
      <c r="W229" s="186">
        <f>IFERROR(__xludf.DUMMYFUNCTION("""COMPUTED_VALUE"""),45831.0)</f>
        <v>45831</v>
      </c>
      <c r="X229" s="187">
        <f>IFERROR(__xludf.DUMMYFUNCTION("""COMPUTED_VALUE"""),45745.0)</f>
        <v>45745</v>
      </c>
      <c r="Y229" s="182" t="b">
        <f>IFERROR(__xludf.DUMMYFUNCTION("""COMPUTED_VALUE"""),FALSE)</f>
        <v>0</v>
      </c>
      <c r="Z229" s="187">
        <f>IFERROR(__xludf.DUMMYFUNCTION("""COMPUTED_VALUE"""),45746.0)</f>
        <v>45746</v>
      </c>
      <c r="AA229" s="182" t="b">
        <f>IFERROR(__xludf.DUMMYFUNCTION("""COMPUTED_VALUE"""),FALSE)</f>
        <v>0</v>
      </c>
      <c r="AB229" s="187">
        <f>IFERROR(__xludf.DUMMYFUNCTION("""COMPUTED_VALUE"""),45752.0)</f>
        <v>45752</v>
      </c>
      <c r="AC229" s="187">
        <f>IFERROR(__xludf.DUMMYFUNCTION("""COMPUTED_VALUE"""),45752.0)</f>
        <v>45752</v>
      </c>
      <c r="AD229" s="187">
        <f>IFERROR(__xludf.DUMMYFUNCTION("""COMPUTED_VALUE"""),45758.0)</f>
        <v>45758</v>
      </c>
      <c r="AE229" s="182"/>
      <c r="AF229" s="182"/>
      <c r="AG229" s="182"/>
      <c r="AH229" s="182"/>
      <c r="AI229" s="187">
        <f>IFERROR(__xludf.DUMMYFUNCTION("""COMPUTED_VALUE"""),45780.0)</f>
        <v>45780</v>
      </c>
      <c r="AJ229" s="182" t="b">
        <f>IFERROR(__xludf.DUMMYFUNCTION("""COMPUTED_VALUE"""),FALSE)</f>
        <v>0</v>
      </c>
      <c r="AK229" s="182" t="b">
        <f>IFERROR(__xludf.DUMMYFUNCTION("""COMPUTED_VALUE"""),FALSE)</f>
        <v>0</v>
      </c>
      <c r="AL229" s="187">
        <f>IFERROR(__xludf.DUMMYFUNCTION("""COMPUTED_VALUE"""),45780.0)</f>
        <v>45780</v>
      </c>
      <c r="AM229" s="182" t="b">
        <f>IFERROR(__xludf.DUMMYFUNCTION("""COMPUTED_VALUE"""),FALSE)</f>
        <v>0</v>
      </c>
      <c r="AN229" s="182"/>
      <c r="AO229" s="182"/>
      <c r="AP229" s="187">
        <f>IFERROR(__xludf.DUMMYFUNCTION("""COMPUTED_VALUE"""),45780.0)</f>
        <v>45780</v>
      </c>
      <c r="AQ229" s="182"/>
      <c r="AR229" s="182"/>
      <c r="AS229" s="182"/>
      <c r="AT229" s="187">
        <f>IFERROR(__xludf.DUMMYFUNCTION("""COMPUTED_VALUE"""),45780.0)</f>
        <v>45780</v>
      </c>
      <c r="AU229" s="182"/>
      <c r="AV229" s="182"/>
      <c r="AW229" s="187">
        <f>IFERROR(__xludf.DUMMYFUNCTION("""COMPUTED_VALUE"""),45827.0)</f>
        <v>45827</v>
      </c>
      <c r="AX229" s="187">
        <f>IFERROR(__xludf.DUMMYFUNCTION("""COMPUTED_VALUE"""),45827.0)</f>
        <v>45827</v>
      </c>
      <c r="AY229" s="182" t="b">
        <f>IFERROR(__xludf.DUMMYFUNCTION("""COMPUTED_VALUE"""),FALSE)</f>
        <v>0</v>
      </c>
      <c r="AZ229" s="182"/>
      <c r="BA229" s="182"/>
      <c r="BB229" s="182"/>
    </row>
    <row r="230">
      <c r="A230" s="184" t="str">
        <f t="shared" si="1"/>
        <v>#VALUE!</v>
      </c>
      <c r="B230" s="69" t="str">
        <f t="shared" si="3"/>
        <v>#VALUE!</v>
      </c>
      <c r="C230" s="182" t="str">
        <f>IFERROR(__xludf.DUMMYFUNCTION("""COMPUTED_VALUE"""),"ATT")</f>
        <v>ATT</v>
      </c>
      <c r="D230" s="182" t="str">
        <f>IFERROR(__xludf.DUMMYFUNCTION("""COMPUTED_VALUE"""),"MP")</f>
        <v>MP</v>
      </c>
      <c r="E230" s="182" t="str">
        <f>IFERROR(__xludf.DUMMYFUNCTION("""COMPUTED_VALUE"""),"Pristine")</f>
        <v>Pristine</v>
      </c>
      <c r="F230" s="182" t="str">
        <f>IFERROR(__xludf.DUMMYFUNCTION("""COMPUTED_VALUE"""),"GA10292-US")</f>
        <v>GA10292-US</v>
      </c>
      <c r="G230" s="182" t="str">
        <f>IFERROR(__xludf.DUMMYFUNCTION("""COMPUTED_VALUE"""),"G4QUR")</f>
        <v>G4QUR</v>
      </c>
      <c r="H230" s="182">
        <f>IFERROR(__xludf.DUMMYFUNCTION("""COMPUTED_VALUE"""),8.40353925298E11)</f>
        <v>840353925298</v>
      </c>
      <c r="I230" s="185" t="str">
        <f>IFERROR(__xludf.DUMMYFUNCTION("""COMPUTED_VALUE"""),"0840353925298")</f>
        <v>0840353925298</v>
      </c>
      <c r="J230" s="182"/>
      <c r="K230" s="182" t="str">
        <f>IFERROR(__xludf.DUMMYFUNCTION("""COMPUTED_VALUE"""),"MasterCartonLabel_IMEI-EID_ATT_FIH")</f>
        <v>MasterCartonLabel_IMEI-EID_ATT_FIH</v>
      </c>
      <c r="L230" s="182" t="str">
        <f>IFERROR(__xludf.DUMMYFUNCTION("""COMPUTED_VALUE"""),"ATT Pallet label -&gt; BTS(Normal case)
ATT Pallet Label -&gt; BTO(EDI)")</f>
        <v>ATT Pallet label -&gt; BTS(Normal case)
ATT Pallet Label -&gt; BTO(EDI)</v>
      </c>
      <c r="M230" s="188" t="str">
        <f>IFERROR(__xludf.DUMMYFUNCTION("""COMPUTED_VALUE"""),"G990-08499-34-02")</f>
        <v>G990-08499-34-02</v>
      </c>
      <c r="N230" s="188" t="str">
        <f>IFERROR(__xludf.DUMMYFUNCTION("""COMPUTED_VALUE"""),"G990-08504-34-01")</f>
        <v>G990-08504-34-01</v>
      </c>
      <c r="O230" s="182"/>
      <c r="P230" s="182" t="str">
        <f>IFERROR(__xludf.DUMMYFUNCTION("""COMPUTED_VALUE"""),"1TB")</f>
        <v>1TB</v>
      </c>
      <c r="Q230" s="182" t="str">
        <f>IFERROR(__xludf.DUMMYFUNCTION("""COMPUTED_VALUE"""),"Moonstone")</f>
        <v>Moonstone</v>
      </c>
      <c r="R230" s="182" t="str">
        <f>IFERROR(__xludf.DUMMYFUNCTION("""COMPUTED_VALUE"""),"Sterling")</f>
        <v>Sterling</v>
      </c>
      <c r="S230" s="182" t="str">
        <f>IFERROR(__xludf.DUMMYFUNCTION("""COMPUTED_VALUE"""),"US - AT&amp;T")</f>
        <v>US - AT&amp;T</v>
      </c>
      <c r="T230" s="182" t="str">
        <f>IFERROR(__xludf.DUMMYFUNCTION("""COMPUTED_VALUE"""),"SKU,CLR3, ULTRA, MMWAVE, AT&amp;T, US, BZ5")</f>
        <v>SKU,CLR3, ULTRA, MMWAVE, AT&amp;T, US, BZ5</v>
      </c>
      <c r="U230" s="182"/>
      <c r="V230" s="183" t="str">
        <f>IFERROR(__xludf.DUMMYFUNCTION("""COMPUTED_VALUE"""),"#NUM!")</f>
        <v>#NUM!</v>
      </c>
      <c r="W230" s="186">
        <f>IFERROR(__xludf.DUMMYFUNCTION("""COMPUTED_VALUE"""),45831.0)</f>
        <v>45831</v>
      </c>
      <c r="X230" s="187">
        <f>IFERROR(__xludf.DUMMYFUNCTION("""COMPUTED_VALUE"""),45745.0)</f>
        <v>45745</v>
      </c>
      <c r="Y230" s="182" t="b">
        <f>IFERROR(__xludf.DUMMYFUNCTION("""COMPUTED_VALUE"""),FALSE)</f>
        <v>0</v>
      </c>
      <c r="Z230" s="187">
        <f>IFERROR(__xludf.DUMMYFUNCTION("""COMPUTED_VALUE"""),45746.0)</f>
        <v>45746</v>
      </c>
      <c r="AA230" s="182" t="b">
        <f>IFERROR(__xludf.DUMMYFUNCTION("""COMPUTED_VALUE"""),FALSE)</f>
        <v>0</v>
      </c>
      <c r="AB230" s="187">
        <f>IFERROR(__xludf.DUMMYFUNCTION("""COMPUTED_VALUE"""),45752.0)</f>
        <v>45752</v>
      </c>
      <c r="AC230" s="187">
        <f>IFERROR(__xludf.DUMMYFUNCTION("""COMPUTED_VALUE"""),45752.0)</f>
        <v>45752</v>
      </c>
      <c r="AD230" s="187">
        <f>IFERROR(__xludf.DUMMYFUNCTION("""COMPUTED_VALUE"""),45758.0)</f>
        <v>45758</v>
      </c>
      <c r="AE230" s="182"/>
      <c r="AF230" s="182"/>
      <c r="AG230" s="182"/>
      <c r="AH230" s="182"/>
      <c r="AI230" s="187">
        <f>IFERROR(__xludf.DUMMYFUNCTION("""COMPUTED_VALUE"""),45780.0)</f>
        <v>45780</v>
      </c>
      <c r="AJ230" s="182" t="b">
        <f>IFERROR(__xludf.DUMMYFUNCTION("""COMPUTED_VALUE"""),FALSE)</f>
        <v>0</v>
      </c>
      <c r="AK230" s="182" t="b">
        <f>IFERROR(__xludf.DUMMYFUNCTION("""COMPUTED_VALUE"""),FALSE)</f>
        <v>0</v>
      </c>
      <c r="AL230" s="187">
        <f>IFERROR(__xludf.DUMMYFUNCTION("""COMPUTED_VALUE"""),45780.0)</f>
        <v>45780</v>
      </c>
      <c r="AM230" s="182" t="b">
        <f>IFERROR(__xludf.DUMMYFUNCTION("""COMPUTED_VALUE"""),FALSE)</f>
        <v>0</v>
      </c>
      <c r="AN230" s="182"/>
      <c r="AO230" s="182"/>
      <c r="AP230" s="187">
        <f>IFERROR(__xludf.DUMMYFUNCTION("""COMPUTED_VALUE"""),45780.0)</f>
        <v>45780</v>
      </c>
      <c r="AQ230" s="182"/>
      <c r="AR230" s="182"/>
      <c r="AS230" s="182"/>
      <c r="AT230" s="187">
        <f>IFERROR(__xludf.DUMMYFUNCTION("""COMPUTED_VALUE"""),45780.0)</f>
        <v>45780</v>
      </c>
      <c r="AU230" s="182"/>
      <c r="AV230" s="182"/>
      <c r="AW230" s="187">
        <f>IFERROR(__xludf.DUMMYFUNCTION("""COMPUTED_VALUE"""),45827.0)</f>
        <v>45827</v>
      </c>
      <c r="AX230" s="187">
        <f>IFERROR(__xludf.DUMMYFUNCTION("""COMPUTED_VALUE"""),45827.0)</f>
        <v>45827</v>
      </c>
      <c r="AY230" s="182" t="b">
        <f>IFERROR(__xludf.DUMMYFUNCTION("""COMPUTED_VALUE"""),FALSE)</f>
        <v>0</v>
      </c>
      <c r="AZ230" s="182"/>
      <c r="BA230" s="182"/>
      <c r="BB230" s="182"/>
    </row>
    <row r="231">
      <c r="A231" s="184" t="str">
        <f t="shared" si="1"/>
        <v>G990-08499-11-A</v>
      </c>
      <c r="B231" s="69" t="str">
        <f t="shared" si="3"/>
        <v>G990-08506-11-A</v>
      </c>
      <c r="C231" s="182" t="str">
        <f>IFERROR(__xludf.DUMMYFUNCTION("""COMPUTED_VALUE"""),"TMO")</f>
        <v>TMO</v>
      </c>
      <c r="D231" s="182" t="str">
        <f>IFERROR(__xludf.DUMMYFUNCTION("""COMPUTED_VALUE"""),"MP")</f>
        <v>MP</v>
      </c>
      <c r="E231" s="182" t="str">
        <f>IFERROR(__xludf.DUMMYFUNCTION("""COMPUTED_VALUE"""),"Pristine")</f>
        <v>Pristine</v>
      </c>
      <c r="F231" s="182" t="str">
        <f>IFERROR(__xludf.DUMMYFUNCTION("""COMPUTED_VALUE"""),"GA09886-US")</f>
        <v>GA09886-US</v>
      </c>
      <c r="G231" s="182" t="str">
        <f>IFERROR(__xludf.DUMMYFUNCTION("""COMPUTED_VALUE"""),"G4QUR")</f>
        <v>G4QUR</v>
      </c>
      <c r="H231" s="182">
        <f>IFERROR(__xludf.DUMMYFUNCTION("""COMPUTED_VALUE"""),8.40353925212E11)</f>
        <v>840353925212</v>
      </c>
      <c r="I231" s="185" t="str">
        <f>IFERROR(__xludf.DUMMYFUNCTION("""COMPUTED_VALUE"""),"0840353925212")</f>
        <v>0840353925212</v>
      </c>
      <c r="J231" s="182">
        <f>IFERROR(__xludf.DUMMYFUNCTION("""COMPUTED_VALUE"""),8.40353925212E11)</f>
        <v>840353925212</v>
      </c>
      <c r="K231" s="182" t="str">
        <f>IFERROR(__xludf.DUMMYFUNCTION("""COMPUTED_VALUE"""),"MasterCartonLabel_10 pack_TMO")</f>
        <v>MasterCartonLabel_10 pack_TMO</v>
      </c>
      <c r="L231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31" s="182" t="str">
        <f>IFERROR(__xludf.DUMMYFUNCTION("""COMPUTED_VALUE"""),"G990-08499-11-02
G990-08499-11-A")</f>
        <v>G990-08499-11-02
G990-08499-11-A</v>
      </c>
      <c r="N231" s="182" t="str">
        <f>IFERROR(__xludf.DUMMYFUNCTION("""COMPUTED_VALUE"""),"G990-08506-11-02
G990-08506-11-A")</f>
        <v>G990-08506-11-02
G990-08506-11-A</v>
      </c>
      <c r="O231" s="182" t="str">
        <f>IFERROR(__xludf.DUMMYFUNCTION("""COMPUTED_VALUE"""),"BOB→A
Retail→A")</f>
        <v>BOB→A
Retail→A</v>
      </c>
      <c r="P231" s="182" t="str">
        <f>IFERROR(__xludf.DUMMYFUNCTION("""COMPUTED_VALUE"""),"128GB")</f>
        <v>128GB</v>
      </c>
      <c r="Q231" s="182" t="str">
        <f>IFERROR(__xludf.DUMMYFUNCTION("""COMPUTED_VALUE"""),"Obsidian")</f>
        <v>Obsidian</v>
      </c>
      <c r="R231" s="182" t="str">
        <f>IFERROR(__xludf.DUMMYFUNCTION("""COMPUTED_VALUE"""),"Midnight")</f>
        <v>Midnight</v>
      </c>
      <c r="S231" s="182" t="str">
        <f>IFERROR(__xludf.DUMMYFUNCTION("""COMPUTED_VALUE"""),"US - Tmobile")</f>
        <v>US - Tmobile</v>
      </c>
      <c r="T231" s="182" t="str">
        <f>IFERROR(__xludf.DUMMYFUNCTION("""COMPUTED_VALUE"""),"SKU,CLR1, GOOD, MMWAVE, TMO, BZ5")</f>
        <v>SKU,CLR1, GOOD, MMWAVE, TMO, BZ5</v>
      </c>
      <c r="U231" s="182"/>
      <c r="V231" s="183" t="str">
        <f>IFERROR(__xludf.DUMMYFUNCTION("""COMPUTED_VALUE"""),"#NUM!")</f>
        <v>#NUM!</v>
      </c>
      <c r="W231" s="186">
        <f>IFERROR(__xludf.DUMMYFUNCTION("""COMPUTED_VALUE"""),45831.0)</f>
        <v>45831</v>
      </c>
      <c r="X231" s="187">
        <f>IFERROR(__xludf.DUMMYFUNCTION("""COMPUTED_VALUE"""),45745.0)</f>
        <v>45745</v>
      </c>
      <c r="Y231" s="182" t="b">
        <f>IFERROR(__xludf.DUMMYFUNCTION("""COMPUTED_VALUE"""),TRUE)</f>
        <v>1</v>
      </c>
      <c r="Z231" s="187">
        <f>IFERROR(__xludf.DUMMYFUNCTION("""COMPUTED_VALUE"""),45746.0)</f>
        <v>45746</v>
      </c>
      <c r="AA231" s="182" t="b">
        <f>IFERROR(__xludf.DUMMYFUNCTION("""COMPUTED_VALUE"""),FALSE)</f>
        <v>0</v>
      </c>
      <c r="AB231" s="187">
        <f>IFERROR(__xludf.DUMMYFUNCTION("""COMPUTED_VALUE"""),45752.0)</f>
        <v>45752</v>
      </c>
      <c r="AC231" s="187">
        <f>IFERROR(__xludf.DUMMYFUNCTION("""COMPUTED_VALUE"""),45752.0)</f>
        <v>45752</v>
      </c>
      <c r="AD231" s="187">
        <f>IFERROR(__xludf.DUMMYFUNCTION("""COMPUTED_VALUE"""),45758.0)</f>
        <v>45758</v>
      </c>
      <c r="AE231" s="182" t="str">
        <f>IFERROR(__xludf.DUMMYFUNCTION("""COMPUTED_VALUE"""),"GA09886-US
GA09886-US RevA")</f>
        <v>GA09886-US
GA09886-US RevA</v>
      </c>
      <c r="AF231" s="188" t="str">
        <f>IFERROR(__xludf.DUMMYFUNCTION("""COMPUTED_VALUE"""),"GA09886-US")</f>
        <v>GA09886-US</v>
      </c>
      <c r="AG231" s="182" t="str">
        <f>IFERROR(__xludf.DUMMYFUNCTION("""COMPUTED_VALUE"""),"GA09886-US
GA09886-US RevA")</f>
        <v>GA09886-US
GA09886-US RevA</v>
      </c>
      <c r="AH231" s="188" t="str">
        <f>IFERROR(__xludf.DUMMYFUNCTION("""COMPUTED_VALUE"""),"GA09886-US")</f>
        <v>GA09886-US</v>
      </c>
      <c r="AI231" s="187">
        <f>IFERROR(__xludf.DUMMYFUNCTION("""COMPUTED_VALUE"""),45780.0)</f>
        <v>45780</v>
      </c>
      <c r="AJ231" s="182" t="b">
        <f>IFERROR(__xludf.DUMMYFUNCTION("""COMPUTED_VALUE"""),TRUE)</f>
        <v>1</v>
      </c>
      <c r="AK231" s="182" t="b">
        <f>IFERROR(__xludf.DUMMYFUNCTION("""COMPUTED_VALUE"""),TRUE)</f>
        <v>1</v>
      </c>
      <c r="AL231" s="187">
        <f>IFERROR(__xludf.DUMMYFUNCTION("""COMPUTED_VALUE"""),45780.0)</f>
        <v>45780</v>
      </c>
      <c r="AM231" s="182" t="b">
        <f>IFERROR(__xludf.DUMMYFUNCTION("""COMPUTED_VALUE"""),TRUE)</f>
        <v>1</v>
      </c>
      <c r="AN231" s="182" t="str">
        <f>IFERROR(__xludf.DUMMYFUNCTION("""COMPUTED_VALUE"""),"N")</f>
        <v>N</v>
      </c>
      <c r="AO231" s="182"/>
      <c r="AP231" s="187">
        <f>IFERROR(__xludf.DUMMYFUNCTION("""COMPUTED_VALUE"""),45780.0)</f>
        <v>45780</v>
      </c>
      <c r="AQ231" s="182" t="b">
        <f>IFERROR(__xludf.DUMMYFUNCTION("""COMPUTED_VALUE"""),TRUE)</f>
        <v>1</v>
      </c>
      <c r="AR231" s="182" t="str">
        <f>IFERROR(__xludf.DUMMYFUNCTION("""COMPUTED_VALUE"""),"N")</f>
        <v>N</v>
      </c>
      <c r="AS231" s="182"/>
      <c r="AT231" s="187">
        <f>IFERROR(__xludf.DUMMYFUNCTION("""COMPUTED_VALUE"""),45780.0)</f>
        <v>45780</v>
      </c>
      <c r="AU231" s="182" t="str">
        <f>IFERROR(__xludf.DUMMYFUNCTION("""COMPUTED_VALUE"""),"Y")</f>
        <v>Y</v>
      </c>
      <c r="AV231" s="182"/>
      <c r="AW231" s="187">
        <f>IFERROR(__xludf.DUMMYFUNCTION("""COMPUTED_VALUE"""),45827.0)</f>
        <v>45827</v>
      </c>
      <c r="AX231" s="187">
        <f>IFERROR(__xludf.DUMMYFUNCTION("""COMPUTED_VALUE"""),45827.0)</f>
        <v>45827</v>
      </c>
      <c r="AY231" s="182" t="b">
        <f>IFERROR(__xludf.DUMMYFUNCTION("""COMPUTED_VALUE"""),FALSE)</f>
        <v>0</v>
      </c>
      <c r="AZ231" s="182"/>
      <c r="BA231" s="182"/>
      <c r="BB231" s="182"/>
    </row>
    <row r="232">
      <c r="A232" s="184" t="str">
        <f t="shared" si="1"/>
        <v>G990-08499-21-A</v>
      </c>
      <c r="B232" s="69" t="str">
        <f t="shared" si="3"/>
        <v>G990-08506-21-A</v>
      </c>
      <c r="C232" s="182" t="str">
        <f>IFERROR(__xludf.DUMMYFUNCTION("""COMPUTED_VALUE"""),"TMO")</f>
        <v>TMO</v>
      </c>
      <c r="D232" s="182" t="str">
        <f>IFERROR(__xludf.DUMMYFUNCTION("""COMPUTED_VALUE"""),"MP")</f>
        <v>MP</v>
      </c>
      <c r="E232" s="182" t="str">
        <f>IFERROR(__xludf.DUMMYFUNCTION("""COMPUTED_VALUE"""),"Pristine")</f>
        <v>Pristine</v>
      </c>
      <c r="F232" s="182" t="str">
        <f>IFERROR(__xludf.DUMMYFUNCTION("""COMPUTED_VALUE"""),"GA10293-US")</f>
        <v>GA10293-US</v>
      </c>
      <c r="G232" s="182" t="str">
        <f>IFERROR(__xludf.DUMMYFUNCTION("""COMPUTED_VALUE"""),"G4QUR")</f>
        <v>G4QUR</v>
      </c>
      <c r="H232" s="182">
        <f>IFERROR(__xludf.DUMMYFUNCTION("""COMPUTED_VALUE"""),8.40353925236E11)</f>
        <v>840353925236</v>
      </c>
      <c r="I232" s="185" t="str">
        <f>IFERROR(__xludf.DUMMYFUNCTION("""COMPUTED_VALUE"""),"0840353925236")</f>
        <v>0840353925236</v>
      </c>
      <c r="J232" s="182">
        <f>IFERROR(__xludf.DUMMYFUNCTION("""COMPUTED_VALUE"""),8.40353925236E11)</f>
        <v>840353925236</v>
      </c>
      <c r="K232" s="182" t="str">
        <f>IFERROR(__xludf.DUMMYFUNCTION("""COMPUTED_VALUE"""),"MasterCartonLabel_10 pack_TMO")</f>
        <v>MasterCartonLabel_10 pack_TMO</v>
      </c>
      <c r="L232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32" s="182" t="str">
        <f>IFERROR(__xludf.DUMMYFUNCTION("""COMPUTED_VALUE"""),"G990-08499-21-02
G990-08499-21-A")</f>
        <v>G990-08499-21-02
G990-08499-21-A</v>
      </c>
      <c r="N232" s="182" t="str">
        <f>IFERROR(__xludf.DUMMYFUNCTION("""COMPUTED_VALUE"""),"G990-08506-21-02
G990-08506-21-A")</f>
        <v>G990-08506-21-02
G990-08506-21-A</v>
      </c>
      <c r="O232" s="182" t="str">
        <f>IFERROR(__xludf.DUMMYFUNCTION("""COMPUTED_VALUE"""),"BOB→A
Retail→A")</f>
        <v>BOB→A
Retail→A</v>
      </c>
      <c r="P232" s="182" t="str">
        <f>IFERROR(__xludf.DUMMYFUNCTION("""COMPUTED_VALUE"""),"128GB")</f>
        <v>128GB</v>
      </c>
      <c r="Q232" s="182" t="str">
        <f>IFERROR(__xludf.DUMMYFUNCTION("""COMPUTED_VALUE"""),"Porcelain")</f>
        <v>Porcelain</v>
      </c>
      <c r="R232" s="182" t="str">
        <f>IFERROR(__xludf.DUMMYFUNCTION("""COMPUTED_VALUE"""),"Light Porcelain")</f>
        <v>Light Porcelain</v>
      </c>
      <c r="S232" s="182" t="str">
        <f>IFERROR(__xludf.DUMMYFUNCTION("""COMPUTED_VALUE"""),"US - Tmobile")</f>
        <v>US - Tmobile</v>
      </c>
      <c r="T232" s="182" t="str">
        <f>IFERROR(__xludf.DUMMYFUNCTION("""COMPUTED_VALUE"""),"SKU,CLR2, GOOD, MMWAVE, TMO, US, BZ5")</f>
        <v>SKU,CLR2, GOOD, MMWAVE, TMO, US, BZ5</v>
      </c>
      <c r="U232" s="182"/>
      <c r="V232" s="183" t="str">
        <f>IFERROR(__xludf.DUMMYFUNCTION("""COMPUTED_VALUE"""),"#NUM!")</f>
        <v>#NUM!</v>
      </c>
      <c r="W232" s="186">
        <f>IFERROR(__xludf.DUMMYFUNCTION("""COMPUTED_VALUE"""),45831.0)</f>
        <v>45831</v>
      </c>
      <c r="X232" s="187">
        <f>IFERROR(__xludf.DUMMYFUNCTION("""COMPUTED_VALUE"""),45745.0)</f>
        <v>45745</v>
      </c>
      <c r="Y232" s="182" t="b">
        <f>IFERROR(__xludf.DUMMYFUNCTION("""COMPUTED_VALUE"""),TRUE)</f>
        <v>1</v>
      </c>
      <c r="Z232" s="187">
        <f>IFERROR(__xludf.DUMMYFUNCTION("""COMPUTED_VALUE"""),45746.0)</f>
        <v>45746</v>
      </c>
      <c r="AA232" s="182" t="b">
        <f>IFERROR(__xludf.DUMMYFUNCTION("""COMPUTED_VALUE"""),FALSE)</f>
        <v>0</v>
      </c>
      <c r="AB232" s="187">
        <f>IFERROR(__xludf.DUMMYFUNCTION("""COMPUTED_VALUE"""),45752.0)</f>
        <v>45752</v>
      </c>
      <c r="AC232" s="187">
        <f>IFERROR(__xludf.DUMMYFUNCTION("""COMPUTED_VALUE"""),45752.0)</f>
        <v>45752</v>
      </c>
      <c r="AD232" s="187">
        <f>IFERROR(__xludf.DUMMYFUNCTION("""COMPUTED_VALUE"""),45758.0)</f>
        <v>45758</v>
      </c>
      <c r="AE232" s="182" t="str">
        <f>IFERROR(__xludf.DUMMYFUNCTION("""COMPUTED_VALUE"""),"GA10293-US
GA10293-US RevA")</f>
        <v>GA10293-US
GA10293-US RevA</v>
      </c>
      <c r="AF232" s="188" t="str">
        <f>IFERROR(__xludf.DUMMYFUNCTION("""COMPUTED_VALUE"""),"GA10293-US")</f>
        <v>GA10293-US</v>
      </c>
      <c r="AG232" s="182" t="str">
        <f>IFERROR(__xludf.DUMMYFUNCTION("""COMPUTED_VALUE"""),"GA10293-US
GA10293-US RevA")</f>
        <v>GA10293-US
GA10293-US RevA</v>
      </c>
      <c r="AH232" s="188" t="str">
        <f>IFERROR(__xludf.DUMMYFUNCTION("""COMPUTED_VALUE"""),"GA10293-US")</f>
        <v>GA10293-US</v>
      </c>
      <c r="AI232" s="187">
        <f>IFERROR(__xludf.DUMMYFUNCTION("""COMPUTED_VALUE"""),45780.0)</f>
        <v>45780</v>
      </c>
      <c r="AJ232" s="182" t="b">
        <f>IFERROR(__xludf.DUMMYFUNCTION("""COMPUTED_VALUE"""),TRUE)</f>
        <v>1</v>
      </c>
      <c r="AK232" s="182" t="b">
        <f>IFERROR(__xludf.DUMMYFUNCTION("""COMPUTED_VALUE"""),TRUE)</f>
        <v>1</v>
      </c>
      <c r="AL232" s="187">
        <f>IFERROR(__xludf.DUMMYFUNCTION("""COMPUTED_VALUE"""),45780.0)</f>
        <v>45780</v>
      </c>
      <c r="AM232" s="182" t="b">
        <f>IFERROR(__xludf.DUMMYFUNCTION("""COMPUTED_VALUE"""),TRUE)</f>
        <v>1</v>
      </c>
      <c r="AN232" s="182" t="str">
        <f>IFERROR(__xludf.DUMMYFUNCTION("""COMPUTED_VALUE"""),"Y")</f>
        <v>Y</v>
      </c>
      <c r="AO232" s="182"/>
      <c r="AP232" s="187">
        <f>IFERROR(__xludf.DUMMYFUNCTION("""COMPUTED_VALUE"""),45780.0)</f>
        <v>45780</v>
      </c>
      <c r="AQ232" s="182" t="b">
        <f>IFERROR(__xludf.DUMMYFUNCTION("""COMPUTED_VALUE"""),TRUE)</f>
        <v>1</v>
      </c>
      <c r="AR232" s="182" t="str">
        <f>IFERROR(__xludf.DUMMYFUNCTION("""COMPUTED_VALUE"""),"N")</f>
        <v>N</v>
      </c>
      <c r="AS232" s="182"/>
      <c r="AT232" s="187">
        <f>IFERROR(__xludf.DUMMYFUNCTION("""COMPUTED_VALUE"""),45780.0)</f>
        <v>45780</v>
      </c>
      <c r="AU232" s="182" t="str">
        <f>IFERROR(__xludf.DUMMYFUNCTION("""COMPUTED_VALUE"""),"Y")</f>
        <v>Y</v>
      </c>
      <c r="AV232" s="182"/>
      <c r="AW232" s="187">
        <f>IFERROR(__xludf.DUMMYFUNCTION("""COMPUTED_VALUE"""),45827.0)</f>
        <v>45827</v>
      </c>
      <c r="AX232" s="187">
        <f>IFERROR(__xludf.DUMMYFUNCTION("""COMPUTED_VALUE"""),45827.0)</f>
        <v>45827</v>
      </c>
      <c r="AY232" s="182" t="b">
        <f>IFERROR(__xludf.DUMMYFUNCTION("""COMPUTED_VALUE"""),FALSE)</f>
        <v>0</v>
      </c>
      <c r="AZ232" s="182"/>
      <c r="BA232" s="182"/>
      <c r="BB232" s="182"/>
    </row>
    <row r="233">
      <c r="A233" s="184" t="str">
        <f t="shared" si="1"/>
        <v>G990-08499-31-A</v>
      </c>
      <c r="B233" s="69" t="str">
        <f t="shared" si="3"/>
        <v>G990-08506-31-A</v>
      </c>
      <c r="C233" s="182" t="str">
        <f>IFERROR(__xludf.DUMMYFUNCTION("""COMPUTED_VALUE"""),"TMO")</f>
        <v>TMO</v>
      </c>
      <c r="D233" s="182" t="str">
        <f>IFERROR(__xludf.DUMMYFUNCTION("""COMPUTED_VALUE"""),"MP")</f>
        <v>MP</v>
      </c>
      <c r="E233" s="182" t="str">
        <f>IFERROR(__xludf.DUMMYFUNCTION("""COMPUTED_VALUE"""),"Pristine")</f>
        <v>Pristine</v>
      </c>
      <c r="F233" s="182" t="str">
        <f>IFERROR(__xludf.DUMMYFUNCTION("""COMPUTED_VALUE"""),"GA10294-US")</f>
        <v>GA10294-US</v>
      </c>
      <c r="G233" s="182" t="str">
        <f>IFERROR(__xludf.DUMMYFUNCTION("""COMPUTED_VALUE"""),"G4QUR")</f>
        <v>G4QUR</v>
      </c>
      <c r="H233" s="182">
        <f>IFERROR(__xludf.DUMMYFUNCTION("""COMPUTED_VALUE"""),8.40353925229E11)</f>
        <v>840353925229</v>
      </c>
      <c r="I233" s="185" t="str">
        <f>IFERROR(__xludf.DUMMYFUNCTION("""COMPUTED_VALUE"""),"0840353925229")</f>
        <v>0840353925229</v>
      </c>
      <c r="J233" s="182">
        <f>IFERROR(__xludf.DUMMYFUNCTION("""COMPUTED_VALUE"""),8.40353925229E11)</f>
        <v>840353925229</v>
      </c>
      <c r="K233" s="182" t="str">
        <f>IFERROR(__xludf.DUMMYFUNCTION("""COMPUTED_VALUE"""),"MasterCartonLabel_10 pack_TMO")</f>
        <v>MasterCartonLabel_10 pack_TMO</v>
      </c>
      <c r="L233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33" s="182" t="str">
        <f>IFERROR(__xludf.DUMMYFUNCTION("""COMPUTED_VALUE"""),"G990-08499-31-02
G990-08499-31-A")</f>
        <v>G990-08499-31-02
G990-08499-31-A</v>
      </c>
      <c r="N233" s="182" t="str">
        <f>IFERROR(__xludf.DUMMYFUNCTION("""COMPUTED_VALUE"""),"G990-08506-31-02
G990-08506-31-A")</f>
        <v>G990-08506-31-02
G990-08506-31-A</v>
      </c>
      <c r="O233" s="182" t="str">
        <f>IFERROR(__xludf.DUMMYFUNCTION("""COMPUTED_VALUE"""),"BOB→A
Retail→A")</f>
        <v>BOB→A
Retail→A</v>
      </c>
      <c r="P233" s="182" t="str">
        <f>IFERROR(__xludf.DUMMYFUNCTION("""COMPUTED_VALUE"""),"128GB")</f>
        <v>128GB</v>
      </c>
      <c r="Q233" s="182" t="str">
        <f>IFERROR(__xludf.DUMMYFUNCTION("""COMPUTED_VALUE"""),"Moonstone")</f>
        <v>Moonstone</v>
      </c>
      <c r="R233" s="182" t="str">
        <f>IFERROR(__xludf.DUMMYFUNCTION("""COMPUTED_VALUE"""),"Sterling")</f>
        <v>Sterling</v>
      </c>
      <c r="S233" s="182" t="str">
        <f>IFERROR(__xludf.DUMMYFUNCTION("""COMPUTED_VALUE"""),"US - Tmobile")</f>
        <v>US - Tmobile</v>
      </c>
      <c r="T233" s="182" t="str">
        <f>IFERROR(__xludf.DUMMYFUNCTION("""COMPUTED_VALUE"""),"SKU,CLR3, GOOD, MMWAVE, TMO, US, BZ5")</f>
        <v>SKU,CLR3, GOOD, MMWAVE, TMO, US, BZ5</v>
      </c>
      <c r="U233" s="182"/>
      <c r="V233" s="183" t="str">
        <f>IFERROR(__xludf.DUMMYFUNCTION("""COMPUTED_VALUE"""),"#NUM!")</f>
        <v>#NUM!</v>
      </c>
      <c r="W233" s="186">
        <f>IFERROR(__xludf.DUMMYFUNCTION("""COMPUTED_VALUE"""),45831.0)</f>
        <v>45831</v>
      </c>
      <c r="X233" s="187">
        <f>IFERROR(__xludf.DUMMYFUNCTION("""COMPUTED_VALUE"""),45745.0)</f>
        <v>45745</v>
      </c>
      <c r="Y233" s="182" t="b">
        <f>IFERROR(__xludf.DUMMYFUNCTION("""COMPUTED_VALUE"""),TRUE)</f>
        <v>1</v>
      </c>
      <c r="Z233" s="187">
        <f>IFERROR(__xludf.DUMMYFUNCTION("""COMPUTED_VALUE"""),45746.0)</f>
        <v>45746</v>
      </c>
      <c r="AA233" s="182" t="b">
        <f>IFERROR(__xludf.DUMMYFUNCTION("""COMPUTED_VALUE"""),FALSE)</f>
        <v>0</v>
      </c>
      <c r="AB233" s="187">
        <f>IFERROR(__xludf.DUMMYFUNCTION("""COMPUTED_VALUE"""),45752.0)</f>
        <v>45752</v>
      </c>
      <c r="AC233" s="187">
        <f>IFERROR(__xludf.DUMMYFUNCTION("""COMPUTED_VALUE"""),45752.0)</f>
        <v>45752</v>
      </c>
      <c r="AD233" s="187">
        <f>IFERROR(__xludf.DUMMYFUNCTION("""COMPUTED_VALUE"""),45758.0)</f>
        <v>45758</v>
      </c>
      <c r="AE233" s="182" t="str">
        <f>IFERROR(__xludf.DUMMYFUNCTION("""COMPUTED_VALUE"""),"GA10294-US
GA10294-US RevA")</f>
        <v>GA10294-US
GA10294-US RevA</v>
      </c>
      <c r="AF233" s="188" t="str">
        <f>IFERROR(__xludf.DUMMYFUNCTION("""COMPUTED_VALUE"""),"GA10294-US")</f>
        <v>GA10294-US</v>
      </c>
      <c r="AG233" s="182" t="str">
        <f>IFERROR(__xludf.DUMMYFUNCTION("""COMPUTED_VALUE"""),"GA10294-US
GA10294-US RevA")</f>
        <v>GA10294-US
GA10294-US RevA</v>
      </c>
      <c r="AH233" s="188" t="str">
        <f>IFERROR(__xludf.DUMMYFUNCTION("""COMPUTED_VALUE"""),"GA10294-US")</f>
        <v>GA10294-US</v>
      </c>
      <c r="AI233" s="187">
        <f>IFERROR(__xludf.DUMMYFUNCTION("""COMPUTED_VALUE"""),45780.0)</f>
        <v>45780</v>
      </c>
      <c r="AJ233" s="182" t="b">
        <f>IFERROR(__xludf.DUMMYFUNCTION("""COMPUTED_VALUE"""),TRUE)</f>
        <v>1</v>
      </c>
      <c r="AK233" s="182" t="b">
        <f>IFERROR(__xludf.DUMMYFUNCTION("""COMPUTED_VALUE"""),TRUE)</f>
        <v>1</v>
      </c>
      <c r="AL233" s="187">
        <f>IFERROR(__xludf.DUMMYFUNCTION("""COMPUTED_VALUE"""),45780.0)</f>
        <v>45780</v>
      </c>
      <c r="AM233" s="182" t="b">
        <f>IFERROR(__xludf.DUMMYFUNCTION("""COMPUTED_VALUE"""),TRUE)</f>
        <v>1</v>
      </c>
      <c r="AN233" s="182" t="str">
        <f>IFERROR(__xludf.DUMMYFUNCTION("""COMPUTED_VALUE"""),"N")</f>
        <v>N</v>
      </c>
      <c r="AO233" s="182"/>
      <c r="AP233" s="187">
        <f>IFERROR(__xludf.DUMMYFUNCTION("""COMPUTED_VALUE"""),45780.0)</f>
        <v>45780</v>
      </c>
      <c r="AQ233" s="182" t="b">
        <f>IFERROR(__xludf.DUMMYFUNCTION("""COMPUTED_VALUE"""),TRUE)</f>
        <v>1</v>
      </c>
      <c r="AR233" s="182" t="str">
        <f>IFERROR(__xludf.DUMMYFUNCTION("""COMPUTED_VALUE"""),"N")</f>
        <v>N</v>
      </c>
      <c r="AS233" s="182"/>
      <c r="AT233" s="187">
        <f>IFERROR(__xludf.DUMMYFUNCTION("""COMPUTED_VALUE"""),45780.0)</f>
        <v>45780</v>
      </c>
      <c r="AU233" s="182" t="str">
        <f>IFERROR(__xludf.DUMMYFUNCTION("""COMPUTED_VALUE"""),"Y")</f>
        <v>Y</v>
      </c>
      <c r="AV233" s="182"/>
      <c r="AW233" s="187">
        <f>IFERROR(__xludf.DUMMYFUNCTION("""COMPUTED_VALUE"""),45827.0)</f>
        <v>45827</v>
      </c>
      <c r="AX233" s="187">
        <f>IFERROR(__xludf.DUMMYFUNCTION("""COMPUTED_VALUE"""),45827.0)</f>
        <v>45827</v>
      </c>
      <c r="AY233" s="182" t="b">
        <f>IFERROR(__xludf.DUMMYFUNCTION("""COMPUTED_VALUE"""),FALSE)</f>
        <v>0</v>
      </c>
      <c r="AZ233" s="182"/>
      <c r="BA233" s="182"/>
      <c r="BB233" s="182"/>
    </row>
    <row r="234">
      <c r="A234" s="184" t="str">
        <f t="shared" si="1"/>
        <v>G990-08499-12-A</v>
      </c>
      <c r="B234" s="191" t="str">
        <f t="shared" si="3"/>
        <v>G990-08506-12-A</v>
      </c>
      <c r="C234" s="182" t="str">
        <f>IFERROR(__xludf.DUMMYFUNCTION("""COMPUTED_VALUE"""),"TMO")</f>
        <v>TMO</v>
      </c>
      <c r="D234" s="182" t="str">
        <f>IFERROR(__xludf.DUMMYFUNCTION("""COMPUTED_VALUE"""),"MP")</f>
        <v>MP</v>
      </c>
      <c r="E234" s="182" t="str">
        <f>IFERROR(__xludf.DUMMYFUNCTION("""COMPUTED_VALUE"""),"Pristine")</f>
        <v>Pristine</v>
      </c>
      <c r="F234" s="182" t="str">
        <f>IFERROR(__xludf.DUMMYFUNCTION("""COMPUTED_VALUE"""),"GA09898-US")</f>
        <v>GA09898-US</v>
      </c>
      <c r="G234" s="182" t="str">
        <f>IFERROR(__xludf.DUMMYFUNCTION("""COMPUTED_VALUE"""),"G4QUR")</f>
        <v>G4QUR</v>
      </c>
      <c r="H234" s="182">
        <f>IFERROR(__xludf.DUMMYFUNCTION("""COMPUTED_VALUE"""),8.40353925243E11)</f>
        <v>840353925243</v>
      </c>
      <c r="I234" s="185" t="str">
        <f>IFERROR(__xludf.DUMMYFUNCTION("""COMPUTED_VALUE"""),"0840353925243")</f>
        <v>0840353925243</v>
      </c>
      <c r="J234" s="182">
        <f>IFERROR(__xludf.DUMMYFUNCTION("""COMPUTED_VALUE"""),8.40353925243E11)</f>
        <v>840353925243</v>
      </c>
      <c r="K234" s="182" t="str">
        <f>IFERROR(__xludf.DUMMYFUNCTION("""COMPUTED_VALUE"""),"MasterCartonLabel_10 pack_TMO")</f>
        <v>MasterCartonLabel_10 pack_TMO</v>
      </c>
      <c r="L234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34" s="182" t="str">
        <f>IFERROR(__xludf.DUMMYFUNCTION("""COMPUTED_VALUE"""),"G990-08499-12-02
G990-08499-12-A")</f>
        <v>G990-08499-12-02
G990-08499-12-A</v>
      </c>
      <c r="N234" s="182" t="str">
        <f>IFERROR(__xludf.DUMMYFUNCTION("""COMPUTED_VALUE"""),"G990-08506-12-02
G990-08506-12-A")</f>
        <v>G990-08506-12-02
G990-08506-12-A</v>
      </c>
      <c r="O234" s="182" t="str">
        <f>IFERROR(__xludf.DUMMYFUNCTION("""COMPUTED_VALUE"""),"BOB→A
Retail→A")</f>
        <v>BOB→A
Retail→A</v>
      </c>
      <c r="P234" s="182" t="str">
        <f>IFERROR(__xludf.DUMMYFUNCTION("""COMPUTED_VALUE"""),"256GB")</f>
        <v>256GB</v>
      </c>
      <c r="Q234" s="182" t="str">
        <f>IFERROR(__xludf.DUMMYFUNCTION("""COMPUTED_VALUE"""),"Obsidian")</f>
        <v>Obsidian</v>
      </c>
      <c r="R234" s="182" t="str">
        <f>IFERROR(__xludf.DUMMYFUNCTION("""COMPUTED_VALUE"""),"Midnight")</f>
        <v>Midnight</v>
      </c>
      <c r="S234" s="182" t="str">
        <f>IFERROR(__xludf.DUMMYFUNCTION("""COMPUTED_VALUE"""),"US - Tmobile")</f>
        <v>US - Tmobile</v>
      </c>
      <c r="T234" s="182" t="str">
        <f>IFERROR(__xludf.DUMMYFUNCTION("""COMPUTED_VALUE"""),"SKU,CLR1, BETTER, MMWAVE, TMO, BZ5")</f>
        <v>SKU,CLR1, BETTER, MMWAVE, TMO, BZ5</v>
      </c>
      <c r="U234" s="182"/>
      <c r="V234" s="183" t="str">
        <f>IFERROR(__xludf.DUMMYFUNCTION("""COMPUTED_VALUE"""),"#NUM!")</f>
        <v>#NUM!</v>
      </c>
      <c r="W234" s="186">
        <f>IFERROR(__xludf.DUMMYFUNCTION("""COMPUTED_VALUE"""),45831.0)</f>
        <v>45831</v>
      </c>
      <c r="X234" s="187">
        <f>IFERROR(__xludf.DUMMYFUNCTION("""COMPUTED_VALUE"""),45745.0)</f>
        <v>45745</v>
      </c>
      <c r="Y234" s="182" t="b">
        <f>IFERROR(__xludf.DUMMYFUNCTION("""COMPUTED_VALUE"""),TRUE)</f>
        <v>1</v>
      </c>
      <c r="Z234" s="187">
        <f>IFERROR(__xludf.DUMMYFUNCTION("""COMPUTED_VALUE"""),45746.0)</f>
        <v>45746</v>
      </c>
      <c r="AA234" s="182" t="b">
        <f>IFERROR(__xludf.DUMMYFUNCTION("""COMPUTED_VALUE"""),FALSE)</f>
        <v>0</v>
      </c>
      <c r="AB234" s="187">
        <f>IFERROR(__xludf.DUMMYFUNCTION("""COMPUTED_VALUE"""),45752.0)</f>
        <v>45752</v>
      </c>
      <c r="AC234" s="187">
        <f>IFERROR(__xludf.DUMMYFUNCTION("""COMPUTED_VALUE"""),45752.0)</f>
        <v>45752</v>
      </c>
      <c r="AD234" s="187">
        <f>IFERROR(__xludf.DUMMYFUNCTION("""COMPUTED_VALUE"""),45758.0)</f>
        <v>45758</v>
      </c>
      <c r="AE234" s="182" t="str">
        <f>IFERROR(__xludf.DUMMYFUNCTION("""COMPUTED_VALUE"""),"GA09898-US
GA09898-US RevA")</f>
        <v>GA09898-US
GA09898-US RevA</v>
      </c>
      <c r="AF234" s="188" t="str">
        <f>IFERROR(__xludf.DUMMYFUNCTION("""COMPUTED_VALUE"""),"GA09898-US")</f>
        <v>GA09898-US</v>
      </c>
      <c r="AG234" s="182" t="str">
        <f>IFERROR(__xludf.DUMMYFUNCTION("""COMPUTED_VALUE"""),"GA09898-US
GA09898-US RevA")</f>
        <v>GA09898-US
GA09898-US RevA</v>
      </c>
      <c r="AH234" s="188" t="str">
        <f>IFERROR(__xludf.DUMMYFUNCTION("""COMPUTED_VALUE"""),"GA09898-US")</f>
        <v>GA09898-US</v>
      </c>
      <c r="AI234" s="187">
        <f>IFERROR(__xludf.DUMMYFUNCTION("""COMPUTED_VALUE"""),45780.0)</f>
        <v>45780</v>
      </c>
      <c r="AJ234" s="182" t="b">
        <f>IFERROR(__xludf.DUMMYFUNCTION("""COMPUTED_VALUE"""),TRUE)</f>
        <v>1</v>
      </c>
      <c r="AK234" s="182" t="b">
        <f>IFERROR(__xludf.DUMMYFUNCTION("""COMPUTED_VALUE"""),TRUE)</f>
        <v>1</v>
      </c>
      <c r="AL234" s="187">
        <f>IFERROR(__xludf.DUMMYFUNCTION("""COMPUTED_VALUE"""),45780.0)</f>
        <v>45780</v>
      </c>
      <c r="AM234" s="182" t="b">
        <f>IFERROR(__xludf.DUMMYFUNCTION("""COMPUTED_VALUE"""),TRUE)</f>
        <v>1</v>
      </c>
      <c r="AN234" s="182" t="str">
        <f>IFERROR(__xludf.DUMMYFUNCTION("""COMPUTED_VALUE"""),"N")</f>
        <v>N</v>
      </c>
      <c r="AO234" s="182"/>
      <c r="AP234" s="187">
        <f>IFERROR(__xludf.DUMMYFUNCTION("""COMPUTED_VALUE"""),45780.0)</f>
        <v>45780</v>
      </c>
      <c r="AQ234" s="182" t="b">
        <f>IFERROR(__xludf.DUMMYFUNCTION("""COMPUTED_VALUE"""),TRUE)</f>
        <v>1</v>
      </c>
      <c r="AR234" s="182" t="str">
        <f>IFERROR(__xludf.DUMMYFUNCTION("""COMPUTED_VALUE"""),"N")</f>
        <v>N</v>
      </c>
      <c r="AS234" s="182"/>
      <c r="AT234" s="187">
        <f>IFERROR(__xludf.DUMMYFUNCTION("""COMPUTED_VALUE"""),45780.0)</f>
        <v>45780</v>
      </c>
      <c r="AU234" s="182" t="str">
        <f>IFERROR(__xludf.DUMMYFUNCTION("""COMPUTED_VALUE"""),"Y")</f>
        <v>Y</v>
      </c>
      <c r="AV234" s="182"/>
      <c r="AW234" s="187">
        <f>IFERROR(__xludf.DUMMYFUNCTION("""COMPUTED_VALUE"""),45827.0)</f>
        <v>45827</v>
      </c>
      <c r="AX234" s="187">
        <f>IFERROR(__xludf.DUMMYFUNCTION("""COMPUTED_VALUE"""),45827.0)</f>
        <v>45827</v>
      </c>
      <c r="AY234" s="182" t="b">
        <f>IFERROR(__xludf.DUMMYFUNCTION("""COMPUTED_VALUE"""),FALSE)</f>
        <v>0</v>
      </c>
      <c r="AZ234" s="182"/>
      <c r="BA234" s="182"/>
      <c r="BB234" s="182"/>
    </row>
    <row r="235">
      <c r="A235" s="184" t="str">
        <f t="shared" si="1"/>
        <v>#VALUE!</v>
      </c>
      <c r="B235" s="69" t="str">
        <f t="shared" si="3"/>
        <v>#VALUE!</v>
      </c>
      <c r="C235" s="182" t="str">
        <f>IFERROR(__xludf.DUMMYFUNCTION("""COMPUTED_VALUE"""),"TMO")</f>
        <v>TMO</v>
      </c>
      <c r="D235" s="182" t="str">
        <f>IFERROR(__xludf.DUMMYFUNCTION("""COMPUTED_VALUE"""),"MP")</f>
        <v>MP</v>
      </c>
      <c r="E235" s="182" t="str">
        <f>IFERROR(__xludf.DUMMYFUNCTION("""COMPUTED_VALUE"""),"Pristine")</f>
        <v>Pristine</v>
      </c>
      <c r="F235" s="182" t="str">
        <f>IFERROR(__xludf.DUMMYFUNCTION("""COMPUTED_VALUE"""),"GA10295-US")</f>
        <v>GA10295-US</v>
      </c>
      <c r="G235" s="182" t="str">
        <f>IFERROR(__xludf.DUMMYFUNCTION("""COMPUTED_VALUE"""),"G4QUR")</f>
        <v>G4QUR</v>
      </c>
      <c r="H235" s="182">
        <f>IFERROR(__xludf.DUMMYFUNCTION("""COMPUTED_VALUE"""),8.4035392525E11)</f>
        <v>840353925250</v>
      </c>
      <c r="I235" s="185" t="str">
        <f>IFERROR(__xludf.DUMMYFUNCTION("""COMPUTED_VALUE"""),"0840353925250")</f>
        <v>0840353925250</v>
      </c>
      <c r="J235" s="182">
        <f>IFERROR(__xludf.DUMMYFUNCTION("""COMPUTED_VALUE"""),8.4035392525E11)</f>
        <v>840353925250</v>
      </c>
      <c r="K235" s="182" t="str">
        <f>IFERROR(__xludf.DUMMYFUNCTION("""COMPUTED_VALUE"""),"MasterCartonLabel_10 pack_TMO")</f>
        <v>MasterCartonLabel_10 pack_TMO</v>
      </c>
      <c r="L235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35" s="188" t="str">
        <f>IFERROR(__xludf.DUMMYFUNCTION("""COMPUTED_VALUE"""),"G990-08499-22-02")</f>
        <v>G990-08499-22-02</v>
      </c>
      <c r="N235" s="188" t="str">
        <f>IFERROR(__xludf.DUMMYFUNCTION("""COMPUTED_VALUE"""),"G990-08506-22-02")</f>
        <v>G990-08506-22-02</v>
      </c>
      <c r="O235" s="182"/>
      <c r="P235" s="182" t="str">
        <f>IFERROR(__xludf.DUMMYFUNCTION("""COMPUTED_VALUE"""),"256GB")</f>
        <v>256GB</v>
      </c>
      <c r="Q235" s="182" t="str">
        <f>IFERROR(__xludf.DUMMYFUNCTION("""COMPUTED_VALUE"""),"Porcelain")</f>
        <v>Porcelain</v>
      </c>
      <c r="R235" s="182" t="str">
        <f>IFERROR(__xludf.DUMMYFUNCTION("""COMPUTED_VALUE"""),"Light Porcelain")</f>
        <v>Light Porcelain</v>
      </c>
      <c r="S235" s="182" t="str">
        <f>IFERROR(__xludf.DUMMYFUNCTION("""COMPUTED_VALUE"""),"US - Tmobile")</f>
        <v>US - Tmobile</v>
      </c>
      <c r="T235" s="182" t="str">
        <f>IFERROR(__xludf.DUMMYFUNCTION("""COMPUTED_VALUE"""),"SKU,CLR2, BETTER, MMWAVE, TMO, US, BZ5")</f>
        <v>SKU,CLR2, BETTER, MMWAVE, TMO, US, BZ5</v>
      </c>
      <c r="U235" s="182"/>
      <c r="V235" s="183" t="str">
        <f>IFERROR(__xludf.DUMMYFUNCTION("""COMPUTED_VALUE"""),"#NUM!")</f>
        <v>#NUM!</v>
      </c>
      <c r="W235" s="186">
        <f>IFERROR(__xludf.DUMMYFUNCTION("""COMPUTED_VALUE"""),45831.0)</f>
        <v>45831</v>
      </c>
      <c r="X235" s="187">
        <f>IFERROR(__xludf.DUMMYFUNCTION("""COMPUTED_VALUE"""),45745.0)</f>
        <v>45745</v>
      </c>
      <c r="Y235" s="182" t="b">
        <f>IFERROR(__xludf.DUMMYFUNCTION("""COMPUTED_VALUE"""),FALSE)</f>
        <v>0</v>
      </c>
      <c r="Z235" s="187">
        <f>IFERROR(__xludf.DUMMYFUNCTION("""COMPUTED_VALUE"""),45746.0)</f>
        <v>45746</v>
      </c>
      <c r="AA235" s="182" t="b">
        <f>IFERROR(__xludf.DUMMYFUNCTION("""COMPUTED_VALUE"""),FALSE)</f>
        <v>0</v>
      </c>
      <c r="AB235" s="187">
        <f>IFERROR(__xludf.DUMMYFUNCTION("""COMPUTED_VALUE"""),45752.0)</f>
        <v>45752</v>
      </c>
      <c r="AC235" s="187">
        <f>IFERROR(__xludf.DUMMYFUNCTION("""COMPUTED_VALUE"""),45752.0)</f>
        <v>45752</v>
      </c>
      <c r="AD235" s="187">
        <f>IFERROR(__xludf.DUMMYFUNCTION("""COMPUTED_VALUE"""),45758.0)</f>
        <v>45758</v>
      </c>
      <c r="AE235" s="182"/>
      <c r="AF235" s="182"/>
      <c r="AG235" s="182"/>
      <c r="AH235" s="182"/>
      <c r="AI235" s="187">
        <f>IFERROR(__xludf.DUMMYFUNCTION("""COMPUTED_VALUE"""),45780.0)</f>
        <v>45780</v>
      </c>
      <c r="AJ235" s="182" t="b">
        <f>IFERROR(__xludf.DUMMYFUNCTION("""COMPUTED_VALUE"""),FALSE)</f>
        <v>0</v>
      </c>
      <c r="AK235" s="182" t="b">
        <f>IFERROR(__xludf.DUMMYFUNCTION("""COMPUTED_VALUE"""),FALSE)</f>
        <v>0</v>
      </c>
      <c r="AL235" s="187">
        <f>IFERROR(__xludf.DUMMYFUNCTION("""COMPUTED_VALUE"""),45780.0)</f>
        <v>45780</v>
      </c>
      <c r="AM235" s="182" t="b">
        <f>IFERROR(__xludf.DUMMYFUNCTION("""COMPUTED_VALUE"""),FALSE)</f>
        <v>0</v>
      </c>
      <c r="AN235" s="182"/>
      <c r="AO235" s="182"/>
      <c r="AP235" s="187">
        <f>IFERROR(__xludf.DUMMYFUNCTION("""COMPUTED_VALUE"""),45780.0)</f>
        <v>45780</v>
      </c>
      <c r="AQ235" s="182"/>
      <c r="AR235" s="182"/>
      <c r="AS235" s="182"/>
      <c r="AT235" s="187">
        <f>IFERROR(__xludf.DUMMYFUNCTION("""COMPUTED_VALUE"""),45780.0)</f>
        <v>45780</v>
      </c>
      <c r="AU235" s="182"/>
      <c r="AV235" s="182"/>
      <c r="AW235" s="187">
        <f>IFERROR(__xludf.DUMMYFUNCTION("""COMPUTED_VALUE"""),45827.0)</f>
        <v>45827</v>
      </c>
      <c r="AX235" s="187">
        <f>IFERROR(__xludf.DUMMYFUNCTION("""COMPUTED_VALUE"""),45827.0)</f>
        <v>45827</v>
      </c>
      <c r="AY235" s="182" t="b">
        <f>IFERROR(__xludf.DUMMYFUNCTION("""COMPUTED_VALUE"""),FALSE)</f>
        <v>0</v>
      </c>
      <c r="AZ235" s="182"/>
      <c r="BA235" s="182"/>
      <c r="BB235" s="182"/>
    </row>
    <row r="236">
      <c r="A236" s="184" t="str">
        <f t="shared" si="1"/>
        <v>G990-08499-32-A</v>
      </c>
      <c r="B236" s="191" t="str">
        <f t="shared" si="3"/>
        <v>MP File_TBD</v>
      </c>
      <c r="C236" s="182" t="str">
        <f>IFERROR(__xludf.DUMMYFUNCTION("""COMPUTED_VALUE"""),"TMO")</f>
        <v>TMO</v>
      </c>
      <c r="D236" s="182" t="str">
        <f>IFERROR(__xludf.DUMMYFUNCTION("""COMPUTED_VALUE"""),"MP")</f>
        <v>MP</v>
      </c>
      <c r="E236" s="182" t="str">
        <f>IFERROR(__xludf.DUMMYFUNCTION("""COMPUTED_VALUE"""),"Pristine")</f>
        <v>Pristine</v>
      </c>
      <c r="F236" s="182" t="str">
        <f>IFERROR(__xludf.DUMMYFUNCTION("""COMPUTED_VALUE"""),"GA10296-US")</f>
        <v>GA10296-US</v>
      </c>
      <c r="G236" s="182" t="str">
        <f>IFERROR(__xludf.DUMMYFUNCTION("""COMPUTED_VALUE"""),"G4QUR")</f>
        <v>G4QUR</v>
      </c>
      <c r="H236" s="182">
        <f>IFERROR(__xludf.DUMMYFUNCTION("""COMPUTED_VALUE"""),8.40353925267E11)</f>
        <v>840353925267</v>
      </c>
      <c r="I236" s="185" t="str">
        <f>IFERROR(__xludf.DUMMYFUNCTION("""COMPUTED_VALUE"""),"0840353925267")</f>
        <v>0840353925267</v>
      </c>
      <c r="J236" s="182">
        <f>IFERROR(__xludf.DUMMYFUNCTION("""COMPUTED_VALUE"""),8.40353925267E11)</f>
        <v>840353925267</v>
      </c>
      <c r="K236" s="182" t="str">
        <f>IFERROR(__xludf.DUMMYFUNCTION("""COMPUTED_VALUE"""),"MasterCartonLabel_10 pack_TMO")</f>
        <v>MasterCartonLabel_10 pack_TMO</v>
      </c>
      <c r="L236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36" s="182" t="str">
        <f>IFERROR(__xludf.DUMMYFUNCTION("""COMPUTED_VALUE"""),"G990-08499-32-02
G990-08499-32-A")</f>
        <v>G990-08499-32-02
G990-08499-32-A</v>
      </c>
      <c r="N236" s="188" t="str">
        <f>IFERROR(__xludf.DUMMYFUNCTION("""COMPUTED_VALUE"""),"G990-08506-32-02
MP File_TBD")</f>
        <v>G990-08506-32-02
MP File_TBD</v>
      </c>
      <c r="O236" s="182" t="str">
        <f>IFERROR(__xludf.DUMMYFUNCTION("""COMPUTED_VALUE"""),"BOB→A
Retail→A")</f>
        <v>BOB→A
Retail→A</v>
      </c>
      <c r="P236" s="182" t="str">
        <f>IFERROR(__xludf.DUMMYFUNCTION("""COMPUTED_VALUE"""),"256GB")</f>
        <v>256GB</v>
      </c>
      <c r="Q236" s="182" t="str">
        <f>IFERROR(__xludf.DUMMYFUNCTION("""COMPUTED_VALUE"""),"Moonstone")</f>
        <v>Moonstone</v>
      </c>
      <c r="R236" s="182" t="str">
        <f>IFERROR(__xludf.DUMMYFUNCTION("""COMPUTED_VALUE"""),"Sterling")</f>
        <v>Sterling</v>
      </c>
      <c r="S236" s="182" t="str">
        <f>IFERROR(__xludf.DUMMYFUNCTION("""COMPUTED_VALUE"""),"US - Tmobile")</f>
        <v>US - Tmobile</v>
      </c>
      <c r="T236" s="182" t="str">
        <f>IFERROR(__xludf.DUMMYFUNCTION("""COMPUTED_VALUE"""),"SKU,CLR3, BETTER, MMWAVE, TMO, US, BZ5")</f>
        <v>SKU,CLR3, BETTER, MMWAVE, TMO, US, BZ5</v>
      </c>
      <c r="U236" s="182"/>
      <c r="V236" s="183" t="str">
        <f>IFERROR(__xludf.DUMMYFUNCTION("""COMPUTED_VALUE"""),"#NUM!")</f>
        <v>#NUM!</v>
      </c>
      <c r="W236" s="186">
        <f>IFERROR(__xludf.DUMMYFUNCTION("""COMPUTED_VALUE"""),45831.0)</f>
        <v>45831</v>
      </c>
      <c r="X236" s="187">
        <f>IFERROR(__xludf.DUMMYFUNCTION("""COMPUTED_VALUE"""),45745.0)</f>
        <v>45745</v>
      </c>
      <c r="Y236" s="182" t="b">
        <f>IFERROR(__xludf.DUMMYFUNCTION("""COMPUTED_VALUE"""),TRUE)</f>
        <v>1</v>
      </c>
      <c r="Z236" s="187">
        <f>IFERROR(__xludf.DUMMYFUNCTION("""COMPUTED_VALUE"""),45746.0)</f>
        <v>45746</v>
      </c>
      <c r="AA236" s="182" t="b">
        <f>IFERROR(__xludf.DUMMYFUNCTION("""COMPUTED_VALUE"""),FALSE)</f>
        <v>0</v>
      </c>
      <c r="AB236" s="187">
        <f>IFERROR(__xludf.DUMMYFUNCTION("""COMPUTED_VALUE"""),45752.0)</f>
        <v>45752</v>
      </c>
      <c r="AC236" s="187">
        <f>IFERROR(__xludf.DUMMYFUNCTION("""COMPUTED_VALUE"""),45752.0)</f>
        <v>45752</v>
      </c>
      <c r="AD236" s="187">
        <f>IFERROR(__xludf.DUMMYFUNCTION("""COMPUTED_VALUE"""),45758.0)</f>
        <v>45758</v>
      </c>
      <c r="AE236" s="182" t="str">
        <f>IFERROR(__xludf.DUMMYFUNCTION("""COMPUTED_VALUE"""),"GA10296-US
GA10296-US RevA")</f>
        <v>GA10296-US
GA10296-US RevA</v>
      </c>
      <c r="AF236" s="188" t="str">
        <f>IFERROR(__xludf.DUMMYFUNCTION("""COMPUTED_VALUE"""),"GA10296-US")</f>
        <v>GA10296-US</v>
      </c>
      <c r="AG236" s="182" t="str">
        <f>IFERROR(__xludf.DUMMYFUNCTION("""COMPUTED_VALUE"""),"GA10296-US
GA10296-US RevA")</f>
        <v>GA10296-US
GA10296-US RevA</v>
      </c>
      <c r="AH236" s="188" t="str">
        <f>IFERROR(__xludf.DUMMYFUNCTION("""COMPUTED_VALUE"""),"GA10296-US")</f>
        <v>GA10296-US</v>
      </c>
      <c r="AI236" s="187">
        <f>IFERROR(__xludf.DUMMYFUNCTION("""COMPUTED_VALUE"""),45780.0)</f>
        <v>45780</v>
      </c>
      <c r="AJ236" s="182" t="b">
        <f>IFERROR(__xludf.DUMMYFUNCTION("""COMPUTED_VALUE"""),TRUE)</f>
        <v>1</v>
      </c>
      <c r="AK236" s="182" t="b">
        <f>IFERROR(__xludf.DUMMYFUNCTION("""COMPUTED_VALUE"""),TRUE)</f>
        <v>1</v>
      </c>
      <c r="AL236" s="187">
        <f>IFERROR(__xludf.DUMMYFUNCTION("""COMPUTED_VALUE"""),45780.0)</f>
        <v>45780</v>
      </c>
      <c r="AM236" s="182" t="b">
        <f>IFERROR(__xludf.DUMMYFUNCTION("""COMPUTED_VALUE"""),TRUE)</f>
        <v>1</v>
      </c>
      <c r="AN236" s="182" t="str">
        <f>IFERROR(__xludf.DUMMYFUNCTION("""COMPUTED_VALUE"""),"N")</f>
        <v>N</v>
      </c>
      <c r="AO236" s="182"/>
      <c r="AP236" s="187">
        <f>IFERROR(__xludf.DUMMYFUNCTION("""COMPUTED_VALUE"""),45780.0)</f>
        <v>45780</v>
      </c>
      <c r="AQ236" s="182" t="b">
        <f>IFERROR(__xludf.DUMMYFUNCTION("""COMPUTED_VALUE"""),TRUE)</f>
        <v>1</v>
      </c>
      <c r="AR236" s="182" t="str">
        <f>IFERROR(__xludf.DUMMYFUNCTION("""COMPUTED_VALUE"""),"N")</f>
        <v>N</v>
      </c>
      <c r="AS236" s="182"/>
      <c r="AT236" s="187">
        <f>IFERROR(__xludf.DUMMYFUNCTION("""COMPUTED_VALUE"""),45780.0)</f>
        <v>45780</v>
      </c>
      <c r="AU236" s="182"/>
      <c r="AV236" s="182"/>
      <c r="AW236" s="187">
        <f>IFERROR(__xludf.DUMMYFUNCTION("""COMPUTED_VALUE"""),45827.0)</f>
        <v>45827</v>
      </c>
      <c r="AX236" s="187">
        <f>IFERROR(__xludf.DUMMYFUNCTION("""COMPUTED_VALUE"""),45827.0)</f>
        <v>45827</v>
      </c>
      <c r="AY236" s="182" t="b">
        <f>IFERROR(__xludf.DUMMYFUNCTION("""COMPUTED_VALUE"""),FALSE)</f>
        <v>0</v>
      </c>
      <c r="AZ236" s="182"/>
      <c r="BA236" s="182"/>
      <c r="BB236" s="182"/>
    </row>
    <row r="237">
      <c r="A237" s="184" t="str">
        <f t="shared" si="1"/>
        <v>#VALUE!</v>
      </c>
      <c r="B237" s="191" t="str">
        <f t="shared" si="3"/>
        <v>#VALUE!</v>
      </c>
      <c r="C237" s="182" t="str">
        <f>IFERROR(__xludf.DUMMYFUNCTION("""COMPUTED_VALUE"""),"TMO")</f>
        <v>TMO</v>
      </c>
      <c r="D237" s="182" t="str">
        <f>IFERROR(__xludf.DUMMYFUNCTION("""COMPUTED_VALUE"""),"MP")</f>
        <v>MP</v>
      </c>
      <c r="E237" s="182" t="str">
        <f>IFERROR(__xludf.DUMMYFUNCTION("""COMPUTED_VALUE"""),"Pristine")</f>
        <v>Pristine</v>
      </c>
      <c r="F237" s="182" t="str">
        <f>IFERROR(__xludf.DUMMYFUNCTION("""COMPUTED_VALUE"""),"GA10297-US")</f>
        <v>GA10297-US</v>
      </c>
      <c r="G237" s="182" t="str">
        <f>IFERROR(__xludf.DUMMYFUNCTION("""COMPUTED_VALUE"""),"G4QUR")</f>
        <v>G4QUR</v>
      </c>
      <c r="H237" s="182">
        <f>IFERROR(__xludf.DUMMYFUNCTION("""COMPUTED_VALUE"""),8.40353925274E11)</f>
        <v>840353925274</v>
      </c>
      <c r="I237" s="185" t="str">
        <f>IFERROR(__xludf.DUMMYFUNCTION("""COMPUTED_VALUE"""),"0840353925274")</f>
        <v>0840353925274</v>
      </c>
      <c r="J237" s="182">
        <f>IFERROR(__xludf.DUMMYFUNCTION("""COMPUTED_VALUE"""),8.40353925274E11)</f>
        <v>840353925274</v>
      </c>
      <c r="K237" s="182" t="str">
        <f>IFERROR(__xludf.DUMMYFUNCTION("""COMPUTED_VALUE"""),"MasterCartonLabel_10 pack_TMO")</f>
        <v>MasterCartonLabel_10 pack_TMO</v>
      </c>
      <c r="L237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37" s="188" t="str">
        <f>IFERROR(__xludf.DUMMYFUNCTION("""COMPUTED_VALUE"""),"G990-08499-42-02")</f>
        <v>G990-08499-42-02</v>
      </c>
      <c r="N237" s="188" t="str">
        <f>IFERROR(__xludf.DUMMYFUNCTION("""COMPUTED_VALUE"""),"G990-08506-42-02")</f>
        <v>G990-08506-42-02</v>
      </c>
      <c r="O237" s="182"/>
      <c r="P237" s="182" t="str">
        <f>IFERROR(__xludf.DUMMYFUNCTION("""COMPUTED_VALUE"""),"256GB")</f>
        <v>256GB</v>
      </c>
      <c r="Q237" s="182" t="str">
        <f>IFERROR(__xludf.DUMMYFUNCTION("""COMPUTED_VALUE"""),"Jade")</f>
        <v>Jade</v>
      </c>
      <c r="R237" s="182" t="str">
        <f>IFERROR(__xludf.DUMMYFUNCTION("""COMPUTED_VALUE"""),"Smokey Green")</f>
        <v>Smokey Green</v>
      </c>
      <c r="S237" s="182" t="str">
        <f>IFERROR(__xludf.DUMMYFUNCTION("""COMPUTED_VALUE"""),"US - Tmobile")</f>
        <v>US - Tmobile</v>
      </c>
      <c r="T237" s="182" t="str">
        <f>IFERROR(__xludf.DUMMYFUNCTION("""COMPUTED_VALUE"""),"SKU,CLR4, BETTER, MMWAVE, TMO, US, BZ5")</f>
        <v>SKU,CLR4, BETTER, MMWAVE, TMO, US, BZ5</v>
      </c>
      <c r="U237" s="182"/>
      <c r="V237" s="183" t="str">
        <f>IFERROR(__xludf.DUMMYFUNCTION("""COMPUTED_VALUE"""),"#NUM!")</f>
        <v>#NUM!</v>
      </c>
      <c r="W237" s="186">
        <f>IFERROR(__xludf.DUMMYFUNCTION("""COMPUTED_VALUE"""),45831.0)</f>
        <v>45831</v>
      </c>
      <c r="X237" s="187">
        <f>IFERROR(__xludf.DUMMYFUNCTION("""COMPUTED_VALUE"""),45745.0)</f>
        <v>45745</v>
      </c>
      <c r="Y237" s="182" t="b">
        <f>IFERROR(__xludf.DUMMYFUNCTION("""COMPUTED_VALUE"""),FALSE)</f>
        <v>0</v>
      </c>
      <c r="Z237" s="187">
        <f>IFERROR(__xludf.DUMMYFUNCTION("""COMPUTED_VALUE"""),45746.0)</f>
        <v>45746</v>
      </c>
      <c r="AA237" s="182" t="b">
        <f>IFERROR(__xludf.DUMMYFUNCTION("""COMPUTED_VALUE"""),FALSE)</f>
        <v>0</v>
      </c>
      <c r="AB237" s="187">
        <f>IFERROR(__xludf.DUMMYFUNCTION("""COMPUTED_VALUE"""),45752.0)</f>
        <v>45752</v>
      </c>
      <c r="AC237" s="187">
        <f>IFERROR(__xludf.DUMMYFUNCTION("""COMPUTED_VALUE"""),45752.0)</f>
        <v>45752</v>
      </c>
      <c r="AD237" s="187">
        <f>IFERROR(__xludf.DUMMYFUNCTION("""COMPUTED_VALUE"""),45758.0)</f>
        <v>45758</v>
      </c>
      <c r="AE237" s="182"/>
      <c r="AF237" s="182"/>
      <c r="AG237" s="182"/>
      <c r="AH237" s="182"/>
      <c r="AI237" s="187">
        <f>IFERROR(__xludf.DUMMYFUNCTION("""COMPUTED_VALUE"""),45780.0)</f>
        <v>45780</v>
      </c>
      <c r="AJ237" s="182" t="b">
        <f>IFERROR(__xludf.DUMMYFUNCTION("""COMPUTED_VALUE"""),FALSE)</f>
        <v>0</v>
      </c>
      <c r="AK237" s="182" t="b">
        <f>IFERROR(__xludf.DUMMYFUNCTION("""COMPUTED_VALUE"""),FALSE)</f>
        <v>0</v>
      </c>
      <c r="AL237" s="187">
        <f>IFERROR(__xludf.DUMMYFUNCTION("""COMPUTED_VALUE"""),45780.0)</f>
        <v>45780</v>
      </c>
      <c r="AM237" s="182" t="b">
        <f>IFERROR(__xludf.DUMMYFUNCTION("""COMPUTED_VALUE"""),FALSE)</f>
        <v>0</v>
      </c>
      <c r="AN237" s="182"/>
      <c r="AO237" s="182"/>
      <c r="AP237" s="187">
        <f>IFERROR(__xludf.DUMMYFUNCTION("""COMPUTED_VALUE"""),45780.0)</f>
        <v>45780</v>
      </c>
      <c r="AQ237" s="182" t="b">
        <f>IFERROR(__xludf.DUMMYFUNCTION("""COMPUTED_VALUE"""),FALSE)</f>
        <v>0</v>
      </c>
      <c r="AR237" s="182"/>
      <c r="AS237" s="182"/>
      <c r="AT237" s="187">
        <f>IFERROR(__xludf.DUMMYFUNCTION("""COMPUTED_VALUE"""),45780.0)</f>
        <v>45780</v>
      </c>
      <c r="AU237" s="182"/>
      <c r="AV237" s="182"/>
      <c r="AW237" s="187">
        <f>IFERROR(__xludf.DUMMYFUNCTION("""COMPUTED_VALUE"""),45827.0)</f>
        <v>45827</v>
      </c>
      <c r="AX237" s="187">
        <f>IFERROR(__xludf.DUMMYFUNCTION("""COMPUTED_VALUE"""),45827.0)</f>
        <v>45827</v>
      </c>
      <c r="AY237" s="182" t="b">
        <f>IFERROR(__xludf.DUMMYFUNCTION("""COMPUTED_VALUE"""),FALSE)</f>
        <v>0</v>
      </c>
      <c r="AZ237" s="182"/>
      <c r="BA237" s="182"/>
      <c r="BB237" s="182"/>
    </row>
    <row r="238">
      <c r="A238" s="184" t="str">
        <f t="shared" si="1"/>
        <v>#VALUE!</v>
      </c>
      <c r="B238" s="191" t="str">
        <f t="shared" si="3"/>
        <v>#VALUE!</v>
      </c>
      <c r="C238" s="182" t="str">
        <f>IFERROR(__xludf.DUMMYFUNCTION("""COMPUTED_VALUE"""),"TMO")</f>
        <v>TMO</v>
      </c>
      <c r="D238" s="182" t="str">
        <f>IFERROR(__xludf.DUMMYFUNCTION("""COMPUTED_VALUE"""),"MP")</f>
        <v>MP</v>
      </c>
      <c r="E238" s="182" t="str">
        <f>IFERROR(__xludf.DUMMYFUNCTION("""COMPUTED_VALUE"""),"Pristine")</f>
        <v>Pristine</v>
      </c>
      <c r="F238" s="182" t="str">
        <f>IFERROR(__xludf.DUMMYFUNCTION("""COMPUTED_VALUE"""),"GA09907-US")</f>
        <v>GA09907-US</v>
      </c>
      <c r="G238" s="182" t="str">
        <f>IFERROR(__xludf.DUMMYFUNCTION("""COMPUTED_VALUE"""),"G4QUR")</f>
        <v>G4QUR</v>
      </c>
      <c r="H238" s="182">
        <f>IFERROR(__xludf.DUMMYFUNCTION("""COMPUTED_VALUE"""),8.4035392509E11)</f>
        <v>840353925090</v>
      </c>
      <c r="I238" s="185" t="str">
        <f>IFERROR(__xludf.DUMMYFUNCTION("""COMPUTED_VALUE"""),"0840353925090")</f>
        <v>0840353925090</v>
      </c>
      <c r="J238" s="182">
        <f>IFERROR(__xludf.DUMMYFUNCTION("""COMPUTED_VALUE"""),8.4035392509E11)</f>
        <v>840353925090</v>
      </c>
      <c r="K238" s="182" t="str">
        <f>IFERROR(__xludf.DUMMYFUNCTION("""COMPUTED_VALUE"""),"MasterCartonLabel_10 pack_TMO")</f>
        <v>MasterCartonLabel_10 pack_TMO</v>
      </c>
      <c r="L238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38" s="188" t="str">
        <f>IFERROR(__xludf.DUMMYFUNCTION("""COMPUTED_VALUE"""),"G990-08499-13-02")</f>
        <v>G990-08499-13-02</v>
      </c>
      <c r="N238" s="188" t="str">
        <f>IFERROR(__xludf.DUMMYFUNCTION("""COMPUTED_VALUE"""),"G990-08506-13-02")</f>
        <v>G990-08506-13-02</v>
      </c>
      <c r="O238" s="182"/>
      <c r="P238" s="182" t="str">
        <f>IFERROR(__xludf.DUMMYFUNCTION("""COMPUTED_VALUE"""),"512GB")</f>
        <v>512GB</v>
      </c>
      <c r="Q238" s="182" t="str">
        <f>IFERROR(__xludf.DUMMYFUNCTION("""COMPUTED_VALUE"""),"Obsidian")</f>
        <v>Obsidian</v>
      </c>
      <c r="R238" s="182" t="str">
        <f>IFERROR(__xludf.DUMMYFUNCTION("""COMPUTED_VALUE"""),"Midnight")</f>
        <v>Midnight</v>
      </c>
      <c r="S238" s="182" t="str">
        <f>IFERROR(__xludf.DUMMYFUNCTION("""COMPUTED_VALUE"""),"US - Tmobile")</f>
        <v>US - Tmobile</v>
      </c>
      <c r="T238" s="182" t="str">
        <f>IFERROR(__xludf.DUMMYFUNCTION("""COMPUTED_VALUE"""),"SKU,CLR1, BEST, MMWAVE, TMO, BZ5")</f>
        <v>SKU,CLR1, BEST, MMWAVE, TMO, BZ5</v>
      </c>
      <c r="U238" s="182"/>
      <c r="V238" s="183" t="str">
        <f>IFERROR(__xludf.DUMMYFUNCTION("""COMPUTED_VALUE"""),"#NUM!")</f>
        <v>#NUM!</v>
      </c>
      <c r="W238" s="186">
        <f>IFERROR(__xludf.DUMMYFUNCTION("""COMPUTED_VALUE"""),45831.0)</f>
        <v>45831</v>
      </c>
      <c r="X238" s="187">
        <f>IFERROR(__xludf.DUMMYFUNCTION("""COMPUTED_VALUE"""),45745.0)</f>
        <v>45745</v>
      </c>
      <c r="Y238" s="182" t="b">
        <f>IFERROR(__xludf.DUMMYFUNCTION("""COMPUTED_VALUE"""),FALSE)</f>
        <v>0</v>
      </c>
      <c r="Z238" s="187">
        <f>IFERROR(__xludf.DUMMYFUNCTION("""COMPUTED_VALUE"""),45746.0)</f>
        <v>45746</v>
      </c>
      <c r="AA238" s="182" t="b">
        <f>IFERROR(__xludf.DUMMYFUNCTION("""COMPUTED_VALUE"""),FALSE)</f>
        <v>0</v>
      </c>
      <c r="AB238" s="187">
        <f>IFERROR(__xludf.DUMMYFUNCTION("""COMPUTED_VALUE"""),45752.0)</f>
        <v>45752</v>
      </c>
      <c r="AC238" s="187">
        <f>IFERROR(__xludf.DUMMYFUNCTION("""COMPUTED_VALUE"""),45752.0)</f>
        <v>45752</v>
      </c>
      <c r="AD238" s="187">
        <f>IFERROR(__xludf.DUMMYFUNCTION("""COMPUTED_VALUE"""),45758.0)</f>
        <v>45758</v>
      </c>
      <c r="AE238" s="182"/>
      <c r="AF238" s="182"/>
      <c r="AG238" s="182"/>
      <c r="AH238" s="182"/>
      <c r="AI238" s="187">
        <f>IFERROR(__xludf.DUMMYFUNCTION("""COMPUTED_VALUE"""),45780.0)</f>
        <v>45780</v>
      </c>
      <c r="AJ238" s="182" t="b">
        <f>IFERROR(__xludf.DUMMYFUNCTION("""COMPUTED_VALUE"""),FALSE)</f>
        <v>0</v>
      </c>
      <c r="AK238" s="182" t="b">
        <f>IFERROR(__xludf.DUMMYFUNCTION("""COMPUTED_VALUE"""),FALSE)</f>
        <v>0</v>
      </c>
      <c r="AL238" s="187">
        <f>IFERROR(__xludf.DUMMYFUNCTION("""COMPUTED_VALUE"""),45780.0)</f>
        <v>45780</v>
      </c>
      <c r="AM238" s="182" t="b">
        <f>IFERROR(__xludf.DUMMYFUNCTION("""COMPUTED_VALUE"""),FALSE)</f>
        <v>0</v>
      </c>
      <c r="AN238" s="182"/>
      <c r="AO238" s="182"/>
      <c r="AP238" s="187">
        <f>IFERROR(__xludf.DUMMYFUNCTION("""COMPUTED_VALUE"""),45780.0)</f>
        <v>45780</v>
      </c>
      <c r="AQ238" s="182" t="b">
        <f>IFERROR(__xludf.DUMMYFUNCTION("""COMPUTED_VALUE"""),FALSE)</f>
        <v>0</v>
      </c>
      <c r="AR238" s="182"/>
      <c r="AS238" s="182"/>
      <c r="AT238" s="187">
        <f>IFERROR(__xludf.DUMMYFUNCTION("""COMPUTED_VALUE"""),45780.0)</f>
        <v>45780</v>
      </c>
      <c r="AU238" s="182"/>
      <c r="AV238" s="182"/>
      <c r="AW238" s="187">
        <f>IFERROR(__xludf.DUMMYFUNCTION("""COMPUTED_VALUE"""),45827.0)</f>
        <v>45827</v>
      </c>
      <c r="AX238" s="187">
        <f>IFERROR(__xludf.DUMMYFUNCTION("""COMPUTED_VALUE"""),45827.0)</f>
        <v>45827</v>
      </c>
      <c r="AY238" s="182" t="b">
        <f>IFERROR(__xludf.DUMMYFUNCTION("""COMPUTED_VALUE"""),FALSE)</f>
        <v>0</v>
      </c>
      <c r="AZ238" s="182"/>
      <c r="BA238" s="182"/>
      <c r="BB238" s="182"/>
    </row>
    <row r="239">
      <c r="A239" s="184" t="str">
        <f t="shared" si="1"/>
        <v>#VALUE!</v>
      </c>
      <c r="B239" s="191" t="str">
        <f t="shared" si="3"/>
        <v>#VALUE!</v>
      </c>
      <c r="C239" s="182" t="str">
        <f>IFERROR(__xludf.DUMMYFUNCTION("""COMPUTED_VALUE"""),"TMO")</f>
        <v>TMO</v>
      </c>
      <c r="D239" s="182" t="str">
        <f>IFERROR(__xludf.DUMMYFUNCTION("""COMPUTED_VALUE"""),"MP")</f>
        <v>MP</v>
      </c>
      <c r="E239" s="182" t="str">
        <f>IFERROR(__xludf.DUMMYFUNCTION("""COMPUTED_VALUE"""),"Pristine")</f>
        <v>Pristine</v>
      </c>
      <c r="F239" s="182" t="str">
        <f>IFERROR(__xludf.DUMMYFUNCTION("""COMPUTED_VALUE"""),"GA10298-US")</f>
        <v>GA10298-US</v>
      </c>
      <c r="G239" s="182" t="str">
        <f>IFERROR(__xludf.DUMMYFUNCTION("""COMPUTED_VALUE"""),"G4QUR")</f>
        <v>G4QUR</v>
      </c>
      <c r="H239" s="182">
        <f>IFERROR(__xludf.DUMMYFUNCTION("""COMPUTED_VALUE"""),8.40353925106E11)</f>
        <v>840353925106</v>
      </c>
      <c r="I239" s="185" t="str">
        <f>IFERROR(__xludf.DUMMYFUNCTION("""COMPUTED_VALUE"""),"0840353925106")</f>
        <v>0840353925106</v>
      </c>
      <c r="J239" s="182">
        <f>IFERROR(__xludf.DUMMYFUNCTION("""COMPUTED_VALUE"""),8.40353925106E11)</f>
        <v>840353925106</v>
      </c>
      <c r="K239" s="182" t="str">
        <f>IFERROR(__xludf.DUMMYFUNCTION("""COMPUTED_VALUE"""),"MasterCartonLabel_10 pack_TMO")</f>
        <v>MasterCartonLabel_10 pack_TMO</v>
      </c>
      <c r="L239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39" s="188" t="str">
        <f>IFERROR(__xludf.DUMMYFUNCTION("""COMPUTED_VALUE"""),"G990-08499-23-02")</f>
        <v>G990-08499-23-02</v>
      </c>
      <c r="N239" s="188" t="str">
        <f>IFERROR(__xludf.DUMMYFUNCTION("""COMPUTED_VALUE"""),"G990-08506-23-02")</f>
        <v>G990-08506-23-02</v>
      </c>
      <c r="O239" s="182"/>
      <c r="P239" s="182" t="str">
        <f>IFERROR(__xludf.DUMMYFUNCTION("""COMPUTED_VALUE"""),"512GB")</f>
        <v>512GB</v>
      </c>
      <c r="Q239" s="182" t="str">
        <f>IFERROR(__xludf.DUMMYFUNCTION("""COMPUTED_VALUE"""),"Porcelain")</f>
        <v>Porcelain</v>
      </c>
      <c r="R239" s="182" t="str">
        <f>IFERROR(__xludf.DUMMYFUNCTION("""COMPUTED_VALUE"""),"Light Porcelain")</f>
        <v>Light Porcelain</v>
      </c>
      <c r="S239" s="182" t="str">
        <f>IFERROR(__xludf.DUMMYFUNCTION("""COMPUTED_VALUE"""),"US - Tmobile")</f>
        <v>US - Tmobile</v>
      </c>
      <c r="T239" s="182" t="str">
        <f>IFERROR(__xludf.DUMMYFUNCTION("""COMPUTED_VALUE"""),"SKU,CLR2, BEST, MMWAVE, TMO, US, BZ5")</f>
        <v>SKU,CLR2, BEST, MMWAVE, TMO, US, BZ5</v>
      </c>
      <c r="U239" s="182"/>
      <c r="V239" s="183" t="str">
        <f>IFERROR(__xludf.DUMMYFUNCTION("""COMPUTED_VALUE"""),"#NUM!")</f>
        <v>#NUM!</v>
      </c>
      <c r="W239" s="186">
        <f>IFERROR(__xludf.DUMMYFUNCTION("""COMPUTED_VALUE"""),45831.0)</f>
        <v>45831</v>
      </c>
      <c r="X239" s="187">
        <f>IFERROR(__xludf.DUMMYFUNCTION("""COMPUTED_VALUE"""),45745.0)</f>
        <v>45745</v>
      </c>
      <c r="Y239" s="182" t="b">
        <f>IFERROR(__xludf.DUMMYFUNCTION("""COMPUTED_VALUE"""),FALSE)</f>
        <v>0</v>
      </c>
      <c r="Z239" s="187">
        <f>IFERROR(__xludf.DUMMYFUNCTION("""COMPUTED_VALUE"""),45746.0)</f>
        <v>45746</v>
      </c>
      <c r="AA239" s="182" t="b">
        <f>IFERROR(__xludf.DUMMYFUNCTION("""COMPUTED_VALUE"""),FALSE)</f>
        <v>0</v>
      </c>
      <c r="AB239" s="187">
        <f>IFERROR(__xludf.DUMMYFUNCTION("""COMPUTED_VALUE"""),45752.0)</f>
        <v>45752</v>
      </c>
      <c r="AC239" s="187">
        <f>IFERROR(__xludf.DUMMYFUNCTION("""COMPUTED_VALUE"""),45752.0)</f>
        <v>45752</v>
      </c>
      <c r="AD239" s="187">
        <f>IFERROR(__xludf.DUMMYFUNCTION("""COMPUTED_VALUE"""),45758.0)</f>
        <v>45758</v>
      </c>
      <c r="AE239" s="182"/>
      <c r="AF239" s="182"/>
      <c r="AG239" s="182"/>
      <c r="AH239" s="182"/>
      <c r="AI239" s="187">
        <f>IFERROR(__xludf.DUMMYFUNCTION("""COMPUTED_VALUE"""),45780.0)</f>
        <v>45780</v>
      </c>
      <c r="AJ239" s="182" t="b">
        <f>IFERROR(__xludf.DUMMYFUNCTION("""COMPUTED_VALUE"""),FALSE)</f>
        <v>0</v>
      </c>
      <c r="AK239" s="182" t="b">
        <f>IFERROR(__xludf.DUMMYFUNCTION("""COMPUTED_VALUE"""),FALSE)</f>
        <v>0</v>
      </c>
      <c r="AL239" s="187">
        <f>IFERROR(__xludf.DUMMYFUNCTION("""COMPUTED_VALUE"""),45780.0)</f>
        <v>45780</v>
      </c>
      <c r="AM239" s="182" t="b">
        <f>IFERROR(__xludf.DUMMYFUNCTION("""COMPUTED_VALUE"""),FALSE)</f>
        <v>0</v>
      </c>
      <c r="AN239" s="182"/>
      <c r="AO239" s="182"/>
      <c r="AP239" s="187">
        <f>IFERROR(__xludf.DUMMYFUNCTION("""COMPUTED_VALUE"""),45780.0)</f>
        <v>45780</v>
      </c>
      <c r="AQ239" s="182" t="b">
        <f>IFERROR(__xludf.DUMMYFUNCTION("""COMPUTED_VALUE"""),FALSE)</f>
        <v>0</v>
      </c>
      <c r="AR239" s="182"/>
      <c r="AS239" s="182"/>
      <c r="AT239" s="187">
        <f>IFERROR(__xludf.DUMMYFUNCTION("""COMPUTED_VALUE"""),45780.0)</f>
        <v>45780</v>
      </c>
      <c r="AU239" s="182"/>
      <c r="AV239" s="182"/>
      <c r="AW239" s="187">
        <f>IFERROR(__xludf.DUMMYFUNCTION("""COMPUTED_VALUE"""),45827.0)</f>
        <v>45827</v>
      </c>
      <c r="AX239" s="187">
        <f>IFERROR(__xludf.DUMMYFUNCTION("""COMPUTED_VALUE"""),45827.0)</f>
        <v>45827</v>
      </c>
      <c r="AY239" s="182" t="b">
        <f>IFERROR(__xludf.DUMMYFUNCTION("""COMPUTED_VALUE"""),FALSE)</f>
        <v>0</v>
      </c>
      <c r="AZ239" s="182"/>
      <c r="BA239" s="182"/>
      <c r="BB239" s="182"/>
    </row>
    <row r="240">
      <c r="A240" s="184" t="str">
        <f t="shared" si="1"/>
        <v>#VALUE!</v>
      </c>
      <c r="B240" s="191" t="str">
        <f t="shared" si="3"/>
        <v>#VALUE!</v>
      </c>
      <c r="C240" s="182" t="str">
        <f>IFERROR(__xludf.DUMMYFUNCTION("""COMPUTED_VALUE"""),"TMO")</f>
        <v>TMO</v>
      </c>
      <c r="D240" s="182" t="str">
        <f>IFERROR(__xludf.DUMMYFUNCTION("""COMPUTED_VALUE"""),"MP")</f>
        <v>MP</v>
      </c>
      <c r="E240" s="182" t="str">
        <f>IFERROR(__xludf.DUMMYFUNCTION("""COMPUTED_VALUE"""),"Pristine")</f>
        <v>Pristine</v>
      </c>
      <c r="F240" s="182" t="str">
        <f>IFERROR(__xludf.DUMMYFUNCTION("""COMPUTED_VALUE"""),"GA10299-US")</f>
        <v>GA10299-US</v>
      </c>
      <c r="G240" s="182" t="str">
        <f>IFERROR(__xludf.DUMMYFUNCTION("""COMPUTED_VALUE"""),"G4QUR")</f>
        <v>G4QUR</v>
      </c>
      <c r="H240" s="182">
        <f>IFERROR(__xludf.DUMMYFUNCTION("""COMPUTED_VALUE"""),8.40353925113E11)</f>
        <v>840353925113</v>
      </c>
      <c r="I240" s="185" t="str">
        <f>IFERROR(__xludf.DUMMYFUNCTION("""COMPUTED_VALUE"""),"0840353925113")</f>
        <v>0840353925113</v>
      </c>
      <c r="J240" s="182">
        <f>IFERROR(__xludf.DUMMYFUNCTION("""COMPUTED_VALUE"""),8.40353925113E11)</f>
        <v>840353925113</v>
      </c>
      <c r="K240" s="182" t="str">
        <f>IFERROR(__xludf.DUMMYFUNCTION("""COMPUTED_VALUE"""),"MasterCartonLabel_10 pack_TMO")</f>
        <v>MasterCartonLabel_10 pack_TMO</v>
      </c>
      <c r="L240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40" s="188" t="str">
        <f>IFERROR(__xludf.DUMMYFUNCTION("""COMPUTED_VALUE"""),"G990-08499-33-02")</f>
        <v>G990-08499-33-02</v>
      </c>
      <c r="N240" s="188" t="str">
        <f>IFERROR(__xludf.DUMMYFUNCTION("""COMPUTED_VALUE"""),"G990-08506-33-02")</f>
        <v>G990-08506-33-02</v>
      </c>
      <c r="O240" s="182"/>
      <c r="P240" s="182" t="str">
        <f>IFERROR(__xludf.DUMMYFUNCTION("""COMPUTED_VALUE"""),"512GB")</f>
        <v>512GB</v>
      </c>
      <c r="Q240" s="182" t="str">
        <f>IFERROR(__xludf.DUMMYFUNCTION("""COMPUTED_VALUE"""),"Moonstone")</f>
        <v>Moonstone</v>
      </c>
      <c r="R240" s="182" t="str">
        <f>IFERROR(__xludf.DUMMYFUNCTION("""COMPUTED_VALUE"""),"Sterling")</f>
        <v>Sterling</v>
      </c>
      <c r="S240" s="182" t="str">
        <f>IFERROR(__xludf.DUMMYFUNCTION("""COMPUTED_VALUE"""),"US - Tmobile")</f>
        <v>US - Tmobile</v>
      </c>
      <c r="T240" s="182" t="str">
        <f>IFERROR(__xludf.DUMMYFUNCTION("""COMPUTED_VALUE"""),"SKU,CLR3, BEST, MMWAVE, TMO, US, BZ5")</f>
        <v>SKU,CLR3, BEST, MMWAVE, TMO, US, BZ5</v>
      </c>
      <c r="U240" s="182"/>
      <c r="V240" s="183" t="str">
        <f>IFERROR(__xludf.DUMMYFUNCTION("""COMPUTED_VALUE"""),"#NUM!")</f>
        <v>#NUM!</v>
      </c>
      <c r="W240" s="186">
        <f>IFERROR(__xludf.DUMMYFUNCTION("""COMPUTED_VALUE"""),45831.0)</f>
        <v>45831</v>
      </c>
      <c r="X240" s="187">
        <f>IFERROR(__xludf.DUMMYFUNCTION("""COMPUTED_VALUE"""),45745.0)</f>
        <v>45745</v>
      </c>
      <c r="Y240" s="182" t="b">
        <f>IFERROR(__xludf.DUMMYFUNCTION("""COMPUTED_VALUE"""),FALSE)</f>
        <v>0</v>
      </c>
      <c r="Z240" s="187">
        <f>IFERROR(__xludf.DUMMYFUNCTION("""COMPUTED_VALUE"""),45746.0)</f>
        <v>45746</v>
      </c>
      <c r="AA240" s="182" t="b">
        <f>IFERROR(__xludf.DUMMYFUNCTION("""COMPUTED_VALUE"""),FALSE)</f>
        <v>0</v>
      </c>
      <c r="AB240" s="187">
        <f>IFERROR(__xludf.DUMMYFUNCTION("""COMPUTED_VALUE"""),45752.0)</f>
        <v>45752</v>
      </c>
      <c r="AC240" s="187">
        <f>IFERROR(__xludf.DUMMYFUNCTION("""COMPUTED_VALUE"""),45752.0)</f>
        <v>45752</v>
      </c>
      <c r="AD240" s="187">
        <f>IFERROR(__xludf.DUMMYFUNCTION("""COMPUTED_VALUE"""),45758.0)</f>
        <v>45758</v>
      </c>
      <c r="AE240" s="182"/>
      <c r="AF240" s="182"/>
      <c r="AG240" s="182"/>
      <c r="AH240" s="182"/>
      <c r="AI240" s="187">
        <f>IFERROR(__xludf.DUMMYFUNCTION("""COMPUTED_VALUE"""),45780.0)</f>
        <v>45780</v>
      </c>
      <c r="AJ240" s="182" t="b">
        <f>IFERROR(__xludf.DUMMYFUNCTION("""COMPUTED_VALUE"""),FALSE)</f>
        <v>0</v>
      </c>
      <c r="AK240" s="182" t="b">
        <f>IFERROR(__xludf.DUMMYFUNCTION("""COMPUTED_VALUE"""),FALSE)</f>
        <v>0</v>
      </c>
      <c r="AL240" s="187">
        <f>IFERROR(__xludf.DUMMYFUNCTION("""COMPUTED_VALUE"""),45780.0)</f>
        <v>45780</v>
      </c>
      <c r="AM240" s="182" t="b">
        <f>IFERROR(__xludf.DUMMYFUNCTION("""COMPUTED_VALUE"""),FALSE)</f>
        <v>0</v>
      </c>
      <c r="AN240" s="182"/>
      <c r="AO240" s="182"/>
      <c r="AP240" s="187">
        <f>IFERROR(__xludf.DUMMYFUNCTION("""COMPUTED_VALUE"""),45780.0)</f>
        <v>45780</v>
      </c>
      <c r="AQ240" s="182" t="b">
        <f>IFERROR(__xludf.DUMMYFUNCTION("""COMPUTED_VALUE"""),FALSE)</f>
        <v>0</v>
      </c>
      <c r="AR240" s="182"/>
      <c r="AS240" s="182"/>
      <c r="AT240" s="187">
        <f>IFERROR(__xludf.DUMMYFUNCTION("""COMPUTED_VALUE"""),45780.0)</f>
        <v>45780</v>
      </c>
      <c r="AU240" s="182"/>
      <c r="AV240" s="182"/>
      <c r="AW240" s="187">
        <f>IFERROR(__xludf.DUMMYFUNCTION("""COMPUTED_VALUE"""),45827.0)</f>
        <v>45827</v>
      </c>
      <c r="AX240" s="187">
        <f>IFERROR(__xludf.DUMMYFUNCTION("""COMPUTED_VALUE"""),45827.0)</f>
        <v>45827</v>
      </c>
      <c r="AY240" s="182" t="b">
        <f>IFERROR(__xludf.DUMMYFUNCTION("""COMPUTED_VALUE"""),FALSE)</f>
        <v>0</v>
      </c>
      <c r="AZ240" s="182"/>
      <c r="BA240" s="182"/>
      <c r="BB240" s="182"/>
    </row>
    <row r="241">
      <c r="A241" s="184" t="str">
        <f t="shared" si="1"/>
        <v>#VALUE!</v>
      </c>
      <c r="B241" s="191" t="str">
        <f t="shared" si="3"/>
        <v>#VALUE!</v>
      </c>
      <c r="C241" s="182" t="str">
        <f>IFERROR(__xludf.DUMMYFUNCTION("""COMPUTED_VALUE"""),"TMO")</f>
        <v>TMO</v>
      </c>
      <c r="D241" s="182" t="str">
        <f>IFERROR(__xludf.DUMMYFUNCTION("""COMPUTED_VALUE"""),"MP")</f>
        <v>MP</v>
      </c>
      <c r="E241" s="182" t="str">
        <f>IFERROR(__xludf.DUMMYFUNCTION("""COMPUTED_VALUE"""),"Pristine")</f>
        <v>Pristine</v>
      </c>
      <c r="F241" s="182" t="str">
        <f>IFERROR(__xludf.DUMMYFUNCTION("""COMPUTED_VALUE"""),"GA10300-US")</f>
        <v>GA10300-US</v>
      </c>
      <c r="G241" s="182" t="str">
        <f>IFERROR(__xludf.DUMMYFUNCTION("""COMPUTED_VALUE"""),"G4QUR")</f>
        <v>G4QUR</v>
      </c>
      <c r="H241" s="182">
        <f>IFERROR(__xludf.DUMMYFUNCTION("""COMPUTED_VALUE"""),8.4035392512E11)</f>
        <v>840353925120</v>
      </c>
      <c r="I241" s="185" t="str">
        <f>IFERROR(__xludf.DUMMYFUNCTION("""COMPUTED_VALUE"""),"0840353925120")</f>
        <v>0840353925120</v>
      </c>
      <c r="J241" s="182">
        <f>IFERROR(__xludf.DUMMYFUNCTION("""COMPUTED_VALUE"""),8.4035392512E11)</f>
        <v>840353925120</v>
      </c>
      <c r="K241" s="182" t="str">
        <f>IFERROR(__xludf.DUMMYFUNCTION("""COMPUTED_VALUE"""),"MasterCartonLabel_10 pack_TMO")</f>
        <v>MasterCartonLabel_10 pack_TMO</v>
      </c>
      <c r="L241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41" s="188" t="str">
        <f>IFERROR(__xludf.DUMMYFUNCTION("""COMPUTED_VALUE"""),"G990-08499-43-02")</f>
        <v>G990-08499-43-02</v>
      </c>
      <c r="N241" s="188" t="str">
        <f>IFERROR(__xludf.DUMMYFUNCTION("""COMPUTED_VALUE"""),"G990-08506-43-02")</f>
        <v>G990-08506-43-02</v>
      </c>
      <c r="O241" s="182"/>
      <c r="P241" s="182" t="str">
        <f>IFERROR(__xludf.DUMMYFUNCTION("""COMPUTED_VALUE"""),"512GB")</f>
        <v>512GB</v>
      </c>
      <c r="Q241" s="182" t="str">
        <f>IFERROR(__xludf.DUMMYFUNCTION("""COMPUTED_VALUE"""),"Jade")</f>
        <v>Jade</v>
      </c>
      <c r="R241" s="182" t="str">
        <f>IFERROR(__xludf.DUMMYFUNCTION("""COMPUTED_VALUE"""),"Smokey Green")</f>
        <v>Smokey Green</v>
      </c>
      <c r="S241" s="182" t="str">
        <f>IFERROR(__xludf.DUMMYFUNCTION("""COMPUTED_VALUE"""),"US - Tmobile")</f>
        <v>US - Tmobile</v>
      </c>
      <c r="T241" s="182" t="str">
        <f>IFERROR(__xludf.DUMMYFUNCTION("""COMPUTED_VALUE"""),"SKU,CLR4, BEST, MMWAVE, TMO, US, BZ5")</f>
        <v>SKU,CLR4, BEST, MMWAVE, TMO, US, BZ5</v>
      </c>
      <c r="U241" s="182"/>
      <c r="V241" s="183" t="str">
        <f>IFERROR(__xludf.DUMMYFUNCTION("""COMPUTED_VALUE"""),"#NUM!")</f>
        <v>#NUM!</v>
      </c>
      <c r="W241" s="186">
        <f>IFERROR(__xludf.DUMMYFUNCTION("""COMPUTED_VALUE"""),45831.0)</f>
        <v>45831</v>
      </c>
      <c r="X241" s="187">
        <f>IFERROR(__xludf.DUMMYFUNCTION("""COMPUTED_VALUE"""),45745.0)</f>
        <v>45745</v>
      </c>
      <c r="Y241" s="182" t="b">
        <f>IFERROR(__xludf.DUMMYFUNCTION("""COMPUTED_VALUE"""),FALSE)</f>
        <v>0</v>
      </c>
      <c r="Z241" s="187">
        <f>IFERROR(__xludf.DUMMYFUNCTION("""COMPUTED_VALUE"""),45746.0)</f>
        <v>45746</v>
      </c>
      <c r="AA241" s="182" t="b">
        <f>IFERROR(__xludf.DUMMYFUNCTION("""COMPUTED_VALUE"""),FALSE)</f>
        <v>0</v>
      </c>
      <c r="AB241" s="187">
        <f>IFERROR(__xludf.DUMMYFUNCTION("""COMPUTED_VALUE"""),45752.0)</f>
        <v>45752</v>
      </c>
      <c r="AC241" s="187">
        <f>IFERROR(__xludf.DUMMYFUNCTION("""COMPUTED_VALUE"""),45752.0)</f>
        <v>45752</v>
      </c>
      <c r="AD241" s="187">
        <f>IFERROR(__xludf.DUMMYFUNCTION("""COMPUTED_VALUE"""),45758.0)</f>
        <v>45758</v>
      </c>
      <c r="AE241" s="182"/>
      <c r="AF241" s="182"/>
      <c r="AG241" s="182"/>
      <c r="AH241" s="182"/>
      <c r="AI241" s="187">
        <f>IFERROR(__xludf.DUMMYFUNCTION("""COMPUTED_VALUE"""),45780.0)</f>
        <v>45780</v>
      </c>
      <c r="AJ241" s="182" t="b">
        <f>IFERROR(__xludf.DUMMYFUNCTION("""COMPUTED_VALUE"""),FALSE)</f>
        <v>0</v>
      </c>
      <c r="AK241" s="182" t="b">
        <f>IFERROR(__xludf.DUMMYFUNCTION("""COMPUTED_VALUE"""),FALSE)</f>
        <v>0</v>
      </c>
      <c r="AL241" s="187">
        <f>IFERROR(__xludf.DUMMYFUNCTION("""COMPUTED_VALUE"""),45780.0)</f>
        <v>45780</v>
      </c>
      <c r="AM241" s="182" t="b">
        <f>IFERROR(__xludf.DUMMYFUNCTION("""COMPUTED_VALUE"""),FALSE)</f>
        <v>0</v>
      </c>
      <c r="AN241" s="182"/>
      <c r="AO241" s="182"/>
      <c r="AP241" s="187">
        <f>IFERROR(__xludf.DUMMYFUNCTION("""COMPUTED_VALUE"""),45780.0)</f>
        <v>45780</v>
      </c>
      <c r="AQ241" s="182" t="b">
        <f>IFERROR(__xludf.DUMMYFUNCTION("""COMPUTED_VALUE"""),FALSE)</f>
        <v>0</v>
      </c>
      <c r="AR241" s="182"/>
      <c r="AS241" s="182"/>
      <c r="AT241" s="187">
        <f>IFERROR(__xludf.DUMMYFUNCTION("""COMPUTED_VALUE"""),45780.0)</f>
        <v>45780</v>
      </c>
      <c r="AU241" s="182"/>
      <c r="AV241" s="182"/>
      <c r="AW241" s="187">
        <f>IFERROR(__xludf.DUMMYFUNCTION("""COMPUTED_VALUE"""),45827.0)</f>
        <v>45827</v>
      </c>
      <c r="AX241" s="187">
        <f>IFERROR(__xludf.DUMMYFUNCTION("""COMPUTED_VALUE"""),45827.0)</f>
        <v>45827</v>
      </c>
      <c r="AY241" s="182" t="b">
        <f>IFERROR(__xludf.DUMMYFUNCTION("""COMPUTED_VALUE"""),FALSE)</f>
        <v>0</v>
      </c>
      <c r="AZ241" s="182"/>
      <c r="BA241" s="182"/>
      <c r="BB241" s="182"/>
    </row>
    <row r="242">
      <c r="A242" s="184" t="str">
        <f t="shared" si="1"/>
        <v>#VALUE!</v>
      </c>
      <c r="B242" s="191" t="str">
        <f t="shared" si="3"/>
        <v>#VALUE!</v>
      </c>
      <c r="C242" s="182" t="str">
        <f>IFERROR(__xludf.DUMMYFUNCTION("""COMPUTED_VALUE"""),"TMO")</f>
        <v>TMO</v>
      </c>
      <c r="D242" s="182" t="str">
        <f>IFERROR(__xludf.DUMMYFUNCTION("""COMPUTED_VALUE"""),"MP")</f>
        <v>MP</v>
      </c>
      <c r="E242" s="182" t="str">
        <f>IFERROR(__xludf.DUMMYFUNCTION("""COMPUTED_VALUE"""),"Pristine")</f>
        <v>Pristine</v>
      </c>
      <c r="F242" s="182" t="str">
        <f>IFERROR(__xludf.DUMMYFUNCTION("""COMPUTED_VALUE"""),"GA09932-US")</f>
        <v>GA09932-US</v>
      </c>
      <c r="G242" s="182" t="str">
        <f>IFERROR(__xludf.DUMMYFUNCTION("""COMPUTED_VALUE"""),"G4QUR")</f>
        <v>G4QUR</v>
      </c>
      <c r="H242" s="182">
        <f>IFERROR(__xludf.DUMMYFUNCTION("""COMPUTED_VALUE"""),8.40353925304E11)</f>
        <v>840353925304</v>
      </c>
      <c r="I242" s="185" t="str">
        <f>IFERROR(__xludf.DUMMYFUNCTION("""COMPUTED_VALUE"""),"0840353925304")</f>
        <v>0840353925304</v>
      </c>
      <c r="J242" s="182">
        <f>IFERROR(__xludf.DUMMYFUNCTION("""COMPUTED_VALUE"""),8.40353925304E11)</f>
        <v>840353925304</v>
      </c>
      <c r="K242" s="182" t="str">
        <f>IFERROR(__xludf.DUMMYFUNCTION("""COMPUTED_VALUE"""),"MasterCartonLabel_10 pack_TMO")</f>
        <v>MasterCartonLabel_10 pack_TMO</v>
      </c>
      <c r="L242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42" s="188" t="str">
        <f>IFERROR(__xludf.DUMMYFUNCTION("""COMPUTED_VALUE"""),"G990-08499-14-02")</f>
        <v>G990-08499-14-02</v>
      </c>
      <c r="N242" s="188" t="str">
        <f>IFERROR(__xludf.DUMMYFUNCTION("""COMPUTED_VALUE"""),"G990-08506-14-02")</f>
        <v>G990-08506-14-02</v>
      </c>
      <c r="O242" s="182"/>
      <c r="P242" s="182" t="str">
        <f>IFERROR(__xludf.DUMMYFUNCTION("""COMPUTED_VALUE"""),"1TB")</f>
        <v>1TB</v>
      </c>
      <c r="Q242" s="182" t="str">
        <f>IFERROR(__xludf.DUMMYFUNCTION("""COMPUTED_VALUE"""),"Obsidian")</f>
        <v>Obsidian</v>
      </c>
      <c r="R242" s="182" t="str">
        <f>IFERROR(__xludf.DUMMYFUNCTION("""COMPUTED_VALUE"""),"Midnight")</f>
        <v>Midnight</v>
      </c>
      <c r="S242" s="182" t="str">
        <f>IFERROR(__xludf.DUMMYFUNCTION("""COMPUTED_VALUE"""),"US - Tmobile")</f>
        <v>US - Tmobile</v>
      </c>
      <c r="T242" s="182" t="str">
        <f>IFERROR(__xludf.DUMMYFUNCTION("""COMPUTED_VALUE"""),"SKU,CLR1, ULTRA, MMWAVE, TMO, BZ5")</f>
        <v>SKU,CLR1, ULTRA, MMWAVE, TMO, BZ5</v>
      </c>
      <c r="U242" s="182"/>
      <c r="V242" s="183" t="str">
        <f>IFERROR(__xludf.DUMMYFUNCTION("""COMPUTED_VALUE"""),"#NUM!")</f>
        <v>#NUM!</v>
      </c>
      <c r="W242" s="186">
        <f>IFERROR(__xludf.DUMMYFUNCTION("""COMPUTED_VALUE"""),45831.0)</f>
        <v>45831</v>
      </c>
      <c r="X242" s="187">
        <f>IFERROR(__xludf.DUMMYFUNCTION("""COMPUTED_VALUE"""),45745.0)</f>
        <v>45745</v>
      </c>
      <c r="Y242" s="182" t="b">
        <f>IFERROR(__xludf.DUMMYFUNCTION("""COMPUTED_VALUE"""),FALSE)</f>
        <v>0</v>
      </c>
      <c r="Z242" s="187">
        <f>IFERROR(__xludf.DUMMYFUNCTION("""COMPUTED_VALUE"""),45746.0)</f>
        <v>45746</v>
      </c>
      <c r="AA242" s="182" t="b">
        <f>IFERROR(__xludf.DUMMYFUNCTION("""COMPUTED_VALUE"""),FALSE)</f>
        <v>0</v>
      </c>
      <c r="AB242" s="187">
        <f>IFERROR(__xludf.DUMMYFUNCTION("""COMPUTED_VALUE"""),45752.0)</f>
        <v>45752</v>
      </c>
      <c r="AC242" s="187">
        <f>IFERROR(__xludf.DUMMYFUNCTION("""COMPUTED_VALUE"""),45752.0)</f>
        <v>45752</v>
      </c>
      <c r="AD242" s="187">
        <f>IFERROR(__xludf.DUMMYFUNCTION("""COMPUTED_VALUE"""),45758.0)</f>
        <v>45758</v>
      </c>
      <c r="AE242" s="182"/>
      <c r="AF242" s="182"/>
      <c r="AG242" s="182"/>
      <c r="AH242" s="182"/>
      <c r="AI242" s="187">
        <f>IFERROR(__xludf.DUMMYFUNCTION("""COMPUTED_VALUE"""),45780.0)</f>
        <v>45780</v>
      </c>
      <c r="AJ242" s="182" t="b">
        <f>IFERROR(__xludf.DUMMYFUNCTION("""COMPUTED_VALUE"""),FALSE)</f>
        <v>0</v>
      </c>
      <c r="AK242" s="182" t="b">
        <f>IFERROR(__xludf.DUMMYFUNCTION("""COMPUTED_VALUE"""),FALSE)</f>
        <v>0</v>
      </c>
      <c r="AL242" s="187">
        <f>IFERROR(__xludf.DUMMYFUNCTION("""COMPUTED_VALUE"""),45780.0)</f>
        <v>45780</v>
      </c>
      <c r="AM242" s="182" t="b">
        <f>IFERROR(__xludf.DUMMYFUNCTION("""COMPUTED_VALUE"""),FALSE)</f>
        <v>0</v>
      </c>
      <c r="AN242" s="182"/>
      <c r="AO242" s="182"/>
      <c r="AP242" s="187">
        <f>IFERROR(__xludf.DUMMYFUNCTION("""COMPUTED_VALUE"""),45780.0)</f>
        <v>45780</v>
      </c>
      <c r="AQ242" s="182" t="b">
        <f>IFERROR(__xludf.DUMMYFUNCTION("""COMPUTED_VALUE"""),FALSE)</f>
        <v>0</v>
      </c>
      <c r="AR242" s="182"/>
      <c r="AS242" s="182"/>
      <c r="AT242" s="187">
        <f>IFERROR(__xludf.DUMMYFUNCTION("""COMPUTED_VALUE"""),45780.0)</f>
        <v>45780</v>
      </c>
      <c r="AU242" s="182"/>
      <c r="AV242" s="182"/>
      <c r="AW242" s="187">
        <f>IFERROR(__xludf.DUMMYFUNCTION("""COMPUTED_VALUE"""),45827.0)</f>
        <v>45827</v>
      </c>
      <c r="AX242" s="187">
        <f>IFERROR(__xludf.DUMMYFUNCTION("""COMPUTED_VALUE"""),45827.0)</f>
        <v>45827</v>
      </c>
      <c r="AY242" s="182" t="b">
        <f>IFERROR(__xludf.DUMMYFUNCTION("""COMPUTED_VALUE"""),FALSE)</f>
        <v>0</v>
      </c>
      <c r="AZ242" s="182"/>
      <c r="BA242" s="182"/>
      <c r="BB242" s="182"/>
    </row>
    <row r="243">
      <c r="A243" s="184" t="str">
        <f t="shared" si="1"/>
        <v>#VALUE!</v>
      </c>
      <c r="B243" s="69" t="str">
        <f t="shared" si="3"/>
        <v>#VALUE!</v>
      </c>
      <c r="C243" s="182" t="str">
        <f>IFERROR(__xludf.DUMMYFUNCTION("""COMPUTED_VALUE"""),"TMO")</f>
        <v>TMO</v>
      </c>
      <c r="D243" s="182" t="str">
        <f>IFERROR(__xludf.DUMMYFUNCTION("""COMPUTED_VALUE"""),"MP")</f>
        <v>MP</v>
      </c>
      <c r="E243" s="182" t="str">
        <f>IFERROR(__xludf.DUMMYFUNCTION("""COMPUTED_VALUE"""),"Pristine")</f>
        <v>Pristine</v>
      </c>
      <c r="F243" s="182" t="str">
        <f>IFERROR(__xludf.DUMMYFUNCTION("""COMPUTED_VALUE"""),"GA10301-US")</f>
        <v>GA10301-US</v>
      </c>
      <c r="G243" s="182" t="str">
        <f>IFERROR(__xludf.DUMMYFUNCTION("""COMPUTED_VALUE"""),"G4QUR")</f>
        <v>G4QUR</v>
      </c>
      <c r="H243" s="182">
        <f>IFERROR(__xludf.DUMMYFUNCTION("""COMPUTED_VALUE"""),8.40353925311E11)</f>
        <v>840353925311</v>
      </c>
      <c r="I243" s="185" t="str">
        <f>IFERROR(__xludf.DUMMYFUNCTION("""COMPUTED_VALUE"""),"0840353925311")</f>
        <v>0840353925311</v>
      </c>
      <c r="J243" s="182">
        <f>IFERROR(__xludf.DUMMYFUNCTION("""COMPUTED_VALUE"""),8.40353925311E11)</f>
        <v>840353925311</v>
      </c>
      <c r="K243" s="182" t="str">
        <f>IFERROR(__xludf.DUMMYFUNCTION("""COMPUTED_VALUE"""),"MasterCartonLabel_10 pack_TMO")</f>
        <v>MasterCartonLabel_10 pack_TMO</v>
      </c>
      <c r="L243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43" s="188" t="str">
        <f>IFERROR(__xludf.DUMMYFUNCTION("""COMPUTED_VALUE"""),"G990-08499-34-02")</f>
        <v>G990-08499-34-02</v>
      </c>
      <c r="N243" s="188" t="str">
        <f>IFERROR(__xludf.DUMMYFUNCTION("""COMPUTED_VALUE"""),"G990-08506-34-02")</f>
        <v>G990-08506-34-02</v>
      </c>
      <c r="O243" s="182"/>
      <c r="P243" s="182" t="str">
        <f>IFERROR(__xludf.DUMMYFUNCTION("""COMPUTED_VALUE"""),"1TB")</f>
        <v>1TB</v>
      </c>
      <c r="Q243" s="182" t="str">
        <f>IFERROR(__xludf.DUMMYFUNCTION("""COMPUTED_VALUE"""),"Moonstone")</f>
        <v>Moonstone</v>
      </c>
      <c r="R243" s="182" t="str">
        <f>IFERROR(__xludf.DUMMYFUNCTION("""COMPUTED_VALUE"""),"Sterling")</f>
        <v>Sterling</v>
      </c>
      <c r="S243" s="182" t="str">
        <f>IFERROR(__xludf.DUMMYFUNCTION("""COMPUTED_VALUE"""),"US - Tmobile")</f>
        <v>US - Tmobile</v>
      </c>
      <c r="T243" s="182" t="str">
        <f>IFERROR(__xludf.DUMMYFUNCTION("""COMPUTED_VALUE"""),"SKU,CLR3, ULTRA, MMWAVE, TMO, US, BZ5")</f>
        <v>SKU,CLR3, ULTRA, MMWAVE, TMO, US, BZ5</v>
      </c>
      <c r="U243" s="182"/>
      <c r="V243" s="183" t="str">
        <f>IFERROR(__xludf.DUMMYFUNCTION("""COMPUTED_VALUE"""),"#NUM!")</f>
        <v>#NUM!</v>
      </c>
      <c r="W243" s="186">
        <f>IFERROR(__xludf.DUMMYFUNCTION("""COMPUTED_VALUE"""),45831.0)</f>
        <v>45831</v>
      </c>
      <c r="X243" s="187">
        <f>IFERROR(__xludf.DUMMYFUNCTION("""COMPUTED_VALUE"""),45745.0)</f>
        <v>45745</v>
      </c>
      <c r="Y243" s="182" t="b">
        <f>IFERROR(__xludf.DUMMYFUNCTION("""COMPUTED_VALUE"""),FALSE)</f>
        <v>0</v>
      </c>
      <c r="Z243" s="187">
        <f>IFERROR(__xludf.DUMMYFUNCTION("""COMPUTED_VALUE"""),45746.0)</f>
        <v>45746</v>
      </c>
      <c r="AA243" s="182" t="b">
        <f>IFERROR(__xludf.DUMMYFUNCTION("""COMPUTED_VALUE"""),FALSE)</f>
        <v>0</v>
      </c>
      <c r="AB243" s="187">
        <f>IFERROR(__xludf.DUMMYFUNCTION("""COMPUTED_VALUE"""),45752.0)</f>
        <v>45752</v>
      </c>
      <c r="AC243" s="187">
        <f>IFERROR(__xludf.DUMMYFUNCTION("""COMPUTED_VALUE"""),45752.0)</f>
        <v>45752</v>
      </c>
      <c r="AD243" s="187">
        <f>IFERROR(__xludf.DUMMYFUNCTION("""COMPUTED_VALUE"""),45758.0)</f>
        <v>45758</v>
      </c>
      <c r="AE243" s="182"/>
      <c r="AF243" s="182"/>
      <c r="AG243" s="182"/>
      <c r="AH243" s="182"/>
      <c r="AI243" s="187">
        <f>IFERROR(__xludf.DUMMYFUNCTION("""COMPUTED_VALUE"""),45780.0)</f>
        <v>45780</v>
      </c>
      <c r="AJ243" s="182" t="b">
        <f>IFERROR(__xludf.DUMMYFUNCTION("""COMPUTED_VALUE"""),FALSE)</f>
        <v>0</v>
      </c>
      <c r="AK243" s="182" t="b">
        <f>IFERROR(__xludf.DUMMYFUNCTION("""COMPUTED_VALUE"""),FALSE)</f>
        <v>0</v>
      </c>
      <c r="AL243" s="187">
        <f>IFERROR(__xludf.DUMMYFUNCTION("""COMPUTED_VALUE"""),45780.0)</f>
        <v>45780</v>
      </c>
      <c r="AM243" s="182" t="b">
        <f>IFERROR(__xludf.DUMMYFUNCTION("""COMPUTED_VALUE"""),FALSE)</f>
        <v>0</v>
      </c>
      <c r="AN243" s="182"/>
      <c r="AO243" s="182"/>
      <c r="AP243" s="187">
        <f>IFERROR(__xludf.DUMMYFUNCTION("""COMPUTED_VALUE"""),45780.0)</f>
        <v>45780</v>
      </c>
      <c r="AQ243" s="182" t="b">
        <f>IFERROR(__xludf.DUMMYFUNCTION("""COMPUTED_VALUE"""),FALSE)</f>
        <v>0</v>
      </c>
      <c r="AR243" s="182"/>
      <c r="AS243" s="182"/>
      <c r="AT243" s="187">
        <f>IFERROR(__xludf.DUMMYFUNCTION("""COMPUTED_VALUE"""),45780.0)</f>
        <v>45780</v>
      </c>
      <c r="AU243" s="182"/>
      <c r="AV243" s="182"/>
      <c r="AW243" s="187">
        <f>IFERROR(__xludf.DUMMYFUNCTION("""COMPUTED_VALUE"""),45827.0)</f>
        <v>45827</v>
      </c>
      <c r="AX243" s="187">
        <f>IFERROR(__xludf.DUMMYFUNCTION("""COMPUTED_VALUE"""),45827.0)</f>
        <v>45827</v>
      </c>
      <c r="AY243" s="182" t="b">
        <f>IFERROR(__xludf.DUMMYFUNCTION("""COMPUTED_VALUE"""),FALSE)</f>
        <v>0</v>
      </c>
      <c r="AZ243" s="182"/>
      <c r="BA243" s="182"/>
      <c r="BB243" s="182"/>
    </row>
    <row r="244">
      <c r="A244" s="184" t="str">
        <f t="shared" si="1"/>
        <v>G990-08499-11-A</v>
      </c>
      <c r="B244" s="69" t="str">
        <f t="shared" si="3"/>
        <v>G990-08505-11-A</v>
      </c>
      <c r="C244" s="182" t="str">
        <f>IFERROR(__xludf.DUMMYFUNCTION("""COMPUTED_VALUE"""),"VZW")</f>
        <v>VZW</v>
      </c>
      <c r="D244" s="182" t="str">
        <f>IFERROR(__xludf.DUMMYFUNCTION("""COMPUTED_VALUE"""),"MP")</f>
        <v>MP</v>
      </c>
      <c r="E244" s="182" t="str">
        <f>IFERROR(__xludf.DUMMYFUNCTION("""COMPUTED_VALUE"""),"IQ")</f>
        <v>IQ</v>
      </c>
      <c r="F244" s="182" t="str">
        <f>IFERROR(__xludf.DUMMYFUNCTION("""COMPUTED_VALUE"""),"IQGA09187-US")</f>
        <v>IQGA09187-US</v>
      </c>
      <c r="G244" s="182" t="str">
        <f>IFERROR(__xludf.DUMMYFUNCTION("""COMPUTED_VALUE"""),"G4QUR")</f>
        <v>G4QUR</v>
      </c>
      <c r="H244" s="182">
        <f>IFERROR(__xludf.DUMMYFUNCTION("""COMPUTED_VALUE"""),8.40353936584E11)</f>
        <v>840353936584</v>
      </c>
      <c r="I244" s="185" t="str">
        <f>IFERROR(__xludf.DUMMYFUNCTION("""COMPUTED_VALUE"""),"0840353936584")</f>
        <v>0840353936584</v>
      </c>
      <c r="J244" s="182"/>
      <c r="K244" s="182" t="str">
        <f>IFERROR(__xludf.DUMMYFUNCTION("""COMPUTED_VALUE"""),"VZN Master Carton Label")</f>
        <v>VZN Master Carton Label</v>
      </c>
      <c r="L244" s="182" t="str">
        <f>IFERROR(__xludf.DUMMYFUNCTION("""COMPUTED_VALUE"""),"VZN Pallet Label -&gt; BTS(Normal case)")</f>
        <v>VZN Pallet Label -&gt; BTS(Normal case)</v>
      </c>
      <c r="M244" s="182" t="str">
        <f>IFERROR(__xludf.DUMMYFUNCTION("""COMPUTED_VALUE"""),"G990-08499-11-02
G990-08499-11-A")</f>
        <v>G990-08499-11-02
G990-08499-11-A</v>
      </c>
      <c r="N244" s="182" t="str">
        <f>IFERROR(__xludf.DUMMYFUNCTION("""COMPUTED_VALUE"""),"G990-08505-11-01
G990-08505-11-A")</f>
        <v>G990-08505-11-01
G990-08505-11-A</v>
      </c>
      <c r="O244" s="182" t="str">
        <f>IFERROR(__xludf.DUMMYFUNCTION("""COMPUTED_VALUE"""),"BOB→A
Retail→A")</f>
        <v>BOB→A
Retail→A</v>
      </c>
      <c r="P244" s="182" t="str">
        <f>IFERROR(__xludf.DUMMYFUNCTION("""COMPUTED_VALUE"""),"128GB")</f>
        <v>128GB</v>
      </c>
      <c r="Q244" s="182" t="str">
        <f>IFERROR(__xludf.DUMMYFUNCTION("""COMPUTED_VALUE"""),"Obsidian")</f>
        <v>Obsidian</v>
      </c>
      <c r="R244" s="182" t="str">
        <f>IFERROR(__xludf.DUMMYFUNCTION("""COMPUTED_VALUE"""),"Midnight")</f>
        <v>Midnight</v>
      </c>
      <c r="S244" s="182" t="str">
        <f>IFERROR(__xludf.DUMMYFUNCTION("""COMPUTED_VALUE"""),"US-VZW")</f>
        <v>US-VZW</v>
      </c>
      <c r="T244" s="182" t="str">
        <f>IFERROR(__xludf.DUMMYFUNCTION("""COMPUTED_VALUE"""),"SKU,CLR1, GOOD, MMWAVE, VZW, IQ, US, BZ5")</f>
        <v>SKU,CLR1, GOOD, MMWAVE, VZW, IQ, US, BZ5</v>
      </c>
      <c r="U244" s="182"/>
      <c r="V244" s="183" t="str">
        <f>IFERROR(__xludf.DUMMYFUNCTION("""COMPUTED_VALUE"""),"#NUM!")</f>
        <v>#NUM!</v>
      </c>
      <c r="W244" s="186">
        <f>IFERROR(__xludf.DUMMYFUNCTION("""COMPUTED_VALUE"""),45831.0)</f>
        <v>45831</v>
      </c>
      <c r="X244" s="187">
        <f>IFERROR(__xludf.DUMMYFUNCTION("""COMPUTED_VALUE"""),45745.0)</f>
        <v>45745</v>
      </c>
      <c r="Y244" s="182" t="b">
        <f>IFERROR(__xludf.DUMMYFUNCTION("""COMPUTED_VALUE"""),TRUE)</f>
        <v>1</v>
      </c>
      <c r="Z244" s="187">
        <f>IFERROR(__xludf.DUMMYFUNCTION("""COMPUTED_VALUE"""),45746.0)</f>
        <v>45746</v>
      </c>
      <c r="AA244" s="182" t="b">
        <f>IFERROR(__xludf.DUMMYFUNCTION("""COMPUTED_VALUE"""),FALSE)</f>
        <v>0</v>
      </c>
      <c r="AB244" s="187">
        <f>IFERROR(__xludf.DUMMYFUNCTION("""COMPUTED_VALUE"""),45752.0)</f>
        <v>45752</v>
      </c>
      <c r="AC244" s="187">
        <f>IFERROR(__xludf.DUMMYFUNCTION("""COMPUTED_VALUE"""),45752.0)</f>
        <v>45752</v>
      </c>
      <c r="AD244" s="187">
        <f>IFERROR(__xludf.DUMMYFUNCTION("""COMPUTED_VALUE"""),45758.0)</f>
        <v>45758</v>
      </c>
      <c r="AE244" s="182" t="str">
        <f>IFERROR(__xludf.DUMMYFUNCTION("""COMPUTED_VALUE"""),"IQGA09187-US
IQGA09187-US RevA")</f>
        <v>IQGA09187-US
IQGA09187-US RevA</v>
      </c>
      <c r="AF244" s="188" t="str">
        <f>IFERROR(__xludf.DUMMYFUNCTION("""COMPUTED_VALUE"""),"IQGA09187-US")</f>
        <v>IQGA09187-US</v>
      </c>
      <c r="AG244" s="182" t="str">
        <f>IFERROR(__xludf.DUMMYFUNCTION("""COMPUTED_VALUE"""),"IQGA09187-US
IQGA09187-US RevA")</f>
        <v>IQGA09187-US
IQGA09187-US RevA</v>
      </c>
      <c r="AH244" s="188" t="str">
        <f>IFERROR(__xludf.DUMMYFUNCTION("""COMPUTED_VALUE"""),"IQGA09187-US")</f>
        <v>IQGA09187-US</v>
      </c>
      <c r="AI244" s="187">
        <f>IFERROR(__xludf.DUMMYFUNCTION("""COMPUTED_VALUE"""),45780.0)</f>
        <v>45780</v>
      </c>
      <c r="AJ244" s="182" t="b">
        <f>IFERROR(__xludf.DUMMYFUNCTION("""COMPUTED_VALUE"""),TRUE)</f>
        <v>1</v>
      </c>
      <c r="AK244" s="182" t="b">
        <f>IFERROR(__xludf.DUMMYFUNCTION("""COMPUTED_VALUE"""),TRUE)</f>
        <v>1</v>
      </c>
      <c r="AL244" s="187">
        <f>IFERROR(__xludf.DUMMYFUNCTION("""COMPUTED_VALUE"""),45780.0)</f>
        <v>45780</v>
      </c>
      <c r="AM244" s="182" t="b">
        <f>IFERROR(__xludf.DUMMYFUNCTION("""COMPUTED_VALUE"""),TRUE)</f>
        <v>1</v>
      </c>
      <c r="AN244" s="182" t="str">
        <f>IFERROR(__xludf.DUMMYFUNCTION("""COMPUTED_VALUE"""),"N")</f>
        <v>N</v>
      </c>
      <c r="AO244" s="182"/>
      <c r="AP244" s="187">
        <f>IFERROR(__xludf.DUMMYFUNCTION("""COMPUTED_VALUE"""),45780.0)</f>
        <v>45780</v>
      </c>
      <c r="AQ244" s="182" t="b">
        <f>IFERROR(__xludf.DUMMYFUNCTION("""COMPUTED_VALUE"""),FALSE)</f>
        <v>0</v>
      </c>
      <c r="AR244" s="182" t="str">
        <f>IFERROR(__xludf.DUMMYFUNCTION("""COMPUTED_VALUE"""),"N")</f>
        <v>N</v>
      </c>
      <c r="AS244" s="182"/>
      <c r="AT244" s="187">
        <f>IFERROR(__xludf.DUMMYFUNCTION("""COMPUTED_VALUE"""),45780.0)</f>
        <v>45780</v>
      </c>
      <c r="AU244" s="182"/>
      <c r="AV244" s="182"/>
      <c r="AW244" s="187">
        <f>IFERROR(__xludf.DUMMYFUNCTION("""COMPUTED_VALUE"""),45827.0)</f>
        <v>45827</v>
      </c>
      <c r="AX244" s="187">
        <f>IFERROR(__xludf.DUMMYFUNCTION("""COMPUTED_VALUE"""),45827.0)</f>
        <v>45827</v>
      </c>
      <c r="AY244" s="182" t="b">
        <f>IFERROR(__xludf.DUMMYFUNCTION("""COMPUTED_VALUE"""),FALSE)</f>
        <v>0</v>
      </c>
      <c r="AZ244" s="182"/>
      <c r="BA244" s="182"/>
      <c r="BB244" s="182"/>
    </row>
    <row r="245">
      <c r="A245" s="184" t="str">
        <f t="shared" si="1"/>
        <v>G990-08499-21-A</v>
      </c>
      <c r="B245" s="69" t="str">
        <f t="shared" si="3"/>
        <v>G990-08505-11-A</v>
      </c>
      <c r="C245" s="182" t="str">
        <f>IFERROR(__xludf.DUMMYFUNCTION("""COMPUTED_VALUE"""),"VZW")</f>
        <v>VZW</v>
      </c>
      <c r="D245" s="182" t="str">
        <f>IFERROR(__xludf.DUMMYFUNCTION("""COMPUTED_VALUE"""),"MP")</f>
        <v>MP</v>
      </c>
      <c r="E245" s="182" t="str">
        <f>IFERROR(__xludf.DUMMYFUNCTION("""COMPUTED_VALUE"""),"IQ")</f>
        <v>IQ</v>
      </c>
      <c r="F245" s="182" t="str">
        <f>IFERROR(__xludf.DUMMYFUNCTION("""COMPUTED_VALUE"""),"IQGA10275-US")</f>
        <v>IQGA10275-US</v>
      </c>
      <c r="G245" s="182" t="str">
        <f>IFERROR(__xludf.DUMMYFUNCTION("""COMPUTED_VALUE"""),"G4QUR")</f>
        <v>G4QUR</v>
      </c>
      <c r="H245" s="182">
        <f>IFERROR(__xludf.DUMMYFUNCTION("""COMPUTED_VALUE"""),8.40353936591E11)</f>
        <v>840353936591</v>
      </c>
      <c r="I245" s="185" t="str">
        <f>IFERROR(__xludf.DUMMYFUNCTION("""COMPUTED_VALUE"""),"0840353936591")</f>
        <v>0840353936591</v>
      </c>
      <c r="J245" s="182"/>
      <c r="K245" s="182" t="str">
        <f>IFERROR(__xludf.DUMMYFUNCTION("""COMPUTED_VALUE"""),"VZN Master Carton Label")</f>
        <v>VZN Master Carton Label</v>
      </c>
      <c r="L245" s="182" t="str">
        <f>IFERROR(__xludf.DUMMYFUNCTION("""COMPUTED_VALUE"""),"VZN Pallet Label -&gt; BTS(Normal case)")</f>
        <v>VZN Pallet Label -&gt; BTS(Normal case)</v>
      </c>
      <c r="M245" s="182" t="str">
        <f>IFERROR(__xludf.DUMMYFUNCTION("""COMPUTED_VALUE"""),"G990-08499-21-02
G990-08499-21-A")</f>
        <v>G990-08499-21-02
G990-08499-21-A</v>
      </c>
      <c r="N245" s="182" t="str">
        <f>IFERROR(__xludf.DUMMYFUNCTION("""COMPUTED_VALUE"""),"G990-08505-11-01
G990-08505-11-A")</f>
        <v>G990-08505-11-01
G990-08505-11-A</v>
      </c>
      <c r="O245" s="182" t="str">
        <f>IFERROR(__xludf.DUMMYFUNCTION("""COMPUTED_VALUE"""),"BOB→A
Retail→A")</f>
        <v>BOB→A
Retail→A</v>
      </c>
      <c r="P245" s="182" t="str">
        <f>IFERROR(__xludf.DUMMYFUNCTION("""COMPUTED_VALUE"""),"128GB")</f>
        <v>128GB</v>
      </c>
      <c r="Q245" s="182" t="str">
        <f>IFERROR(__xludf.DUMMYFUNCTION("""COMPUTED_VALUE"""),"Porcelain")</f>
        <v>Porcelain</v>
      </c>
      <c r="R245" s="182" t="str">
        <f>IFERROR(__xludf.DUMMYFUNCTION("""COMPUTED_VALUE"""),"Light Porcelain")</f>
        <v>Light Porcelain</v>
      </c>
      <c r="S245" s="182" t="str">
        <f>IFERROR(__xludf.DUMMYFUNCTION("""COMPUTED_VALUE"""),"US-VZW")</f>
        <v>US-VZW</v>
      </c>
      <c r="T245" s="182" t="str">
        <f>IFERROR(__xludf.DUMMYFUNCTION("""COMPUTED_VALUE"""),"SKU,CLR2, GOOD, MMWAVE, VZW, IQ, US, BZ5")</f>
        <v>SKU,CLR2, GOOD, MMWAVE, VZW, IQ, US, BZ5</v>
      </c>
      <c r="U245" s="182"/>
      <c r="V245" s="183" t="str">
        <f>IFERROR(__xludf.DUMMYFUNCTION("""COMPUTED_VALUE"""),"#NUM!")</f>
        <v>#NUM!</v>
      </c>
      <c r="W245" s="186">
        <f>IFERROR(__xludf.DUMMYFUNCTION("""COMPUTED_VALUE"""),45831.0)</f>
        <v>45831</v>
      </c>
      <c r="X245" s="187">
        <f>IFERROR(__xludf.DUMMYFUNCTION("""COMPUTED_VALUE"""),45745.0)</f>
        <v>45745</v>
      </c>
      <c r="Y245" s="182" t="b">
        <f>IFERROR(__xludf.DUMMYFUNCTION("""COMPUTED_VALUE"""),TRUE)</f>
        <v>1</v>
      </c>
      <c r="Z245" s="187">
        <f>IFERROR(__xludf.DUMMYFUNCTION("""COMPUTED_VALUE"""),45746.0)</f>
        <v>45746</v>
      </c>
      <c r="AA245" s="182" t="b">
        <f>IFERROR(__xludf.DUMMYFUNCTION("""COMPUTED_VALUE"""),FALSE)</f>
        <v>0</v>
      </c>
      <c r="AB245" s="187">
        <f>IFERROR(__xludf.DUMMYFUNCTION("""COMPUTED_VALUE"""),45752.0)</f>
        <v>45752</v>
      </c>
      <c r="AC245" s="187">
        <f>IFERROR(__xludf.DUMMYFUNCTION("""COMPUTED_VALUE"""),45752.0)</f>
        <v>45752</v>
      </c>
      <c r="AD245" s="187">
        <f>IFERROR(__xludf.DUMMYFUNCTION("""COMPUTED_VALUE"""),45758.0)</f>
        <v>45758</v>
      </c>
      <c r="AE245" s="182" t="str">
        <f>IFERROR(__xludf.DUMMYFUNCTION("""COMPUTED_VALUE"""),"IQGA10275-US
IQGA10275-US RevA")</f>
        <v>IQGA10275-US
IQGA10275-US RevA</v>
      </c>
      <c r="AF245" s="188" t="str">
        <f>IFERROR(__xludf.DUMMYFUNCTION("""COMPUTED_VALUE"""),"IQGA10275-US")</f>
        <v>IQGA10275-US</v>
      </c>
      <c r="AG245" s="182" t="str">
        <f>IFERROR(__xludf.DUMMYFUNCTION("""COMPUTED_VALUE"""),"IQGA10275-US
IQGA10275-US RevA")</f>
        <v>IQGA10275-US
IQGA10275-US RevA</v>
      </c>
      <c r="AH245" s="188" t="str">
        <f>IFERROR(__xludf.DUMMYFUNCTION("""COMPUTED_VALUE"""),"IQGA10275-US")</f>
        <v>IQGA10275-US</v>
      </c>
      <c r="AI245" s="187">
        <f>IFERROR(__xludf.DUMMYFUNCTION("""COMPUTED_VALUE"""),45780.0)</f>
        <v>45780</v>
      </c>
      <c r="AJ245" s="182" t="b">
        <f>IFERROR(__xludf.DUMMYFUNCTION("""COMPUTED_VALUE"""),TRUE)</f>
        <v>1</v>
      </c>
      <c r="AK245" s="182" t="b">
        <f>IFERROR(__xludf.DUMMYFUNCTION("""COMPUTED_VALUE"""),TRUE)</f>
        <v>1</v>
      </c>
      <c r="AL245" s="187">
        <f>IFERROR(__xludf.DUMMYFUNCTION("""COMPUTED_VALUE"""),45780.0)</f>
        <v>45780</v>
      </c>
      <c r="AM245" s="182" t="b">
        <f>IFERROR(__xludf.DUMMYFUNCTION("""COMPUTED_VALUE"""),TRUE)</f>
        <v>1</v>
      </c>
      <c r="AN245" s="182" t="str">
        <f>IFERROR(__xludf.DUMMYFUNCTION("""COMPUTED_VALUE"""),"N")</f>
        <v>N</v>
      </c>
      <c r="AO245" s="182"/>
      <c r="AP245" s="187">
        <f>IFERROR(__xludf.DUMMYFUNCTION("""COMPUTED_VALUE"""),45780.0)</f>
        <v>45780</v>
      </c>
      <c r="AQ245" s="182" t="b">
        <f>IFERROR(__xludf.DUMMYFUNCTION("""COMPUTED_VALUE"""),FALSE)</f>
        <v>0</v>
      </c>
      <c r="AR245" s="182" t="str">
        <f>IFERROR(__xludf.DUMMYFUNCTION("""COMPUTED_VALUE"""),"N")</f>
        <v>N</v>
      </c>
      <c r="AS245" s="182"/>
      <c r="AT245" s="187">
        <f>IFERROR(__xludf.DUMMYFUNCTION("""COMPUTED_VALUE"""),45780.0)</f>
        <v>45780</v>
      </c>
      <c r="AU245" s="182"/>
      <c r="AV245" s="182"/>
      <c r="AW245" s="187">
        <f>IFERROR(__xludf.DUMMYFUNCTION("""COMPUTED_VALUE"""),45827.0)</f>
        <v>45827</v>
      </c>
      <c r="AX245" s="187">
        <f>IFERROR(__xludf.DUMMYFUNCTION("""COMPUTED_VALUE"""),45827.0)</f>
        <v>45827</v>
      </c>
      <c r="AY245" s="182" t="b">
        <f>IFERROR(__xludf.DUMMYFUNCTION("""COMPUTED_VALUE"""),FALSE)</f>
        <v>0</v>
      </c>
      <c r="AZ245" s="182"/>
      <c r="BA245" s="182"/>
      <c r="BB245" s="182"/>
    </row>
    <row r="246">
      <c r="A246" s="184" t="str">
        <f t="shared" si="1"/>
        <v>G990-08499-31-A</v>
      </c>
      <c r="B246" s="69" t="str">
        <f t="shared" si="3"/>
        <v>G990-08505-11-A</v>
      </c>
      <c r="C246" s="182" t="str">
        <f>IFERROR(__xludf.DUMMYFUNCTION("""COMPUTED_VALUE"""),"VZW")</f>
        <v>VZW</v>
      </c>
      <c r="D246" s="182" t="str">
        <f>IFERROR(__xludf.DUMMYFUNCTION("""COMPUTED_VALUE"""),"MP")</f>
        <v>MP</v>
      </c>
      <c r="E246" s="182" t="str">
        <f>IFERROR(__xludf.DUMMYFUNCTION("""COMPUTED_VALUE"""),"IQ")</f>
        <v>IQ</v>
      </c>
      <c r="F246" s="182" t="str">
        <f>IFERROR(__xludf.DUMMYFUNCTION("""COMPUTED_VALUE"""),"IQGA10276-US")</f>
        <v>IQGA10276-US</v>
      </c>
      <c r="G246" s="182" t="str">
        <f>IFERROR(__xludf.DUMMYFUNCTION("""COMPUTED_VALUE"""),"G4QUR")</f>
        <v>G4QUR</v>
      </c>
      <c r="H246" s="182">
        <f>IFERROR(__xludf.DUMMYFUNCTION("""COMPUTED_VALUE"""),8.40353936607E11)</f>
        <v>840353936607</v>
      </c>
      <c r="I246" s="185" t="str">
        <f>IFERROR(__xludf.DUMMYFUNCTION("""COMPUTED_VALUE"""),"0840353936607")</f>
        <v>0840353936607</v>
      </c>
      <c r="J246" s="182"/>
      <c r="K246" s="182" t="str">
        <f>IFERROR(__xludf.DUMMYFUNCTION("""COMPUTED_VALUE"""),"VZN Master Carton Label")</f>
        <v>VZN Master Carton Label</v>
      </c>
      <c r="L246" s="182" t="str">
        <f>IFERROR(__xludf.DUMMYFUNCTION("""COMPUTED_VALUE"""),"VZN Pallet Label -&gt; BTS(Normal case)")</f>
        <v>VZN Pallet Label -&gt; BTS(Normal case)</v>
      </c>
      <c r="M246" s="182" t="str">
        <f>IFERROR(__xludf.DUMMYFUNCTION("""COMPUTED_VALUE"""),"G990-08499-31-02
G990-08499-31-A")</f>
        <v>G990-08499-31-02
G990-08499-31-A</v>
      </c>
      <c r="N246" s="182" t="str">
        <f>IFERROR(__xludf.DUMMYFUNCTION("""COMPUTED_VALUE"""),"G990-08505-11-01
G990-08505-11-A")</f>
        <v>G990-08505-11-01
G990-08505-11-A</v>
      </c>
      <c r="O246" s="182" t="str">
        <f>IFERROR(__xludf.DUMMYFUNCTION("""COMPUTED_VALUE"""),"BOB→A
Retail→A")</f>
        <v>BOB→A
Retail→A</v>
      </c>
      <c r="P246" s="182" t="str">
        <f>IFERROR(__xludf.DUMMYFUNCTION("""COMPUTED_VALUE"""),"128GB")</f>
        <v>128GB</v>
      </c>
      <c r="Q246" s="182" t="str">
        <f>IFERROR(__xludf.DUMMYFUNCTION("""COMPUTED_VALUE"""),"Moonstone")</f>
        <v>Moonstone</v>
      </c>
      <c r="R246" s="182" t="str">
        <f>IFERROR(__xludf.DUMMYFUNCTION("""COMPUTED_VALUE"""),"Sterling")</f>
        <v>Sterling</v>
      </c>
      <c r="S246" s="182" t="str">
        <f>IFERROR(__xludf.DUMMYFUNCTION("""COMPUTED_VALUE"""),"US-VZW")</f>
        <v>US-VZW</v>
      </c>
      <c r="T246" s="182" t="str">
        <f>IFERROR(__xludf.DUMMYFUNCTION("""COMPUTED_VALUE"""),"SKU,CLR3, GOOD, MMWAVE, VZW, IQ, US, BZ5")</f>
        <v>SKU,CLR3, GOOD, MMWAVE, VZW, IQ, US, BZ5</v>
      </c>
      <c r="U246" s="182"/>
      <c r="V246" s="183" t="str">
        <f>IFERROR(__xludf.DUMMYFUNCTION("""COMPUTED_VALUE"""),"#NUM!")</f>
        <v>#NUM!</v>
      </c>
      <c r="W246" s="186">
        <f>IFERROR(__xludf.DUMMYFUNCTION("""COMPUTED_VALUE"""),45831.0)</f>
        <v>45831</v>
      </c>
      <c r="X246" s="187">
        <f>IFERROR(__xludf.DUMMYFUNCTION("""COMPUTED_VALUE"""),45745.0)</f>
        <v>45745</v>
      </c>
      <c r="Y246" s="182" t="b">
        <f>IFERROR(__xludf.DUMMYFUNCTION("""COMPUTED_VALUE"""),TRUE)</f>
        <v>1</v>
      </c>
      <c r="Z246" s="187">
        <f>IFERROR(__xludf.DUMMYFUNCTION("""COMPUTED_VALUE"""),45746.0)</f>
        <v>45746</v>
      </c>
      <c r="AA246" s="182" t="b">
        <f>IFERROR(__xludf.DUMMYFUNCTION("""COMPUTED_VALUE"""),FALSE)</f>
        <v>0</v>
      </c>
      <c r="AB246" s="187">
        <f>IFERROR(__xludf.DUMMYFUNCTION("""COMPUTED_VALUE"""),45752.0)</f>
        <v>45752</v>
      </c>
      <c r="AC246" s="187">
        <f>IFERROR(__xludf.DUMMYFUNCTION("""COMPUTED_VALUE"""),45752.0)</f>
        <v>45752</v>
      </c>
      <c r="AD246" s="187">
        <f>IFERROR(__xludf.DUMMYFUNCTION("""COMPUTED_VALUE"""),45758.0)</f>
        <v>45758</v>
      </c>
      <c r="AE246" s="182" t="str">
        <f>IFERROR(__xludf.DUMMYFUNCTION("""COMPUTED_VALUE"""),"IQGA10276-US
IQGA10276-US RevA")</f>
        <v>IQGA10276-US
IQGA10276-US RevA</v>
      </c>
      <c r="AF246" s="188" t="str">
        <f>IFERROR(__xludf.DUMMYFUNCTION("""COMPUTED_VALUE"""),"IQGA10276-US")</f>
        <v>IQGA10276-US</v>
      </c>
      <c r="AG246" s="182" t="str">
        <f>IFERROR(__xludf.DUMMYFUNCTION("""COMPUTED_VALUE"""),"IQGA10276-US
IQGA10276-US RevA")</f>
        <v>IQGA10276-US
IQGA10276-US RevA</v>
      </c>
      <c r="AH246" s="188" t="str">
        <f>IFERROR(__xludf.DUMMYFUNCTION("""COMPUTED_VALUE"""),"IQGA10276-US")</f>
        <v>IQGA10276-US</v>
      </c>
      <c r="AI246" s="187">
        <f>IFERROR(__xludf.DUMMYFUNCTION("""COMPUTED_VALUE"""),45780.0)</f>
        <v>45780</v>
      </c>
      <c r="AJ246" s="182" t="b">
        <f>IFERROR(__xludf.DUMMYFUNCTION("""COMPUTED_VALUE"""),TRUE)</f>
        <v>1</v>
      </c>
      <c r="AK246" s="182" t="b">
        <f>IFERROR(__xludf.DUMMYFUNCTION("""COMPUTED_VALUE"""),TRUE)</f>
        <v>1</v>
      </c>
      <c r="AL246" s="187">
        <f>IFERROR(__xludf.DUMMYFUNCTION("""COMPUTED_VALUE"""),45780.0)</f>
        <v>45780</v>
      </c>
      <c r="AM246" s="182" t="b">
        <f>IFERROR(__xludf.DUMMYFUNCTION("""COMPUTED_VALUE"""),TRUE)</f>
        <v>1</v>
      </c>
      <c r="AN246" s="182" t="str">
        <f>IFERROR(__xludf.DUMMYFUNCTION("""COMPUTED_VALUE"""),"N")</f>
        <v>N</v>
      </c>
      <c r="AO246" s="182"/>
      <c r="AP246" s="187">
        <f>IFERROR(__xludf.DUMMYFUNCTION("""COMPUTED_VALUE"""),45780.0)</f>
        <v>45780</v>
      </c>
      <c r="AQ246" s="182" t="b">
        <f>IFERROR(__xludf.DUMMYFUNCTION("""COMPUTED_VALUE"""),FALSE)</f>
        <v>0</v>
      </c>
      <c r="AR246" s="182" t="str">
        <f>IFERROR(__xludf.DUMMYFUNCTION("""COMPUTED_VALUE"""),"N")</f>
        <v>N</v>
      </c>
      <c r="AS246" s="182"/>
      <c r="AT246" s="187">
        <f>IFERROR(__xludf.DUMMYFUNCTION("""COMPUTED_VALUE"""),45780.0)</f>
        <v>45780</v>
      </c>
      <c r="AU246" s="182"/>
      <c r="AV246" s="182"/>
      <c r="AW246" s="187">
        <f>IFERROR(__xludf.DUMMYFUNCTION("""COMPUTED_VALUE"""),45827.0)</f>
        <v>45827</v>
      </c>
      <c r="AX246" s="187">
        <f>IFERROR(__xludf.DUMMYFUNCTION("""COMPUTED_VALUE"""),45827.0)</f>
        <v>45827</v>
      </c>
      <c r="AY246" s="182" t="b">
        <f>IFERROR(__xludf.DUMMYFUNCTION("""COMPUTED_VALUE"""),FALSE)</f>
        <v>0</v>
      </c>
      <c r="AZ246" s="182"/>
      <c r="BA246" s="182"/>
      <c r="BB246" s="182"/>
    </row>
    <row r="247">
      <c r="A247" s="184" t="str">
        <f t="shared" si="1"/>
        <v>G990-08499-12-A</v>
      </c>
      <c r="B247" s="69" t="str">
        <f t="shared" si="3"/>
        <v>G990-08505-11-A</v>
      </c>
      <c r="C247" s="182" t="str">
        <f>IFERROR(__xludf.DUMMYFUNCTION("""COMPUTED_VALUE"""),"VZW")</f>
        <v>VZW</v>
      </c>
      <c r="D247" s="182" t="str">
        <f>IFERROR(__xludf.DUMMYFUNCTION("""COMPUTED_VALUE"""),"MP")</f>
        <v>MP</v>
      </c>
      <c r="E247" s="182" t="str">
        <f>IFERROR(__xludf.DUMMYFUNCTION("""COMPUTED_VALUE"""),"IQ")</f>
        <v>IQ</v>
      </c>
      <c r="F247" s="182" t="str">
        <f>IFERROR(__xludf.DUMMYFUNCTION("""COMPUTED_VALUE"""),"IQGA09896-US")</f>
        <v>IQGA09896-US</v>
      </c>
      <c r="G247" s="182" t="str">
        <f>IFERROR(__xludf.DUMMYFUNCTION("""COMPUTED_VALUE"""),"G4QUR")</f>
        <v>G4QUR</v>
      </c>
      <c r="H247" s="185" t="str">
        <f>IFERROR(__xludf.DUMMYFUNCTION("""COMPUTED_VALUE"""),"840353936614")</f>
        <v>840353936614</v>
      </c>
      <c r="I247" s="185" t="str">
        <f>IFERROR(__xludf.DUMMYFUNCTION("""COMPUTED_VALUE"""),"0840353936614")</f>
        <v>0840353936614</v>
      </c>
      <c r="J247" s="182"/>
      <c r="K247" s="182" t="str">
        <f>IFERROR(__xludf.DUMMYFUNCTION("""COMPUTED_VALUE"""),"VZN Master Carton Label")</f>
        <v>VZN Master Carton Label</v>
      </c>
      <c r="L247" s="182" t="str">
        <f>IFERROR(__xludf.DUMMYFUNCTION("""COMPUTED_VALUE"""),"VZN Pallet Label -&gt; BTS(Normal case)")</f>
        <v>VZN Pallet Label -&gt; BTS(Normal case)</v>
      </c>
      <c r="M247" s="182" t="str">
        <f>IFERROR(__xludf.DUMMYFUNCTION("""COMPUTED_VALUE"""),"G990-08499-12-02
G990-08499-12-A")</f>
        <v>G990-08499-12-02
G990-08499-12-A</v>
      </c>
      <c r="N247" s="182" t="str">
        <f>IFERROR(__xludf.DUMMYFUNCTION("""COMPUTED_VALUE"""),"G990-08505-11-01
G990-08505-11-A")</f>
        <v>G990-08505-11-01
G990-08505-11-A</v>
      </c>
      <c r="O247" s="182" t="str">
        <f>IFERROR(__xludf.DUMMYFUNCTION("""COMPUTED_VALUE"""),"BOB→A
Retail→A")</f>
        <v>BOB→A
Retail→A</v>
      </c>
      <c r="P247" s="182" t="str">
        <f>IFERROR(__xludf.DUMMYFUNCTION("""COMPUTED_VALUE"""),"256GB")</f>
        <v>256GB</v>
      </c>
      <c r="Q247" s="182" t="str">
        <f>IFERROR(__xludf.DUMMYFUNCTION("""COMPUTED_VALUE"""),"Obsidian")</f>
        <v>Obsidian</v>
      </c>
      <c r="R247" s="182" t="str">
        <f>IFERROR(__xludf.DUMMYFUNCTION("""COMPUTED_VALUE"""),"Midnight")</f>
        <v>Midnight</v>
      </c>
      <c r="S247" s="182" t="str">
        <f>IFERROR(__xludf.DUMMYFUNCTION("""COMPUTED_VALUE"""),"US-VZW")</f>
        <v>US-VZW</v>
      </c>
      <c r="T247" s="182" t="str">
        <f>IFERROR(__xludf.DUMMYFUNCTION("""COMPUTED_VALUE"""),"SKU,CLR1, BETTER, MMWAVE, VZW, IQ, US, BZ5")</f>
        <v>SKU,CLR1, BETTER, MMWAVE, VZW, IQ, US, BZ5</v>
      </c>
      <c r="U247" s="182"/>
      <c r="V247" s="183" t="str">
        <f>IFERROR(__xludf.DUMMYFUNCTION("""COMPUTED_VALUE"""),"#NUM!")</f>
        <v>#NUM!</v>
      </c>
      <c r="W247" s="186">
        <f>IFERROR(__xludf.DUMMYFUNCTION("""COMPUTED_VALUE"""),45831.0)</f>
        <v>45831</v>
      </c>
      <c r="X247" s="187">
        <f>IFERROR(__xludf.DUMMYFUNCTION("""COMPUTED_VALUE"""),45745.0)</f>
        <v>45745</v>
      </c>
      <c r="Y247" s="182" t="b">
        <f>IFERROR(__xludf.DUMMYFUNCTION("""COMPUTED_VALUE"""),TRUE)</f>
        <v>1</v>
      </c>
      <c r="Z247" s="187">
        <f>IFERROR(__xludf.DUMMYFUNCTION("""COMPUTED_VALUE"""),45746.0)</f>
        <v>45746</v>
      </c>
      <c r="AA247" s="182" t="b">
        <f>IFERROR(__xludf.DUMMYFUNCTION("""COMPUTED_VALUE"""),FALSE)</f>
        <v>0</v>
      </c>
      <c r="AB247" s="187">
        <f>IFERROR(__xludf.DUMMYFUNCTION("""COMPUTED_VALUE"""),45752.0)</f>
        <v>45752</v>
      </c>
      <c r="AC247" s="187">
        <f>IFERROR(__xludf.DUMMYFUNCTION("""COMPUTED_VALUE"""),45752.0)</f>
        <v>45752</v>
      </c>
      <c r="AD247" s="187">
        <f>IFERROR(__xludf.DUMMYFUNCTION("""COMPUTED_VALUE"""),45758.0)</f>
        <v>45758</v>
      </c>
      <c r="AE247" s="182" t="str">
        <f>IFERROR(__xludf.DUMMYFUNCTION("""COMPUTED_VALUE"""),"IQGA09896-US
IQGA09896-US RevA")</f>
        <v>IQGA09896-US
IQGA09896-US RevA</v>
      </c>
      <c r="AF247" s="188" t="str">
        <f>IFERROR(__xludf.DUMMYFUNCTION("""COMPUTED_VALUE"""),"IQGA09896-US")</f>
        <v>IQGA09896-US</v>
      </c>
      <c r="AG247" s="182" t="str">
        <f>IFERROR(__xludf.DUMMYFUNCTION("""COMPUTED_VALUE"""),"IQGA09896-US
IQGA09896-US RevA")</f>
        <v>IQGA09896-US
IQGA09896-US RevA</v>
      </c>
      <c r="AH247" s="188" t="str">
        <f>IFERROR(__xludf.DUMMYFUNCTION("""COMPUTED_VALUE"""),"IQGA09896-US")</f>
        <v>IQGA09896-US</v>
      </c>
      <c r="AI247" s="187">
        <f>IFERROR(__xludf.DUMMYFUNCTION("""COMPUTED_VALUE"""),45780.0)</f>
        <v>45780</v>
      </c>
      <c r="AJ247" s="182" t="b">
        <f>IFERROR(__xludf.DUMMYFUNCTION("""COMPUTED_VALUE"""),TRUE)</f>
        <v>1</v>
      </c>
      <c r="AK247" s="182" t="b">
        <f>IFERROR(__xludf.DUMMYFUNCTION("""COMPUTED_VALUE"""),TRUE)</f>
        <v>1</v>
      </c>
      <c r="AL247" s="187">
        <f>IFERROR(__xludf.DUMMYFUNCTION("""COMPUTED_VALUE"""),45780.0)</f>
        <v>45780</v>
      </c>
      <c r="AM247" s="182" t="b">
        <f>IFERROR(__xludf.DUMMYFUNCTION("""COMPUTED_VALUE"""),TRUE)</f>
        <v>1</v>
      </c>
      <c r="AN247" s="182" t="str">
        <f>IFERROR(__xludf.DUMMYFUNCTION("""COMPUTED_VALUE"""),"Y")</f>
        <v>Y</v>
      </c>
      <c r="AO247" s="182"/>
      <c r="AP247" s="187">
        <f>IFERROR(__xludf.DUMMYFUNCTION("""COMPUTED_VALUE"""),45780.0)</f>
        <v>45780</v>
      </c>
      <c r="AQ247" s="182" t="b">
        <f>IFERROR(__xludf.DUMMYFUNCTION("""COMPUTED_VALUE"""),FALSE)</f>
        <v>0</v>
      </c>
      <c r="AR247" s="182" t="str">
        <f>IFERROR(__xludf.DUMMYFUNCTION("""COMPUTED_VALUE"""),"N")</f>
        <v>N</v>
      </c>
      <c r="AS247" s="182"/>
      <c r="AT247" s="187">
        <f>IFERROR(__xludf.DUMMYFUNCTION("""COMPUTED_VALUE"""),45780.0)</f>
        <v>45780</v>
      </c>
      <c r="AU247" s="182"/>
      <c r="AV247" s="182"/>
      <c r="AW247" s="187">
        <f>IFERROR(__xludf.DUMMYFUNCTION("""COMPUTED_VALUE"""),45827.0)</f>
        <v>45827</v>
      </c>
      <c r="AX247" s="187">
        <f>IFERROR(__xludf.DUMMYFUNCTION("""COMPUTED_VALUE"""),45827.0)</f>
        <v>45827</v>
      </c>
      <c r="AY247" s="182" t="b">
        <f>IFERROR(__xludf.DUMMYFUNCTION("""COMPUTED_VALUE"""),FALSE)</f>
        <v>0</v>
      </c>
      <c r="AZ247" s="182"/>
      <c r="BA247" s="182"/>
      <c r="BB247" s="182"/>
    </row>
    <row r="248">
      <c r="A248" s="184" t="str">
        <f t="shared" si="1"/>
        <v>G990-08499-22-A</v>
      </c>
      <c r="B248" s="69" t="str">
        <f t="shared" si="3"/>
        <v>G990-08505-11-A</v>
      </c>
      <c r="C248" s="182" t="str">
        <f>IFERROR(__xludf.DUMMYFUNCTION("""COMPUTED_VALUE"""),"VZW")</f>
        <v>VZW</v>
      </c>
      <c r="D248" s="182" t="str">
        <f>IFERROR(__xludf.DUMMYFUNCTION("""COMPUTED_VALUE"""),"MP")</f>
        <v>MP</v>
      </c>
      <c r="E248" s="182" t="str">
        <f>IFERROR(__xludf.DUMMYFUNCTION("""COMPUTED_VALUE"""),"IQ")</f>
        <v>IQ</v>
      </c>
      <c r="F248" s="182" t="str">
        <f>IFERROR(__xludf.DUMMYFUNCTION("""COMPUTED_VALUE"""),"IQGA10277-US")</f>
        <v>IQGA10277-US</v>
      </c>
      <c r="G248" s="182" t="str">
        <f>IFERROR(__xludf.DUMMYFUNCTION("""COMPUTED_VALUE"""),"G4QUR")</f>
        <v>G4QUR</v>
      </c>
      <c r="H248" s="182">
        <f>IFERROR(__xludf.DUMMYFUNCTION("""COMPUTED_VALUE"""),8.40353936621E11)</f>
        <v>840353936621</v>
      </c>
      <c r="I248" s="185" t="str">
        <f>IFERROR(__xludf.DUMMYFUNCTION("""COMPUTED_VALUE"""),"0840353936621")</f>
        <v>0840353936621</v>
      </c>
      <c r="J248" s="182"/>
      <c r="K248" s="182" t="str">
        <f>IFERROR(__xludf.DUMMYFUNCTION("""COMPUTED_VALUE"""),"VZN Master Carton Label")</f>
        <v>VZN Master Carton Label</v>
      </c>
      <c r="L248" s="182" t="str">
        <f>IFERROR(__xludf.DUMMYFUNCTION("""COMPUTED_VALUE"""),"VZN Pallet Label -&gt; BTS(Normal case)")</f>
        <v>VZN Pallet Label -&gt; BTS(Normal case)</v>
      </c>
      <c r="M248" s="182" t="str">
        <f>IFERROR(__xludf.DUMMYFUNCTION("""COMPUTED_VALUE"""),"G990-08499-22-02
G990-08499-22-A")</f>
        <v>G990-08499-22-02
G990-08499-22-A</v>
      </c>
      <c r="N248" s="182" t="str">
        <f>IFERROR(__xludf.DUMMYFUNCTION("""COMPUTED_VALUE"""),"G990-08505-11-01
G990-08505-11-A")</f>
        <v>G990-08505-11-01
G990-08505-11-A</v>
      </c>
      <c r="O248" s="182" t="str">
        <f>IFERROR(__xludf.DUMMYFUNCTION("""COMPUTED_VALUE"""),"BOB→A
Retail→A")</f>
        <v>BOB→A
Retail→A</v>
      </c>
      <c r="P248" s="182" t="str">
        <f>IFERROR(__xludf.DUMMYFUNCTION("""COMPUTED_VALUE"""),"256GB")</f>
        <v>256GB</v>
      </c>
      <c r="Q248" s="182" t="str">
        <f>IFERROR(__xludf.DUMMYFUNCTION("""COMPUTED_VALUE"""),"Porcelain")</f>
        <v>Porcelain</v>
      </c>
      <c r="R248" s="182" t="str">
        <f>IFERROR(__xludf.DUMMYFUNCTION("""COMPUTED_VALUE"""),"Light Porcelain")</f>
        <v>Light Porcelain</v>
      </c>
      <c r="S248" s="182" t="str">
        <f>IFERROR(__xludf.DUMMYFUNCTION("""COMPUTED_VALUE"""),"US-VZW")</f>
        <v>US-VZW</v>
      </c>
      <c r="T248" s="182" t="str">
        <f>IFERROR(__xludf.DUMMYFUNCTION("""COMPUTED_VALUE"""),"SKU,CLR2, BETTER, MMWAVE, VZW, IQ, US, BZ5")</f>
        <v>SKU,CLR2, BETTER, MMWAVE, VZW, IQ, US, BZ5</v>
      </c>
      <c r="U248" s="182"/>
      <c r="V248" s="183" t="str">
        <f>IFERROR(__xludf.DUMMYFUNCTION("""COMPUTED_VALUE"""),"#NUM!")</f>
        <v>#NUM!</v>
      </c>
      <c r="W248" s="186">
        <f>IFERROR(__xludf.DUMMYFUNCTION("""COMPUTED_VALUE"""),45831.0)</f>
        <v>45831</v>
      </c>
      <c r="X248" s="187">
        <f>IFERROR(__xludf.DUMMYFUNCTION("""COMPUTED_VALUE"""),45745.0)</f>
        <v>45745</v>
      </c>
      <c r="Y248" s="182" t="b">
        <f>IFERROR(__xludf.DUMMYFUNCTION("""COMPUTED_VALUE"""),TRUE)</f>
        <v>1</v>
      </c>
      <c r="Z248" s="187">
        <f>IFERROR(__xludf.DUMMYFUNCTION("""COMPUTED_VALUE"""),45746.0)</f>
        <v>45746</v>
      </c>
      <c r="AA248" s="182" t="b">
        <f>IFERROR(__xludf.DUMMYFUNCTION("""COMPUTED_VALUE"""),FALSE)</f>
        <v>0</v>
      </c>
      <c r="AB248" s="187">
        <f>IFERROR(__xludf.DUMMYFUNCTION("""COMPUTED_VALUE"""),45752.0)</f>
        <v>45752</v>
      </c>
      <c r="AC248" s="187">
        <f>IFERROR(__xludf.DUMMYFUNCTION("""COMPUTED_VALUE"""),45752.0)</f>
        <v>45752</v>
      </c>
      <c r="AD248" s="187">
        <f>IFERROR(__xludf.DUMMYFUNCTION("""COMPUTED_VALUE"""),45758.0)</f>
        <v>45758</v>
      </c>
      <c r="AE248" s="182" t="str">
        <f>IFERROR(__xludf.DUMMYFUNCTION("""COMPUTED_VALUE"""),"IQGA10277-US
IQGA10277-US RevA")</f>
        <v>IQGA10277-US
IQGA10277-US RevA</v>
      </c>
      <c r="AF248" s="188" t="str">
        <f>IFERROR(__xludf.DUMMYFUNCTION("""COMPUTED_VALUE"""),"IQGA10277-US")</f>
        <v>IQGA10277-US</v>
      </c>
      <c r="AG248" s="182" t="str">
        <f>IFERROR(__xludf.DUMMYFUNCTION("""COMPUTED_VALUE"""),"IQGA10277-US
IQGA10277-US RevA")</f>
        <v>IQGA10277-US
IQGA10277-US RevA</v>
      </c>
      <c r="AH248" s="188" t="str">
        <f>IFERROR(__xludf.DUMMYFUNCTION("""COMPUTED_VALUE"""),"IQGA10277-US")</f>
        <v>IQGA10277-US</v>
      </c>
      <c r="AI248" s="187">
        <f>IFERROR(__xludf.DUMMYFUNCTION("""COMPUTED_VALUE"""),45780.0)</f>
        <v>45780</v>
      </c>
      <c r="AJ248" s="182" t="b">
        <f>IFERROR(__xludf.DUMMYFUNCTION("""COMPUTED_VALUE"""),TRUE)</f>
        <v>1</v>
      </c>
      <c r="AK248" s="182" t="b">
        <f>IFERROR(__xludf.DUMMYFUNCTION("""COMPUTED_VALUE"""),TRUE)</f>
        <v>1</v>
      </c>
      <c r="AL248" s="187">
        <f>IFERROR(__xludf.DUMMYFUNCTION("""COMPUTED_VALUE"""),45780.0)</f>
        <v>45780</v>
      </c>
      <c r="AM248" s="182" t="b">
        <f>IFERROR(__xludf.DUMMYFUNCTION("""COMPUTED_VALUE"""),TRUE)</f>
        <v>1</v>
      </c>
      <c r="AN248" s="182" t="str">
        <f>IFERROR(__xludf.DUMMYFUNCTION("""COMPUTED_VALUE"""),"N")</f>
        <v>N</v>
      </c>
      <c r="AO248" s="182"/>
      <c r="AP248" s="187">
        <f>IFERROR(__xludf.DUMMYFUNCTION("""COMPUTED_VALUE"""),45780.0)</f>
        <v>45780</v>
      </c>
      <c r="AQ248" s="182" t="b">
        <f>IFERROR(__xludf.DUMMYFUNCTION("""COMPUTED_VALUE"""),FALSE)</f>
        <v>0</v>
      </c>
      <c r="AR248" s="182" t="str">
        <f>IFERROR(__xludf.DUMMYFUNCTION("""COMPUTED_VALUE"""),"N")</f>
        <v>N</v>
      </c>
      <c r="AS248" s="182"/>
      <c r="AT248" s="187">
        <f>IFERROR(__xludf.DUMMYFUNCTION("""COMPUTED_VALUE"""),45780.0)</f>
        <v>45780</v>
      </c>
      <c r="AU248" s="182"/>
      <c r="AV248" s="182"/>
      <c r="AW248" s="187">
        <f>IFERROR(__xludf.DUMMYFUNCTION("""COMPUTED_VALUE"""),45827.0)</f>
        <v>45827</v>
      </c>
      <c r="AX248" s="187">
        <f>IFERROR(__xludf.DUMMYFUNCTION("""COMPUTED_VALUE"""),45827.0)</f>
        <v>45827</v>
      </c>
      <c r="AY248" s="182" t="b">
        <f>IFERROR(__xludf.DUMMYFUNCTION("""COMPUTED_VALUE"""),FALSE)</f>
        <v>0</v>
      </c>
      <c r="AZ248" s="182"/>
      <c r="BA248" s="182"/>
      <c r="BB248" s="182"/>
    </row>
    <row r="249">
      <c r="A249" s="184" t="str">
        <f t="shared" si="1"/>
        <v>G990-08499-32-A</v>
      </c>
      <c r="B249" s="69" t="str">
        <f t="shared" si="3"/>
        <v>G990-08505-11-A</v>
      </c>
      <c r="C249" s="182" t="str">
        <f>IFERROR(__xludf.DUMMYFUNCTION("""COMPUTED_VALUE"""),"VZW")</f>
        <v>VZW</v>
      </c>
      <c r="D249" s="182" t="str">
        <f>IFERROR(__xludf.DUMMYFUNCTION("""COMPUTED_VALUE"""),"MP")</f>
        <v>MP</v>
      </c>
      <c r="E249" s="182" t="str">
        <f>IFERROR(__xludf.DUMMYFUNCTION("""COMPUTED_VALUE"""),"IQ")</f>
        <v>IQ</v>
      </c>
      <c r="F249" s="182" t="str">
        <f>IFERROR(__xludf.DUMMYFUNCTION("""COMPUTED_VALUE"""),"IQGA10278-US")</f>
        <v>IQGA10278-US</v>
      </c>
      <c r="G249" s="182" t="str">
        <f>IFERROR(__xludf.DUMMYFUNCTION("""COMPUTED_VALUE"""),"G4QUR")</f>
        <v>G4QUR</v>
      </c>
      <c r="H249" s="182">
        <f>IFERROR(__xludf.DUMMYFUNCTION("""COMPUTED_VALUE"""),8.40353936638E11)</f>
        <v>840353936638</v>
      </c>
      <c r="I249" s="185" t="str">
        <f>IFERROR(__xludf.DUMMYFUNCTION("""COMPUTED_VALUE"""),"0840353936638")</f>
        <v>0840353936638</v>
      </c>
      <c r="J249" s="182"/>
      <c r="K249" s="182" t="str">
        <f>IFERROR(__xludf.DUMMYFUNCTION("""COMPUTED_VALUE"""),"VZN Master Carton Label")</f>
        <v>VZN Master Carton Label</v>
      </c>
      <c r="L249" s="182" t="str">
        <f>IFERROR(__xludf.DUMMYFUNCTION("""COMPUTED_VALUE"""),"VZN Pallet Label -&gt; BTS(Normal case)")</f>
        <v>VZN Pallet Label -&gt; BTS(Normal case)</v>
      </c>
      <c r="M249" s="182" t="str">
        <f>IFERROR(__xludf.DUMMYFUNCTION("""COMPUTED_VALUE"""),"G990-08499-32-02
G990-08499-32-A")</f>
        <v>G990-08499-32-02
G990-08499-32-A</v>
      </c>
      <c r="N249" s="182" t="str">
        <f>IFERROR(__xludf.DUMMYFUNCTION("""COMPUTED_VALUE"""),"G990-08505-11-01
G990-08505-11-A")</f>
        <v>G990-08505-11-01
G990-08505-11-A</v>
      </c>
      <c r="O249" s="182" t="str">
        <f>IFERROR(__xludf.DUMMYFUNCTION("""COMPUTED_VALUE"""),"BOB→A
Retail→A")</f>
        <v>BOB→A
Retail→A</v>
      </c>
      <c r="P249" s="182" t="str">
        <f>IFERROR(__xludf.DUMMYFUNCTION("""COMPUTED_VALUE"""),"256GB")</f>
        <v>256GB</v>
      </c>
      <c r="Q249" s="182" t="str">
        <f>IFERROR(__xludf.DUMMYFUNCTION("""COMPUTED_VALUE"""),"Moonstone")</f>
        <v>Moonstone</v>
      </c>
      <c r="R249" s="182" t="str">
        <f>IFERROR(__xludf.DUMMYFUNCTION("""COMPUTED_VALUE"""),"Sterling")</f>
        <v>Sterling</v>
      </c>
      <c r="S249" s="182" t="str">
        <f>IFERROR(__xludf.DUMMYFUNCTION("""COMPUTED_VALUE"""),"US-VZW")</f>
        <v>US-VZW</v>
      </c>
      <c r="T249" s="182" t="str">
        <f>IFERROR(__xludf.DUMMYFUNCTION("""COMPUTED_VALUE"""),"SKU,CLR3, BETTER, MMWAVE, VZW, IQ, US, BZ5")</f>
        <v>SKU,CLR3, BETTER, MMWAVE, VZW, IQ, US, BZ5</v>
      </c>
      <c r="U249" s="182"/>
      <c r="V249" s="183" t="str">
        <f>IFERROR(__xludf.DUMMYFUNCTION("""COMPUTED_VALUE"""),"#NUM!")</f>
        <v>#NUM!</v>
      </c>
      <c r="W249" s="186">
        <f>IFERROR(__xludf.DUMMYFUNCTION("""COMPUTED_VALUE"""),45831.0)</f>
        <v>45831</v>
      </c>
      <c r="X249" s="187">
        <f>IFERROR(__xludf.DUMMYFUNCTION("""COMPUTED_VALUE"""),45745.0)</f>
        <v>45745</v>
      </c>
      <c r="Y249" s="182" t="b">
        <f>IFERROR(__xludf.DUMMYFUNCTION("""COMPUTED_VALUE"""),TRUE)</f>
        <v>1</v>
      </c>
      <c r="Z249" s="187">
        <f>IFERROR(__xludf.DUMMYFUNCTION("""COMPUTED_VALUE"""),45746.0)</f>
        <v>45746</v>
      </c>
      <c r="AA249" s="182" t="b">
        <f>IFERROR(__xludf.DUMMYFUNCTION("""COMPUTED_VALUE"""),FALSE)</f>
        <v>0</v>
      </c>
      <c r="AB249" s="187">
        <f>IFERROR(__xludf.DUMMYFUNCTION("""COMPUTED_VALUE"""),45752.0)</f>
        <v>45752</v>
      </c>
      <c r="AC249" s="187">
        <f>IFERROR(__xludf.DUMMYFUNCTION("""COMPUTED_VALUE"""),45752.0)</f>
        <v>45752</v>
      </c>
      <c r="AD249" s="187">
        <f>IFERROR(__xludf.DUMMYFUNCTION("""COMPUTED_VALUE"""),45758.0)</f>
        <v>45758</v>
      </c>
      <c r="AE249" s="182" t="str">
        <f>IFERROR(__xludf.DUMMYFUNCTION("""COMPUTED_VALUE"""),"IQGA10278-US
IQGA10278-US RevA")</f>
        <v>IQGA10278-US
IQGA10278-US RevA</v>
      </c>
      <c r="AF249" s="188" t="str">
        <f>IFERROR(__xludf.DUMMYFUNCTION("""COMPUTED_VALUE"""),"IQGA10278-US")</f>
        <v>IQGA10278-US</v>
      </c>
      <c r="AG249" s="182" t="str">
        <f>IFERROR(__xludf.DUMMYFUNCTION("""COMPUTED_VALUE"""),"IQGA10278-US
IQGA10278-US RevA")</f>
        <v>IQGA10278-US
IQGA10278-US RevA</v>
      </c>
      <c r="AH249" s="188" t="str">
        <f>IFERROR(__xludf.DUMMYFUNCTION("""COMPUTED_VALUE"""),"IQGA10278-US")</f>
        <v>IQGA10278-US</v>
      </c>
      <c r="AI249" s="187">
        <f>IFERROR(__xludf.DUMMYFUNCTION("""COMPUTED_VALUE"""),45780.0)</f>
        <v>45780</v>
      </c>
      <c r="AJ249" s="182" t="b">
        <f>IFERROR(__xludf.DUMMYFUNCTION("""COMPUTED_VALUE"""),TRUE)</f>
        <v>1</v>
      </c>
      <c r="AK249" s="182" t="b">
        <f>IFERROR(__xludf.DUMMYFUNCTION("""COMPUTED_VALUE"""),TRUE)</f>
        <v>1</v>
      </c>
      <c r="AL249" s="187">
        <f>IFERROR(__xludf.DUMMYFUNCTION("""COMPUTED_VALUE"""),45780.0)</f>
        <v>45780</v>
      </c>
      <c r="AM249" s="182" t="b">
        <f>IFERROR(__xludf.DUMMYFUNCTION("""COMPUTED_VALUE"""),TRUE)</f>
        <v>1</v>
      </c>
      <c r="AN249" s="182" t="str">
        <f>IFERROR(__xludf.DUMMYFUNCTION("""COMPUTED_VALUE"""),"N")</f>
        <v>N</v>
      </c>
      <c r="AO249" s="182"/>
      <c r="AP249" s="187">
        <f>IFERROR(__xludf.DUMMYFUNCTION("""COMPUTED_VALUE"""),45780.0)</f>
        <v>45780</v>
      </c>
      <c r="AQ249" s="182" t="b">
        <f>IFERROR(__xludf.DUMMYFUNCTION("""COMPUTED_VALUE"""),FALSE)</f>
        <v>0</v>
      </c>
      <c r="AR249" s="182" t="str">
        <f>IFERROR(__xludf.DUMMYFUNCTION("""COMPUTED_VALUE"""),"N")</f>
        <v>N</v>
      </c>
      <c r="AS249" s="182"/>
      <c r="AT249" s="187">
        <f>IFERROR(__xludf.DUMMYFUNCTION("""COMPUTED_VALUE"""),45780.0)</f>
        <v>45780</v>
      </c>
      <c r="AU249" s="182"/>
      <c r="AV249" s="182"/>
      <c r="AW249" s="187">
        <f>IFERROR(__xludf.DUMMYFUNCTION("""COMPUTED_VALUE"""),45827.0)</f>
        <v>45827</v>
      </c>
      <c r="AX249" s="187">
        <f>IFERROR(__xludf.DUMMYFUNCTION("""COMPUTED_VALUE"""),45827.0)</f>
        <v>45827</v>
      </c>
      <c r="AY249" s="182" t="b">
        <f>IFERROR(__xludf.DUMMYFUNCTION("""COMPUTED_VALUE"""),FALSE)</f>
        <v>0</v>
      </c>
      <c r="AZ249" s="182"/>
      <c r="BA249" s="182"/>
      <c r="BB249" s="182"/>
    </row>
    <row r="250">
      <c r="A250" s="184" t="str">
        <f t="shared" si="1"/>
        <v>G990-08499-42-A</v>
      </c>
      <c r="B250" s="69" t="str">
        <f t="shared" si="3"/>
        <v>G990-08505-11-A</v>
      </c>
      <c r="C250" s="182" t="str">
        <f>IFERROR(__xludf.DUMMYFUNCTION("""COMPUTED_VALUE"""),"VZW")</f>
        <v>VZW</v>
      </c>
      <c r="D250" s="182" t="str">
        <f>IFERROR(__xludf.DUMMYFUNCTION("""COMPUTED_VALUE"""),"MP")</f>
        <v>MP</v>
      </c>
      <c r="E250" s="182" t="str">
        <f>IFERROR(__xludf.DUMMYFUNCTION("""COMPUTED_VALUE"""),"IQ")</f>
        <v>IQ</v>
      </c>
      <c r="F250" s="182" t="str">
        <f>IFERROR(__xludf.DUMMYFUNCTION("""COMPUTED_VALUE"""),"IQGA10279-US")</f>
        <v>IQGA10279-US</v>
      </c>
      <c r="G250" s="182" t="str">
        <f>IFERROR(__xludf.DUMMYFUNCTION("""COMPUTED_VALUE"""),"G4QUR")</f>
        <v>G4QUR</v>
      </c>
      <c r="H250" s="182">
        <f>IFERROR(__xludf.DUMMYFUNCTION("""COMPUTED_VALUE"""),8.40353936645E11)</f>
        <v>840353936645</v>
      </c>
      <c r="I250" s="185" t="str">
        <f>IFERROR(__xludf.DUMMYFUNCTION("""COMPUTED_VALUE"""),"0840353936645")</f>
        <v>0840353936645</v>
      </c>
      <c r="J250" s="182"/>
      <c r="K250" s="182" t="str">
        <f>IFERROR(__xludf.DUMMYFUNCTION("""COMPUTED_VALUE"""),"VZN Master Carton Label")</f>
        <v>VZN Master Carton Label</v>
      </c>
      <c r="L250" s="182" t="str">
        <f>IFERROR(__xludf.DUMMYFUNCTION("""COMPUTED_VALUE"""),"VZN Pallet Label -&gt; BTS(Normal case)")</f>
        <v>VZN Pallet Label -&gt; BTS(Normal case)</v>
      </c>
      <c r="M250" s="182" t="str">
        <f>IFERROR(__xludf.DUMMYFUNCTION("""COMPUTED_VALUE"""),"G990-08499-42-02
G990-08499-42-A")</f>
        <v>G990-08499-42-02
G990-08499-42-A</v>
      </c>
      <c r="N250" s="182" t="str">
        <f>IFERROR(__xludf.DUMMYFUNCTION("""COMPUTED_VALUE"""),"G990-08505-11-01
G990-08505-11-A")</f>
        <v>G990-08505-11-01
G990-08505-11-A</v>
      </c>
      <c r="O250" s="182" t="str">
        <f>IFERROR(__xludf.DUMMYFUNCTION("""COMPUTED_VALUE"""),"BOB→A
Retail→A")</f>
        <v>BOB→A
Retail→A</v>
      </c>
      <c r="P250" s="182" t="str">
        <f>IFERROR(__xludf.DUMMYFUNCTION("""COMPUTED_VALUE"""),"256GB")</f>
        <v>256GB</v>
      </c>
      <c r="Q250" s="182" t="str">
        <f>IFERROR(__xludf.DUMMYFUNCTION("""COMPUTED_VALUE"""),"Jade")</f>
        <v>Jade</v>
      </c>
      <c r="R250" s="182" t="str">
        <f>IFERROR(__xludf.DUMMYFUNCTION("""COMPUTED_VALUE"""),"Smokey Green")</f>
        <v>Smokey Green</v>
      </c>
      <c r="S250" s="182" t="str">
        <f>IFERROR(__xludf.DUMMYFUNCTION("""COMPUTED_VALUE"""),"US-VZW")</f>
        <v>US-VZW</v>
      </c>
      <c r="T250" s="182" t="str">
        <f>IFERROR(__xludf.DUMMYFUNCTION("""COMPUTED_VALUE"""),"SKU,CLR4, BETTER, MMWAVE, VZW, IQ, US, BZ5")</f>
        <v>SKU,CLR4, BETTER, MMWAVE, VZW, IQ, US, BZ5</v>
      </c>
      <c r="U250" s="182"/>
      <c r="V250" s="183" t="str">
        <f>IFERROR(__xludf.DUMMYFUNCTION("""COMPUTED_VALUE"""),"#NUM!")</f>
        <v>#NUM!</v>
      </c>
      <c r="W250" s="186">
        <f>IFERROR(__xludf.DUMMYFUNCTION("""COMPUTED_VALUE"""),45831.0)</f>
        <v>45831</v>
      </c>
      <c r="X250" s="187">
        <f>IFERROR(__xludf.DUMMYFUNCTION("""COMPUTED_VALUE"""),45745.0)</f>
        <v>45745</v>
      </c>
      <c r="Y250" s="182" t="b">
        <f>IFERROR(__xludf.DUMMYFUNCTION("""COMPUTED_VALUE"""),TRUE)</f>
        <v>1</v>
      </c>
      <c r="Z250" s="187">
        <f>IFERROR(__xludf.DUMMYFUNCTION("""COMPUTED_VALUE"""),45746.0)</f>
        <v>45746</v>
      </c>
      <c r="AA250" s="182" t="b">
        <f>IFERROR(__xludf.DUMMYFUNCTION("""COMPUTED_VALUE"""),FALSE)</f>
        <v>0</v>
      </c>
      <c r="AB250" s="187">
        <f>IFERROR(__xludf.DUMMYFUNCTION("""COMPUTED_VALUE"""),45752.0)</f>
        <v>45752</v>
      </c>
      <c r="AC250" s="187">
        <f>IFERROR(__xludf.DUMMYFUNCTION("""COMPUTED_VALUE"""),45752.0)</f>
        <v>45752</v>
      </c>
      <c r="AD250" s="187">
        <f>IFERROR(__xludf.DUMMYFUNCTION("""COMPUTED_VALUE"""),45758.0)</f>
        <v>45758</v>
      </c>
      <c r="AE250" s="182" t="str">
        <f>IFERROR(__xludf.DUMMYFUNCTION("""COMPUTED_VALUE"""),"IQGA10279-US
IQGA10279-US RevA")</f>
        <v>IQGA10279-US
IQGA10279-US RevA</v>
      </c>
      <c r="AF250" s="188" t="str">
        <f>IFERROR(__xludf.DUMMYFUNCTION("""COMPUTED_VALUE"""),"IQGA10279-US")</f>
        <v>IQGA10279-US</v>
      </c>
      <c r="AG250" s="182" t="str">
        <f>IFERROR(__xludf.DUMMYFUNCTION("""COMPUTED_VALUE"""),"IQGA10279-US
IQGA10279-US RevA")</f>
        <v>IQGA10279-US
IQGA10279-US RevA</v>
      </c>
      <c r="AH250" s="188" t="str">
        <f>IFERROR(__xludf.DUMMYFUNCTION("""COMPUTED_VALUE"""),"IQGA10279-US")</f>
        <v>IQGA10279-US</v>
      </c>
      <c r="AI250" s="187">
        <f>IFERROR(__xludf.DUMMYFUNCTION("""COMPUTED_VALUE"""),45780.0)</f>
        <v>45780</v>
      </c>
      <c r="AJ250" s="182" t="b">
        <f>IFERROR(__xludf.DUMMYFUNCTION("""COMPUTED_VALUE"""),TRUE)</f>
        <v>1</v>
      </c>
      <c r="AK250" s="182" t="b">
        <f>IFERROR(__xludf.DUMMYFUNCTION("""COMPUTED_VALUE"""),TRUE)</f>
        <v>1</v>
      </c>
      <c r="AL250" s="187">
        <f>IFERROR(__xludf.DUMMYFUNCTION("""COMPUTED_VALUE"""),45780.0)</f>
        <v>45780</v>
      </c>
      <c r="AM250" s="182" t="b">
        <f>IFERROR(__xludf.DUMMYFUNCTION("""COMPUTED_VALUE"""),TRUE)</f>
        <v>1</v>
      </c>
      <c r="AN250" s="182" t="str">
        <f>IFERROR(__xludf.DUMMYFUNCTION("""COMPUTED_VALUE"""),"N")</f>
        <v>N</v>
      </c>
      <c r="AO250" s="182"/>
      <c r="AP250" s="187">
        <f>IFERROR(__xludf.DUMMYFUNCTION("""COMPUTED_VALUE"""),45780.0)</f>
        <v>45780</v>
      </c>
      <c r="AQ250" s="182" t="b">
        <f>IFERROR(__xludf.DUMMYFUNCTION("""COMPUTED_VALUE"""),FALSE)</f>
        <v>0</v>
      </c>
      <c r="AR250" s="182" t="str">
        <f>IFERROR(__xludf.DUMMYFUNCTION("""COMPUTED_VALUE"""),"N")</f>
        <v>N</v>
      </c>
      <c r="AS250" s="182"/>
      <c r="AT250" s="187">
        <f>IFERROR(__xludf.DUMMYFUNCTION("""COMPUTED_VALUE"""),45780.0)</f>
        <v>45780</v>
      </c>
      <c r="AU250" s="182"/>
      <c r="AV250" s="182"/>
      <c r="AW250" s="187">
        <f>IFERROR(__xludf.DUMMYFUNCTION("""COMPUTED_VALUE"""),45827.0)</f>
        <v>45827</v>
      </c>
      <c r="AX250" s="187">
        <f>IFERROR(__xludf.DUMMYFUNCTION("""COMPUTED_VALUE"""),45827.0)</f>
        <v>45827</v>
      </c>
      <c r="AY250" s="182" t="b">
        <f>IFERROR(__xludf.DUMMYFUNCTION("""COMPUTED_VALUE"""),FALSE)</f>
        <v>0</v>
      </c>
      <c r="AZ250" s="182"/>
      <c r="BA250" s="182"/>
      <c r="BB250" s="182"/>
    </row>
    <row r="251">
      <c r="A251" s="184" t="str">
        <f t="shared" si="1"/>
        <v>G990-08499-13-A</v>
      </c>
      <c r="B251" s="69" t="str">
        <f t="shared" si="3"/>
        <v>G990-08505-11-A</v>
      </c>
      <c r="C251" s="182" t="str">
        <f>IFERROR(__xludf.DUMMYFUNCTION("""COMPUTED_VALUE"""),"VZW")</f>
        <v>VZW</v>
      </c>
      <c r="D251" s="182" t="str">
        <f>IFERROR(__xludf.DUMMYFUNCTION("""COMPUTED_VALUE"""),"MP")</f>
        <v>MP</v>
      </c>
      <c r="E251" s="182" t="str">
        <f>IFERROR(__xludf.DUMMYFUNCTION("""COMPUTED_VALUE"""),"IQ")</f>
        <v>IQ</v>
      </c>
      <c r="F251" s="182" t="str">
        <f>IFERROR(__xludf.DUMMYFUNCTION("""COMPUTED_VALUE"""),"IQGA09905-US")</f>
        <v>IQGA09905-US</v>
      </c>
      <c r="G251" s="182" t="str">
        <f>IFERROR(__xludf.DUMMYFUNCTION("""COMPUTED_VALUE"""),"G4QUR")</f>
        <v>G4QUR</v>
      </c>
      <c r="H251" s="182">
        <f>IFERROR(__xludf.DUMMYFUNCTION("""COMPUTED_VALUE"""),8.40353936652E11)</f>
        <v>840353936652</v>
      </c>
      <c r="I251" s="185" t="str">
        <f>IFERROR(__xludf.DUMMYFUNCTION("""COMPUTED_VALUE"""),"0840353936652")</f>
        <v>0840353936652</v>
      </c>
      <c r="J251" s="182"/>
      <c r="K251" s="182" t="str">
        <f>IFERROR(__xludf.DUMMYFUNCTION("""COMPUTED_VALUE"""),"VZN Master Carton Label")</f>
        <v>VZN Master Carton Label</v>
      </c>
      <c r="L251" s="182" t="str">
        <f>IFERROR(__xludf.DUMMYFUNCTION("""COMPUTED_VALUE"""),"VZN Pallet Label -&gt; BTS(Normal case)")</f>
        <v>VZN Pallet Label -&gt; BTS(Normal case)</v>
      </c>
      <c r="M251" s="182" t="str">
        <f>IFERROR(__xludf.DUMMYFUNCTION("""COMPUTED_VALUE"""),"G990-08499-13-02
G990-08499-13-A")</f>
        <v>G990-08499-13-02
G990-08499-13-A</v>
      </c>
      <c r="N251" s="182" t="str">
        <f>IFERROR(__xludf.DUMMYFUNCTION("""COMPUTED_VALUE"""),"G990-08505-11-01
G990-08505-11-A")</f>
        <v>G990-08505-11-01
G990-08505-11-A</v>
      </c>
      <c r="O251" s="182" t="str">
        <f>IFERROR(__xludf.DUMMYFUNCTION("""COMPUTED_VALUE"""),"BOB→A
Retail→A")</f>
        <v>BOB→A
Retail→A</v>
      </c>
      <c r="P251" s="182" t="str">
        <f>IFERROR(__xludf.DUMMYFUNCTION("""COMPUTED_VALUE"""),"512GB")</f>
        <v>512GB</v>
      </c>
      <c r="Q251" s="182" t="str">
        <f>IFERROR(__xludf.DUMMYFUNCTION("""COMPUTED_VALUE"""),"Obsidian")</f>
        <v>Obsidian</v>
      </c>
      <c r="R251" s="182" t="str">
        <f>IFERROR(__xludf.DUMMYFUNCTION("""COMPUTED_VALUE"""),"Midnight")</f>
        <v>Midnight</v>
      </c>
      <c r="S251" s="182" t="str">
        <f>IFERROR(__xludf.DUMMYFUNCTION("""COMPUTED_VALUE"""),"US-VZW")</f>
        <v>US-VZW</v>
      </c>
      <c r="T251" s="182" t="str">
        <f>IFERROR(__xludf.DUMMYFUNCTION("""COMPUTED_VALUE"""),"SKU,CLR1, BEST, MMWAVE, VZW, IQ, US, BZ5")</f>
        <v>SKU,CLR1, BEST, MMWAVE, VZW, IQ, US, BZ5</v>
      </c>
      <c r="U251" s="182"/>
      <c r="V251" s="183" t="str">
        <f>IFERROR(__xludf.DUMMYFUNCTION("""COMPUTED_VALUE"""),"#NUM!")</f>
        <v>#NUM!</v>
      </c>
      <c r="W251" s="186">
        <f>IFERROR(__xludf.DUMMYFUNCTION("""COMPUTED_VALUE"""),45831.0)</f>
        <v>45831</v>
      </c>
      <c r="X251" s="187">
        <f>IFERROR(__xludf.DUMMYFUNCTION("""COMPUTED_VALUE"""),45745.0)</f>
        <v>45745</v>
      </c>
      <c r="Y251" s="182" t="b">
        <f>IFERROR(__xludf.DUMMYFUNCTION("""COMPUTED_VALUE"""),TRUE)</f>
        <v>1</v>
      </c>
      <c r="Z251" s="187">
        <f>IFERROR(__xludf.DUMMYFUNCTION("""COMPUTED_VALUE"""),45746.0)</f>
        <v>45746</v>
      </c>
      <c r="AA251" s="182" t="b">
        <f>IFERROR(__xludf.DUMMYFUNCTION("""COMPUTED_VALUE"""),FALSE)</f>
        <v>0</v>
      </c>
      <c r="AB251" s="187">
        <f>IFERROR(__xludf.DUMMYFUNCTION("""COMPUTED_VALUE"""),45752.0)</f>
        <v>45752</v>
      </c>
      <c r="AC251" s="187">
        <f>IFERROR(__xludf.DUMMYFUNCTION("""COMPUTED_VALUE"""),45752.0)</f>
        <v>45752</v>
      </c>
      <c r="AD251" s="187">
        <f>IFERROR(__xludf.DUMMYFUNCTION("""COMPUTED_VALUE"""),45758.0)</f>
        <v>45758</v>
      </c>
      <c r="AE251" s="182" t="str">
        <f>IFERROR(__xludf.DUMMYFUNCTION("""COMPUTED_VALUE"""),"IQGA09905-US
IQGA09905-US RevA")</f>
        <v>IQGA09905-US
IQGA09905-US RevA</v>
      </c>
      <c r="AF251" s="188" t="str">
        <f>IFERROR(__xludf.DUMMYFUNCTION("""COMPUTED_VALUE"""),"IQGA09905-US")</f>
        <v>IQGA09905-US</v>
      </c>
      <c r="AG251" s="182" t="str">
        <f>IFERROR(__xludf.DUMMYFUNCTION("""COMPUTED_VALUE"""),"IQGA09905-US
IQGA09905-US RevA")</f>
        <v>IQGA09905-US
IQGA09905-US RevA</v>
      </c>
      <c r="AH251" s="188" t="str">
        <f>IFERROR(__xludf.DUMMYFUNCTION("""COMPUTED_VALUE"""),"IQGA09905-US")</f>
        <v>IQGA09905-US</v>
      </c>
      <c r="AI251" s="187">
        <f>IFERROR(__xludf.DUMMYFUNCTION("""COMPUTED_VALUE"""),45780.0)</f>
        <v>45780</v>
      </c>
      <c r="AJ251" s="182" t="b">
        <f>IFERROR(__xludf.DUMMYFUNCTION("""COMPUTED_VALUE"""),TRUE)</f>
        <v>1</v>
      </c>
      <c r="AK251" s="182" t="b">
        <f>IFERROR(__xludf.DUMMYFUNCTION("""COMPUTED_VALUE"""),TRUE)</f>
        <v>1</v>
      </c>
      <c r="AL251" s="187">
        <f>IFERROR(__xludf.DUMMYFUNCTION("""COMPUTED_VALUE"""),45780.0)</f>
        <v>45780</v>
      </c>
      <c r="AM251" s="182" t="b">
        <f>IFERROR(__xludf.DUMMYFUNCTION("""COMPUTED_VALUE"""),TRUE)</f>
        <v>1</v>
      </c>
      <c r="AN251" s="182" t="str">
        <f>IFERROR(__xludf.DUMMYFUNCTION("""COMPUTED_VALUE"""),"N")</f>
        <v>N</v>
      </c>
      <c r="AO251" s="182"/>
      <c r="AP251" s="187">
        <f>IFERROR(__xludf.DUMMYFUNCTION("""COMPUTED_VALUE"""),45780.0)</f>
        <v>45780</v>
      </c>
      <c r="AQ251" s="182" t="b">
        <f>IFERROR(__xludf.DUMMYFUNCTION("""COMPUTED_VALUE"""),FALSE)</f>
        <v>0</v>
      </c>
      <c r="AR251" s="182" t="str">
        <f>IFERROR(__xludf.DUMMYFUNCTION("""COMPUTED_VALUE"""),"N")</f>
        <v>N</v>
      </c>
      <c r="AS251" s="182"/>
      <c r="AT251" s="187">
        <f>IFERROR(__xludf.DUMMYFUNCTION("""COMPUTED_VALUE"""),45780.0)</f>
        <v>45780</v>
      </c>
      <c r="AU251" s="182"/>
      <c r="AV251" s="182"/>
      <c r="AW251" s="187">
        <f>IFERROR(__xludf.DUMMYFUNCTION("""COMPUTED_VALUE"""),45827.0)</f>
        <v>45827</v>
      </c>
      <c r="AX251" s="187">
        <f>IFERROR(__xludf.DUMMYFUNCTION("""COMPUTED_VALUE"""),45827.0)</f>
        <v>45827</v>
      </c>
      <c r="AY251" s="182" t="b">
        <f>IFERROR(__xludf.DUMMYFUNCTION("""COMPUTED_VALUE"""),FALSE)</f>
        <v>0</v>
      </c>
      <c r="AZ251" s="182"/>
      <c r="BA251" s="182"/>
      <c r="BB251" s="182"/>
    </row>
    <row r="252">
      <c r="A252" s="184" t="str">
        <f t="shared" si="1"/>
        <v>G990-08499-23-A</v>
      </c>
      <c r="B252" s="69" t="str">
        <f t="shared" si="3"/>
        <v>G990-08505-11-A</v>
      </c>
      <c r="C252" s="182" t="str">
        <f>IFERROR(__xludf.DUMMYFUNCTION("""COMPUTED_VALUE"""),"VZW")</f>
        <v>VZW</v>
      </c>
      <c r="D252" s="182" t="str">
        <f>IFERROR(__xludf.DUMMYFUNCTION("""COMPUTED_VALUE"""),"MP")</f>
        <v>MP</v>
      </c>
      <c r="E252" s="182" t="str">
        <f>IFERROR(__xludf.DUMMYFUNCTION("""COMPUTED_VALUE"""),"IQ")</f>
        <v>IQ</v>
      </c>
      <c r="F252" s="182" t="str">
        <f>IFERROR(__xludf.DUMMYFUNCTION("""COMPUTED_VALUE"""),"IQGA10280-US")</f>
        <v>IQGA10280-US</v>
      </c>
      <c r="G252" s="182" t="str">
        <f>IFERROR(__xludf.DUMMYFUNCTION("""COMPUTED_VALUE"""),"G4QUR")</f>
        <v>G4QUR</v>
      </c>
      <c r="H252" s="182">
        <f>IFERROR(__xludf.DUMMYFUNCTION("""COMPUTED_VALUE"""),8.40353936669E11)</f>
        <v>840353936669</v>
      </c>
      <c r="I252" s="185" t="str">
        <f>IFERROR(__xludf.DUMMYFUNCTION("""COMPUTED_VALUE"""),"0840353936669")</f>
        <v>0840353936669</v>
      </c>
      <c r="J252" s="182"/>
      <c r="K252" s="182" t="str">
        <f>IFERROR(__xludf.DUMMYFUNCTION("""COMPUTED_VALUE"""),"VZN Master Carton Label")</f>
        <v>VZN Master Carton Label</v>
      </c>
      <c r="L252" s="182" t="str">
        <f>IFERROR(__xludf.DUMMYFUNCTION("""COMPUTED_VALUE"""),"VZN Pallet Label -&gt; BTS(Normal case)")</f>
        <v>VZN Pallet Label -&gt; BTS(Normal case)</v>
      </c>
      <c r="M252" s="182" t="str">
        <f>IFERROR(__xludf.DUMMYFUNCTION("""COMPUTED_VALUE"""),"G990-08499-23-02
G990-08499-23-A")</f>
        <v>G990-08499-23-02
G990-08499-23-A</v>
      </c>
      <c r="N252" s="182" t="str">
        <f>IFERROR(__xludf.DUMMYFUNCTION("""COMPUTED_VALUE"""),"G990-08505-11-01
G990-08505-11-A")</f>
        <v>G990-08505-11-01
G990-08505-11-A</v>
      </c>
      <c r="O252" s="182" t="str">
        <f>IFERROR(__xludf.DUMMYFUNCTION("""COMPUTED_VALUE"""),"BOB→A
Retail→A")</f>
        <v>BOB→A
Retail→A</v>
      </c>
      <c r="P252" s="182" t="str">
        <f>IFERROR(__xludf.DUMMYFUNCTION("""COMPUTED_VALUE"""),"512GB")</f>
        <v>512GB</v>
      </c>
      <c r="Q252" s="182" t="str">
        <f>IFERROR(__xludf.DUMMYFUNCTION("""COMPUTED_VALUE"""),"Porcelain")</f>
        <v>Porcelain</v>
      </c>
      <c r="R252" s="182" t="str">
        <f>IFERROR(__xludf.DUMMYFUNCTION("""COMPUTED_VALUE"""),"Light Porcelain")</f>
        <v>Light Porcelain</v>
      </c>
      <c r="S252" s="182" t="str">
        <f>IFERROR(__xludf.DUMMYFUNCTION("""COMPUTED_VALUE"""),"US-VZW")</f>
        <v>US-VZW</v>
      </c>
      <c r="T252" s="182" t="str">
        <f>IFERROR(__xludf.DUMMYFUNCTION("""COMPUTED_VALUE"""),"SKU,CLR2, BEST, MMWAVE, VZW, IQ, US, BZ5")</f>
        <v>SKU,CLR2, BEST, MMWAVE, VZW, IQ, US, BZ5</v>
      </c>
      <c r="U252" s="182"/>
      <c r="V252" s="183" t="str">
        <f>IFERROR(__xludf.DUMMYFUNCTION("""COMPUTED_VALUE"""),"#NUM!")</f>
        <v>#NUM!</v>
      </c>
      <c r="W252" s="186">
        <f>IFERROR(__xludf.DUMMYFUNCTION("""COMPUTED_VALUE"""),45831.0)</f>
        <v>45831</v>
      </c>
      <c r="X252" s="187">
        <f>IFERROR(__xludf.DUMMYFUNCTION("""COMPUTED_VALUE"""),45745.0)</f>
        <v>45745</v>
      </c>
      <c r="Y252" s="182" t="b">
        <f>IFERROR(__xludf.DUMMYFUNCTION("""COMPUTED_VALUE"""),TRUE)</f>
        <v>1</v>
      </c>
      <c r="Z252" s="187">
        <f>IFERROR(__xludf.DUMMYFUNCTION("""COMPUTED_VALUE"""),45746.0)</f>
        <v>45746</v>
      </c>
      <c r="AA252" s="182" t="b">
        <f>IFERROR(__xludf.DUMMYFUNCTION("""COMPUTED_VALUE"""),FALSE)</f>
        <v>0</v>
      </c>
      <c r="AB252" s="187">
        <f>IFERROR(__xludf.DUMMYFUNCTION("""COMPUTED_VALUE"""),45752.0)</f>
        <v>45752</v>
      </c>
      <c r="AC252" s="187">
        <f>IFERROR(__xludf.DUMMYFUNCTION("""COMPUTED_VALUE"""),45752.0)</f>
        <v>45752</v>
      </c>
      <c r="AD252" s="187">
        <f>IFERROR(__xludf.DUMMYFUNCTION("""COMPUTED_VALUE"""),45758.0)</f>
        <v>45758</v>
      </c>
      <c r="AE252" s="182" t="str">
        <f>IFERROR(__xludf.DUMMYFUNCTION("""COMPUTED_VALUE"""),"IQGA10280-US
IQGA10280-US RevA")</f>
        <v>IQGA10280-US
IQGA10280-US RevA</v>
      </c>
      <c r="AF252" s="188" t="str">
        <f>IFERROR(__xludf.DUMMYFUNCTION("""COMPUTED_VALUE"""),"IQGA10280-US")</f>
        <v>IQGA10280-US</v>
      </c>
      <c r="AG252" s="182" t="str">
        <f>IFERROR(__xludf.DUMMYFUNCTION("""COMPUTED_VALUE"""),"IQGA10280-US
IQGA10280-US RevA")</f>
        <v>IQGA10280-US
IQGA10280-US RevA</v>
      </c>
      <c r="AH252" s="188" t="str">
        <f>IFERROR(__xludf.DUMMYFUNCTION("""COMPUTED_VALUE"""),"IQGA10280-US")</f>
        <v>IQGA10280-US</v>
      </c>
      <c r="AI252" s="187">
        <f>IFERROR(__xludf.DUMMYFUNCTION("""COMPUTED_VALUE"""),45780.0)</f>
        <v>45780</v>
      </c>
      <c r="AJ252" s="182" t="b">
        <f>IFERROR(__xludf.DUMMYFUNCTION("""COMPUTED_VALUE"""),TRUE)</f>
        <v>1</v>
      </c>
      <c r="AK252" s="182" t="b">
        <f>IFERROR(__xludf.DUMMYFUNCTION("""COMPUTED_VALUE"""),TRUE)</f>
        <v>1</v>
      </c>
      <c r="AL252" s="187">
        <f>IFERROR(__xludf.DUMMYFUNCTION("""COMPUTED_VALUE"""),45780.0)</f>
        <v>45780</v>
      </c>
      <c r="AM252" s="182" t="b">
        <f>IFERROR(__xludf.DUMMYFUNCTION("""COMPUTED_VALUE"""),TRUE)</f>
        <v>1</v>
      </c>
      <c r="AN252" s="182" t="str">
        <f>IFERROR(__xludf.DUMMYFUNCTION("""COMPUTED_VALUE"""),"N")</f>
        <v>N</v>
      </c>
      <c r="AO252" s="182"/>
      <c r="AP252" s="187">
        <f>IFERROR(__xludf.DUMMYFUNCTION("""COMPUTED_VALUE"""),45780.0)</f>
        <v>45780</v>
      </c>
      <c r="AQ252" s="182" t="b">
        <f>IFERROR(__xludf.DUMMYFUNCTION("""COMPUTED_VALUE"""),FALSE)</f>
        <v>0</v>
      </c>
      <c r="AR252" s="182" t="str">
        <f>IFERROR(__xludf.DUMMYFUNCTION("""COMPUTED_VALUE"""),"N")</f>
        <v>N</v>
      </c>
      <c r="AS252" s="182"/>
      <c r="AT252" s="187">
        <f>IFERROR(__xludf.DUMMYFUNCTION("""COMPUTED_VALUE"""),45780.0)</f>
        <v>45780</v>
      </c>
      <c r="AU252" s="182"/>
      <c r="AV252" s="182"/>
      <c r="AW252" s="187">
        <f>IFERROR(__xludf.DUMMYFUNCTION("""COMPUTED_VALUE"""),45827.0)</f>
        <v>45827</v>
      </c>
      <c r="AX252" s="187">
        <f>IFERROR(__xludf.DUMMYFUNCTION("""COMPUTED_VALUE"""),45827.0)</f>
        <v>45827</v>
      </c>
      <c r="AY252" s="182" t="b">
        <f>IFERROR(__xludf.DUMMYFUNCTION("""COMPUTED_VALUE"""),FALSE)</f>
        <v>0</v>
      </c>
      <c r="AZ252" s="182"/>
      <c r="BA252" s="182"/>
      <c r="BB252" s="182"/>
    </row>
    <row r="253">
      <c r="A253" s="184" t="str">
        <f t="shared" si="1"/>
        <v>G990-08499-33-A</v>
      </c>
      <c r="B253" s="69" t="str">
        <f t="shared" si="3"/>
        <v>G990-08505-11-A</v>
      </c>
      <c r="C253" s="182" t="str">
        <f>IFERROR(__xludf.DUMMYFUNCTION("""COMPUTED_VALUE"""),"VZW")</f>
        <v>VZW</v>
      </c>
      <c r="D253" s="182" t="str">
        <f>IFERROR(__xludf.DUMMYFUNCTION("""COMPUTED_VALUE"""),"MP")</f>
        <v>MP</v>
      </c>
      <c r="E253" s="182" t="str">
        <f>IFERROR(__xludf.DUMMYFUNCTION("""COMPUTED_VALUE"""),"IQ")</f>
        <v>IQ</v>
      </c>
      <c r="F253" s="182" t="str">
        <f>IFERROR(__xludf.DUMMYFUNCTION("""COMPUTED_VALUE"""),"IQGA10281-US")</f>
        <v>IQGA10281-US</v>
      </c>
      <c r="G253" s="182" t="str">
        <f>IFERROR(__xludf.DUMMYFUNCTION("""COMPUTED_VALUE"""),"G4QUR")</f>
        <v>G4QUR</v>
      </c>
      <c r="H253" s="182">
        <f>IFERROR(__xludf.DUMMYFUNCTION("""COMPUTED_VALUE"""),8.40353936676E11)</f>
        <v>840353936676</v>
      </c>
      <c r="I253" s="185" t="str">
        <f>IFERROR(__xludf.DUMMYFUNCTION("""COMPUTED_VALUE"""),"0840353936676")</f>
        <v>0840353936676</v>
      </c>
      <c r="J253" s="182"/>
      <c r="K253" s="182" t="str">
        <f>IFERROR(__xludf.DUMMYFUNCTION("""COMPUTED_VALUE"""),"VZN Master Carton Label")</f>
        <v>VZN Master Carton Label</v>
      </c>
      <c r="L253" s="182" t="str">
        <f>IFERROR(__xludf.DUMMYFUNCTION("""COMPUTED_VALUE"""),"VZN Pallet Label -&gt; BTS(Normal case)")</f>
        <v>VZN Pallet Label -&gt; BTS(Normal case)</v>
      </c>
      <c r="M253" s="182" t="str">
        <f>IFERROR(__xludf.DUMMYFUNCTION("""COMPUTED_VALUE"""),"G990-08499-33-02
G990-08499-33-A")</f>
        <v>G990-08499-33-02
G990-08499-33-A</v>
      </c>
      <c r="N253" s="182" t="str">
        <f>IFERROR(__xludf.DUMMYFUNCTION("""COMPUTED_VALUE"""),"G990-08505-11-01
G990-08505-11-A")</f>
        <v>G990-08505-11-01
G990-08505-11-A</v>
      </c>
      <c r="O253" s="182" t="str">
        <f>IFERROR(__xludf.DUMMYFUNCTION("""COMPUTED_VALUE"""),"BOB→A
Retail→A")</f>
        <v>BOB→A
Retail→A</v>
      </c>
      <c r="P253" s="182" t="str">
        <f>IFERROR(__xludf.DUMMYFUNCTION("""COMPUTED_VALUE"""),"512GB")</f>
        <v>512GB</v>
      </c>
      <c r="Q253" s="182" t="str">
        <f>IFERROR(__xludf.DUMMYFUNCTION("""COMPUTED_VALUE"""),"Moonstone")</f>
        <v>Moonstone</v>
      </c>
      <c r="R253" s="182" t="str">
        <f>IFERROR(__xludf.DUMMYFUNCTION("""COMPUTED_VALUE"""),"Sterling")</f>
        <v>Sterling</v>
      </c>
      <c r="S253" s="182" t="str">
        <f>IFERROR(__xludf.DUMMYFUNCTION("""COMPUTED_VALUE"""),"US-VZW")</f>
        <v>US-VZW</v>
      </c>
      <c r="T253" s="182" t="str">
        <f>IFERROR(__xludf.DUMMYFUNCTION("""COMPUTED_VALUE"""),"SKU,CLR3, BEST, MMWAVE, VZW, IQ, US, BZ5")</f>
        <v>SKU,CLR3, BEST, MMWAVE, VZW, IQ, US, BZ5</v>
      </c>
      <c r="U253" s="182"/>
      <c r="V253" s="183" t="str">
        <f>IFERROR(__xludf.DUMMYFUNCTION("""COMPUTED_VALUE"""),"#NUM!")</f>
        <v>#NUM!</v>
      </c>
      <c r="W253" s="186">
        <f>IFERROR(__xludf.DUMMYFUNCTION("""COMPUTED_VALUE"""),45831.0)</f>
        <v>45831</v>
      </c>
      <c r="X253" s="187">
        <f>IFERROR(__xludf.DUMMYFUNCTION("""COMPUTED_VALUE"""),45745.0)</f>
        <v>45745</v>
      </c>
      <c r="Y253" s="182" t="b">
        <f>IFERROR(__xludf.DUMMYFUNCTION("""COMPUTED_VALUE"""),TRUE)</f>
        <v>1</v>
      </c>
      <c r="Z253" s="187">
        <f>IFERROR(__xludf.DUMMYFUNCTION("""COMPUTED_VALUE"""),45746.0)</f>
        <v>45746</v>
      </c>
      <c r="AA253" s="182" t="b">
        <f>IFERROR(__xludf.DUMMYFUNCTION("""COMPUTED_VALUE"""),FALSE)</f>
        <v>0</v>
      </c>
      <c r="AB253" s="187">
        <f>IFERROR(__xludf.DUMMYFUNCTION("""COMPUTED_VALUE"""),45752.0)</f>
        <v>45752</v>
      </c>
      <c r="AC253" s="187">
        <f>IFERROR(__xludf.DUMMYFUNCTION("""COMPUTED_VALUE"""),45752.0)</f>
        <v>45752</v>
      </c>
      <c r="AD253" s="187">
        <f>IFERROR(__xludf.DUMMYFUNCTION("""COMPUTED_VALUE"""),45758.0)</f>
        <v>45758</v>
      </c>
      <c r="AE253" s="182" t="str">
        <f>IFERROR(__xludf.DUMMYFUNCTION("""COMPUTED_VALUE"""),"IQGA10281-US
IQGA10281-US RevA")</f>
        <v>IQGA10281-US
IQGA10281-US RevA</v>
      </c>
      <c r="AF253" s="188" t="str">
        <f>IFERROR(__xludf.DUMMYFUNCTION("""COMPUTED_VALUE"""),"IQGA10281-US")</f>
        <v>IQGA10281-US</v>
      </c>
      <c r="AG253" s="182" t="str">
        <f>IFERROR(__xludf.DUMMYFUNCTION("""COMPUTED_VALUE"""),"IQGA10281-US
IQGA10281-US RevA")</f>
        <v>IQGA10281-US
IQGA10281-US RevA</v>
      </c>
      <c r="AH253" s="188" t="str">
        <f>IFERROR(__xludf.DUMMYFUNCTION("""COMPUTED_VALUE"""),"IQGA10281-US")</f>
        <v>IQGA10281-US</v>
      </c>
      <c r="AI253" s="187">
        <f>IFERROR(__xludf.DUMMYFUNCTION("""COMPUTED_VALUE"""),45780.0)</f>
        <v>45780</v>
      </c>
      <c r="AJ253" s="182" t="b">
        <f>IFERROR(__xludf.DUMMYFUNCTION("""COMPUTED_VALUE"""),TRUE)</f>
        <v>1</v>
      </c>
      <c r="AK253" s="182" t="b">
        <f>IFERROR(__xludf.DUMMYFUNCTION("""COMPUTED_VALUE"""),TRUE)</f>
        <v>1</v>
      </c>
      <c r="AL253" s="187">
        <f>IFERROR(__xludf.DUMMYFUNCTION("""COMPUTED_VALUE"""),45780.0)</f>
        <v>45780</v>
      </c>
      <c r="AM253" s="182" t="b">
        <f>IFERROR(__xludf.DUMMYFUNCTION("""COMPUTED_VALUE"""),TRUE)</f>
        <v>1</v>
      </c>
      <c r="AN253" s="182" t="str">
        <f>IFERROR(__xludf.DUMMYFUNCTION("""COMPUTED_VALUE"""),"N")</f>
        <v>N</v>
      </c>
      <c r="AO253" s="182"/>
      <c r="AP253" s="187">
        <f>IFERROR(__xludf.DUMMYFUNCTION("""COMPUTED_VALUE"""),45780.0)</f>
        <v>45780</v>
      </c>
      <c r="AQ253" s="182" t="b">
        <f>IFERROR(__xludf.DUMMYFUNCTION("""COMPUTED_VALUE"""),FALSE)</f>
        <v>0</v>
      </c>
      <c r="AR253" s="182" t="str">
        <f>IFERROR(__xludf.DUMMYFUNCTION("""COMPUTED_VALUE"""),"N")</f>
        <v>N</v>
      </c>
      <c r="AS253" s="182"/>
      <c r="AT253" s="187">
        <f>IFERROR(__xludf.DUMMYFUNCTION("""COMPUTED_VALUE"""),45780.0)</f>
        <v>45780</v>
      </c>
      <c r="AU253" s="182"/>
      <c r="AV253" s="182"/>
      <c r="AW253" s="187">
        <f>IFERROR(__xludf.DUMMYFUNCTION("""COMPUTED_VALUE"""),45827.0)</f>
        <v>45827</v>
      </c>
      <c r="AX253" s="187">
        <f>IFERROR(__xludf.DUMMYFUNCTION("""COMPUTED_VALUE"""),45827.0)</f>
        <v>45827</v>
      </c>
      <c r="AY253" s="182" t="b">
        <f>IFERROR(__xludf.DUMMYFUNCTION("""COMPUTED_VALUE"""),FALSE)</f>
        <v>0</v>
      </c>
      <c r="AZ253" s="182"/>
      <c r="BA253" s="182"/>
      <c r="BB253" s="182"/>
    </row>
    <row r="254">
      <c r="A254" s="184" t="str">
        <f t="shared" si="1"/>
        <v>G990-08499-43-A</v>
      </c>
      <c r="B254" s="69" t="str">
        <f t="shared" si="3"/>
        <v>G990-08505-11-A</v>
      </c>
      <c r="C254" s="182" t="str">
        <f>IFERROR(__xludf.DUMMYFUNCTION("""COMPUTED_VALUE"""),"VZW")</f>
        <v>VZW</v>
      </c>
      <c r="D254" s="182" t="str">
        <f>IFERROR(__xludf.DUMMYFUNCTION("""COMPUTED_VALUE"""),"MP")</f>
        <v>MP</v>
      </c>
      <c r="E254" s="182" t="str">
        <f>IFERROR(__xludf.DUMMYFUNCTION("""COMPUTED_VALUE"""),"IQ")</f>
        <v>IQ</v>
      </c>
      <c r="F254" s="182" t="str">
        <f>IFERROR(__xludf.DUMMYFUNCTION("""COMPUTED_VALUE"""),"IQGA10282-US")</f>
        <v>IQGA10282-US</v>
      </c>
      <c r="G254" s="182" t="str">
        <f>IFERROR(__xludf.DUMMYFUNCTION("""COMPUTED_VALUE"""),"G4QUR")</f>
        <v>G4QUR</v>
      </c>
      <c r="H254" s="182">
        <f>IFERROR(__xludf.DUMMYFUNCTION("""COMPUTED_VALUE"""),8.40353936683E11)</f>
        <v>840353936683</v>
      </c>
      <c r="I254" s="185" t="str">
        <f>IFERROR(__xludf.DUMMYFUNCTION("""COMPUTED_VALUE"""),"0840353936683")</f>
        <v>0840353936683</v>
      </c>
      <c r="J254" s="182"/>
      <c r="K254" s="182" t="str">
        <f>IFERROR(__xludf.DUMMYFUNCTION("""COMPUTED_VALUE"""),"VZN Master Carton Label")</f>
        <v>VZN Master Carton Label</v>
      </c>
      <c r="L254" s="182" t="str">
        <f>IFERROR(__xludf.DUMMYFUNCTION("""COMPUTED_VALUE"""),"VZN Pallet Label -&gt; BTS(Normal case)")</f>
        <v>VZN Pallet Label -&gt; BTS(Normal case)</v>
      </c>
      <c r="M254" s="182" t="str">
        <f>IFERROR(__xludf.DUMMYFUNCTION("""COMPUTED_VALUE"""),"G990-08499-43-02
G990-08499-43-A")</f>
        <v>G990-08499-43-02
G990-08499-43-A</v>
      </c>
      <c r="N254" s="182" t="str">
        <f>IFERROR(__xludf.DUMMYFUNCTION("""COMPUTED_VALUE"""),"G990-08505-11-01
G990-08505-11-A")</f>
        <v>G990-08505-11-01
G990-08505-11-A</v>
      </c>
      <c r="O254" s="182" t="str">
        <f>IFERROR(__xludf.DUMMYFUNCTION("""COMPUTED_VALUE"""),"BOB→A
Retail→A")</f>
        <v>BOB→A
Retail→A</v>
      </c>
      <c r="P254" s="182" t="str">
        <f>IFERROR(__xludf.DUMMYFUNCTION("""COMPUTED_VALUE"""),"512GB")</f>
        <v>512GB</v>
      </c>
      <c r="Q254" s="182" t="str">
        <f>IFERROR(__xludf.DUMMYFUNCTION("""COMPUTED_VALUE"""),"Jade")</f>
        <v>Jade</v>
      </c>
      <c r="R254" s="182" t="str">
        <f>IFERROR(__xludf.DUMMYFUNCTION("""COMPUTED_VALUE"""),"Smokey Green")</f>
        <v>Smokey Green</v>
      </c>
      <c r="S254" s="182" t="str">
        <f>IFERROR(__xludf.DUMMYFUNCTION("""COMPUTED_VALUE"""),"US-VZW")</f>
        <v>US-VZW</v>
      </c>
      <c r="T254" s="182" t="str">
        <f>IFERROR(__xludf.DUMMYFUNCTION("""COMPUTED_VALUE"""),"SKU,CLR4, BEST, MMWAVE, VZW, IQ, US, BZ5")</f>
        <v>SKU,CLR4, BEST, MMWAVE, VZW, IQ, US, BZ5</v>
      </c>
      <c r="U254" s="182"/>
      <c r="V254" s="183" t="str">
        <f>IFERROR(__xludf.DUMMYFUNCTION("""COMPUTED_VALUE"""),"#NUM!")</f>
        <v>#NUM!</v>
      </c>
      <c r="W254" s="186">
        <f>IFERROR(__xludf.DUMMYFUNCTION("""COMPUTED_VALUE"""),45831.0)</f>
        <v>45831</v>
      </c>
      <c r="X254" s="187">
        <f>IFERROR(__xludf.DUMMYFUNCTION("""COMPUTED_VALUE"""),45745.0)</f>
        <v>45745</v>
      </c>
      <c r="Y254" s="182" t="b">
        <f>IFERROR(__xludf.DUMMYFUNCTION("""COMPUTED_VALUE"""),TRUE)</f>
        <v>1</v>
      </c>
      <c r="Z254" s="187">
        <f>IFERROR(__xludf.DUMMYFUNCTION("""COMPUTED_VALUE"""),45746.0)</f>
        <v>45746</v>
      </c>
      <c r="AA254" s="182" t="b">
        <f>IFERROR(__xludf.DUMMYFUNCTION("""COMPUTED_VALUE"""),FALSE)</f>
        <v>0</v>
      </c>
      <c r="AB254" s="187">
        <f>IFERROR(__xludf.DUMMYFUNCTION("""COMPUTED_VALUE"""),45752.0)</f>
        <v>45752</v>
      </c>
      <c r="AC254" s="187">
        <f>IFERROR(__xludf.DUMMYFUNCTION("""COMPUTED_VALUE"""),45752.0)</f>
        <v>45752</v>
      </c>
      <c r="AD254" s="187">
        <f>IFERROR(__xludf.DUMMYFUNCTION("""COMPUTED_VALUE"""),45758.0)</f>
        <v>45758</v>
      </c>
      <c r="AE254" s="182" t="str">
        <f>IFERROR(__xludf.DUMMYFUNCTION("""COMPUTED_VALUE"""),"IQGA10282-US
IQGA10282-US RevA")</f>
        <v>IQGA10282-US
IQGA10282-US RevA</v>
      </c>
      <c r="AF254" s="188" t="str">
        <f>IFERROR(__xludf.DUMMYFUNCTION("""COMPUTED_VALUE"""),"IQGA10282-US")</f>
        <v>IQGA10282-US</v>
      </c>
      <c r="AG254" s="182" t="str">
        <f>IFERROR(__xludf.DUMMYFUNCTION("""COMPUTED_VALUE"""),"IQGA10282-US
IQGA10282-US RevA")</f>
        <v>IQGA10282-US
IQGA10282-US RevA</v>
      </c>
      <c r="AH254" s="188" t="str">
        <f>IFERROR(__xludf.DUMMYFUNCTION("""COMPUTED_VALUE"""),"IQGA10282-US")</f>
        <v>IQGA10282-US</v>
      </c>
      <c r="AI254" s="187">
        <f>IFERROR(__xludf.DUMMYFUNCTION("""COMPUTED_VALUE"""),45780.0)</f>
        <v>45780</v>
      </c>
      <c r="AJ254" s="182" t="b">
        <f>IFERROR(__xludf.DUMMYFUNCTION("""COMPUTED_VALUE"""),TRUE)</f>
        <v>1</v>
      </c>
      <c r="AK254" s="182" t="b">
        <f>IFERROR(__xludf.DUMMYFUNCTION("""COMPUTED_VALUE"""),TRUE)</f>
        <v>1</v>
      </c>
      <c r="AL254" s="187">
        <f>IFERROR(__xludf.DUMMYFUNCTION("""COMPUTED_VALUE"""),45780.0)</f>
        <v>45780</v>
      </c>
      <c r="AM254" s="182" t="b">
        <f>IFERROR(__xludf.DUMMYFUNCTION("""COMPUTED_VALUE"""),TRUE)</f>
        <v>1</v>
      </c>
      <c r="AN254" s="182" t="str">
        <f>IFERROR(__xludf.DUMMYFUNCTION("""COMPUTED_VALUE"""),"N")</f>
        <v>N</v>
      </c>
      <c r="AO254" s="182"/>
      <c r="AP254" s="187">
        <f>IFERROR(__xludf.DUMMYFUNCTION("""COMPUTED_VALUE"""),45780.0)</f>
        <v>45780</v>
      </c>
      <c r="AQ254" s="182" t="b">
        <f>IFERROR(__xludf.DUMMYFUNCTION("""COMPUTED_VALUE"""),FALSE)</f>
        <v>0</v>
      </c>
      <c r="AR254" s="182" t="str">
        <f>IFERROR(__xludf.DUMMYFUNCTION("""COMPUTED_VALUE"""),"N")</f>
        <v>N</v>
      </c>
      <c r="AS254" s="182"/>
      <c r="AT254" s="187">
        <f>IFERROR(__xludf.DUMMYFUNCTION("""COMPUTED_VALUE"""),45780.0)</f>
        <v>45780</v>
      </c>
      <c r="AU254" s="182"/>
      <c r="AV254" s="182"/>
      <c r="AW254" s="187">
        <f>IFERROR(__xludf.DUMMYFUNCTION("""COMPUTED_VALUE"""),45827.0)</f>
        <v>45827</v>
      </c>
      <c r="AX254" s="187">
        <f>IFERROR(__xludf.DUMMYFUNCTION("""COMPUTED_VALUE"""),45827.0)</f>
        <v>45827</v>
      </c>
      <c r="AY254" s="182" t="b">
        <f>IFERROR(__xludf.DUMMYFUNCTION("""COMPUTED_VALUE"""),FALSE)</f>
        <v>0</v>
      </c>
      <c r="AZ254" s="182"/>
      <c r="BA254" s="182"/>
      <c r="BB254" s="182"/>
    </row>
    <row r="255">
      <c r="A255" s="184" t="str">
        <f t="shared" si="1"/>
        <v>G990-08499-14-A</v>
      </c>
      <c r="B255" s="69" t="str">
        <f t="shared" si="3"/>
        <v>G990-08505-11-A</v>
      </c>
      <c r="C255" s="182" t="str">
        <f>IFERROR(__xludf.DUMMYFUNCTION("""COMPUTED_VALUE"""),"VZW")</f>
        <v>VZW</v>
      </c>
      <c r="D255" s="182" t="str">
        <f>IFERROR(__xludf.DUMMYFUNCTION("""COMPUTED_VALUE"""),"MP")</f>
        <v>MP</v>
      </c>
      <c r="E255" s="182" t="str">
        <f>IFERROR(__xludf.DUMMYFUNCTION("""COMPUTED_VALUE"""),"IQ")</f>
        <v>IQ</v>
      </c>
      <c r="F255" s="182" t="str">
        <f>IFERROR(__xludf.DUMMYFUNCTION("""COMPUTED_VALUE"""),"IQGA09930-US")</f>
        <v>IQGA09930-US</v>
      </c>
      <c r="G255" s="182" t="str">
        <f>IFERROR(__xludf.DUMMYFUNCTION("""COMPUTED_VALUE"""),"G4QUR")</f>
        <v>G4QUR</v>
      </c>
      <c r="H255" s="182">
        <f>IFERROR(__xludf.DUMMYFUNCTION("""COMPUTED_VALUE"""),8.4035393669E11)</f>
        <v>840353936690</v>
      </c>
      <c r="I255" s="185" t="str">
        <f>IFERROR(__xludf.DUMMYFUNCTION("""COMPUTED_VALUE"""),"0840353936690")</f>
        <v>0840353936690</v>
      </c>
      <c r="J255" s="182"/>
      <c r="K255" s="182" t="str">
        <f>IFERROR(__xludf.DUMMYFUNCTION("""COMPUTED_VALUE"""),"VZN Master Carton Label")</f>
        <v>VZN Master Carton Label</v>
      </c>
      <c r="L255" s="182" t="str">
        <f>IFERROR(__xludf.DUMMYFUNCTION("""COMPUTED_VALUE"""),"VZN Pallet Label -&gt; BTS(Normal case)")</f>
        <v>VZN Pallet Label -&gt; BTS(Normal case)</v>
      </c>
      <c r="M255" s="182" t="str">
        <f>IFERROR(__xludf.DUMMYFUNCTION("""COMPUTED_VALUE"""),"G990-08499-14-02
G990-08499-14-A")</f>
        <v>G990-08499-14-02
G990-08499-14-A</v>
      </c>
      <c r="N255" s="182" t="str">
        <f>IFERROR(__xludf.DUMMYFUNCTION("""COMPUTED_VALUE"""),"G990-08505-11-01
G990-08505-11-A")</f>
        <v>G990-08505-11-01
G990-08505-11-A</v>
      </c>
      <c r="O255" s="182" t="str">
        <f>IFERROR(__xludf.DUMMYFUNCTION("""COMPUTED_VALUE"""),"BOB→A
Retail→A")</f>
        <v>BOB→A
Retail→A</v>
      </c>
      <c r="P255" s="182" t="str">
        <f>IFERROR(__xludf.DUMMYFUNCTION("""COMPUTED_VALUE"""),"1TB")</f>
        <v>1TB</v>
      </c>
      <c r="Q255" s="182" t="str">
        <f>IFERROR(__xludf.DUMMYFUNCTION("""COMPUTED_VALUE"""),"Obsidian")</f>
        <v>Obsidian</v>
      </c>
      <c r="R255" s="182" t="str">
        <f>IFERROR(__xludf.DUMMYFUNCTION("""COMPUTED_VALUE"""),"Midnight")</f>
        <v>Midnight</v>
      </c>
      <c r="S255" s="182" t="str">
        <f>IFERROR(__xludf.DUMMYFUNCTION("""COMPUTED_VALUE"""),"US-VZW")</f>
        <v>US-VZW</v>
      </c>
      <c r="T255" s="182" t="str">
        <f>IFERROR(__xludf.DUMMYFUNCTION("""COMPUTED_VALUE"""),"SKU,CLR1, ULTRA, MMWAVE, VZW, IQ, US, BZ5")</f>
        <v>SKU,CLR1, ULTRA, MMWAVE, VZW, IQ, US, BZ5</v>
      </c>
      <c r="U255" s="182"/>
      <c r="V255" s="183" t="str">
        <f>IFERROR(__xludf.DUMMYFUNCTION("""COMPUTED_VALUE"""),"#NUM!")</f>
        <v>#NUM!</v>
      </c>
      <c r="W255" s="186">
        <f>IFERROR(__xludf.DUMMYFUNCTION("""COMPUTED_VALUE"""),45831.0)</f>
        <v>45831</v>
      </c>
      <c r="X255" s="187">
        <f>IFERROR(__xludf.DUMMYFUNCTION("""COMPUTED_VALUE"""),45745.0)</f>
        <v>45745</v>
      </c>
      <c r="Y255" s="182" t="b">
        <f>IFERROR(__xludf.DUMMYFUNCTION("""COMPUTED_VALUE"""),TRUE)</f>
        <v>1</v>
      </c>
      <c r="Z255" s="187">
        <f>IFERROR(__xludf.DUMMYFUNCTION("""COMPUTED_VALUE"""),45746.0)</f>
        <v>45746</v>
      </c>
      <c r="AA255" s="182" t="b">
        <f>IFERROR(__xludf.DUMMYFUNCTION("""COMPUTED_VALUE"""),FALSE)</f>
        <v>0</v>
      </c>
      <c r="AB255" s="187">
        <f>IFERROR(__xludf.DUMMYFUNCTION("""COMPUTED_VALUE"""),45752.0)</f>
        <v>45752</v>
      </c>
      <c r="AC255" s="187">
        <f>IFERROR(__xludf.DUMMYFUNCTION("""COMPUTED_VALUE"""),45752.0)</f>
        <v>45752</v>
      </c>
      <c r="AD255" s="187">
        <f>IFERROR(__xludf.DUMMYFUNCTION("""COMPUTED_VALUE"""),45758.0)</f>
        <v>45758</v>
      </c>
      <c r="AE255" s="182" t="str">
        <f>IFERROR(__xludf.DUMMYFUNCTION("""COMPUTED_VALUE"""),"IQGA09930-US
IQGA09930-US RevA")</f>
        <v>IQGA09930-US
IQGA09930-US RevA</v>
      </c>
      <c r="AF255" s="188" t="str">
        <f>IFERROR(__xludf.DUMMYFUNCTION("""COMPUTED_VALUE"""),"IQGA09930-US")</f>
        <v>IQGA09930-US</v>
      </c>
      <c r="AG255" s="182" t="str">
        <f>IFERROR(__xludf.DUMMYFUNCTION("""COMPUTED_VALUE"""),"IQGA09930-US
IQGA09930-US RevA")</f>
        <v>IQGA09930-US
IQGA09930-US RevA</v>
      </c>
      <c r="AH255" s="188" t="str">
        <f>IFERROR(__xludf.DUMMYFUNCTION("""COMPUTED_VALUE"""),"IQGA09930-US")</f>
        <v>IQGA09930-US</v>
      </c>
      <c r="AI255" s="187">
        <f>IFERROR(__xludf.DUMMYFUNCTION("""COMPUTED_VALUE"""),45780.0)</f>
        <v>45780</v>
      </c>
      <c r="AJ255" s="182" t="b">
        <f>IFERROR(__xludf.DUMMYFUNCTION("""COMPUTED_VALUE"""),TRUE)</f>
        <v>1</v>
      </c>
      <c r="AK255" s="182" t="b">
        <f>IFERROR(__xludf.DUMMYFUNCTION("""COMPUTED_VALUE"""),TRUE)</f>
        <v>1</v>
      </c>
      <c r="AL255" s="187">
        <f>IFERROR(__xludf.DUMMYFUNCTION("""COMPUTED_VALUE"""),45780.0)</f>
        <v>45780</v>
      </c>
      <c r="AM255" s="182" t="b">
        <f>IFERROR(__xludf.DUMMYFUNCTION("""COMPUTED_VALUE"""),TRUE)</f>
        <v>1</v>
      </c>
      <c r="AN255" s="182" t="str">
        <f>IFERROR(__xludf.DUMMYFUNCTION("""COMPUTED_VALUE"""),"N")</f>
        <v>N</v>
      </c>
      <c r="AO255" s="182"/>
      <c r="AP255" s="187">
        <f>IFERROR(__xludf.DUMMYFUNCTION("""COMPUTED_VALUE"""),45780.0)</f>
        <v>45780</v>
      </c>
      <c r="AQ255" s="182" t="b">
        <f>IFERROR(__xludf.DUMMYFUNCTION("""COMPUTED_VALUE"""),FALSE)</f>
        <v>0</v>
      </c>
      <c r="AR255" s="182" t="str">
        <f>IFERROR(__xludf.DUMMYFUNCTION("""COMPUTED_VALUE"""),"N")</f>
        <v>N</v>
      </c>
      <c r="AS255" s="182"/>
      <c r="AT255" s="187">
        <f>IFERROR(__xludf.DUMMYFUNCTION("""COMPUTED_VALUE"""),45780.0)</f>
        <v>45780</v>
      </c>
      <c r="AU255" s="182"/>
      <c r="AV255" s="182"/>
      <c r="AW255" s="187">
        <f>IFERROR(__xludf.DUMMYFUNCTION("""COMPUTED_VALUE"""),45827.0)</f>
        <v>45827</v>
      </c>
      <c r="AX255" s="187">
        <f>IFERROR(__xludf.DUMMYFUNCTION("""COMPUTED_VALUE"""),45827.0)</f>
        <v>45827</v>
      </c>
      <c r="AY255" s="182" t="b">
        <f>IFERROR(__xludf.DUMMYFUNCTION("""COMPUTED_VALUE"""),FALSE)</f>
        <v>0</v>
      </c>
      <c r="AZ255" s="182"/>
      <c r="BA255" s="182"/>
      <c r="BB255" s="182"/>
    </row>
    <row r="256">
      <c r="A256" s="184" t="str">
        <f t="shared" si="1"/>
        <v>G990-08499-34-A</v>
      </c>
      <c r="B256" s="191" t="str">
        <f t="shared" si="3"/>
        <v>G990-08505-11-A</v>
      </c>
      <c r="C256" s="182" t="str">
        <f>IFERROR(__xludf.DUMMYFUNCTION("""COMPUTED_VALUE"""),"VZW")</f>
        <v>VZW</v>
      </c>
      <c r="D256" s="182" t="str">
        <f>IFERROR(__xludf.DUMMYFUNCTION("""COMPUTED_VALUE"""),"MP")</f>
        <v>MP</v>
      </c>
      <c r="E256" s="182" t="str">
        <f>IFERROR(__xludf.DUMMYFUNCTION("""COMPUTED_VALUE"""),"IQ")</f>
        <v>IQ</v>
      </c>
      <c r="F256" s="182" t="str">
        <f>IFERROR(__xludf.DUMMYFUNCTION("""COMPUTED_VALUE"""),"IQGA10283-US")</f>
        <v>IQGA10283-US</v>
      </c>
      <c r="G256" s="182" t="str">
        <f>IFERROR(__xludf.DUMMYFUNCTION("""COMPUTED_VALUE"""),"G4QUR")</f>
        <v>G4QUR</v>
      </c>
      <c r="H256" s="182">
        <f>IFERROR(__xludf.DUMMYFUNCTION("""COMPUTED_VALUE"""),8.40353936706E11)</f>
        <v>840353936706</v>
      </c>
      <c r="I256" s="185" t="str">
        <f>IFERROR(__xludf.DUMMYFUNCTION("""COMPUTED_VALUE"""),"0840353936706")</f>
        <v>0840353936706</v>
      </c>
      <c r="J256" s="182"/>
      <c r="K256" s="182" t="str">
        <f>IFERROR(__xludf.DUMMYFUNCTION("""COMPUTED_VALUE"""),"VZN Master Carton Label")</f>
        <v>VZN Master Carton Label</v>
      </c>
      <c r="L256" s="182" t="str">
        <f>IFERROR(__xludf.DUMMYFUNCTION("""COMPUTED_VALUE"""),"VZN Pallet Label -&gt; BTS(Normal case)")</f>
        <v>VZN Pallet Label -&gt; BTS(Normal case)</v>
      </c>
      <c r="M256" s="182" t="str">
        <f>IFERROR(__xludf.DUMMYFUNCTION("""COMPUTED_VALUE"""),"G990-08499-34-02
G990-08499-34-A")</f>
        <v>G990-08499-34-02
G990-08499-34-A</v>
      </c>
      <c r="N256" s="182" t="str">
        <f>IFERROR(__xludf.DUMMYFUNCTION("""COMPUTED_VALUE"""),"G990-08505-11-01
G990-08505-11-A")</f>
        <v>G990-08505-11-01
G990-08505-11-A</v>
      </c>
      <c r="O256" s="182" t="str">
        <f>IFERROR(__xludf.DUMMYFUNCTION("""COMPUTED_VALUE"""),"BOB→A
Retail→A")</f>
        <v>BOB→A
Retail→A</v>
      </c>
      <c r="P256" s="182" t="str">
        <f>IFERROR(__xludf.DUMMYFUNCTION("""COMPUTED_VALUE"""),"1TB")</f>
        <v>1TB</v>
      </c>
      <c r="Q256" s="182" t="str">
        <f>IFERROR(__xludf.DUMMYFUNCTION("""COMPUTED_VALUE"""),"Moonstone")</f>
        <v>Moonstone</v>
      </c>
      <c r="R256" s="182" t="str">
        <f>IFERROR(__xludf.DUMMYFUNCTION("""COMPUTED_VALUE"""),"Sterling")</f>
        <v>Sterling</v>
      </c>
      <c r="S256" s="182" t="str">
        <f>IFERROR(__xludf.DUMMYFUNCTION("""COMPUTED_VALUE"""),"US-VZW")</f>
        <v>US-VZW</v>
      </c>
      <c r="T256" s="182" t="str">
        <f>IFERROR(__xludf.DUMMYFUNCTION("""COMPUTED_VALUE"""),"SKU,CLR3, ULTRA, MMWAVE, VZW, IQ, US, BZ5")</f>
        <v>SKU,CLR3, ULTRA, MMWAVE, VZW, IQ, US, BZ5</v>
      </c>
      <c r="U256" s="182"/>
      <c r="V256" s="183" t="str">
        <f>IFERROR(__xludf.DUMMYFUNCTION("""COMPUTED_VALUE"""),"#NUM!")</f>
        <v>#NUM!</v>
      </c>
      <c r="W256" s="186">
        <f>IFERROR(__xludf.DUMMYFUNCTION("""COMPUTED_VALUE"""),45831.0)</f>
        <v>45831</v>
      </c>
      <c r="X256" s="187">
        <f>IFERROR(__xludf.DUMMYFUNCTION("""COMPUTED_VALUE"""),45745.0)</f>
        <v>45745</v>
      </c>
      <c r="Y256" s="182" t="b">
        <f>IFERROR(__xludf.DUMMYFUNCTION("""COMPUTED_VALUE"""),TRUE)</f>
        <v>1</v>
      </c>
      <c r="Z256" s="187">
        <f>IFERROR(__xludf.DUMMYFUNCTION("""COMPUTED_VALUE"""),45746.0)</f>
        <v>45746</v>
      </c>
      <c r="AA256" s="182" t="b">
        <f>IFERROR(__xludf.DUMMYFUNCTION("""COMPUTED_VALUE"""),FALSE)</f>
        <v>0</v>
      </c>
      <c r="AB256" s="187">
        <f>IFERROR(__xludf.DUMMYFUNCTION("""COMPUTED_VALUE"""),45752.0)</f>
        <v>45752</v>
      </c>
      <c r="AC256" s="187">
        <f>IFERROR(__xludf.DUMMYFUNCTION("""COMPUTED_VALUE"""),45752.0)</f>
        <v>45752</v>
      </c>
      <c r="AD256" s="187">
        <f>IFERROR(__xludf.DUMMYFUNCTION("""COMPUTED_VALUE"""),45758.0)</f>
        <v>45758</v>
      </c>
      <c r="AE256" s="182" t="str">
        <f>IFERROR(__xludf.DUMMYFUNCTION("""COMPUTED_VALUE"""),"IQGA10283-US
IQGA10283-US RevA")</f>
        <v>IQGA10283-US
IQGA10283-US RevA</v>
      </c>
      <c r="AF256" s="188" t="str">
        <f>IFERROR(__xludf.DUMMYFUNCTION("""COMPUTED_VALUE"""),"IQGA10283-US")</f>
        <v>IQGA10283-US</v>
      </c>
      <c r="AG256" s="182" t="str">
        <f>IFERROR(__xludf.DUMMYFUNCTION("""COMPUTED_VALUE"""),"IQGA10283-US
IQGA10283-US RevA")</f>
        <v>IQGA10283-US
IQGA10283-US RevA</v>
      </c>
      <c r="AH256" s="188" t="str">
        <f>IFERROR(__xludf.DUMMYFUNCTION("""COMPUTED_VALUE"""),"IQGA10283-US")</f>
        <v>IQGA10283-US</v>
      </c>
      <c r="AI256" s="187">
        <f>IFERROR(__xludf.DUMMYFUNCTION("""COMPUTED_VALUE"""),45780.0)</f>
        <v>45780</v>
      </c>
      <c r="AJ256" s="182" t="b">
        <f>IFERROR(__xludf.DUMMYFUNCTION("""COMPUTED_VALUE"""),TRUE)</f>
        <v>1</v>
      </c>
      <c r="AK256" s="182" t="b">
        <f>IFERROR(__xludf.DUMMYFUNCTION("""COMPUTED_VALUE"""),TRUE)</f>
        <v>1</v>
      </c>
      <c r="AL256" s="187">
        <f>IFERROR(__xludf.DUMMYFUNCTION("""COMPUTED_VALUE"""),45780.0)</f>
        <v>45780</v>
      </c>
      <c r="AM256" s="182" t="b">
        <f>IFERROR(__xludf.DUMMYFUNCTION("""COMPUTED_VALUE"""),TRUE)</f>
        <v>1</v>
      </c>
      <c r="AN256" s="182" t="str">
        <f>IFERROR(__xludf.DUMMYFUNCTION("""COMPUTED_VALUE"""),"N")</f>
        <v>N</v>
      </c>
      <c r="AO256" s="182"/>
      <c r="AP256" s="187">
        <f>IFERROR(__xludf.DUMMYFUNCTION("""COMPUTED_VALUE"""),45780.0)</f>
        <v>45780</v>
      </c>
      <c r="AQ256" s="182" t="b">
        <f>IFERROR(__xludf.DUMMYFUNCTION("""COMPUTED_VALUE"""),FALSE)</f>
        <v>0</v>
      </c>
      <c r="AR256" s="182" t="str">
        <f>IFERROR(__xludf.DUMMYFUNCTION("""COMPUTED_VALUE"""),"N")</f>
        <v>N</v>
      </c>
      <c r="AS256" s="182"/>
      <c r="AT256" s="187">
        <f>IFERROR(__xludf.DUMMYFUNCTION("""COMPUTED_VALUE"""),45780.0)</f>
        <v>45780</v>
      </c>
      <c r="AU256" s="182"/>
      <c r="AV256" s="182"/>
      <c r="AW256" s="187">
        <f>IFERROR(__xludf.DUMMYFUNCTION("""COMPUTED_VALUE"""),45827.0)</f>
        <v>45827</v>
      </c>
      <c r="AX256" s="187">
        <f>IFERROR(__xludf.DUMMYFUNCTION("""COMPUTED_VALUE"""),45827.0)</f>
        <v>45827</v>
      </c>
      <c r="AY256" s="182" t="b">
        <f>IFERROR(__xludf.DUMMYFUNCTION("""COMPUTED_VALUE"""),FALSE)</f>
        <v>0</v>
      </c>
      <c r="AZ256" s="182"/>
      <c r="BA256" s="182"/>
      <c r="BB256" s="182"/>
    </row>
    <row r="257">
      <c r="A257" s="184" t="str">
        <f t="shared" si="1"/>
        <v>#VALUE!</v>
      </c>
      <c r="B257" s="191" t="str">
        <f t="shared" si="3"/>
        <v>#VALUE!</v>
      </c>
      <c r="C257" s="182" t="str">
        <f>IFERROR(__xludf.DUMMYFUNCTION("""COMPUTED_VALUE"""),"ATT")</f>
        <v>ATT</v>
      </c>
      <c r="D257" s="182" t="str">
        <f>IFERROR(__xludf.DUMMYFUNCTION("""COMPUTED_VALUE"""),"MP")</f>
        <v>MP</v>
      </c>
      <c r="E257" s="182" t="str">
        <f>IFERROR(__xludf.DUMMYFUNCTION("""COMPUTED_VALUE"""),"DEMO")</f>
        <v>DEMO</v>
      </c>
      <c r="F257" s="182" t="str">
        <f>IFERROR(__xludf.DUMMYFUNCTION("""COMPUTED_VALUE"""),"GA10780-US")</f>
        <v>GA10780-US</v>
      </c>
      <c r="G257" s="182" t="str">
        <f>IFERROR(__xludf.DUMMYFUNCTION("""COMPUTED_VALUE"""),"G4QUR")</f>
        <v>G4QUR</v>
      </c>
      <c r="H257" s="182">
        <f>IFERROR(__xludf.DUMMYFUNCTION("""COMPUTED_VALUE"""),8.40353937918E11)</f>
        <v>840353937918</v>
      </c>
      <c r="I257" s="185" t="str">
        <f>IFERROR(__xludf.DUMMYFUNCTION("""COMPUTED_VALUE"""),"0840353937918")</f>
        <v>0840353937918</v>
      </c>
      <c r="J257" s="182"/>
      <c r="K257" s="182" t="str">
        <f>IFERROR(__xludf.DUMMYFUNCTION("""COMPUTED_VALUE"""),"MasterCartonLabel_IMEI-EID_ATT_FIH")</f>
        <v>MasterCartonLabel_IMEI-EID_ATT_FIH</v>
      </c>
      <c r="L257" s="182" t="str">
        <f>IFERROR(__xludf.DUMMYFUNCTION("""COMPUTED_VALUE"""),"ATT Pallet label -&gt; BTS(Normal case)
ATT Pallet Label -&gt; BTO(EDI)")</f>
        <v>ATT Pallet label -&gt; BTS(Normal case)
ATT Pallet Label -&gt; BTO(EDI)</v>
      </c>
      <c r="M257" s="188" t="str">
        <f>IFERROR(__xludf.DUMMYFUNCTION("""COMPUTED_VALUE"""),"G990-08499-11-02")</f>
        <v>G990-08499-11-02</v>
      </c>
      <c r="N257" s="188" t="str">
        <f>IFERROR(__xludf.DUMMYFUNCTION("""COMPUTED_VALUE"""),"G990-09756-00-01")</f>
        <v>G990-09756-00-01</v>
      </c>
      <c r="O257" s="182"/>
      <c r="P257" s="182" t="str">
        <f>IFERROR(__xludf.DUMMYFUNCTION("""COMPUTED_VALUE"""),"128GB")</f>
        <v>128GB</v>
      </c>
      <c r="Q257" s="182" t="str">
        <f>IFERROR(__xludf.DUMMYFUNCTION("""COMPUTED_VALUE"""),"Obsidian")</f>
        <v>Obsidian</v>
      </c>
      <c r="R257" s="182" t="str">
        <f>IFERROR(__xludf.DUMMYFUNCTION("""COMPUTED_VALUE"""),"Midnight")</f>
        <v>Midnight</v>
      </c>
      <c r="S257" s="182" t="str">
        <f>IFERROR(__xludf.DUMMYFUNCTION("""COMPUTED_VALUE"""),"US - AT&amp;T")</f>
        <v>US - AT&amp;T</v>
      </c>
      <c r="T257" s="182" t="str">
        <f>IFERROR(__xludf.DUMMYFUNCTION("""COMPUTED_VALUE"""),"SKU,CLR1, GOOD, MMWAVE, ATT, DEMO, BZ5")</f>
        <v>SKU,CLR1, GOOD, MMWAVE, ATT, DEMO, BZ5</v>
      </c>
      <c r="U257" s="182"/>
      <c r="V257" s="183" t="str">
        <f>IFERROR(__xludf.DUMMYFUNCTION("""COMPUTED_VALUE"""),"#NUM!")</f>
        <v>#NUM!</v>
      </c>
      <c r="W257" s="186">
        <f>IFERROR(__xludf.DUMMYFUNCTION("""COMPUTED_VALUE"""),45831.0)</f>
        <v>45831</v>
      </c>
      <c r="X257" s="187">
        <f>IFERROR(__xludf.DUMMYFUNCTION("""COMPUTED_VALUE"""),45745.0)</f>
        <v>45745</v>
      </c>
      <c r="Y257" s="182" t="b">
        <f>IFERROR(__xludf.DUMMYFUNCTION("""COMPUTED_VALUE"""),FALSE)</f>
        <v>0</v>
      </c>
      <c r="Z257" s="187">
        <f>IFERROR(__xludf.DUMMYFUNCTION("""COMPUTED_VALUE"""),45746.0)</f>
        <v>45746</v>
      </c>
      <c r="AA257" s="182" t="b">
        <f>IFERROR(__xludf.DUMMYFUNCTION("""COMPUTED_VALUE"""),FALSE)</f>
        <v>0</v>
      </c>
      <c r="AB257" s="187">
        <f>IFERROR(__xludf.DUMMYFUNCTION("""COMPUTED_VALUE"""),45752.0)</f>
        <v>45752</v>
      </c>
      <c r="AC257" s="187">
        <f>IFERROR(__xludf.DUMMYFUNCTION("""COMPUTED_VALUE"""),45752.0)</f>
        <v>45752</v>
      </c>
      <c r="AD257" s="187">
        <f>IFERROR(__xludf.DUMMYFUNCTION("""COMPUTED_VALUE"""),45758.0)</f>
        <v>45758</v>
      </c>
      <c r="AE257" s="182"/>
      <c r="AF257" s="182"/>
      <c r="AG257" s="182"/>
      <c r="AH257" s="182"/>
      <c r="AI257" s="187">
        <f>IFERROR(__xludf.DUMMYFUNCTION("""COMPUTED_VALUE"""),45780.0)</f>
        <v>45780</v>
      </c>
      <c r="AJ257" s="182" t="b">
        <f>IFERROR(__xludf.DUMMYFUNCTION("""COMPUTED_VALUE"""),FALSE)</f>
        <v>0</v>
      </c>
      <c r="AK257" s="182" t="b">
        <f>IFERROR(__xludf.DUMMYFUNCTION("""COMPUTED_VALUE"""),FALSE)</f>
        <v>0</v>
      </c>
      <c r="AL257" s="187">
        <f>IFERROR(__xludf.DUMMYFUNCTION("""COMPUTED_VALUE"""),45780.0)</f>
        <v>45780</v>
      </c>
      <c r="AM257" s="182" t="b">
        <f>IFERROR(__xludf.DUMMYFUNCTION("""COMPUTED_VALUE"""),FALSE)</f>
        <v>0</v>
      </c>
      <c r="AN257" s="182"/>
      <c r="AO257" s="182"/>
      <c r="AP257" s="187">
        <f>IFERROR(__xludf.DUMMYFUNCTION("""COMPUTED_VALUE"""),45780.0)</f>
        <v>45780</v>
      </c>
      <c r="AQ257" s="182" t="b">
        <f>IFERROR(__xludf.DUMMYFUNCTION("""COMPUTED_VALUE"""),FALSE)</f>
        <v>0</v>
      </c>
      <c r="AR257" s="182"/>
      <c r="AS257" s="182"/>
      <c r="AT257" s="187">
        <f>IFERROR(__xludf.DUMMYFUNCTION("""COMPUTED_VALUE"""),45780.0)</f>
        <v>45780</v>
      </c>
      <c r="AU257" s="182"/>
      <c r="AV257" s="182"/>
      <c r="AW257" s="187">
        <f>IFERROR(__xludf.DUMMYFUNCTION("""COMPUTED_VALUE"""),45827.0)</f>
        <v>45827</v>
      </c>
      <c r="AX257" s="187">
        <f>IFERROR(__xludf.DUMMYFUNCTION("""COMPUTED_VALUE"""),45827.0)</f>
        <v>45827</v>
      </c>
      <c r="AY257" s="182" t="b">
        <f>IFERROR(__xludf.DUMMYFUNCTION("""COMPUTED_VALUE"""),FALSE)</f>
        <v>0</v>
      </c>
      <c r="AZ257" s="182"/>
      <c r="BA257" s="182"/>
      <c r="BB257" s="182"/>
    </row>
    <row r="258">
      <c r="A258" s="184" t="str">
        <f t="shared" si="1"/>
        <v>#VALUE!</v>
      </c>
      <c r="B258" s="69" t="str">
        <f t="shared" si="3"/>
        <v>#VALUE!</v>
      </c>
      <c r="C258" s="182" t="str">
        <f>IFERROR(__xludf.DUMMYFUNCTION("""COMPUTED_VALUE"""),"ATT")</f>
        <v>ATT</v>
      </c>
      <c r="D258" s="182" t="str">
        <f>IFERROR(__xludf.DUMMYFUNCTION("""COMPUTED_VALUE"""),"MP")</f>
        <v>MP</v>
      </c>
      <c r="E258" s="182" t="str">
        <f>IFERROR(__xludf.DUMMYFUNCTION("""COMPUTED_VALUE"""),"DEMO")</f>
        <v>DEMO</v>
      </c>
      <c r="F258" s="182" t="str">
        <f>IFERROR(__xludf.DUMMYFUNCTION("""COMPUTED_VALUE"""),"GA10783-US")</f>
        <v>GA10783-US</v>
      </c>
      <c r="G258" s="182" t="str">
        <f>IFERROR(__xludf.DUMMYFUNCTION("""COMPUTED_VALUE"""),"G4QUR")</f>
        <v>G4QUR</v>
      </c>
      <c r="H258" s="182">
        <f>IFERROR(__xludf.DUMMYFUNCTION("""COMPUTED_VALUE"""),8.40353938014E11)</f>
        <v>840353938014</v>
      </c>
      <c r="I258" s="185" t="str">
        <f>IFERROR(__xludf.DUMMYFUNCTION("""COMPUTED_VALUE"""),"0840353938014")</f>
        <v>0840353938014</v>
      </c>
      <c r="J258" s="182"/>
      <c r="K258" s="182" t="str">
        <f>IFERROR(__xludf.DUMMYFUNCTION("""COMPUTED_VALUE"""),"MasterCartonLabel_IMEI-EID_ATT_FIH")</f>
        <v>MasterCartonLabel_IMEI-EID_ATT_FIH</v>
      </c>
      <c r="L258" s="182" t="str">
        <f>IFERROR(__xludf.DUMMYFUNCTION("""COMPUTED_VALUE"""),"ATT Pallet label -&gt; BTS(Normal case)
ATT Pallet Label -&gt; BTO(EDI)")</f>
        <v>ATT Pallet label -&gt; BTS(Normal case)
ATT Pallet Label -&gt; BTO(EDI)</v>
      </c>
      <c r="M258" s="188" t="str">
        <f>IFERROR(__xludf.DUMMYFUNCTION("""COMPUTED_VALUE"""),"G990-08499-21-02")</f>
        <v>G990-08499-21-02</v>
      </c>
      <c r="N258" s="188" t="str">
        <f>IFERROR(__xludf.DUMMYFUNCTION("""COMPUTED_VALUE"""),"G990-09760-00-01")</f>
        <v>G990-09760-00-01</v>
      </c>
      <c r="O258" s="182"/>
      <c r="P258" s="182" t="str">
        <f>IFERROR(__xludf.DUMMYFUNCTION("""COMPUTED_VALUE"""),"128GB")</f>
        <v>128GB</v>
      </c>
      <c r="Q258" s="182" t="str">
        <f>IFERROR(__xludf.DUMMYFUNCTION("""COMPUTED_VALUE"""),"Porcelain")</f>
        <v>Porcelain</v>
      </c>
      <c r="R258" s="182" t="str">
        <f>IFERROR(__xludf.DUMMYFUNCTION("""COMPUTED_VALUE"""),"Light Porcelain")</f>
        <v>Light Porcelain</v>
      </c>
      <c r="S258" s="182" t="str">
        <f>IFERROR(__xludf.DUMMYFUNCTION("""COMPUTED_VALUE"""),"US - AT&amp;T")</f>
        <v>US - AT&amp;T</v>
      </c>
      <c r="T258" s="182" t="str">
        <f>IFERROR(__xludf.DUMMYFUNCTION("""COMPUTED_VALUE"""),"SKU,CLR2, GOOD, MMWAVE, ATT, DEMO, BZ5")</f>
        <v>SKU,CLR2, GOOD, MMWAVE, ATT, DEMO, BZ5</v>
      </c>
      <c r="U258" s="182"/>
      <c r="V258" s="183" t="str">
        <f>IFERROR(__xludf.DUMMYFUNCTION("""COMPUTED_VALUE"""),"#NUM!")</f>
        <v>#NUM!</v>
      </c>
      <c r="W258" s="186">
        <f>IFERROR(__xludf.DUMMYFUNCTION("""COMPUTED_VALUE"""),45831.0)</f>
        <v>45831</v>
      </c>
      <c r="X258" s="187">
        <f>IFERROR(__xludf.DUMMYFUNCTION("""COMPUTED_VALUE"""),45745.0)</f>
        <v>45745</v>
      </c>
      <c r="Y258" s="182" t="b">
        <f>IFERROR(__xludf.DUMMYFUNCTION("""COMPUTED_VALUE"""),FALSE)</f>
        <v>0</v>
      </c>
      <c r="Z258" s="187">
        <f>IFERROR(__xludf.DUMMYFUNCTION("""COMPUTED_VALUE"""),45746.0)</f>
        <v>45746</v>
      </c>
      <c r="AA258" s="182" t="b">
        <f>IFERROR(__xludf.DUMMYFUNCTION("""COMPUTED_VALUE"""),FALSE)</f>
        <v>0</v>
      </c>
      <c r="AB258" s="187">
        <f>IFERROR(__xludf.DUMMYFUNCTION("""COMPUTED_VALUE"""),45752.0)</f>
        <v>45752</v>
      </c>
      <c r="AC258" s="187">
        <f>IFERROR(__xludf.DUMMYFUNCTION("""COMPUTED_VALUE"""),45752.0)</f>
        <v>45752</v>
      </c>
      <c r="AD258" s="187">
        <f>IFERROR(__xludf.DUMMYFUNCTION("""COMPUTED_VALUE"""),45758.0)</f>
        <v>45758</v>
      </c>
      <c r="AE258" s="182"/>
      <c r="AF258" s="182"/>
      <c r="AG258" s="182"/>
      <c r="AH258" s="182"/>
      <c r="AI258" s="187">
        <f>IFERROR(__xludf.DUMMYFUNCTION("""COMPUTED_VALUE"""),45780.0)</f>
        <v>45780</v>
      </c>
      <c r="AJ258" s="182" t="b">
        <f>IFERROR(__xludf.DUMMYFUNCTION("""COMPUTED_VALUE"""),FALSE)</f>
        <v>0</v>
      </c>
      <c r="AK258" s="182" t="b">
        <f>IFERROR(__xludf.DUMMYFUNCTION("""COMPUTED_VALUE"""),FALSE)</f>
        <v>0</v>
      </c>
      <c r="AL258" s="187">
        <f>IFERROR(__xludf.DUMMYFUNCTION("""COMPUTED_VALUE"""),45780.0)</f>
        <v>45780</v>
      </c>
      <c r="AM258" s="182" t="b">
        <f>IFERROR(__xludf.DUMMYFUNCTION("""COMPUTED_VALUE"""),FALSE)</f>
        <v>0</v>
      </c>
      <c r="AN258" s="182"/>
      <c r="AO258" s="182"/>
      <c r="AP258" s="187">
        <f>IFERROR(__xludf.DUMMYFUNCTION("""COMPUTED_VALUE"""),45780.0)</f>
        <v>45780</v>
      </c>
      <c r="AQ258" s="182" t="b">
        <f>IFERROR(__xludf.DUMMYFUNCTION("""COMPUTED_VALUE"""),FALSE)</f>
        <v>0</v>
      </c>
      <c r="AR258" s="182"/>
      <c r="AS258" s="182"/>
      <c r="AT258" s="187">
        <f>IFERROR(__xludf.DUMMYFUNCTION("""COMPUTED_VALUE"""),45780.0)</f>
        <v>45780</v>
      </c>
      <c r="AU258" s="182"/>
      <c r="AV258" s="182"/>
      <c r="AW258" s="187">
        <f>IFERROR(__xludf.DUMMYFUNCTION("""COMPUTED_VALUE"""),45827.0)</f>
        <v>45827</v>
      </c>
      <c r="AX258" s="187">
        <f>IFERROR(__xludf.DUMMYFUNCTION("""COMPUTED_VALUE"""),45827.0)</f>
        <v>45827</v>
      </c>
      <c r="AY258" s="182" t="b">
        <f>IFERROR(__xludf.DUMMYFUNCTION("""COMPUTED_VALUE"""),FALSE)</f>
        <v>0</v>
      </c>
      <c r="AZ258" s="182"/>
      <c r="BA258" s="182"/>
      <c r="BB258" s="182"/>
    </row>
    <row r="259">
      <c r="A259" s="184" t="str">
        <f t="shared" si="1"/>
        <v>#VALUE!</v>
      </c>
      <c r="B259" s="191" t="str">
        <f t="shared" si="3"/>
        <v>#VALUE!</v>
      </c>
      <c r="C259" s="182" t="str">
        <f>IFERROR(__xludf.DUMMYFUNCTION("""COMPUTED_VALUE"""),"ATT")</f>
        <v>ATT</v>
      </c>
      <c r="D259" s="182" t="str">
        <f>IFERROR(__xludf.DUMMYFUNCTION("""COMPUTED_VALUE"""),"MP")</f>
        <v>MP</v>
      </c>
      <c r="E259" s="182" t="str">
        <f>IFERROR(__xludf.DUMMYFUNCTION("""COMPUTED_VALUE"""),"DEMO")</f>
        <v>DEMO</v>
      </c>
      <c r="F259" s="182" t="str">
        <f>IFERROR(__xludf.DUMMYFUNCTION("""COMPUTED_VALUE"""),"GA10786-US")</f>
        <v>GA10786-US</v>
      </c>
      <c r="G259" s="182" t="str">
        <f>IFERROR(__xludf.DUMMYFUNCTION("""COMPUTED_VALUE"""),"G4QUR")</f>
        <v>G4QUR</v>
      </c>
      <c r="H259" s="182">
        <f>IFERROR(__xludf.DUMMYFUNCTION("""COMPUTED_VALUE"""),8.40353938076E11)</f>
        <v>840353938076</v>
      </c>
      <c r="I259" s="185" t="str">
        <f>IFERROR(__xludf.DUMMYFUNCTION("""COMPUTED_VALUE"""),"0840353938076")</f>
        <v>0840353938076</v>
      </c>
      <c r="J259" s="182" t="str">
        <f>IFERROR(__xludf.DUMMYFUNCTION("""COMPUTED_VALUE"""),"D992E")</f>
        <v>D992E</v>
      </c>
      <c r="K259" s="182" t="str">
        <f>IFERROR(__xludf.DUMMYFUNCTION("""COMPUTED_VALUE"""),"MasterCartonLabel_IMEI-EID_ATT_FIH")</f>
        <v>MasterCartonLabel_IMEI-EID_ATT_FIH</v>
      </c>
      <c r="L259" s="182" t="str">
        <f>IFERROR(__xludf.DUMMYFUNCTION("""COMPUTED_VALUE"""),"ATT Pallet label -&gt; BTS(Normal case)
ATT Pallet Label -&gt; BTO(EDI)")</f>
        <v>ATT Pallet label -&gt; BTS(Normal case)
ATT Pallet Label -&gt; BTO(EDI)</v>
      </c>
      <c r="M259" s="188" t="str">
        <f>IFERROR(__xludf.DUMMYFUNCTION("""COMPUTED_VALUE"""),"G990-08499-31-02")</f>
        <v>G990-08499-31-02</v>
      </c>
      <c r="N259" s="188" t="str">
        <f>IFERROR(__xludf.DUMMYFUNCTION("""COMPUTED_VALUE"""),"G990-09734-00-01")</f>
        <v>G990-09734-00-01</v>
      </c>
      <c r="O259" s="182"/>
      <c r="P259" s="182" t="str">
        <f>IFERROR(__xludf.DUMMYFUNCTION("""COMPUTED_VALUE"""),"128GB")</f>
        <v>128GB</v>
      </c>
      <c r="Q259" s="182" t="str">
        <f>IFERROR(__xludf.DUMMYFUNCTION("""COMPUTED_VALUE"""),"Moonstone")</f>
        <v>Moonstone</v>
      </c>
      <c r="R259" s="182" t="str">
        <f>IFERROR(__xludf.DUMMYFUNCTION("""COMPUTED_VALUE"""),"Sterling")</f>
        <v>Sterling</v>
      </c>
      <c r="S259" s="182" t="str">
        <f>IFERROR(__xludf.DUMMYFUNCTION("""COMPUTED_VALUE"""),"US - AT&amp;T")</f>
        <v>US - AT&amp;T</v>
      </c>
      <c r="T259" s="182" t="str">
        <f>IFERROR(__xludf.DUMMYFUNCTION("""COMPUTED_VALUE"""),"SKU,CLR3, GOOD, MMWAVE, ATT, DEMO, BZ5")</f>
        <v>SKU,CLR3, GOOD, MMWAVE, ATT, DEMO, BZ5</v>
      </c>
      <c r="U259" s="182"/>
      <c r="V259" s="183" t="str">
        <f>IFERROR(__xludf.DUMMYFUNCTION("""COMPUTED_VALUE"""),"#NUM!")</f>
        <v>#NUM!</v>
      </c>
      <c r="W259" s="186">
        <f>IFERROR(__xludf.DUMMYFUNCTION("""COMPUTED_VALUE"""),45831.0)</f>
        <v>45831</v>
      </c>
      <c r="X259" s="187">
        <f>IFERROR(__xludf.DUMMYFUNCTION("""COMPUTED_VALUE"""),45745.0)</f>
        <v>45745</v>
      </c>
      <c r="Y259" s="182" t="b">
        <f>IFERROR(__xludf.DUMMYFUNCTION("""COMPUTED_VALUE"""),FALSE)</f>
        <v>0</v>
      </c>
      <c r="Z259" s="187">
        <f>IFERROR(__xludf.DUMMYFUNCTION("""COMPUTED_VALUE"""),45746.0)</f>
        <v>45746</v>
      </c>
      <c r="AA259" s="182" t="b">
        <f>IFERROR(__xludf.DUMMYFUNCTION("""COMPUTED_VALUE"""),FALSE)</f>
        <v>0</v>
      </c>
      <c r="AB259" s="187">
        <f>IFERROR(__xludf.DUMMYFUNCTION("""COMPUTED_VALUE"""),45752.0)</f>
        <v>45752</v>
      </c>
      <c r="AC259" s="187">
        <f>IFERROR(__xludf.DUMMYFUNCTION("""COMPUTED_VALUE"""),45752.0)</f>
        <v>45752</v>
      </c>
      <c r="AD259" s="187">
        <f>IFERROR(__xludf.DUMMYFUNCTION("""COMPUTED_VALUE"""),45758.0)</f>
        <v>45758</v>
      </c>
      <c r="AE259" s="188" t="str">
        <f>IFERROR(__xludf.DUMMYFUNCTION("""COMPUTED_VALUE"""),"GA10786-US")</f>
        <v>GA10786-US</v>
      </c>
      <c r="AF259" s="188" t="str">
        <f>IFERROR(__xludf.DUMMYFUNCTION("""COMPUTED_VALUE"""),"GA10786-US")</f>
        <v>GA10786-US</v>
      </c>
      <c r="AG259" s="192" t="str">
        <f>IFERROR(__xludf.DUMMYFUNCTION("""COMPUTED_VALUE"""),"GA10786-US")</f>
        <v>GA10786-US</v>
      </c>
      <c r="AH259" s="193" t="str">
        <f>IFERROR(__xludf.DUMMYFUNCTION("""COMPUTED_VALUE"""),"GA10786-US")</f>
        <v>GA10786-US</v>
      </c>
      <c r="AI259" s="187">
        <f>IFERROR(__xludf.DUMMYFUNCTION("""COMPUTED_VALUE"""),45780.0)</f>
        <v>45780</v>
      </c>
      <c r="AJ259" s="182" t="b">
        <f>IFERROR(__xludf.DUMMYFUNCTION("""COMPUTED_VALUE"""),FALSE)</f>
        <v>0</v>
      </c>
      <c r="AK259" s="182" t="b">
        <f>IFERROR(__xludf.DUMMYFUNCTION("""COMPUTED_VALUE"""),FALSE)</f>
        <v>0</v>
      </c>
      <c r="AL259" s="187">
        <f>IFERROR(__xludf.DUMMYFUNCTION("""COMPUTED_VALUE"""),45780.0)</f>
        <v>45780</v>
      </c>
      <c r="AM259" s="182" t="b">
        <f>IFERROR(__xludf.DUMMYFUNCTION("""COMPUTED_VALUE"""),TRUE)</f>
        <v>1</v>
      </c>
      <c r="AN259" s="182"/>
      <c r="AO259" s="182"/>
      <c r="AP259" s="187">
        <f>IFERROR(__xludf.DUMMYFUNCTION("""COMPUTED_VALUE"""),45780.0)</f>
        <v>45780</v>
      </c>
      <c r="AQ259" s="182" t="b">
        <f>IFERROR(__xludf.DUMMYFUNCTION("""COMPUTED_VALUE"""),FALSE)</f>
        <v>0</v>
      </c>
      <c r="AR259" s="182"/>
      <c r="AS259" s="182"/>
      <c r="AT259" s="187">
        <f>IFERROR(__xludf.DUMMYFUNCTION("""COMPUTED_VALUE"""),45780.0)</f>
        <v>45780</v>
      </c>
      <c r="AU259" s="182" t="str">
        <f>IFERROR(__xludf.DUMMYFUNCTION("""COMPUTED_VALUE"""),"Y")</f>
        <v>Y</v>
      </c>
      <c r="AV259" s="182"/>
      <c r="AW259" s="187">
        <f>IFERROR(__xludf.DUMMYFUNCTION("""COMPUTED_VALUE"""),45827.0)</f>
        <v>45827</v>
      </c>
      <c r="AX259" s="187">
        <f>IFERROR(__xludf.DUMMYFUNCTION("""COMPUTED_VALUE"""),45827.0)</f>
        <v>45827</v>
      </c>
      <c r="AY259" s="182" t="b">
        <f>IFERROR(__xludf.DUMMYFUNCTION("""COMPUTED_VALUE"""),FALSE)</f>
        <v>0</v>
      </c>
      <c r="AZ259" s="182"/>
      <c r="BA259" s="182"/>
      <c r="BB259" s="182"/>
    </row>
    <row r="260">
      <c r="A260" s="184" t="str">
        <f t="shared" si="1"/>
        <v>#VALUE!</v>
      </c>
      <c r="B260" s="69" t="str">
        <f t="shared" si="3"/>
        <v>#VALUE!</v>
      </c>
      <c r="C260" s="182" t="str">
        <f>IFERROR(__xludf.DUMMYFUNCTION("""COMPUTED_VALUE"""),"ATT")</f>
        <v>ATT</v>
      </c>
      <c r="D260" s="182" t="str">
        <f>IFERROR(__xludf.DUMMYFUNCTION("""COMPUTED_VALUE"""),"MP")</f>
        <v>MP</v>
      </c>
      <c r="E260" s="182" t="str">
        <f>IFERROR(__xludf.DUMMYFUNCTION("""COMPUTED_VALUE"""),"DEMO")</f>
        <v>DEMO</v>
      </c>
      <c r="F260" s="182" t="str">
        <f>IFERROR(__xludf.DUMMYFUNCTION("""COMPUTED_VALUE"""),"GA10789-US")</f>
        <v>GA10789-US</v>
      </c>
      <c r="G260" s="182" t="str">
        <f>IFERROR(__xludf.DUMMYFUNCTION("""COMPUTED_VALUE"""),"G4QUR")</f>
        <v>G4QUR</v>
      </c>
      <c r="H260" s="182">
        <f>IFERROR(__xludf.DUMMYFUNCTION("""COMPUTED_VALUE"""),8.40353938137E11)</f>
        <v>840353938137</v>
      </c>
      <c r="I260" s="185" t="str">
        <f>IFERROR(__xludf.DUMMYFUNCTION("""COMPUTED_VALUE"""),"0840353938137")</f>
        <v>0840353938137</v>
      </c>
      <c r="J260" s="182"/>
      <c r="K260" s="182" t="str">
        <f>IFERROR(__xludf.DUMMYFUNCTION("""COMPUTED_VALUE"""),"MasterCartonLabel_IMEI-EID_ATT_FIH")</f>
        <v>MasterCartonLabel_IMEI-EID_ATT_FIH</v>
      </c>
      <c r="L260" s="182" t="str">
        <f>IFERROR(__xludf.DUMMYFUNCTION("""COMPUTED_VALUE"""),"ATT Pallet label -&gt; BTS(Normal case)
ATT Pallet Label -&gt; BTO(EDI)")</f>
        <v>ATT Pallet label -&gt; BTS(Normal case)
ATT Pallet Label -&gt; BTO(EDI)</v>
      </c>
      <c r="M260" s="188" t="str">
        <f>IFERROR(__xludf.DUMMYFUNCTION("""COMPUTED_VALUE"""),"G990-08499-42-02")</f>
        <v>G990-08499-42-02</v>
      </c>
      <c r="N260" s="182" t="str">
        <f>IFERROR(__xludf.DUMMYFUNCTION("""COMPUTED_VALUE"""),"TBD")</f>
        <v>TBD</v>
      </c>
      <c r="O260" s="182"/>
      <c r="P260" s="182" t="str">
        <f>IFERROR(__xludf.DUMMYFUNCTION("""COMPUTED_VALUE"""),"256GB")</f>
        <v>256GB</v>
      </c>
      <c r="Q260" s="182" t="str">
        <f>IFERROR(__xludf.DUMMYFUNCTION("""COMPUTED_VALUE"""),"Jade")</f>
        <v>Jade</v>
      </c>
      <c r="R260" s="182" t="str">
        <f>IFERROR(__xludf.DUMMYFUNCTION("""COMPUTED_VALUE"""),"Smokey Green")</f>
        <v>Smokey Green</v>
      </c>
      <c r="S260" s="182" t="str">
        <f>IFERROR(__xludf.DUMMYFUNCTION("""COMPUTED_VALUE"""),"US - AT&amp;T")</f>
        <v>US - AT&amp;T</v>
      </c>
      <c r="T260" s="182" t="str">
        <f>IFERROR(__xludf.DUMMYFUNCTION("""COMPUTED_VALUE"""),"SKU,CLR4, BETTER, MMWAVE, ATT, DEMO, BZ5")</f>
        <v>SKU,CLR4, BETTER, MMWAVE, ATT, DEMO, BZ5</v>
      </c>
      <c r="U260" s="182"/>
      <c r="V260" s="183" t="str">
        <f>IFERROR(__xludf.DUMMYFUNCTION("""COMPUTED_VALUE"""),"#NUM!")</f>
        <v>#NUM!</v>
      </c>
      <c r="W260" s="186">
        <f>IFERROR(__xludf.DUMMYFUNCTION("""COMPUTED_VALUE"""),45831.0)</f>
        <v>45831</v>
      </c>
      <c r="X260" s="187">
        <f>IFERROR(__xludf.DUMMYFUNCTION("""COMPUTED_VALUE"""),45745.0)</f>
        <v>45745</v>
      </c>
      <c r="Y260" s="182" t="b">
        <f>IFERROR(__xludf.DUMMYFUNCTION("""COMPUTED_VALUE"""),FALSE)</f>
        <v>0</v>
      </c>
      <c r="Z260" s="187">
        <f>IFERROR(__xludf.DUMMYFUNCTION("""COMPUTED_VALUE"""),45746.0)</f>
        <v>45746</v>
      </c>
      <c r="AA260" s="182" t="b">
        <f>IFERROR(__xludf.DUMMYFUNCTION("""COMPUTED_VALUE"""),FALSE)</f>
        <v>0</v>
      </c>
      <c r="AB260" s="187">
        <f>IFERROR(__xludf.DUMMYFUNCTION("""COMPUTED_VALUE"""),45752.0)</f>
        <v>45752</v>
      </c>
      <c r="AC260" s="187">
        <f>IFERROR(__xludf.DUMMYFUNCTION("""COMPUTED_VALUE"""),45752.0)</f>
        <v>45752</v>
      </c>
      <c r="AD260" s="187">
        <f>IFERROR(__xludf.DUMMYFUNCTION("""COMPUTED_VALUE"""),45758.0)</f>
        <v>45758</v>
      </c>
      <c r="AE260" s="182"/>
      <c r="AF260" s="182"/>
      <c r="AG260" s="182"/>
      <c r="AH260" s="182"/>
      <c r="AI260" s="187">
        <f>IFERROR(__xludf.DUMMYFUNCTION("""COMPUTED_VALUE"""),45780.0)</f>
        <v>45780</v>
      </c>
      <c r="AJ260" s="182" t="b">
        <f>IFERROR(__xludf.DUMMYFUNCTION("""COMPUTED_VALUE"""),FALSE)</f>
        <v>0</v>
      </c>
      <c r="AK260" s="182" t="b">
        <f>IFERROR(__xludf.DUMMYFUNCTION("""COMPUTED_VALUE"""),FALSE)</f>
        <v>0</v>
      </c>
      <c r="AL260" s="187">
        <f>IFERROR(__xludf.DUMMYFUNCTION("""COMPUTED_VALUE"""),45780.0)</f>
        <v>45780</v>
      </c>
      <c r="AM260" s="182" t="b">
        <f>IFERROR(__xludf.DUMMYFUNCTION("""COMPUTED_VALUE"""),FALSE)</f>
        <v>0</v>
      </c>
      <c r="AN260" s="182"/>
      <c r="AO260" s="182"/>
      <c r="AP260" s="187">
        <f>IFERROR(__xludf.DUMMYFUNCTION("""COMPUTED_VALUE"""),45780.0)</f>
        <v>45780</v>
      </c>
      <c r="AQ260" s="182" t="b">
        <f>IFERROR(__xludf.DUMMYFUNCTION("""COMPUTED_VALUE"""),FALSE)</f>
        <v>0</v>
      </c>
      <c r="AR260" s="182"/>
      <c r="AS260" s="182"/>
      <c r="AT260" s="187">
        <f>IFERROR(__xludf.DUMMYFUNCTION("""COMPUTED_VALUE"""),45780.0)</f>
        <v>45780</v>
      </c>
      <c r="AU260" s="182"/>
      <c r="AV260" s="182"/>
      <c r="AW260" s="187">
        <f>IFERROR(__xludf.DUMMYFUNCTION("""COMPUTED_VALUE"""),45827.0)</f>
        <v>45827</v>
      </c>
      <c r="AX260" s="187">
        <f>IFERROR(__xludf.DUMMYFUNCTION("""COMPUTED_VALUE"""),45827.0)</f>
        <v>45827</v>
      </c>
      <c r="AY260" s="182" t="b">
        <f>IFERROR(__xludf.DUMMYFUNCTION("""COMPUTED_VALUE"""),FALSE)</f>
        <v>0</v>
      </c>
      <c r="AZ260" s="182"/>
      <c r="BA260" s="182"/>
      <c r="BB260" s="182"/>
    </row>
    <row r="261">
      <c r="A261" s="184" t="str">
        <f t="shared" si="1"/>
        <v>#VALUE!</v>
      </c>
      <c r="B261" s="69" t="str">
        <f t="shared" si="3"/>
        <v>#VALUE!</v>
      </c>
      <c r="C261" s="182" t="str">
        <f>IFERROR(__xludf.DUMMYFUNCTION("""COMPUTED_VALUE"""),"TMO")</f>
        <v>TMO</v>
      </c>
      <c r="D261" s="182" t="str">
        <f>IFERROR(__xludf.DUMMYFUNCTION("""COMPUTED_VALUE"""),"MP")</f>
        <v>MP</v>
      </c>
      <c r="E261" s="182" t="str">
        <f>IFERROR(__xludf.DUMMYFUNCTION("""COMPUTED_VALUE"""),"DEMO")</f>
        <v>DEMO</v>
      </c>
      <c r="F261" s="182" t="str">
        <f>IFERROR(__xludf.DUMMYFUNCTION("""COMPUTED_VALUE"""),"GA10781-US")</f>
        <v>GA10781-US</v>
      </c>
      <c r="G261" s="182" t="str">
        <f>IFERROR(__xludf.DUMMYFUNCTION("""COMPUTED_VALUE"""),"G4QUR")</f>
        <v>G4QUR</v>
      </c>
      <c r="H261" s="182">
        <f>IFERROR(__xludf.DUMMYFUNCTION("""COMPUTED_VALUE"""),8.40353937925E11)</f>
        <v>840353937925</v>
      </c>
      <c r="I261" s="185" t="str">
        <f>IFERROR(__xludf.DUMMYFUNCTION("""COMPUTED_VALUE"""),"0840353937925")</f>
        <v>0840353937925</v>
      </c>
      <c r="J261" s="182">
        <f>IFERROR(__xludf.DUMMYFUNCTION("""COMPUTED_VALUE"""),8.40353937925E11)</f>
        <v>840353937925</v>
      </c>
      <c r="K261" s="182" t="str">
        <f>IFERROR(__xludf.DUMMYFUNCTION("""COMPUTED_VALUE"""),"MasterCartonLabel_10 pack_TMO")</f>
        <v>MasterCartonLabel_10 pack_TMO</v>
      </c>
      <c r="L261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61" s="188" t="str">
        <f>IFERROR(__xludf.DUMMYFUNCTION("""COMPUTED_VALUE"""),"G990-08499-11-02")</f>
        <v>G990-08499-11-02</v>
      </c>
      <c r="N261" s="188" t="str">
        <f>IFERROR(__xludf.DUMMYFUNCTION("""COMPUTED_VALUE"""),"G990-09754-00-02")</f>
        <v>G990-09754-00-02</v>
      </c>
      <c r="O261" s="182"/>
      <c r="P261" s="182" t="str">
        <f>IFERROR(__xludf.DUMMYFUNCTION("""COMPUTED_VALUE"""),"128GB")</f>
        <v>128GB</v>
      </c>
      <c r="Q261" s="182" t="str">
        <f>IFERROR(__xludf.DUMMYFUNCTION("""COMPUTED_VALUE"""),"Obsidian")</f>
        <v>Obsidian</v>
      </c>
      <c r="R261" s="182" t="str">
        <f>IFERROR(__xludf.DUMMYFUNCTION("""COMPUTED_VALUE"""),"Midnight")</f>
        <v>Midnight</v>
      </c>
      <c r="S261" s="182" t="str">
        <f>IFERROR(__xludf.DUMMYFUNCTION("""COMPUTED_VALUE"""),"US - Tmobile")</f>
        <v>US - Tmobile</v>
      </c>
      <c r="T261" s="182" t="str">
        <f>IFERROR(__xludf.DUMMYFUNCTION("""COMPUTED_VALUE"""),"SKU,CLR1, GOOD, MMWAVE, TMO, DEMO, BZ5")</f>
        <v>SKU,CLR1, GOOD, MMWAVE, TMO, DEMO, BZ5</v>
      </c>
      <c r="U261" s="182"/>
      <c r="V261" s="183" t="str">
        <f>IFERROR(__xludf.DUMMYFUNCTION("""COMPUTED_VALUE"""),"#NUM!")</f>
        <v>#NUM!</v>
      </c>
      <c r="W261" s="186">
        <f>IFERROR(__xludf.DUMMYFUNCTION("""COMPUTED_VALUE"""),45831.0)</f>
        <v>45831</v>
      </c>
      <c r="X261" s="187">
        <f>IFERROR(__xludf.DUMMYFUNCTION("""COMPUTED_VALUE"""),45745.0)</f>
        <v>45745</v>
      </c>
      <c r="Y261" s="182" t="b">
        <f>IFERROR(__xludf.DUMMYFUNCTION("""COMPUTED_VALUE"""),FALSE)</f>
        <v>0</v>
      </c>
      <c r="Z261" s="187">
        <f>IFERROR(__xludf.DUMMYFUNCTION("""COMPUTED_VALUE"""),45746.0)</f>
        <v>45746</v>
      </c>
      <c r="AA261" s="182" t="b">
        <f>IFERROR(__xludf.DUMMYFUNCTION("""COMPUTED_VALUE"""),FALSE)</f>
        <v>0</v>
      </c>
      <c r="AB261" s="187">
        <f>IFERROR(__xludf.DUMMYFUNCTION("""COMPUTED_VALUE"""),45752.0)</f>
        <v>45752</v>
      </c>
      <c r="AC261" s="187">
        <f>IFERROR(__xludf.DUMMYFUNCTION("""COMPUTED_VALUE"""),45752.0)</f>
        <v>45752</v>
      </c>
      <c r="AD261" s="187">
        <f>IFERROR(__xludf.DUMMYFUNCTION("""COMPUTED_VALUE"""),45758.0)</f>
        <v>45758</v>
      </c>
      <c r="AE261" s="188" t="str">
        <f>IFERROR(__xludf.DUMMYFUNCTION("""COMPUTED_VALUE"""),"GA10781-US")</f>
        <v>GA10781-US</v>
      </c>
      <c r="AF261" s="188" t="str">
        <f>IFERROR(__xludf.DUMMYFUNCTION("""COMPUTED_VALUE"""),"GA10781-US")</f>
        <v>GA10781-US</v>
      </c>
      <c r="AG261" s="192" t="str">
        <f>IFERROR(__xludf.DUMMYFUNCTION("""COMPUTED_VALUE"""),"GA10781-US")</f>
        <v>GA10781-US</v>
      </c>
      <c r="AH261" s="188" t="str">
        <f>IFERROR(__xludf.DUMMYFUNCTION("""COMPUTED_VALUE"""),"GA10781-US")</f>
        <v>GA10781-US</v>
      </c>
      <c r="AI261" s="187">
        <f>IFERROR(__xludf.DUMMYFUNCTION("""COMPUTED_VALUE"""),45780.0)</f>
        <v>45780</v>
      </c>
      <c r="AJ261" s="182" t="b">
        <f>IFERROR(__xludf.DUMMYFUNCTION("""COMPUTED_VALUE"""),FALSE)</f>
        <v>0</v>
      </c>
      <c r="AK261" s="182" t="b">
        <f>IFERROR(__xludf.DUMMYFUNCTION("""COMPUTED_VALUE"""),FALSE)</f>
        <v>0</v>
      </c>
      <c r="AL261" s="187">
        <f>IFERROR(__xludf.DUMMYFUNCTION("""COMPUTED_VALUE"""),45780.0)</f>
        <v>45780</v>
      </c>
      <c r="AM261" s="182" t="b">
        <f>IFERROR(__xludf.DUMMYFUNCTION("""COMPUTED_VALUE"""),TRUE)</f>
        <v>1</v>
      </c>
      <c r="AN261" s="182"/>
      <c r="AO261" s="182"/>
      <c r="AP261" s="187">
        <f>IFERROR(__xludf.DUMMYFUNCTION("""COMPUTED_VALUE"""),45780.0)</f>
        <v>45780</v>
      </c>
      <c r="AQ261" s="182" t="b">
        <f>IFERROR(__xludf.DUMMYFUNCTION("""COMPUTED_VALUE"""),FALSE)</f>
        <v>0</v>
      </c>
      <c r="AR261" s="182"/>
      <c r="AS261" s="182"/>
      <c r="AT261" s="187">
        <f>IFERROR(__xludf.DUMMYFUNCTION("""COMPUTED_VALUE"""),45780.0)</f>
        <v>45780</v>
      </c>
      <c r="AU261" s="182"/>
      <c r="AV261" s="182"/>
      <c r="AW261" s="187">
        <f>IFERROR(__xludf.DUMMYFUNCTION("""COMPUTED_VALUE"""),45827.0)</f>
        <v>45827</v>
      </c>
      <c r="AX261" s="187">
        <f>IFERROR(__xludf.DUMMYFUNCTION("""COMPUTED_VALUE"""),45827.0)</f>
        <v>45827</v>
      </c>
      <c r="AY261" s="182" t="b">
        <f>IFERROR(__xludf.DUMMYFUNCTION("""COMPUTED_VALUE"""),FALSE)</f>
        <v>0</v>
      </c>
      <c r="AZ261" s="182"/>
      <c r="BA261" s="182"/>
      <c r="BB261" s="182"/>
    </row>
    <row r="262">
      <c r="A262" s="184" t="str">
        <f t="shared" si="1"/>
        <v>#VALUE!</v>
      </c>
      <c r="B262" s="69" t="str">
        <f t="shared" si="3"/>
        <v>#VALUE!</v>
      </c>
      <c r="C262" s="182" t="str">
        <f>IFERROR(__xludf.DUMMYFUNCTION("""COMPUTED_VALUE"""),"TMO")</f>
        <v>TMO</v>
      </c>
      <c r="D262" s="182" t="str">
        <f>IFERROR(__xludf.DUMMYFUNCTION("""COMPUTED_VALUE"""),"MP")</f>
        <v>MP</v>
      </c>
      <c r="E262" s="182" t="str">
        <f>IFERROR(__xludf.DUMMYFUNCTION("""COMPUTED_VALUE"""),"DEMO")</f>
        <v>DEMO</v>
      </c>
      <c r="F262" s="182" t="str">
        <f>IFERROR(__xludf.DUMMYFUNCTION("""COMPUTED_VALUE"""),"GA10784-US")</f>
        <v>GA10784-US</v>
      </c>
      <c r="G262" s="182" t="str">
        <f>IFERROR(__xludf.DUMMYFUNCTION("""COMPUTED_VALUE"""),"G4QUR")</f>
        <v>G4QUR</v>
      </c>
      <c r="H262" s="182">
        <f>IFERROR(__xludf.DUMMYFUNCTION("""COMPUTED_VALUE"""),8.40353938021E11)</f>
        <v>840353938021</v>
      </c>
      <c r="I262" s="185" t="str">
        <f>IFERROR(__xludf.DUMMYFUNCTION("""COMPUTED_VALUE"""),"0840353938021")</f>
        <v>0840353938021</v>
      </c>
      <c r="J262" s="182">
        <f>IFERROR(__xludf.DUMMYFUNCTION("""COMPUTED_VALUE"""),8.40353938021E11)</f>
        <v>840353938021</v>
      </c>
      <c r="K262" s="182" t="str">
        <f>IFERROR(__xludf.DUMMYFUNCTION("""COMPUTED_VALUE"""),"MasterCartonLabel_10 pack_TMO")</f>
        <v>MasterCartonLabel_10 pack_TMO</v>
      </c>
      <c r="L262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62" s="188" t="str">
        <f>IFERROR(__xludf.DUMMYFUNCTION("""COMPUTED_VALUE"""),"G990-08499-21-02")</f>
        <v>G990-08499-21-02</v>
      </c>
      <c r="N262" s="188" t="str">
        <f>IFERROR(__xludf.DUMMYFUNCTION("""COMPUTED_VALUE"""),"G990-09755-00-02")</f>
        <v>G990-09755-00-02</v>
      </c>
      <c r="O262" s="182"/>
      <c r="P262" s="182" t="str">
        <f>IFERROR(__xludf.DUMMYFUNCTION("""COMPUTED_VALUE"""),"128GB")</f>
        <v>128GB</v>
      </c>
      <c r="Q262" s="182" t="str">
        <f>IFERROR(__xludf.DUMMYFUNCTION("""COMPUTED_VALUE"""),"Porcelain")</f>
        <v>Porcelain</v>
      </c>
      <c r="R262" s="182" t="str">
        <f>IFERROR(__xludf.DUMMYFUNCTION("""COMPUTED_VALUE"""),"Light Porcelain")</f>
        <v>Light Porcelain</v>
      </c>
      <c r="S262" s="182" t="str">
        <f>IFERROR(__xludf.DUMMYFUNCTION("""COMPUTED_VALUE"""),"US - Tmobile")</f>
        <v>US - Tmobile</v>
      </c>
      <c r="T262" s="182" t="str">
        <f>IFERROR(__xludf.DUMMYFUNCTION("""COMPUTED_VALUE"""),"SKU,CLR2, GOOD, MMWAVE, TMO, DEMO, BZ5")</f>
        <v>SKU,CLR2, GOOD, MMWAVE, TMO, DEMO, BZ5</v>
      </c>
      <c r="U262" s="182"/>
      <c r="V262" s="183" t="str">
        <f>IFERROR(__xludf.DUMMYFUNCTION("""COMPUTED_VALUE"""),"#NUM!")</f>
        <v>#NUM!</v>
      </c>
      <c r="W262" s="186">
        <f>IFERROR(__xludf.DUMMYFUNCTION("""COMPUTED_VALUE"""),45831.0)</f>
        <v>45831</v>
      </c>
      <c r="X262" s="187">
        <f>IFERROR(__xludf.DUMMYFUNCTION("""COMPUTED_VALUE"""),45745.0)</f>
        <v>45745</v>
      </c>
      <c r="Y262" s="182" t="b">
        <f>IFERROR(__xludf.DUMMYFUNCTION("""COMPUTED_VALUE"""),FALSE)</f>
        <v>0</v>
      </c>
      <c r="Z262" s="187">
        <f>IFERROR(__xludf.DUMMYFUNCTION("""COMPUTED_VALUE"""),45746.0)</f>
        <v>45746</v>
      </c>
      <c r="AA262" s="182" t="b">
        <f>IFERROR(__xludf.DUMMYFUNCTION("""COMPUTED_VALUE"""),FALSE)</f>
        <v>0</v>
      </c>
      <c r="AB262" s="187">
        <f>IFERROR(__xludf.DUMMYFUNCTION("""COMPUTED_VALUE"""),45752.0)</f>
        <v>45752</v>
      </c>
      <c r="AC262" s="187">
        <f>IFERROR(__xludf.DUMMYFUNCTION("""COMPUTED_VALUE"""),45752.0)</f>
        <v>45752</v>
      </c>
      <c r="AD262" s="187">
        <f>IFERROR(__xludf.DUMMYFUNCTION("""COMPUTED_VALUE"""),45758.0)</f>
        <v>45758</v>
      </c>
      <c r="AE262" s="188" t="str">
        <f>IFERROR(__xludf.DUMMYFUNCTION("""COMPUTED_VALUE"""),"GA10784-US")</f>
        <v>GA10784-US</v>
      </c>
      <c r="AF262" s="188" t="str">
        <f>IFERROR(__xludf.DUMMYFUNCTION("""COMPUTED_VALUE"""),"GA10784-US")</f>
        <v>GA10784-US</v>
      </c>
      <c r="AG262" s="192" t="str">
        <f>IFERROR(__xludf.DUMMYFUNCTION("""COMPUTED_VALUE"""),"GA10784-US")</f>
        <v>GA10784-US</v>
      </c>
      <c r="AH262" s="192" t="str">
        <f>IFERROR(__xludf.DUMMYFUNCTION("""COMPUTED_VALUE"""),"GA10784-US")</f>
        <v>GA10784-US</v>
      </c>
      <c r="AI262" s="187">
        <f>IFERROR(__xludf.DUMMYFUNCTION("""COMPUTED_VALUE"""),45780.0)</f>
        <v>45780</v>
      </c>
      <c r="AJ262" s="182" t="b">
        <f>IFERROR(__xludf.DUMMYFUNCTION("""COMPUTED_VALUE"""),FALSE)</f>
        <v>0</v>
      </c>
      <c r="AK262" s="182" t="b">
        <f>IFERROR(__xludf.DUMMYFUNCTION("""COMPUTED_VALUE"""),FALSE)</f>
        <v>0</v>
      </c>
      <c r="AL262" s="187">
        <f>IFERROR(__xludf.DUMMYFUNCTION("""COMPUTED_VALUE"""),45780.0)</f>
        <v>45780</v>
      </c>
      <c r="AM262" s="182" t="b">
        <f>IFERROR(__xludf.DUMMYFUNCTION("""COMPUTED_VALUE"""),TRUE)</f>
        <v>1</v>
      </c>
      <c r="AN262" s="182"/>
      <c r="AO262" s="182"/>
      <c r="AP262" s="187">
        <f>IFERROR(__xludf.DUMMYFUNCTION("""COMPUTED_VALUE"""),45780.0)</f>
        <v>45780</v>
      </c>
      <c r="AQ262" s="182" t="b">
        <f>IFERROR(__xludf.DUMMYFUNCTION("""COMPUTED_VALUE"""),FALSE)</f>
        <v>0</v>
      </c>
      <c r="AR262" s="182"/>
      <c r="AS262" s="182"/>
      <c r="AT262" s="187">
        <f>IFERROR(__xludf.DUMMYFUNCTION("""COMPUTED_VALUE"""),45780.0)</f>
        <v>45780</v>
      </c>
      <c r="AU262" s="182"/>
      <c r="AV262" s="182"/>
      <c r="AW262" s="187">
        <f>IFERROR(__xludf.DUMMYFUNCTION("""COMPUTED_VALUE"""),45827.0)</f>
        <v>45827</v>
      </c>
      <c r="AX262" s="187">
        <f>IFERROR(__xludf.DUMMYFUNCTION("""COMPUTED_VALUE"""),45827.0)</f>
        <v>45827</v>
      </c>
      <c r="AY262" s="182" t="b">
        <f>IFERROR(__xludf.DUMMYFUNCTION("""COMPUTED_VALUE"""),FALSE)</f>
        <v>0</v>
      </c>
      <c r="AZ262" s="182"/>
      <c r="BA262" s="182"/>
      <c r="BB262" s="182"/>
    </row>
    <row r="263">
      <c r="A263" s="184" t="str">
        <f t="shared" si="1"/>
        <v>#VALUE!</v>
      </c>
      <c r="B263" s="191" t="str">
        <f t="shared" si="3"/>
        <v>#VALUE!</v>
      </c>
      <c r="C263" s="182" t="str">
        <f>IFERROR(__xludf.DUMMYFUNCTION("""COMPUTED_VALUE"""),"TMO")</f>
        <v>TMO</v>
      </c>
      <c r="D263" s="182" t="str">
        <f>IFERROR(__xludf.DUMMYFUNCTION("""COMPUTED_VALUE"""),"MP")</f>
        <v>MP</v>
      </c>
      <c r="E263" s="182" t="str">
        <f>IFERROR(__xludf.DUMMYFUNCTION("""COMPUTED_VALUE"""),"DEMO")</f>
        <v>DEMO</v>
      </c>
      <c r="F263" s="182" t="str">
        <f>IFERROR(__xludf.DUMMYFUNCTION("""COMPUTED_VALUE"""),"GA10787-US")</f>
        <v>GA10787-US</v>
      </c>
      <c r="G263" s="182" t="str">
        <f>IFERROR(__xludf.DUMMYFUNCTION("""COMPUTED_VALUE"""),"G4QUR")</f>
        <v>G4QUR</v>
      </c>
      <c r="H263" s="182">
        <f>IFERROR(__xludf.DUMMYFUNCTION("""COMPUTED_VALUE"""),8.40353938083E11)</f>
        <v>840353938083</v>
      </c>
      <c r="I263" s="185" t="str">
        <f>IFERROR(__xludf.DUMMYFUNCTION("""COMPUTED_VALUE"""),"0840353938083 ")</f>
        <v>0840353938083 </v>
      </c>
      <c r="J263" s="182">
        <f>IFERROR(__xludf.DUMMYFUNCTION("""COMPUTED_VALUE"""),8.40353938083E11)</f>
        <v>840353938083</v>
      </c>
      <c r="K263" s="182" t="str">
        <f>IFERROR(__xludf.DUMMYFUNCTION("""COMPUTED_VALUE"""),"MasterCartonLabel_10 pack_TMO")</f>
        <v>MasterCartonLabel_10 pack_TMO</v>
      </c>
      <c r="L263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63" s="188" t="str">
        <f>IFERROR(__xludf.DUMMYFUNCTION("""COMPUTED_VALUE"""),"G990-08499-31-02")</f>
        <v>G990-08499-31-02</v>
      </c>
      <c r="N263" s="188" t="str">
        <f>IFERROR(__xludf.DUMMYFUNCTION("""COMPUTED_VALUE"""),"G990-09733-00-02")</f>
        <v>G990-09733-00-02</v>
      </c>
      <c r="O263" s="182"/>
      <c r="P263" s="182" t="str">
        <f>IFERROR(__xludf.DUMMYFUNCTION("""COMPUTED_VALUE"""),"128GB")</f>
        <v>128GB</v>
      </c>
      <c r="Q263" s="182" t="str">
        <f>IFERROR(__xludf.DUMMYFUNCTION("""COMPUTED_VALUE"""),"Moonstone")</f>
        <v>Moonstone</v>
      </c>
      <c r="R263" s="182" t="str">
        <f>IFERROR(__xludf.DUMMYFUNCTION("""COMPUTED_VALUE"""),"Sterling")</f>
        <v>Sterling</v>
      </c>
      <c r="S263" s="182" t="str">
        <f>IFERROR(__xludf.DUMMYFUNCTION("""COMPUTED_VALUE"""),"US - Tmobile")</f>
        <v>US - Tmobile</v>
      </c>
      <c r="T263" s="182" t="str">
        <f>IFERROR(__xludf.DUMMYFUNCTION("""COMPUTED_VALUE"""),"SKU,CLR3, GOOD, MMWAVE, TMO, DEMO, BZ5")</f>
        <v>SKU,CLR3, GOOD, MMWAVE, TMO, DEMO, BZ5</v>
      </c>
      <c r="U263" s="182"/>
      <c r="V263" s="183" t="str">
        <f>IFERROR(__xludf.DUMMYFUNCTION("""COMPUTED_VALUE"""),"#NUM!")</f>
        <v>#NUM!</v>
      </c>
      <c r="W263" s="186">
        <f>IFERROR(__xludf.DUMMYFUNCTION("""COMPUTED_VALUE"""),45831.0)</f>
        <v>45831</v>
      </c>
      <c r="X263" s="187">
        <f>IFERROR(__xludf.DUMMYFUNCTION("""COMPUTED_VALUE"""),45745.0)</f>
        <v>45745</v>
      </c>
      <c r="Y263" s="182" t="b">
        <f>IFERROR(__xludf.DUMMYFUNCTION("""COMPUTED_VALUE"""),FALSE)</f>
        <v>0</v>
      </c>
      <c r="Z263" s="187">
        <f>IFERROR(__xludf.DUMMYFUNCTION("""COMPUTED_VALUE"""),45746.0)</f>
        <v>45746</v>
      </c>
      <c r="AA263" s="182" t="b">
        <f>IFERROR(__xludf.DUMMYFUNCTION("""COMPUTED_VALUE"""),FALSE)</f>
        <v>0</v>
      </c>
      <c r="AB263" s="187">
        <f>IFERROR(__xludf.DUMMYFUNCTION("""COMPUTED_VALUE"""),45752.0)</f>
        <v>45752</v>
      </c>
      <c r="AC263" s="187">
        <f>IFERROR(__xludf.DUMMYFUNCTION("""COMPUTED_VALUE"""),45752.0)</f>
        <v>45752</v>
      </c>
      <c r="AD263" s="187">
        <f>IFERROR(__xludf.DUMMYFUNCTION("""COMPUTED_VALUE"""),45758.0)</f>
        <v>45758</v>
      </c>
      <c r="AE263" s="188" t="str">
        <f>IFERROR(__xludf.DUMMYFUNCTION("""COMPUTED_VALUE"""),"GA10787-US")</f>
        <v>GA10787-US</v>
      </c>
      <c r="AF263" s="188" t="str">
        <f>IFERROR(__xludf.DUMMYFUNCTION("""COMPUTED_VALUE"""),"GA10787-US")</f>
        <v>GA10787-US</v>
      </c>
      <c r="AG263" s="192" t="str">
        <f>IFERROR(__xludf.DUMMYFUNCTION("""COMPUTED_VALUE"""),"GA10787-US")</f>
        <v>GA10787-US</v>
      </c>
      <c r="AH263" s="192" t="str">
        <f>IFERROR(__xludf.DUMMYFUNCTION("""COMPUTED_VALUE"""),"GA10787-US")</f>
        <v>GA10787-US</v>
      </c>
      <c r="AI263" s="187">
        <f>IFERROR(__xludf.DUMMYFUNCTION("""COMPUTED_VALUE"""),45780.0)</f>
        <v>45780</v>
      </c>
      <c r="AJ263" s="182" t="b">
        <f>IFERROR(__xludf.DUMMYFUNCTION("""COMPUTED_VALUE"""),FALSE)</f>
        <v>0</v>
      </c>
      <c r="AK263" s="182" t="b">
        <f>IFERROR(__xludf.DUMMYFUNCTION("""COMPUTED_VALUE"""),FALSE)</f>
        <v>0</v>
      </c>
      <c r="AL263" s="187">
        <f>IFERROR(__xludf.DUMMYFUNCTION("""COMPUTED_VALUE"""),45780.0)</f>
        <v>45780</v>
      </c>
      <c r="AM263" s="182" t="b">
        <f>IFERROR(__xludf.DUMMYFUNCTION("""COMPUTED_VALUE"""),TRUE)</f>
        <v>1</v>
      </c>
      <c r="AN263" s="182"/>
      <c r="AO263" s="182"/>
      <c r="AP263" s="187">
        <f>IFERROR(__xludf.DUMMYFUNCTION("""COMPUTED_VALUE"""),45780.0)</f>
        <v>45780</v>
      </c>
      <c r="AQ263" s="182" t="b">
        <f>IFERROR(__xludf.DUMMYFUNCTION("""COMPUTED_VALUE"""),FALSE)</f>
        <v>0</v>
      </c>
      <c r="AR263" s="182"/>
      <c r="AS263" s="182"/>
      <c r="AT263" s="187">
        <f>IFERROR(__xludf.DUMMYFUNCTION("""COMPUTED_VALUE"""),45780.0)</f>
        <v>45780</v>
      </c>
      <c r="AU263" s="182" t="str">
        <f>IFERROR(__xludf.DUMMYFUNCTION("""COMPUTED_VALUE"""),"Y")</f>
        <v>Y</v>
      </c>
      <c r="AV263" s="182"/>
      <c r="AW263" s="187">
        <f>IFERROR(__xludf.DUMMYFUNCTION("""COMPUTED_VALUE"""),45827.0)</f>
        <v>45827</v>
      </c>
      <c r="AX263" s="187">
        <f>IFERROR(__xludf.DUMMYFUNCTION("""COMPUTED_VALUE"""),45827.0)</f>
        <v>45827</v>
      </c>
      <c r="AY263" s="182" t="b">
        <f>IFERROR(__xludf.DUMMYFUNCTION("""COMPUTED_VALUE"""),FALSE)</f>
        <v>0</v>
      </c>
      <c r="AZ263" s="182"/>
      <c r="BA263" s="182"/>
      <c r="BB263" s="182"/>
    </row>
    <row r="264">
      <c r="A264" s="184" t="str">
        <f t="shared" si="1"/>
        <v>#VALUE!</v>
      </c>
      <c r="B264" s="191" t="str">
        <f t="shared" si="3"/>
        <v>#VALUE!</v>
      </c>
      <c r="C264" s="182" t="str">
        <f>IFERROR(__xludf.DUMMYFUNCTION("""COMPUTED_VALUE"""),"TMO")</f>
        <v>TMO</v>
      </c>
      <c r="D264" s="182" t="str">
        <f>IFERROR(__xludf.DUMMYFUNCTION("""COMPUTED_VALUE"""),"MP")</f>
        <v>MP</v>
      </c>
      <c r="E264" s="182" t="str">
        <f>IFERROR(__xludf.DUMMYFUNCTION("""COMPUTED_VALUE"""),"DEMO")</f>
        <v>DEMO</v>
      </c>
      <c r="F264" s="182" t="str">
        <f>IFERROR(__xludf.DUMMYFUNCTION("""COMPUTED_VALUE"""),"GA10790-US")</f>
        <v>GA10790-US</v>
      </c>
      <c r="G264" s="182" t="str">
        <f>IFERROR(__xludf.DUMMYFUNCTION("""COMPUTED_VALUE"""),"G4QUR")</f>
        <v>G4QUR</v>
      </c>
      <c r="H264" s="182">
        <f>IFERROR(__xludf.DUMMYFUNCTION("""COMPUTED_VALUE"""),8.40353938144E11)</f>
        <v>840353938144</v>
      </c>
      <c r="I264" s="185" t="str">
        <f>IFERROR(__xludf.DUMMYFUNCTION("""COMPUTED_VALUE"""),"0840353938144")</f>
        <v>0840353938144</v>
      </c>
      <c r="J264" s="182">
        <f>IFERROR(__xludf.DUMMYFUNCTION("""COMPUTED_VALUE"""),8.40353938144E11)</f>
        <v>840353938144</v>
      </c>
      <c r="K264" s="182" t="str">
        <f>IFERROR(__xludf.DUMMYFUNCTION("""COMPUTED_VALUE"""),"MasterCartonLabel_10 pack_TMO")</f>
        <v>MasterCartonLabel_10 pack_TMO</v>
      </c>
      <c r="L264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64" s="188" t="str">
        <f>IFERROR(__xludf.DUMMYFUNCTION("""COMPUTED_VALUE"""),"G990-08499-42-02")</f>
        <v>G990-08499-42-02</v>
      </c>
      <c r="N264" s="182" t="str">
        <f>IFERROR(__xludf.DUMMYFUNCTION("""COMPUTED_VALUE"""),"TBD")</f>
        <v>TBD</v>
      </c>
      <c r="O264" s="182"/>
      <c r="P264" s="182" t="str">
        <f>IFERROR(__xludf.DUMMYFUNCTION("""COMPUTED_VALUE"""),"256GB")</f>
        <v>256GB</v>
      </c>
      <c r="Q264" s="182" t="str">
        <f>IFERROR(__xludf.DUMMYFUNCTION("""COMPUTED_VALUE"""),"Jade")</f>
        <v>Jade</v>
      </c>
      <c r="R264" s="182" t="str">
        <f>IFERROR(__xludf.DUMMYFUNCTION("""COMPUTED_VALUE"""),"Smokey Green")</f>
        <v>Smokey Green</v>
      </c>
      <c r="S264" s="182" t="str">
        <f>IFERROR(__xludf.DUMMYFUNCTION("""COMPUTED_VALUE"""),"US - Tmobile")</f>
        <v>US - Tmobile</v>
      </c>
      <c r="T264" s="182" t="str">
        <f>IFERROR(__xludf.DUMMYFUNCTION("""COMPUTED_VALUE"""),"SKU,CLR4, BETTER, MMWAVE, TMO, DEMO, BZ5")</f>
        <v>SKU,CLR4, BETTER, MMWAVE, TMO, DEMO, BZ5</v>
      </c>
      <c r="U264" s="182"/>
      <c r="V264" s="183" t="str">
        <f>IFERROR(__xludf.DUMMYFUNCTION("""COMPUTED_VALUE"""),"#NUM!")</f>
        <v>#NUM!</v>
      </c>
      <c r="W264" s="186">
        <f>IFERROR(__xludf.DUMMYFUNCTION("""COMPUTED_VALUE"""),45831.0)</f>
        <v>45831</v>
      </c>
      <c r="X264" s="187">
        <f>IFERROR(__xludf.DUMMYFUNCTION("""COMPUTED_VALUE"""),45745.0)</f>
        <v>45745</v>
      </c>
      <c r="Y264" s="182" t="b">
        <f>IFERROR(__xludf.DUMMYFUNCTION("""COMPUTED_VALUE"""),FALSE)</f>
        <v>0</v>
      </c>
      <c r="Z264" s="187">
        <f>IFERROR(__xludf.DUMMYFUNCTION("""COMPUTED_VALUE"""),45746.0)</f>
        <v>45746</v>
      </c>
      <c r="AA264" s="182" t="b">
        <f>IFERROR(__xludf.DUMMYFUNCTION("""COMPUTED_VALUE"""),FALSE)</f>
        <v>0</v>
      </c>
      <c r="AB264" s="187">
        <f>IFERROR(__xludf.DUMMYFUNCTION("""COMPUTED_VALUE"""),45752.0)</f>
        <v>45752</v>
      </c>
      <c r="AC264" s="187">
        <f>IFERROR(__xludf.DUMMYFUNCTION("""COMPUTED_VALUE"""),45752.0)</f>
        <v>45752</v>
      </c>
      <c r="AD264" s="187">
        <f>IFERROR(__xludf.DUMMYFUNCTION("""COMPUTED_VALUE"""),45758.0)</f>
        <v>45758</v>
      </c>
      <c r="AE264" s="182"/>
      <c r="AF264" s="188" t="str">
        <f>IFERROR(__xludf.DUMMYFUNCTION("""COMPUTED_VALUE"""),"GA10790-US")</f>
        <v>GA10790-US</v>
      </c>
      <c r="AG264" s="182"/>
      <c r="AH264" s="182"/>
      <c r="AI264" s="187">
        <f>IFERROR(__xludf.DUMMYFUNCTION("""COMPUTED_VALUE"""),45780.0)</f>
        <v>45780</v>
      </c>
      <c r="AJ264" s="182" t="b">
        <f>IFERROR(__xludf.DUMMYFUNCTION("""COMPUTED_VALUE"""),FALSE)</f>
        <v>0</v>
      </c>
      <c r="AK264" s="182" t="b">
        <f>IFERROR(__xludf.DUMMYFUNCTION("""COMPUTED_VALUE"""),FALSE)</f>
        <v>0</v>
      </c>
      <c r="AL264" s="187">
        <f>IFERROR(__xludf.DUMMYFUNCTION("""COMPUTED_VALUE"""),45780.0)</f>
        <v>45780</v>
      </c>
      <c r="AM264" s="182" t="b">
        <f>IFERROR(__xludf.DUMMYFUNCTION("""COMPUTED_VALUE"""),FALSE)</f>
        <v>0</v>
      </c>
      <c r="AN264" s="182"/>
      <c r="AO264" s="182"/>
      <c r="AP264" s="187">
        <f>IFERROR(__xludf.DUMMYFUNCTION("""COMPUTED_VALUE"""),45780.0)</f>
        <v>45780</v>
      </c>
      <c r="AQ264" s="182" t="b">
        <f>IFERROR(__xludf.DUMMYFUNCTION("""COMPUTED_VALUE"""),FALSE)</f>
        <v>0</v>
      </c>
      <c r="AR264" s="182"/>
      <c r="AS264" s="182"/>
      <c r="AT264" s="187">
        <f>IFERROR(__xludf.DUMMYFUNCTION("""COMPUTED_VALUE"""),45780.0)</f>
        <v>45780</v>
      </c>
      <c r="AU264" s="182"/>
      <c r="AV264" s="182"/>
      <c r="AW264" s="187">
        <f>IFERROR(__xludf.DUMMYFUNCTION("""COMPUTED_VALUE"""),45827.0)</f>
        <v>45827</v>
      </c>
      <c r="AX264" s="187">
        <f>IFERROR(__xludf.DUMMYFUNCTION("""COMPUTED_VALUE"""),45827.0)</f>
        <v>45827</v>
      </c>
      <c r="AY264" s="182" t="b">
        <f>IFERROR(__xludf.DUMMYFUNCTION("""COMPUTED_VALUE"""),FALSE)</f>
        <v>0</v>
      </c>
      <c r="AZ264" s="182"/>
      <c r="BA264" s="182"/>
      <c r="BB264" s="182"/>
    </row>
    <row r="265">
      <c r="A265" s="184" t="str">
        <f t="shared" si="1"/>
        <v>#VALUE!</v>
      </c>
      <c r="B265" s="191" t="str">
        <f t="shared" si="3"/>
        <v>#VALUE!</v>
      </c>
      <c r="C265" s="182" t="str">
        <f>IFERROR(__xludf.DUMMYFUNCTION("""COMPUTED_VALUE"""),"VZW")</f>
        <v>VZW</v>
      </c>
      <c r="D265" s="182" t="str">
        <f>IFERROR(__xludf.DUMMYFUNCTION("""COMPUTED_VALUE"""),"MP")</f>
        <v>MP</v>
      </c>
      <c r="E265" s="182" t="str">
        <f>IFERROR(__xludf.DUMMYFUNCTION("""COMPUTED_VALUE"""),"CLNR")</f>
        <v>CLNR</v>
      </c>
      <c r="F265" s="182" t="str">
        <f>IFERROR(__xludf.DUMMYFUNCTION("""COMPUTED_VALUE"""),"CLNRGOGA09187")</f>
        <v>CLNRGOGA09187</v>
      </c>
      <c r="G265" s="182" t="str">
        <f>IFERROR(__xludf.DUMMYFUNCTION("""COMPUTED_VALUE"""),"G4QUR")</f>
        <v>G4QUR</v>
      </c>
      <c r="H265" s="182">
        <f>IFERROR(__xludf.DUMMYFUNCTION("""COMPUTED_VALUE"""),8.40353936713E11)</f>
        <v>840353936713</v>
      </c>
      <c r="I265" s="185" t="str">
        <f>IFERROR(__xludf.DUMMYFUNCTION("""COMPUTED_VALUE"""),"0840353936713")</f>
        <v>0840353936713</v>
      </c>
      <c r="J265" s="182"/>
      <c r="K265" s="182" t="str">
        <f>IFERROR(__xludf.DUMMYFUNCTION("""COMPUTED_VALUE"""),"VZN Master Carton Label")</f>
        <v>VZN Master Carton Label</v>
      </c>
      <c r="L265" s="182" t="str">
        <f>IFERROR(__xludf.DUMMYFUNCTION("""COMPUTED_VALUE"""),"VZN Pallet Label -&gt; BTS(Normal case)")</f>
        <v>VZN Pallet Label -&gt; BTS(Normal case)</v>
      </c>
      <c r="M265" s="182" t="str">
        <f>IFERROR(__xludf.DUMMYFUNCTION("""COMPUTED_VALUE"""),"N/A")</f>
        <v>N/A</v>
      </c>
      <c r="N265" s="182" t="str">
        <f>IFERROR(__xludf.DUMMYFUNCTION("""COMPUTED_VALUE"""),"N/A")</f>
        <v>N/A</v>
      </c>
      <c r="O265" s="182"/>
      <c r="P265" s="182" t="str">
        <f>IFERROR(__xludf.DUMMYFUNCTION("""COMPUTED_VALUE"""),"128GB")</f>
        <v>128GB</v>
      </c>
      <c r="Q265" s="182" t="str">
        <f>IFERROR(__xludf.DUMMYFUNCTION("""COMPUTED_VALUE"""),"Obsidian")</f>
        <v>Obsidian</v>
      </c>
      <c r="R265" s="182" t="str">
        <f>IFERROR(__xludf.DUMMYFUNCTION("""COMPUTED_VALUE"""),"Midnight")</f>
        <v>Midnight</v>
      </c>
      <c r="S265" s="182" t="str">
        <f>IFERROR(__xludf.DUMMYFUNCTION("""COMPUTED_VALUE"""),"US-VZW")</f>
        <v>US-VZW</v>
      </c>
      <c r="T265" s="182" t="str">
        <f>IFERROR(__xludf.DUMMYFUNCTION("""COMPUTED_VALUE"""),"SKU,CLR1, GOOD, MMWAVE, VZW, BZ5, FRU")</f>
        <v>SKU,CLR1, GOOD, MMWAVE, VZW, BZ5, FRU</v>
      </c>
      <c r="U265" s="182"/>
      <c r="V265" s="183" t="str">
        <f>IFERROR(__xludf.DUMMYFUNCTION("""COMPUTED_VALUE"""),"#NUM!")</f>
        <v>#NUM!</v>
      </c>
      <c r="W265" s="186">
        <f>IFERROR(__xludf.DUMMYFUNCTION("""COMPUTED_VALUE"""),45831.0)</f>
        <v>45831</v>
      </c>
      <c r="X265" s="187">
        <f>IFERROR(__xludf.DUMMYFUNCTION("""COMPUTED_VALUE"""),45745.0)</f>
        <v>45745</v>
      </c>
      <c r="Y265" s="182" t="b">
        <f>IFERROR(__xludf.DUMMYFUNCTION("""COMPUTED_VALUE"""),FALSE)</f>
        <v>0</v>
      </c>
      <c r="Z265" s="187">
        <f>IFERROR(__xludf.DUMMYFUNCTION("""COMPUTED_VALUE"""),45746.0)</f>
        <v>45746</v>
      </c>
      <c r="AA265" s="182" t="b">
        <f>IFERROR(__xludf.DUMMYFUNCTION("""COMPUTED_VALUE"""),FALSE)</f>
        <v>0</v>
      </c>
      <c r="AB265" s="187">
        <f>IFERROR(__xludf.DUMMYFUNCTION("""COMPUTED_VALUE"""),45752.0)</f>
        <v>45752</v>
      </c>
      <c r="AC265" s="187">
        <f>IFERROR(__xludf.DUMMYFUNCTION("""COMPUTED_VALUE"""),45752.0)</f>
        <v>45752</v>
      </c>
      <c r="AD265" s="187">
        <f>IFERROR(__xludf.DUMMYFUNCTION("""COMPUTED_VALUE"""),45758.0)</f>
        <v>45758</v>
      </c>
      <c r="AE265" s="188" t="str">
        <f>IFERROR(__xludf.DUMMYFUNCTION("""COMPUTED_VALUE"""),"CLNRGOGA09187")</f>
        <v>CLNRGOGA09187</v>
      </c>
      <c r="AF265" s="188" t="str">
        <f>IFERROR(__xludf.DUMMYFUNCTION("""COMPUTED_VALUE"""),"CLNRGOGA09187")</f>
        <v>CLNRGOGA09187</v>
      </c>
      <c r="AG265" s="182" t="str">
        <f>IFERROR(__xludf.DUMMYFUNCTION("""COMPUTED_VALUE"""),"N/A")</f>
        <v>N/A</v>
      </c>
      <c r="AH265" s="188" t="str">
        <f>IFERROR(__xludf.DUMMYFUNCTION("""COMPUTED_VALUE"""),"CLNRGOGA09187")</f>
        <v>CLNRGOGA09187</v>
      </c>
      <c r="AI265" s="187">
        <f>IFERROR(__xludf.DUMMYFUNCTION("""COMPUTED_VALUE"""),45780.0)</f>
        <v>45780</v>
      </c>
      <c r="AJ265" s="182" t="b">
        <f>IFERROR(__xludf.DUMMYFUNCTION("""COMPUTED_VALUE"""),FALSE)</f>
        <v>0</v>
      </c>
      <c r="AK265" s="182" t="b">
        <f>IFERROR(__xludf.DUMMYFUNCTION("""COMPUTED_VALUE"""),FALSE)</f>
        <v>0</v>
      </c>
      <c r="AL265" s="187">
        <f>IFERROR(__xludf.DUMMYFUNCTION("""COMPUTED_VALUE"""),45780.0)</f>
        <v>45780</v>
      </c>
      <c r="AM265" s="182" t="b">
        <f>IFERROR(__xludf.DUMMYFUNCTION("""COMPUTED_VALUE"""),TRUE)</f>
        <v>1</v>
      </c>
      <c r="AN265" s="182" t="str">
        <f>IFERROR(__xludf.DUMMYFUNCTION("""COMPUTED_VALUE"""),"N")</f>
        <v>N</v>
      </c>
      <c r="AO265" s="182"/>
      <c r="AP265" s="187">
        <f>IFERROR(__xludf.DUMMYFUNCTION("""COMPUTED_VALUE"""),45780.0)</f>
        <v>45780</v>
      </c>
      <c r="AQ265" s="182" t="b">
        <f>IFERROR(__xludf.DUMMYFUNCTION("""COMPUTED_VALUE"""),FALSE)</f>
        <v>0</v>
      </c>
      <c r="AR265" s="182" t="str">
        <f>IFERROR(__xludf.DUMMYFUNCTION("""COMPUTED_VALUE"""),"N")</f>
        <v>N</v>
      </c>
      <c r="AS265" s="182"/>
      <c r="AT265" s="187">
        <f>IFERROR(__xludf.DUMMYFUNCTION("""COMPUTED_VALUE"""),45780.0)</f>
        <v>45780</v>
      </c>
      <c r="AU265" s="182"/>
      <c r="AV265" s="182"/>
      <c r="AW265" s="187">
        <f>IFERROR(__xludf.DUMMYFUNCTION("""COMPUTED_VALUE"""),45827.0)</f>
        <v>45827</v>
      </c>
      <c r="AX265" s="187">
        <f>IFERROR(__xludf.DUMMYFUNCTION("""COMPUTED_VALUE"""),45827.0)</f>
        <v>45827</v>
      </c>
      <c r="AY265" s="182" t="b">
        <f>IFERROR(__xludf.DUMMYFUNCTION("""COMPUTED_VALUE"""),FALSE)</f>
        <v>0</v>
      </c>
      <c r="AZ265" s="182"/>
      <c r="BA265" s="182"/>
      <c r="BB265" s="182"/>
    </row>
    <row r="266">
      <c r="A266" s="184" t="str">
        <f t="shared" si="1"/>
        <v>#VALUE!</v>
      </c>
      <c r="B266" s="191" t="str">
        <f t="shared" si="3"/>
        <v>#VALUE!</v>
      </c>
      <c r="C266" s="182" t="str">
        <f>IFERROR(__xludf.DUMMYFUNCTION("""COMPUTED_VALUE"""),"VZW")</f>
        <v>VZW</v>
      </c>
      <c r="D266" s="182" t="str">
        <f>IFERROR(__xludf.DUMMYFUNCTION("""COMPUTED_VALUE"""),"MP")</f>
        <v>MP</v>
      </c>
      <c r="E266" s="182" t="str">
        <f>IFERROR(__xludf.DUMMYFUNCTION("""COMPUTED_VALUE"""),"CLNR")</f>
        <v>CLNR</v>
      </c>
      <c r="F266" s="182" t="str">
        <f>IFERROR(__xludf.DUMMYFUNCTION("""COMPUTED_VALUE"""),"CLNRGOGA10276")</f>
        <v>CLNRGOGA10276</v>
      </c>
      <c r="G266" s="182" t="str">
        <f>IFERROR(__xludf.DUMMYFUNCTION("""COMPUTED_VALUE"""),"G4QUR")</f>
        <v>G4QUR</v>
      </c>
      <c r="H266" s="182">
        <f>IFERROR(__xludf.DUMMYFUNCTION("""COMPUTED_VALUE"""),8.40353936836E11)</f>
        <v>840353936836</v>
      </c>
      <c r="I266" s="185" t="str">
        <f>IFERROR(__xludf.DUMMYFUNCTION("""COMPUTED_VALUE"""),"0840353936836")</f>
        <v>0840353936836</v>
      </c>
      <c r="J266" s="182"/>
      <c r="K266" s="182" t="str">
        <f>IFERROR(__xludf.DUMMYFUNCTION("""COMPUTED_VALUE"""),"VZN Master Carton Label")</f>
        <v>VZN Master Carton Label</v>
      </c>
      <c r="L266" s="182" t="str">
        <f>IFERROR(__xludf.DUMMYFUNCTION("""COMPUTED_VALUE"""),"VZN Pallet Label -&gt; BTS(Normal case)")</f>
        <v>VZN Pallet Label -&gt; BTS(Normal case)</v>
      </c>
      <c r="M266" s="182" t="str">
        <f>IFERROR(__xludf.DUMMYFUNCTION("""COMPUTED_VALUE"""),"N/A")</f>
        <v>N/A</v>
      </c>
      <c r="N266" s="182" t="str">
        <f>IFERROR(__xludf.DUMMYFUNCTION("""COMPUTED_VALUE"""),"N/A")</f>
        <v>N/A</v>
      </c>
      <c r="O266" s="182"/>
      <c r="P266" s="182" t="str">
        <f>IFERROR(__xludf.DUMMYFUNCTION("""COMPUTED_VALUE"""),"128GB")</f>
        <v>128GB</v>
      </c>
      <c r="Q266" s="182" t="str">
        <f>IFERROR(__xludf.DUMMYFUNCTION("""COMPUTED_VALUE"""),"Moonstone")</f>
        <v>Moonstone</v>
      </c>
      <c r="R266" s="182" t="str">
        <f>IFERROR(__xludf.DUMMYFUNCTION("""COMPUTED_VALUE"""),"Sterling")</f>
        <v>Sterling</v>
      </c>
      <c r="S266" s="182" t="str">
        <f>IFERROR(__xludf.DUMMYFUNCTION("""COMPUTED_VALUE"""),"US-VZW")</f>
        <v>US-VZW</v>
      </c>
      <c r="T266" s="182" t="str">
        <f>IFERROR(__xludf.DUMMYFUNCTION("""COMPUTED_VALUE"""),"SKU,CLR3, GOOD, MMWAVE, VZW, BZ5, FRU")</f>
        <v>SKU,CLR3, GOOD, MMWAVE, VZW, BZ5, FRU</v>
      </c>
      <c r="U266" s="182"/>
      <c r="V266" s="183" t="str">
        <f>IFERROR(__xludf.DUMMYFUNCTION("""COMPUTED_VALUE"""),"#NUM!")</f>
        <v>#NUM!</v>
      </c>
      <c r="W266" s="186">
        <f>IFERROR(__xludf.DUMMYFUNCTION("""COMPUTED_VALUE"""),45831.0)</f>
        <v>45831</v>
      </c>
      <c r="X266" s="187">
        <f>IFERROR(__xludf.DUMMYFUNCTION("""COMPUTED_VALUE"""),45745.0)</f>
        <v>45745</v>
      </c>
      <c r="Y266" s="182" t="b">
        <f>IFERROR(__xludf.DUMMYFUNCTION("""COMPUTED_VALUE"""),FALSE)</f>
        <v>0</v>
      </c>
      <c r="Z266" s="187">
        <f>IFERROR(__xludf.DUMMYFUNCTION("""COMPUTED_VALUE"""),45746.0)</f>
        <v>45746</v>
      </c>
      <c r="AA266" s="182" t="b">
        <f>IFERROR(__xludf.DUMMYFUNCTION("""COMPUTED_VALUE"""),FALSE)</f>
        <v>0</v>
      </c>
      <c r="AB266" s="187">
        <f>IFERROR(__xludf.DUMMYFUNCTION("""COMPUTED_VALUE"""),45752.0)</f>
        <v>45752</v>
      </c>
      <c r="AC266" s="187">
        <f>IFERROR(__xludf.DUMMYFUNCTION("""COMPUTED_VALUE"""),45752.0)</f>
        <v>45752</v>
      </c>
      <c r="AD266" s="187">
        <f>IFERROR(__xludf.DUMMYFUNCTION("""COMPUTED_VALUE"""),45758.0)</f>
        <v>45758</v>
      </c>
      <c r="AE266" s="188" t="str">
        <f>IFERROR(__xludf.DUMMYFUNCTION("""COMPUTED_VALUE"""),"CLNRGOGA10276")</f>
        <v>CLNRGOGA10276</v>
      </c>
      <c r="AF266" s="188" t="str">
        <f>IFERROR(__xludf.DUMMYFUNCTION("""COMPUTED_VALUE"""),"CLNRGOGA10276")</f>
        <v>CLNRGOGA10276</v>
      </c>
      <c r="AG266" s="182" t="str">
        <f>IFERROR(__xludf.DUMMYFUNCTION("""COMPUTED_VALUE"""),"N/A")</f>
        <v>N/A</v>
      </c>
      <c r="AH266" s="188" t="str">
        <f>IFERROR(__xludf.DUMMYFUNCTION("""COMPUTED_VALUE"""),"CLNRGOGA10276")</f>
        <v>CLNRGOGA10276</v>
      </c>
      <c r="AI266" s="187">
        <f>IFERROR(__xludf.DUMMYFUNCTION("""COMPUTED_VALUE"""),45780.0)</f>
        <v>45780</v>
      </c>
      <c r="AJ266" s="182" t="b">
        <f>IFERROR(__xludf.DUMMYFUNCTION("""COMPUTED_VALUE"""),FALSE)</f>
        <v>0</v>
      </c>
      <c r="AK266" s="182" t="b">
        <f>IFERROR(__xludf.DUMMYFUNCTION("""COMPUTED_VALUE"""),FALSE)</f>
        <v>0</v>
      </c>
      <c r="AL266" s="187">
        <f>IFERROR(__xludf.DUMMYFUNCTION("""COMPUTED_VALUE"""),45780.0)</f>
        <v>45780</v>
      </c>
      <c r="AM266" s="182" t="b">
        <f>IFERROR(__xludf.DUMMYFUNCTION("""COMPUTED_VALUE"""),TRUE)</f>
        <v>1</v>
      </c>
      <c r="AN266" s="182" t="str">
        <f>IFERROR(__xludf.DUMMYFUNCTION("""COMPUTED_VALUE"""),"Y")</f>
        <v>Y</v>
      </c>
      <c r="AO266" s="182"/>
      <c r="AP266" s="187">
        <f>IFERROR(__xludf.DUMMYFUNCTION("""COMPUTED_VALUE"""),45780.0)</f>
        <v>45780</v>
      </c>
      <c r="AQ266" s="182" t="b">
        <f>IFERROR(__xludf.DUMMYFUNCTION("""COMPUTED_VALUE"""),FALSE)</f>
        <v>0</v>
      </c>
      <c r="AR266" s="182" t="str">
        <f>IFERROR(__xludf.DUMMYFUNCTION("""COMPUTED_VALUE"""),"N")</f>
        <v>N</v>
      </c>
      <c r="AS266" s="182"/>
      <c r="AT266" s="187">
        <f>IFERROR(__xludf.DUMMYFUNCTION("""COMPUTED_VALUE"""),45780.0)</f>
        <v>45780</v>
      </c>
      <c r="AU266" s="182"/>
      <c r="AV266" s="182"/>
      <c r="AW266" s="187">
        <f>IFERROR(__xludf.DUMMYFUNCTION("""COMPUTED_VALUE"""),45827.0)</f>
        <v>45827</v>
      </c>
      <c r="AX266" s="187">
        <f>IFERROR(__xludf.DUMMYFUNCTION("""COMPUTED_VALUE"""),45827.0)</f>
        <v>45827</v>
      </c>
      <c r="AY266" s="182" t="b">
        <f>IFERROR(__xludf.DUMMYFUNCTION("""COMPUTED_VALUE"""),FALSE)</f>
        <v>0</v>
      </c>
      <c r="AZ266" s="182"/>
      <c r="BA266" s="182"/>
      <c r="BB266" s="182"/>
    </row>
    <row r="267">
      <c r="A267" s="184" t="str">
        <f t="shared" si="1"/>
        <v>#VALUE!</v>
      </c>
      <c r="B267" s="191" t="str">
        <f t="shared" si="3"/>
        <v>#VALUE!</v>
      </c>
      <c r="C267" s="182" t="str">
        <f>IFERROR(__xludf.DUMMYFUNCTION("""COMPUTED_VALUE"""),"VZW")</f>
        <v>VZW</v>
      </c>
      <c r="D267" s="182" t="str">
        <f>IFERROR(__xludf.DUMMYFUNCTION("""COMPUTED_VALUE"""),"MP")</f>
        <v>MP</v>
      </c>
      <c r="E267" s="182" t="str">
        <f>IFERROR(__xludf.DUMMYFUNCTION("""COMPUTED_VALUE"""),"CLNR")</f>
        <v>CLNR</v>
      </c>
      <c r="F267" s="182" t="str">
        <f>IFERROR(__xludf.DUMMYFUNCTION("""COMPUTED_VALUE"""),"CLNRGOGA09896")</f>
        <v>CLNRGOGA09896</v>
      </c>
      <c r="G267" s="182" t="str">
        <f>IFERROR(__xludf.DUMMYFUNCTION("""COMPUTED_VALUE"""),"G4QUR")</f>
        <v>G4QUR</v>
      </c>
      <c r="H267" s="182">
        <f>IFERROR(__xludf.DUMMYFUNCTION("""COMPUTED_VALUE"""),8.40353936898E11)</f>
        <v>840353936898</v>
      </c>
      <c r="I267" s="185" t="str">
        <f>IFERROR(__xludf.DUMMYFUNCTION("""COMPUTED_VALUE"""),"0840353936898")</f>
        <v>0840353936898</v>
      </c>
      <c r="J267" s="182"/>
      <c r="K267" s="182" t="str">
        <f>IFERROR(__xludf.DUMMYFUNCTION("""COMPUTED_VALUE"""),"VZN Master Carton Label")</f>
        <v>VZN Master Carton Label</v>
      </c>
      <c r="L267" s="182" t="str">
        <f>IFERROR(__xludf.DUMMYFUNCTION("""COMPUTED_VALUE"""),"VZN Pallet Label -&gt; BTS(Normal case)")</f>
        <v>VZN Pallet Label -&gt; BTS(Normal case)</v>
      </c>
      <c r="M267" s="182" t="str">
        <f>IFERROR(__xludf.DUMMYFUNCTION("""COMPUTED_VALUE"""),"N/A")</f>
        <v>N/A</v>
      </c>
      <c r="N267" s="182" t="str">
        <f>IFERROR(__xludf.DUMMYFUNCTION("""COMPUTED_VALUE"""),"N/A")</f>
        <v>N/A</v>
      </c>
      <c r="O267" s="182"/>
      <c r="P267" s="182" t="str">
        <f>IFERROR(__xludf.DUMMYFUNCTION("""COMPUTED_VALUE"""),"256GB")</f>
        <v>256GB</v>
      </c>
      <c r="Q267" s="182" t="str">
        <f>IFERROR(__xludf.DUMMYFUNCTION("""COMPUTED_VALUE"""),"Obsidian")</f>
        <v>Obsidian</v>
      </c>
      <c r="R267" s="182" t="str">
        <f>IFERROR(__xludf.DUMMYFUNCTION("""COMPUTED_VALUE"""),"Midnight")</f>
        <v>Midnight</v>
      </c>
      <c r="S267" s="182" t="str">
        <f>IFERROR(__xludf.DUMMYFUNCTION("""COMPUTED_VALUE"""),"US-VZW")</f>
        <v>US-VZW</v>
      </c>
      <c r="T267" s="182" t="str">
        <f>IFERROR(__xludf.DUMMYFUNCTION("""COMPUTED_VALUE"""),"SKU,CLR1, BETTER, MMWAVE, VZW, BZ5, FRU")</f>
        <v>SKU,CLR1, BETTER, MMWAVE, VZW, BZ5, FRU</v>
      </c>
      <c r="U267" s="182"/>
      <c r="V267" s="183" t="str">
        <f>IFERROR(__xludf.DUMMYFUNCTION("""COMPUTED_VALUE"""),"#NUM!")</f>
        <v>#NUM!</v>
      </c>
      <c r="W267" s="186">
        <f>IFERROR(__xludf.DUMMYFUNCTION("""COMPUTED_VALUE"""),45831.0)</f>
        <v>45831</v>
      </c>
      <c r="X267" s="187">
        <f>IFERROR(__xludf.DUMMYFUNCTION("""COMPUTED_VALUE"""),45745.0)</f>
        <v>45745</v>
      </c>
      <c r="Y267" s="182" t="b">
        <f>IFERROR(__xludf.DUMMYFUNCTION("""COMPUTED_VALUE"""),FALSE)</f>
        <v>0</v>
      </c>
      <c r="Z267" s="187">
        <f>IFERROR(__xludf.DUMMYFUNCTION("""COMPUTED_VALUE"""),45746.0)</f>
        <v>45746</v>
      </c>
      <c r="AA267" s="182" t="b">
        <f>IFERROR(__xludf.DUMMYFUNCTION("""COMPUTED_VALUE"""),FALSE)</f>
        <v>0</v>
      </c>
      <c r="AB267" s="187">
        <f>IFERROR(__xludf.DUMMYFUNCTION("""COMPUTED_VALUE"""),45752.0)</f>
        <v>45752</v>
      </c>
      <c r="AC267" s="187">
        <f>IFERROR(__xludf.DUMMYFUNCTION("""COMPUTED_VALUE"""),45752.0)</f>
        <v>45752</v>
      </c>
      <c r="AD267" s="187">
        <f>IFERROR(__xludf.DUMMYFUNCTION("""COMPUTED_VALUE"""),45758.0)</f>
        <v>45758</v>
      </c>
      <c r="AE267" s="188" t="str">
        <f>IFERROR(__xludf.DUMMYFUNCTION("""COMPUTED_VALUE"""),"CLNRGOGA09896")</f>
        <v>CLNRGOGA09896</v>
      </c>
      <c r="AF267" s="188" t="str">
        <f>IFERROR(__xludf.DUMMYFUNCTION("""COMPUTED_VALUE"""),"CLNRGOGA09896")</f>
        <v>CLNRGOGA09896</v>
      </c>
      <c r="AG267" s="182" t="str">
        <f>IFERROR(__xludf.DUMMYFUNCTION("""COMPUTED_VALUE"""),"N/A")</f>
        <v>N/A</v>
      </c>
      <c r="AH267" s="188" t="str">
        <f>IFERROR(__xludf.DUMMYFUNCTION("""COMPUTED_VALUE"""),"CLNRGOGA09896")</f>
        <v>CLNRGOGA09896</v>
      </c>
      <c r="AI267" s="187">
        <f>IFERROR(__xludf.DUMMYFUNCTION("""COMPUTED_VALUE"""),45780.0)</f>
        <v>45780</v>
      </c>
      <c r="AJ267" s="182" t="b">
        <f>IFERROR(__xludf.DUMMYFUNCTION("""COMPUTED_VALUE"""),FALSE)</f>
        <v>0</v>
      </c>
      <c r="AK267" s="182" t="b">
        <f>IFERROR(__xludf.DUMMYFUNCTION("""COMPUTED_VALUE"""),FALSE)</f>
        <v>0</v>
      </c>
      <c r="AL267" s="187">
        <f>IFERROR(__xludf.DUMMYFUNCTION("""COMPUTED_VALUE"""),45780.0)</f>
        <v>45780</v>
      </c>
      <c r="AM267" s="182" t="b">
        <f>IFERROR(__xludf.DUMMYFUNCTION("""COMPUTED_VALUE"""),TRUE)</f>
        <v>1</v>
      </c>
      <c r="AN267" s="182" t="str">
        <f>IFERROR(__xludf.DUMMYFUNCTION("""COMPUTED_VALUE"""),"N")</f>
        <v>N</v>
      </c>
      <c r="AO267" s="182"/>
      <c r="AP267" s="187">
        <f>IFERROR(__xludf.DUMMYFUNCTION("""COMPUTED_VALUE"""),45780.0)</f>
        <v>45780</v>
      </c>
      <c r="AQ267" s="182" t="b">
        <f>IFERROR(__xludf.DUMMYFUNCTION("""COMPUTED_VALUE"""),FALSE)</f>
        <v>0</v>
      </c>
      <c r="AR267" s="182" t="str">
        <f>IFERROR(__xludf.DUMMYFUNCTION("""COMPUTED_VALUE"""),"N")</f>
        <v>N</v>
      </c>
      <c r="AS267" s="182"/>
      <c r="AT267" s="187">
        <f>IFERROR(__xludf.DUMMYFUNCTION("""COMPUTED_VALUE"""),45780.0)</f>
        <v>45780</v>
      </c>
      <c r="AU267" s="182"/>
      <c r="AV267" s="182"/>
      <c r="AW267" s="187">
        <f>IFERROR(__xludf.DUMMYFUNCTION("""COMPUTED_VALUE"""),45827.0)</f>
        <v>45827</v>
      </c>
      <c r="AX267" s="187">
        <f>IFERROR(__xludf.DUMMYFUNCTION("""COMPUTED_VALUE"""),45827.0)</f>
        <v>45827</v>
      </c>
      <c r="AY267" s="182" t="b">
        <f>IFERROR(__xludf.DUMMYFUNCTION("""COMPUTED_VALUE"""),FALSE)</f>
        <v>0</v>
      </c>
      <c r="AZ267" s="182"/>
      <c r="BA267" s="182"/>
      <c r="BB267" s="182"/>
    </row>
    <row r="268">
      <c r="A268" s="184" t="str">
        <f t="shared" si="1"/>
        <v>#VALUE!</v>
      </c>
      <c r="B268" s="191" t="str">
        <f t="shared" si="3"/>
        <v>#VALUE!</v>
      </c>
      <c r="C268" s="182" t="str">
        <f>IFERROR(__xludf.DUMMYFUNCTION("""COMPUTED_VALUE"""),"VZW")</f>
        <v>VZW</v>
      </c>
      <c r="D268" s="182" t="str">
        <f>IFERROR(__xludf.DUMMYFUNCTION("""COMPUTED_VALUE"""),"MP")</f>
        <v>MP</v>
      </c>
      <c r="E268" s="182" t="str">
        <f>IFERROR(__xludf.DUMMYFUNCTION("""COMPUTED_VALUE"""),"CLNR")</f>
        <v>CLNR</v>
      </c>
      <c r="F268" s="182" t="str">
        <f>IFERROR(__xludf.DUMMYFUNCTION("""COMPUTED_VALUE"""),"CLNRGOGA10278")</f>
        <v>CLNRGOGA10278</v>
      </c>
      <c r="G268" s="182" t="str">
        <f>IFERROR(__xludf.DUMMYFUNCTION("""COMPUTED_VALUE"""),"G4QUR")</f>
        <v>G4QUR</v>
      </c>
      <c r="H268" s="182">
        <f>IFERROR(__xludf.DUMMYFUNCTION("""COMPUTED_VALUE"""),8.40353936911E11)</f>
        <v>840353936911</v>
      </c>
      <c r="I268" s="185" t="str">
        <f>IFERROR(__xludf.DUMMYFUNCTION("""COMPUTED_VALUE"""),"0840353936911")</f>
        <v>0840353936911</v>
      </c>
      <c r="J268" s="182"/>
      <c r="K268" s="182" t="str">
        <f>IFERROR(__xludf.DUMMYFUNCTION("""COMPUTED_VALUE"""),"VZN Master Carton Label")</f>
        <v>VZN Master Carton Label</v>
      </c>
      <c r="L268" s="182" t="str">
        <f>IFERROR(__xludf.DUMMYFUNCTION("""COMPUTED_VALUE"""),"VZN Pallet Label -&gt; BTS(Normal case)")</f>
        <v>VZN Pallet Label -&gt; BTS(Normal case)</v>
      </c>
      <c r="M268" s="182" t="str">
        <f>IFERROR(__xludf.DUMMYFUNCTION("""COMPUTED_VALUE"""),"N/A")</f>
        <v>N/A</v>
      </c>
      <c r="N268" s="182" t="str">
        <f>IFERROR(__xludf.DUMMYFUNCTION("""COMPUTED_VALUE"""),"N/A")</f>
        <v>N/A</v>
      </c>
      <c r="O268" s="182"/>
      <c r="P268" s="182" t="str">
        <f>IFERROR(__xludf.DUMMYFUNCTION("""COMPUTED_VALUE"""),"256GB")</f>
        <v>256GB</v>
      </c>
      <c r="Q268" s="182" t="str">
        <f>IFERROR(__xludf.DUMMYFUNCTION("""COMPUTED_VALUE"""),"Moonstone")</f>
        <v>Moonstone</v>
      </c>
      <c r="R268" s="182" t="str">
        <f>IFERROR(__xludf.DUMMYFUNCTION("""COMPUTED_VALUE"""),"Sterling")</f>
        <v>Sterling</v>
      </c>
      <c r="S268" s="182" t="str">
        <f>IFERROR(__xludf.DUMMYFUNCTION("""COMPUTED_VALUE"""),"US-VZW")</f>
        <v>US-VZW</v>
      </c>
      <c r="T268" s="182" t="str">
        <f>IFERROR(__xludf.DUMMYFUNCTION("""COMPUTED_VALUE"""),"SKU,CLR3, BETTER, MMWAVE, VZW, BZ5, FRU")</f>
        <v>SKU,CLR3, BETTER, MMWAVE, VZW, BZ5, FRU</v>
      </c>
      <c r="U268" s="182"/>
      <c r="V268" s="183" t="str">
        <f>IFERROR(__xludf.DUMMYFUNCTION("""COMPUTED_VALUE"""),"#NUM!")</f>
        <v>#NUM!</v>
      </c>
      <c r="W268" s="186">
        <f>IFERROR(__xludf.DUMMYFUNCTION("""COMPUTED_VALUE"""),45831.0)</f>
        <v>45831</v>
      </c>
      <c r="X268" s="187">
        <f>IFERROR(__xludf.DUMMYFUNCTION("""COMPUTED_VALUE"""),45745.0)</f>
        <v>45745</v>
      </c>
      <c r="Y268" s="182" t="b">
        <f>IFERROR(__xludf.DUMMYFUNCTION("""COMPUTED_VALUE"""),FALSE)</f>
        <v>0</v>
      </c>
      <c r="Z268" s="187">
        <f>IFERROR(__xludf.DUMMYFUNCTION("""COMPUTED_VALUE"""),45746.0)</f>
        <v>45746</v>
      </c>
      <c r="AA268" s="182" t="b">
        <f>IFERROR(__xludf.DUMMYFUNCTION("""COMPUTED_VALUE"""),FALSE)</f>
        <v>0</v>
      </c>
      <c r="AB268" s="187">
        <f>IFERROR(__xludf.DUMMYFUNCTION("""COMPUTED_VALUE"""),45752.0)</f>
        <v>45752</v>
      </c>
      <c r="AC268" s="187">
        <f>IFERROR(__xludf.DUMMYFUNCTION("""COMPUTED_VALUE"""),45752.0)</f>
        <v>45752</v>
      </c>
      <c r="AD268" s="187">
        <f>IFERROR(__xludf.DUMMYFUNCTION("""COMPUTED_VALUE"""),45758.0)</f>
        <v>45758</v>
      </c>
      <c r="AE268" s="188" t="str">
        <f>IFERROR(__xludf.DUMMYFUNCTION("""COMPUTED_VALUE"""),"CLNRGOGA10278")</f>
        <v>CLNRGOGA10278</v>
      </c>
      <c r="AF268" s="188" t="str">
        <f>IFERROR(__xludf.DUMMYFUNCTION("""COMPUTED_VALUE"""),"CLNRGOGA10278")</f>
        <v>CLNRGOGA10278</v>
      </c>
      <c r="AG268" s="182" t="str">
        <f>IFERROR(__xludf.DUMMYFUNCTION("""COMPUTED_VALUE"""),"N/A")</f>
        <v>N/A</v>
      </c>
      <c r="AH268" s="182" t="str">
        <f>IFERROR(__xludf.DUMMYFUNCTION("""COMPUTED_VALUE"""),"CLNRGOGA10278")</f>
        <v>CLNRGOGA10278</v>
      </c>
      <c r="AI268" s="187">
        <f>IFERROR(__xludf.DUMMYFUNCTION("""COMPUTED_VALUE"""),45780.0)</f>
        <v>45780</v>
      </c>
      <c r="AJ268" s="182" t="b">
        <f>IFERROR(__xludf.DUMMYFUNCTION("""COMPUTED_VALUE"""),FALSE)</f>
        <v>0</v>
      </c>
      <c r="AK268" s="182" t="b">
        <f>IFERROR(__xludf.DUMMYFUNCTION("""COMPUTED_VALUE"""),FALSE)</f>
        <v>0</v>
      </c>
      <c r="AL268" s="187">
        <f>IFERROR(__xludf.DUMMYFUNCTION("""COMPUTED_VALUE"""),45780.0)</f>
        <v>45780</v>
      </c>
      <c r="AM268" s="182" t="b">
        <f>IFERROR(__xludf.DUMMYFUNCTION("""COMPUTED_VALUE"""),TRUE)</f>
        <v>1</v>
      </c>
      <c r="AN268" s="182" t="str">
        <f>IFERROR(__xludf.DUMMYFUNCTION("""COMPUTED_VALUE"""),"N")</f>
        <v>N</v>
      </c>
      <c r="AO268" s="182"/>
      <c r="AP268" s="187">
        <f>IFERROR(__xludf.DUMMYFUNCTION("""COMPUTED_VALUE"""),45780.0)</f>
        <v>45780</v>
      </c>
      <c r="AQ268" s="182" t="b">
        <f>IFERROR(__xludf.DUMMYFUNCTION("""COMPUTED_VALUE"""),FALSE)</f>
        <v>0</v>
      </c>
      <c r="AR268" s="182" t="str">
        <f>IFERROR(__xludf.DUMMYFUNCTION("""COMPUTED_VALUE"""),"N")</f>
        <v>N</v>
      </c>
      <c r="AS268" s="182"/>
      <c r="AT268" s="187">
        <f>IFERROR(__xludf.DUMMYFUNCTION("""COMPUTED_VALUE"""),45780.0)</f>
        <v>45780</v>
      </c>
      <c r="AU268" s="182"/>
      <c r="AV268" s="182"/>
      <c r="AW268" s="187">
        <f>IFERROR(__xludf.DUMMYFUNCTION("""COMPUTED_VALUE"""),45827.0)</f>
        <v>45827</v>
      </c>
      <c r="AX268" s="187">
        <f>IFERROR(__xludf.DUMMYFUNCTION("""COMPUTED_VALUE"""),45827.0)</f>
        <v>45827</v>
      </c>
      <c r="AY268" s="182" t="b">
        <f>IFERROR(__xludf.DUMMYFUNCTION("""COMPUTED_VALUE"""),FALSE)</f>
        <v>0</v>
      </c>
      <c r="AZ268" s="182"/>
      <c r="BA268" s="182"/>
      <c r="BB268" s="182"/>
    </row>
    <row r="269">
      <c r="A269" s="184" t="str">
        <f t="shared" si="1"/>
        <v>#VALUE!</v>
      </c>
      <c r="B269" s="191" t="str">
        <f t="shared" si="3"/>
        <v>#VALUE!</v>
      </c>
      <c r="C269" s="182" t="str">
        <f>IFERROR(__xludf.DUMMYFUNCTION("""COMPUTED_VALUE"""),"VZW")</f>
        <v>VZW</v>
      </c>
      <c r="D269" s="182" t="str">
        <f>IFERROR(__xludf.DUMMYFUNCTION("""COMPUTED_VALUE"""),"MP")</f>
        <v>MP</v>
      </c>
      <c r="E269" s="182" t="str">
        <f>IFERROR(__xludf.DUMMYFUNCTION("""COMPUTED_VALUE"""),"CLNR")</f>
        <v>CLNR</v>
      </c>
      <c r="F269" s="182" t="str">
        <f>IFERROR(__xludf.DUMMYFUNCTION("""COMPUTED_VALUE"""),"CLNRGOGA10279")</f>
        <v>CLNRGOGA10279</v>
      </c>
      <c r="G269" s="182" t="str">
        <f>IFERROR(__xludf.DUMMYFUNCTION("""COMPUTED_VALUE"""),"G4QUR")</f>
        <v>G4QUR</v>
      </c>
      <c r="H269" s="182">
        <f>IFERROR(__xludf.DUMMYFUNCTION("""COMPUTED_VALUE"""),8.40353936928E11)</f>
        <v>840353936928</v>
      </c>
      <c r="I269" s="185" t="str">
        <f>IFERROR(__xludf.DUMMYFUNCTION("""COMPUTED_VALUE"""),"0840353936928")</f>
        <v>0840353936928</v>
      </c>
      <c r="J269" s="182"/>
      <c r="K269" s="182" t="str">
        <f>IFERROR(__xludf.DUMMYFUNCTION("""COMPUTED_VALUE"""),"VZN Master Carton Label")</f>
        <v>VZN Master Carton Label</v>
      </c>
      <c r="L269" s="182" t="str">
        <f>IFERROR(__xludf.DUMMYFUNCTION("""COMPUTED_VALUE"""),"VZN Pallet Label -&gt; BTS(Normal case)")</f>
        <v>VZN Pallet Label -&gt; BTS(Normal case)</v>
      </c>
      <c r="M269" s="182" t="str">
        <f>IFERROR(__xludf.DUMMYFUNCTION("""COMPUTED_VALUE"""),"N/A")</f>
        <v>N/A</v>
      </c>
      <c r="N269" s="182" t="str">
        <f>IFERROR(__xludf.DUMMYFUNCTION("""COMPUTED_VALUE"""),"N/A")</f>
        <v>N/A</v>
      </c>
      <c r="O269" s="182"/>
      <c r="P269" s="182" t="str">
        <f>IFERROR(__xludf.DUMMYFUNCTION("""COMPUTED_VALUE"""),"256GB")</f>
        <v>256GB</v>
      </c>
      <c r="Q269" s="182" t="str">
        <f>IFERROR(__xludf.DUMMYFUNCTION("""COMPUTED_VALUE"""),"Jade")</f>
        <v>Jade</v>
      </c>
      <c r="R269" s="182" t="str">
        <f>IFERROR(__xludf.DUMMYFUNCTION("""COMPUTED_VALUE"""),"Smokey Green")</f>
        <v>Smokey Green</v>
      </c>
      <c r="S269" s="182" t="str">
        <f>IFERROR(__xludf.DUMMYFUNCTION("""COMPUTED_VALUE"""),"US-VZW")</f>
        <v>US-VZW</v>
      </c>
      <c r="T269" s="182" t="str">
        <f>IFERROR(__xludf.DUMMYFUNCTION("""COMPUTED_VALUE"""),"SKU,CLR4, BETTER, MMWAVE, VZW, BZ5, FRU")</f>
        <v>SKU,CLR4, BETTER, MMWAVE, VZW, BZ5, FRU</v>
      </c>
      <c r="U269" s="182"/>
      <c r="V269" s="183" t="str">
        <f>IFERROR(__xludf.DUMMYFUNCTION("""COMPUTED_VALUE"""),"#NUM!")</f>
        <v>#NUM!</v>
      </c>
      <c r="W269" s="186">
        <f>IFERROR(__xludf.DUMMYFUNCTION("""COMPUTED_VALUE"""),45831.0)</f>
        <v>45831</v>
      </c>
      <c r="X269" s="187">
        <f>IFERROR(__xludf.DUMMYFUNCTION("""COMPUTED_VALUE"""),45745.0)</f>
        <v>45745</v>
      </c>
      <c r="Y269" s="182" t="b">
        <f>IFERROR(__xludf.DUMMYFUNCTION("""COMPUTED_VALUE"""),FALSE)</f>
        <v>0</v>
      </c>
      <c r="Z269" s="187">
        <f>IFERROR(__xludf.DUMMYFUNCTION("""COMPUTED_VALUE"""),45746.0)</f>
        <v>45746</v>
      </c>
      <c r="AA269" s="182" t="b">
        <f>IFERROR(__xludf.DUMMYFUNCTION("""COMPUTED_VALUE"""),FALSE)</f>
        <v>0</v>
      </c>
      <c r="AB269" s="187">
        <f>IFERROR(__xludf.DUMMYFUNCTION("""COMPUTED_VALUE"""),45752.0)</f>
        <v>45752</v>
      </c>
      <c r="AC269" s="187">
        <f>IFERROR(__xludf.DUMMYFUNCTION("""COMPUTED_VALUE"""),45752.0)</f>
        <v>45752</v>
      </c>
      <c r="AD269" s="187">
        <f>IFERROR(__xludf.DUMMYFUNCTION("""COMPUTED_VALUE"""),45758.0)</f>
        <v>45758</v>
      </c>
      <c r="AE269" s="188" t="str">
        <f>IFERROR(__xludf.DUMMYFUNCTION("""COMPUTED_VALUE"""),"CLNRGOGA10279")</f>
        <v>CLNRGOGA10279</v>
      </c>
      <c r="AF269" s="188" t="str">
        <f>IFERROR(__xludf.DUMMYFUNCTION("""COMPUTED_VALUE"""),"CLNRGOGA10279")</f>
        <v>CLNRGOGA10279</v>
      </c>
      <c r="AG269" s="182" t="str">
        <f>IFERROR(__xludf.DUMMYFUNCTION("""COMPUTED_VALUE"""),"N/A")</f>
        <v>N/A</v>
      </c>
      <c r="AH269" s="182" t="str">
        <f>IFERROR(__xludf.DUMMYFUNCTION("""COMPUTED_VALUE"""),"CLNRGOGA10279")</f>
        <v>CLNRGOGA10279</v>
      </c>
      <c r="AI269" s="187">
        <f>IFERROR(__xludf.DUMMYFUNCTION("""COMPUTED_VALUE"""),45780.0)</f>
        <v>45780</v>
      </c>
      <c r="AJ269" s="182" t="b">
        <f>IFERROR(__xludf.DUMMYFUNCTION("""COMPUTED_VALUE"""),FALSE)</f>
        <v>0</v>
      </c>
      <c r="AK269" s="182" t="b">
        <f>IFERROR(__xludf.DUMMYFUNCTION("""COMPUTED_VALUE"""),FALSE)</f>
        <v>0</v>
      </c>
      <c r="AL269" s="187">
        <f>IFERROR(__xludf.DUMMYFUNCTION("""COMPUTED_VALUE"""),45780.0)</f>
        <v>45780</v>
      </c>
      <c r="AM269" s="182" t="b">
        <f>IFERROR(__xludf.DUMMYFUNCTION("""COMPUTED_VALUE"""),TRUE)</f>
        <v>1</v>
      </c>
      <c r="AN269" s="182" t="str">
        <f>IFERROR(__xludf.DUMMYFUNCTION("""COMPUTED_VALUE"""),"N")</f>
        <v>N</v>
      </c>
      <c r="AO269" s="182"/>
      <c r="AP269" s="187">
        <f>IFERROR(__xludf.DUMMYFUNCTION("""COMPUTED_VALUE"""),45780.0)</f>
        <v>45780</v>
      </c>
      <c r="AQ269" s="182" t="b">
        <f>IFERROR(__xludf.DUMMYFUNCTION("""COMPUTED_VALUE"""),FALSE)</f>
        <v>0</v>
      </c>
      <c r="AR269" s="182" t="str">
        <f>IFERROR(__xludf.DUMMYFUNCTION("""COMPUTED_VALUE"""),"N")</f>
        <v>N</v>
      </c>
      <c r="AS269" s="182"/>
      <c r="AT269" s="187">
        <f>IFERROR(__xludf.DUMMYFUNCTION("""COMPUTED_VALUE"""),45780.0)</f>
        <v>45780</v>
      </c>
      <c r="AU269" s="182"/>
      <c r="AV269" s="182"/>
      <c r="AW269" s="187">
        <f>IFERROR(__xludf.DUMMYFUNCTION("""COMPUTED_VALUE"""),45827.0)</f>
        <v>45827</v>
      </c>
      <c r="AX269" s="187">
        <f>IFERROR(__xludf.DUMMYFUNCTION("""COMPUTED_VALUE"""),45827.0)</f>
        <v>45827</v>
      </c>
      <c r="AY269" s="182" t="b">
        <f>IFERROR(__xludf.DUMMYFUNCTION("""COMPUTED_VALUE"""),FALSE)</f>
        <v>0</v>
      </c>
      <c r="AZ269" s="182"/>
      <c r="BA269" s="182"/>
      <c r="BB269" s="182"/>
    </row>
    <row r="270">
      <c r="A270" s="184" t="str">
        <f t="shared" si="1"/>
        <v>#VALUE!</v>
      </c>
      <c r="B270" s="191" t="str">
        <f t="shared" si="3"/>
        <v>#VALUE!</v>
      </c>
      <c r="C270" s="182" t="str">
        <f>IFERROR(__xludf.DUMMYFUNCTION("""COMPUTED_VALUE"""),"VZW")</f>
        <v>VZW</v>
      </c>
      <c r="D270" s="182" t="str">
        <f>IFERROR(__xludf.DUMMYFUNCTION("""COMPUTED_VALUE"""),"MP")</f>
        <v>MP</v>
      </c>
      <c r="E270" s="182" t="str">
        <f>IFERROR(__xludf.DUMMYFUNCTION("""COMPUTED_VALUE"""),"CLNR")</f>
        <v>CLNR</v>
      </c>
      <c r="F270" s="182" t="str">
        <f>IFERROR(__xludf.DUMMYFUNCTION("""COMPUTED_VALUE"""),"CLNRGOGA09905")</f>
        <v>CLNRGOGA09905</v>
      </c>
      <c r="G270" s="182" t="str">
        <f>IFERROR(__xludf.DUMMYFUNCTION("""COMPUTED_VALUE"""),"G4QUR")</f>
        <v>G4QUR</v>
      </c>
      <c r="H270" s="182">
        <f>IFERROR(__xludf.DUMMYFUNCTION("""COMPUTED_VALUE"""),8.40353936935E11)</f>
        <v>840353936935</v>
      </c>
      <c r="I270" s="185" t="str">
        <f>IFERROR(__xludf.DUMMYFUNCTION("""COMPUTED_VALUE"""),"0840353936935")</f>
        <v>0840353936935</v>
      </c>
      <c r="J270" s="182"/>
      <c r="K270" s="182" t="str">
        <f>IFERROR(__xludf.DUMMYFUNCTION("""COMPUTED_VALUE"""),"VZN Master Carton Label")</f>
        <v>VZN Master Carton Label</v>
      </c>
      <c r="L270" s="182" t="str">
        <f>IFERROR(__xludf.DUMMYFUNCTION("""COMPUTED_VALUE"""),"VZN Pallet Label -&gt; BTS(Normal case)")</f>
        <v>VZN Pallet Label -&gt; BTS(Normal case)</v>
      </c>
      <c r="M270" s="182" t="str">
        <f>IFERROR(__xludf.DUMMYFUNCTION("""COMPUTED_VALUE"""),"N/A")</f>
        <v>N/A</v>
      </c>
      <c r="N270" s="182" t="str">
        <f>IFERROR(__xludf.DUMMYFUNCTION("""COMPUTED_VALUE"""),"N/A")</f>
        <v>N/A</v>
      </c>
      <c r="O270" s="182"/>
      <c r="P270" s="182" t="str">
        <f>IFERROR(__xludf.DUMMYFUNCTION("""COMPUTED_VALUE"""),"512GB")</f>
        <v>512GB</v>
      </c>
      <c r="Q270" s="182" t="str">
        <f>IFERROR(__xludf.DUMMYFUNCTION("""COMPUTED_VALUE"""),"Obsidian")</f>
        <v>Obsidian</v>
      </c>
      <c r="R270" s="182" t="str">
        <f>IFERROR(__xludf.DUMMYFUNCTION("""COMPUTED_VALUE"""),"Midnight")</f>
        <v>Midnight</v>
      </c>
      <c r="S270" s="182" t="str">
        <f>IFERROR(__xludf.DUMMYFUNCTION("""COMPUTED_VALUE"""),"US-VZW")</f>
        <v>US-VZW</v>
      </c>
      <c r="T270" s="182" t="str">
        <f>IFERROR(__xludf.DUMMYFUNCTION("""COMPUTED_VALUE"""),"SKU,CLR1, BEST, MMWAVE, VZW, BZ5, FRU")</f>
        <v>SKU,CLR1, BEST, MMWAVE, VZW, BZ5, FRU</v>
      </c>
      <c r="U270" s="182"/>
      <c r="V270" s="183" t="str">
        <f>IFERROR(__xludf.DUMMYFUNCTION("""COMPUTED_VALUE"""),"#NUM!")</f>
        <v>#NUM!</v>
      </c>
      <c r="W270" s="186">
        <f>IFERROR(__xludf.DUMMYFUNCTION("""COMPUTED_VALUE"""),45831.0)</f>
        <v>45831</v>
      </c>
      <c r="X270" s="187">
        <f>IFERROR(__xludf.DUMMYFUNCTION("""COMPUTED_VALUE"""),45745.0)</f>
        <v>45745</v>
      </c>
      <c r="Y270" s="182" t="b">
        <f>IFERROR(__xludf.DUMMYFUNCTION("""COMPUTED_VALUE"""),FALSE)</f>
        <v>0</v>
      </c>
      <c r="Z270" s="187">
        <f>IFERROR(__xludf.DUMMYFUNCTION("""COMPUTED_VALUE"""),45746.0)</f>
        <v>45746</v>
      </c>
      <c r="AA270" s="182" t="b">
        <f>IFERROR(__xludf.DUMMYFUNCTION("""COMPUTED_VALUE"""),FALSE)</f>
        <v>0</v>
      </c>
      <c r="AB270" s="187">
        <f>IFERROR(__xludf.DUMMYFUNCTION("""COMPUTED_VALUE"""),45752.0)</f>
        <v>45752</v>
      </c>
      <c r="AC270" s="187">
        <f>IFERROR(__xludf.DUMMYFUNCTION("""COMPUTED_VALUE"""),45752.0)</f>
        <v>45752</v>
      </c>
      <c r="AD270" s="187">
        <f>IFERROR(__xludf.DUMMYFUNCTION("""COMPUTED_VALUE"""),45758.0)</f>
        <v>45758</v>
      </c>
      <c r="AE270" s="188" t="str">
        <f>IFERROR(__xludf.DUMMYFUNCTION("""COMPUTED_VALUE"""),"CLNRGOGA09905")</f>
        <v>CLNRGOGA09905</v>
      </c>
      <c r="AF270" s="188" t="str">
        <f>IFERROR(__xludf.DUMMYFUNCTION("""COMPUTED_VALUE"""),"CLNRGOGA09905")</f>
        <v>CLNRGOGA09905</v>
      </c>
      <c r="AG270" s="182" t="str">
        <f>IFERROR(__xludf.DUMMYFUNCTION("""COMPUTED_VALUE"""),"N/A")</f>
        <v>N/A</v>
      </c>
      <c r="AH270" s="188" t="str">
        <f>IFERROR(__xludf.DUMMYFUNCTION("""COMPUTED_VALUE"""),"CLNRGOGA09905")</f>
        <v>CLNRGOGA09905</v>
      </c>
      <c r="AI270" s="187">
        <f>IFERROR(__xludf.DUMMYFUNCTION("""COMPUTED_VALUE"""),45780.0)</f>
        <v>45780</v>
      </c>
      <c r="AJ270" s="182" t="b">
        <f>IFERROR(__xludf.DUMMYFUNCTION("""COMPUTED_VALUE"""),FALSE)</f>
        <v>0</v>
      </c>
      <c r="AK270" s="182" t="b">
        <f>IFERROR(__xludf.DUMMYFUNCTION("""COMPUTED_VALUE"""),FALSE)</f>
        <v>0</v>
      </c>
      <c r="AL270" s="187">
        <f>IFERROR(__xludf.DUMMYFUNCTION("""COMPUTED_VALUE"""),45780.0)</f>
        <v>45780</v>
      </c>
      <c r="AM270" s="182" t="b">
        <f>IFERROR(__xludf.DUMMYFUNCTION("""COMPUTED_VALUE"""),TRUE)</f>
        <v>1</v>
      </c>
      <c r="AN270" s="182" t="str">
        <f>IFERROR(__xludf.DUMMYFUNCTION("""COMPUTED_VALUE"""),"N")</f>
        <v>N</v>
      </c>
      <c r="AO270" s="182"/>
      <c r="AP270" s="187">
        <f>IFERROR(__xludf.DUMMYFUNCTION("""COMPUTED_VALUE"""),45780.0)</f>
        <v>45780</v>
      </c>
      <c r="AQ270" s="182" t="b">
        <f>IFERROR(__xludf.DUMMYFUNCTION("""COMPUTED_VALUE"""),FALSE)</f>
        <v>0</v>
      </c>
      <c r="AR270" s="182" t="str">
        <f>IFERROR(__xludf.DUMMYFUNCTION("""COMPUTED_VALUE"""),"N")</f>
        <v>N</v>
      </c>
      <c r="AS270" s="182"/>
      <c r="AT270" s="187">
        <f>IFERROR(__xludf.DUMMYFUNCTION("""COMPUTED_VALUE"""),45780.0)</f>
        <v>45780</v>
      </c>
      <c r="AU270" s="182"/>
      <c r="AV270" s="182"/>
      <c r="AW270" s="187">
        <f>IFERROR(__xludf.DUMMYFUNCTION("""COMPUTED_VALUE"""),45827.0)</f>
        <v>45827</v>
      </c>
      <c r="AX270" s="187">
        <f>IFERROR(__xludf.DUMMYFUNCTION("""COMPUTED_VALUE"""),45827.0)</f>
        <v>45827</v>
      </c>
      <c r="AY270" s="182" t="b">
        <f>IFERROR(__xludf.DUMMYFUNCTION("""COMPUTED_VALUE"""),FALSE)</f>
        <v>0</v>
      </c>
      <c r="AZ270" s="182"/>
      <c r="BA270" s="182"/>
      <c r="BB270" s="182"/>
    </row>
    <row r="271">
      <c r="A271" s="184" t="str">
        <f t="shared" si="1"/>
        <v>#VALUE!</v>
      </c>
      <c r="B271" s="191" t="str">
        <f t="shared" si="3"/>
        <v>#VALUE!</v>
      </c>
      <c r="C271" s="182" t="str">
        <f>IFERROR(__xludf.DUMMYFUNCTION("""COMPUTED_VALUE"""),"VZW")</f>
        <v>VZW</v>
      </c>
      <c r="D271" s="182" t="str">
        <f>IFERROR(__xludf.DUMMYFUNCTION("""COMPUTED_VALUE"""),"MP")</f>
        <v>MP</v>
      </c>
      <c r="E271" s="182" t="str">
        <f>IFERROR(__xludf.DUMMYFUNCTION("""COMPUTED_VALUE"""),"CLNR")</f>
        <v>CLNR</v>
      </c>
      <c r="F271" s="182" t="str">
        <f>IFERROR(__xludf.DUMMYFUNCTION("""COMPUTED_VALUE"""),"CLNRGOGA10281")</f>
        <v>CLNRGOGA10281</v>
      </c>
      <c r="G271" s="182" t="str">
        <f>IFERROR(__xludf.DUMMYFUNCTION("""COMPUTED_VALUE"""),"G4QUR")</f>
        <v>G4QUR</v>
      </c>
      <c r="H271" s="182">
        <f>IFERROR(__xludf.DUMMYFUNCTION("""COMPUTED_VALUE"""),8.40353936959E11)</f>
        <v>840353936959</v>
      </c>
      <c r="I271" s="185" t="str">
        <f>IFERROR(__xludf.DUMMYFUNCTION("""COMPUTED_VALUE"""),"0840353936959")</f>
        <v>0840353936959</v>
      </c>
      <c r="J271" s="182"/>
      <c r="K271" s="182" t="str">
        <f>IFERROR(__xludf.DUMMYFUNCTION("""COMPUTED_VALUE"""),"VZN Master Carton Label")</f>
        <v>VZN Master Carton Label</v>
      </c>
      <c r="L271" s="182" t="str">
        <f>IFERROR(__xludf.DUMMYFUNCTION("""COMPUTED_VALUE"""),"VZN Pallet Label -&gt; BTS(Normal case)")</f>
        <v>VZN Pallet Label -&gt; BTS(Normal case)</v>
      </c>
      <c r="M271" s="182" t="str">
        <f>IFERROR(__xludf.DUMMYFUNCTION("""COMPUTED_VALUE"""),"N/A")</f>
        <v>N/A</v>
      </c>
      <c r="N271" s="182" t="str">
        <f>IFERROR(__xludf.DUMMYFUNCTION("""COMPUTED_VALUE"""),"N/A")</f>
        <v>N/A</v>
      </c>
      <c r="O271" s="182"/>
      <c r="P271" s="182" t="str">
        <f>IFERROR(__xludf.DUMMYFUNCTION("""COMPUTED_VALUE"""),"512GB")</f>
        <v>512GB</v>
      </c>
      <c r="Q271" s="182" t="str">
        <f>IFERROR(__xludf.DUMMYFUNCTION("""COMPUTED_VALUE"""),"Moonstone")</f>
        <v>Moonstone</v>
      </c>
      <c r="R271" s="182" t="str">
        <f>IFERROR(__xludf.DUMMYFUNCTION("""COMPUTED_VALUE"""),"Sterling")</f>
        <v>Sterling</v>
      </c>
      <c r="S271" s="182" t="str">
        <f>IFERROR(__xludf.DUMMYFUNCTION("""COMPUTED_VALUE"""),"US-VZW")</f>
        <v>US-VZW</v>
      </c>
      <c r="T271" s="182" t="str">
        <f>IFERROR(__xludf.DUMMYFUNCTION("""COMPUTED_VALUE"""),"SKU,CLR3, BEST, MMWAVE, VZW, BZ5, FRU")</f>
        <v>SKU,CLR3, BEST, MMWAVE, VZW, BZ5, FRU</v>
      </c>
      <c r="U271" s="182"/>
      <c r="V271" s="183" t="str">
        <f>IFERROR(__xludf.DUMMYFUNCTION("""COMPUTED_VALUE"""),"#NUM!")</f>
        <v>#NUM!</v>
      </c>
      <c r="W271" s="186">
        <f>IFERROR(__xludf.DUMMYFUNCTION("""COMPUTED_VALUE"""),45831.0)</f>
        <v>45831</v>
      </c>
      <c r="X271" s="187">
        <f>IFERROR(__xludf.DUMMYFUNCTION("""COMPUTED_VALUE"""),45745.0)</f>
        <v>45745</v>
      </c>
      <c r="Y271" s="182" t="b">
        <f>IFERROR(__xludf.DUMMYFUNCTION("""COMPUTED_VALUE"""),FALSE)</f>
        <v>0</v>
      </c>
      <c r="Z271" s="187">
        <f>IFERROR(__xludf.DUMMYFUNCTION("""COMPUTED_VALUE"""),45746.0)</f>
        <v>45746</v>
      </c>
      <c r="AA271" s="182" t="b">
        <f>IFERROR(__xludf.DUMMYFUNCTION("""COMPUTED_VALUE"""),FALSE)</f>
        <v>0</v>
      </c>
      <c r="AB271" s="187">
        <f>IFERROR(__xludf.DUMMYFUNCTION("""COMPUTED_VALUE"""),45752.0)</f>
        <v>45752</v>
      </c>
      <c r="AC271" s="187">
        <f>IFERROR(__xludf.DUMMYFUNCTION("""COMPUTED_VALUE"""),45752.0)</f>
        <v>45752</v>
      </c>
      <c r="AD271" s="187">
        <f>IFERROR(__xludf.DUMMYFUNCTION("""COMPUTED_VALUE"""),45758.0)</f>
        <v>45758</v>
      </c>
      <c r="AE271" s="188" t="str">
        <f>IFERROR(__xludf.DUMMYFUNCTION("""COMPUTED_VALUE"""),"CLNRGOGA10281")</f>
        <v>CLNRGOGA10281</v>
      </c>
      <c r="AF271" s="188" t="str">
        <f>IFERROR(__xludf.DUMMYFUNCTION("""COMPUTED_VALUE"""),"CLNRGOGA10281")</f>
        <v>CLNRGOGA10281</v>
      </c>
      <c r="AG271" s="182" t="str">
        <f>IFERROR(__xludf.DUMMYFUNCTION("""COMPUTED_VALUE"""),"N/A")</f>
        <v>N/A</v>
      </c>
      <c r="AH271" s="188" t="str">
        <f>IFERROR(__xludf.DUMMYFUNCTION("""COMPUTED_VALUE"""),"CLNRGOGA10281")</f>
        <v>CLNRGOGA10281</v>
      </c>
      <c r="AI271" s="187">
        <f>IFERROR(__xludf.DUMMYFUNCTION("""COMPUTED_VALUE"""),45780.0)</f>
        <v>45780</v>
      </c>
      <c r="AJ271" s="182" t="b">
        <f>IFERROR(__xludf.DUMMYFUNCTION("""COMPUTED_VALUE"""),FALSE)</f>
        <v>0</v>
      </c>
      <c r="AK271" s="182" t="b">
        <f>IFERROR(__xludf.DUMMYFUNCTION("""COMPUTED_VALUE"""),FALSE)</f>
        <v>0</v>
      </c>
      <c r="AL271" s="187">
        <f>IFERROR(__xludf.DUMMYFUNCTION("""COMPUTED_VALUE"""),45780.0)</f>
        <v>45780</v>
      </c>
      <c r="AM271" s="182" t="b">
        <f>IFERROR(__xludf.DUMMYFUNCTION("""COMPUTED_VALUE"""),TRUE)</f>
        <v>1</v>
      </c>
      <c r="AN271" s="182" t="str">
        <f>IFERROR(__xludf.DUMMYFUNCTION("""COMPUTED_VALUE"""),"N")</f>
        <v>N</v>
      </c>
      <c r="AO271" s="182"/>
      <c r="AP271" s="182"/>
      <c r="AQ271" s="182" t="b">
        <f>IFERROR(__xludf.DUMMYFUNCTION("""COMPUTED_VALUE"""),FALSE)</f>
        <v>0</v>
      </c>
      <c r="AR271" s="182" t="str">
        <f>IFERROR(__xludf.DUMMYFUNCTION("""COMPUTED_VALUE"""),"N")</f>
        <v>N</v>
      </c>
      <c r="AS271" s="182"/>
      <c r="AT271" s="187">
        <f>IFERROR(__xludf.DUMMYFUNCTION("""COMPUTED_VALUE"""),45780.0)</f>
        <v>45780</v>
      </c>
      <c r="AU271" s="182"/>
      <c r="AV271" s="182"/>
      <c r="AW271" s="187">
        <f>IFERROR(__xludf.DUMMYFUNCTION("""COMPUTED_VALUE"""),45827.0)</f>
        <v>45827</v>
      </c>
      <c r="AX271" s="187">
        <f>IFERROR(__xludf.DUMMYFUNCTION("""COMPUTED_VALUE"""),45827.0)</f>
        <v>45827</v>
      </c>
      <c r="AY271" s="182" t="b">
        <f>IFERROR(__xludf.DUMMYFUNCTION("""COMPUTED_VALUE"""),FALSE)</f>
        <v>0</v>
      </c>
      <c r="AZ271" s="182"/>
      <c r="BA271" s="182"/>
      <c r="BB271" s="182"/>
    </row>
    <row r="272">
      <c r="A272" s="184" t="str">
        <f t="shared" si="1"/>
        <v>#VALUE!</v>
      </c>
      <c r="B272" s="191" t="str">
        <f t="shared" si="3"/>
        <v>#VALUE!</v>
      </c>
      <c r="C272" s="182" t="str">
        <f>IFERROR(__xludf.DUMMYFUNCTION("""COMPUTED_VALUE"""),"TMO")</f>
        <v>TMO</v>
      </c>
      <c r="D272" s="182" t="str">
        <f>IFERROR(__xludf.DUMMYFUNCTION("""COMPUTED_VALUE"""),"MP")</f>
        <v>MP</v>
      </c>
      <c r="E272" s="182" t="str">
        <f>IFERROR(__xludf.DUMMYFUNCTION("""COMPUTED_VALUE"""),"CLNR")</f>
        <v>CLNR</v>
      </c>
      <c r="F272" s="182" t="str">
        <f>IFERROR(__xludf.DUMMYFUNCTION("""COMPUTED_VALUE"""),"CLNRGA09886")</f>
        <v>CLNRGA09886</v>
      </c>
      <c r="G272" s="182" t="str">
        <f>IFERROR(__xludf.DUMMYFUNCTION("""COMPUTED_VALUE"""),"G4QUR")</f>
        <v>G4QUR</v>
      </c>
      <c r="H272" s="182">
        <f>IFERROR(__xludf.DUMMYFUNCTION("""COMPUTED_VALUE"""),8.4035393672E11)</f>
        <v>840353936720</v>
      </c>
      <c r="I272" s="185" t="str">
        <f>IFERROR(__xludf.DUMMYFUNCTION("""COMPUTED_VALUE"""),"0840353936720")</f>
        <v>0840353936720</v>
      </c>
      <c r="J272" s="182">
        <f>IFERROR(__xludf.DUMMYFUNCTION("""COMPUTED_VALUE"""),8.4035393672E11)</f>
        <v>840353936720</v>
      </c>
      <c r="K272" s="182" t="str">
        <f>IFERROR(__xludf.DUMMYFUNCTION("""COMPUTED_VALUE"""),"MasterCartonLabel_10 pack_TMO")</f>
        <v>MasterCartonLabel_10 pack_TMO</v>
      </c>
      <c r="L272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72" s="182" t="str">
        <f>IFERROR(__xludf.DUMMYFUNCTION("""COMPUTED_VALUE"""),"N/A")</f>
        <v>N/A</v>
      </c>
      <c r="N272" s="182" t="str">
        <f>IFERROR(__xludf.DUMMYFUNCTION("""COMPUTED_VALUE"""),"N/A")</f>
        <v>N/A</v>
      </c>
      <c r="O272" s="182"/>
      <c r="P272" s="182" t="str">
        <f>IFERROR(__xludf.DUMMYFUNCTION("""COMPUTED_VALUE"""),"128GB")</f>
        <v>128GB</v>
      </c>
      <c r="Q272" s="182" t="str">
        <f>IFERROR(__xludf.DUMMYFUNCTION("""COMPUTED_VALUE"""),"Obsidian")</f>
        <v>Obsidian</v>
      </c>
      <c r="R272" s="182" t="str">
        <f>IFERROR(__xludf.DUMMYFUNCTION("""COMPUTED_VALUE"""),"Midnight")</f>
        <v>Midnight</v>
      </c>
      <c r="S272" s="182" t="str">
        <f>IFERROR(__xludf.DUMMYFUNCTION("""COMPUTED_VALUE"""),"US - Tmobile")</f>
        <v>US - Tmobile</v>
      </c>
      <c r="T272" s="182" t="str">
        <f>IFERROR(__xludf.DUMMYFUNCTION("""COMPUTED_VALUE"""),"SKU,CLR1, GOOD, MMWAVE, TMO, BZ5, FRU")</f>
        <v>SKU,CLR1, GOOD, MMWAVE, TMO, BZ5, FRU</v>
      </c>
      <c r="U272" s="182"/>
      <c r="V272" s="183" t="str">
        <f>IFERROR(__xludf.DUMMYFUNCTION("""COMPUTED_VALUE"""),"#NUM!")</f>
        <v>#NUM!</v>
      </c>
      <c r="W272" s="186">
        <f>IFERROR(__xludf.DUMMYFUNCTION("""COMPUTED_VALUE"""),45831.0)</f>
        <v>45831</v>
      </c>
      <c r="X272" s="187">
        <f>IFERROR(__xludf.DUMMYFUNCTION("""COMPUTED_VALUE"""),45745.0)</f>
        <v>45745</v>
      </c>
      <c r="Y272" s="182" t="b">
        <f>IFERROR(__xludf.DUMMYFUNCTION("""COMPUTED_VALUE"""),FALSE)</f>
        <v>0</v>
      </c>
      <c r="Z272" s="187">
        <f>IFERROR(__xludf.DUMMYFUNCTION("""COMPUTED_VALUE"""),45746.0)</f>
        <v>45746</v>
      </c>
      <c r="AA272" s="182" t="b">
        <f>IFERROR(__xludf.DUMMYFUNCTION("""COMPUTED_VALUE"""),FALSE)</f>
        <v>0</v>
      </c>
      <c r="AB272" s="187">
        <f>IFERROR(__xludf.DUMMYFUNCTION("""COMPUTED_VALUE"""),45752.0)</f>
        <v>45752</v>
      </c>
      <c r="AC272" s="187">
        <f>IFERROR(__xludf.DUMMYFUNCTION("""COMPUTED_VALUE"""),45752.0)</f>
        <v>45752</v>
      </c>
      <c r="AD272" s="187">
        <f>IFERROR(__xludf.DUMMYFUNCTION("""COMPUTED_VALUE"""),45758.0)</f>
        <v>45758</v>
      </c>
      <c r="AE272" s="188" t="str">
        <f>IFERROR(__xludf.DUMMYFUNCTION("""COMPUTED_VALUE"""),"CLNRGA09886")</f>
        <v>CLNRGA09886</v>
      </c>
      <c r="AF272" s="188" t="str">
        <f>IFERROR(__xludf.DUMMYFUNCTION("""COMPUTED_VALUE"""),"CLNRGA09886")</f>
        <v>CLNRGA09886</v>
      </c>
      <c r="AG272" s="182" t="str">
        <f>IFERROR(__xludf.DUMMYFUNCTION("""COMPUTED_VALUE"""),"N/A")</f>
        <v>N/A</v>
      </c>
      <c r="AH272" s="188" t="str">
        <f>IFERROR(__xludf.DUMMYFUNCTION("""COMPUTED_VALUE"""),"CLNRGA09886")</f>
        <v>CLNRGA09886</v>
      </c>
      <c r="AI272" s="187">
        <f>IFERROR(__xludf.DUMMYFUNCTION("""COMPUTED_VALUE"""),45780.0)</f>
        <v>45780</v>
      </c>
      <c r="AJ272" s="182" t="b">
        <f>IFERROR(__xludf.DUMMYFUNCTION("""COMPUTED_VALUE"""),FALSE)</f>
        <v>0</v>
      </c>
      <c r="AK272" s="182" t="b">
        <f>IFERROR(__xludf.DUMMYFUNCTION("""COMPUTED_VALUE"""),FALSE)</f>
        <v>0</v>
      </c>
      <c r="AL272" s="187">
        <f>IFERROR(__xludf.DUMMYFUNCTION("""COMPUTED_VALUE"""),45780.0)</f>
        <v>45780</v>
      </c>
      <c r="AM272" s="182" t="b">
        <f>IFERROR(__xludf.DUMMYFUNCTION("""COMPUTED_VALUE"""),TRUE)</f>
        <v>1</v>
      </c>
      <c r="AN272" s="182" t="str">
        <f>IFERROR(__xludf.DUMMYFUNCTION("""COMPUTED_VALUE"""),"N")</f>
        <v>N</v>
      </c>
      <c r="AO272" s="182"/>
      <c r="AP272" s="182"/>
      <c r="AQ272" s="182" t="b">
        <f>IFERROR(__xludf.DUMMYFUNCTION("""COMPUTED_VALUE"""),FALSE)</f>
        <v>0</v>
      </c>
      <c r="AR272" s="182" t="str">
        <f>IFERROR(__xludf.DUMMYFUNCTION("""COMPUTED_VALUE"""),"N")</f>
        <v>N</v>
      </c>
      <c r="AS272" s="182"/>
      <c r="AT272" s="187">
        <f>IFERROR(__xludf.DUMMYFUNCTION("""COMPUTED_VALUE"""),45780.0)</f>
        <v>45780</v>
      </c>
      <c r="AU272" s="182"/>
      <c r="AV272" s="182"/>
      <c r="AW272" s="187">
        <f>IFERROR(__xludf.DUMMYFUNCTION("""COMPUTED_VALUE"""),45827.0)</f>
        <v>45827</v>
      </c>
      <c r="AX272" s="187">
        <f>IFERROR(__xludf.DUMMYFUNCTION("""COMPUTED_VALUE"""),45827.0)</f>
        <v>45827</v>
      </c>
      <c r="AY272" s="182" t="b">
        <f>IFERROR(__xludf.DUMMYFUNCTION("""COMPUTED_VALUE"""),FALSE)</f>
        <v>0</v>
      </c>
      <c r="AZ272" s="182"/>
      <c r="BA272" s="182"/>
      <c r="BB272" s="182"/>
    </row>
    <row r="273">
      <c r="A273" s="184" t="str">
        <f t="shared" si="1"/>
        <v>#VALUE!</v>
      </c>
      <c r="B273" s="191" t="str">
        <f t="shared" si="3"/>
        <v>#VALUE!</v>
      </c>
      <c r="C273" s="182" t="str">
        <f>IFERROR(__xludf.DUMMYFUNCTION("""COMPUTED_VALUE"""),"TMO")</f>
        <v>TMO</v>
      </c>
      <c r="D273" s="182" t="str">
        <f>IFERROR(__xludf.DUMMYFUNCTION("""COMPUTED_VALUE"""),"MP")</f>
        <v>MP</v>
      </c>
      <c r="E273" s="182" t="str">
        <f>IFERROR(__xludf.DUMMYFUNCTION("""COMPUTED_VALUE"""),"CLNR")</f>
        <v>CLNR</v>
      </c>
      <c r="F273" s="182" t="str">
        <f>IFERROR(__xludf.DUMMYFUNCTION("""COMPUTED_VALUE"""),"CLNRGA10293")</f>
        <v>CLNRGA10293</v>
      </c>
      <c r="G273" s="182" t="str">
        <f>IFERROR(__xludf.DUMMYFUNCTION("""COMPUTED_VALUE"""),"G4QUR")</f>
        <v>G4QUR</v>
      </c>
      <c r="H273" s="182">
        <f>IFERROR(__xludf.DUMMYFUNCTION("""COMPUTED_VALUE"""),8.40353936782E11)</f>
        <v>840353936782</v>
      </c>
      <c r="I273" s="185" t="str">
        <f>IFERROR(__xludf.DUMMYFUNCTION("""COMPUTED_VALUE"""),"0840353936782")</f>
        <v>0840353936782</v>
      </c>
      <c r="J273" s="182">
        <f>IFERROR(__xludf.DUMMYFUNCTION("""COMPUTED_VALUE"""),8.40353936782E11)</f>
        <v>840353936782</v>
      </c>
      <c r="K273" s="182" t="str">
        <f>IFERROR(__xludf.DUMMYFUNCTION("""COMPUTED_VALUE"""),"MasterCartonLabel_10 pack_TMO")</f>
        <v>MasterCartonLabel_10 pack_TMO</v>
      </c>
      <c r="L273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73" s="182" t="str">
        <f>IFERROR(__xludf.DUMMYFUNCTION("""COMPUTED_VALUE"""),"N/A")</f>
        <v>N/A</v>
      </c>
      <c r="N273" s="182" t="str">
        <f>IFERROR(__xludf.DUMMYFUNCTION("""COMPUTED_VALUE"""),"N/A")</f>
        <v>N/A</v>
      </c>
      <c r="O273" s="182"/>
      <c r="P273" s="182" t="str">
        <f>IFERROR(__xludf.DUMMYFUNCTION("""COMPUTED_VALUE"""),"128GB")</f>
        <v>128GB</v>
      </c>
      <c r="Q273" s="182" t="str">
        <f>IFERROR(__xludf.DUMMYFUNCTION("""COMPUTED_VALUE"""),"Porcelain")</f>
        <v>Porcelain</v>
      </c>
      <c r="R273" s="182" t="str">
        <f>IFERROR(__xludf.DUMMYFUNCTION("""COMPUTED_VALUE"""),"Light Porcelain")</f>
        <v>Light Porcelain</v>
      </c>
      <c r="S273" s="182" t="str">
        <f>IFERROR(__xludf.DUMMYFUNCTION("""COMPUTED_VALUE"""),"US - Tmobile")</f>
        <v>US - Tmobile</v>
      </c>
      <c r="T273" s="182" t="str">
        <f>IFERROR(__xludf.DUMMYFUNCTION("""COMPUTED_VALUE"""),"SKU,CLR2, GOOD, MMWAVE, TMO, BZ5, FRU")</f>
        <v>SKU,CLR2, GOOD, MMWAVE, TMO, BZ5, FRU</v>
      </c>
      <c r="U273" s="182"/>
      <c r="V273" s="183" t="str">
        <f>IFERROR(__xludf.DUMMYFUNCTION("""COMPUTED_VALUE"""),"#NUM!")</f>
        <v>#NUM!</v>
      </c>
      <c r="W273" s="186">
        <f>IFERROR(__xludf.DUMMYFUNCTION("""COMPUTED_VALUE"""),45831.0)</f>
        <v>45831</v>
      </c>
      <c r="X273" s="187">
        <f>IFERROR(__xludf.DUMMYFUNCTION("""COMPUTED_VALUE"""),45745.0)</f>
        <v>45745</v>
      </c>
      <c r="Y273" s="182" t="b">
        <f>IFERROR(__xludf.DUMMYFUNCTION("""COMPUTED_VALUE"""),FALSE)</f>
        <v>0</v>
      </c>
      <c r="Z273" s="187">
        <f>IFERROR(__xludf.DUMMYFUNCTION("""COMPUTED_VALUE"""),45746.0)</f>
        <v>45746</v>
      </c>
      <c r="AA273" s="182" t="b">
        <f>IFERROR(__xludf.DUMMYFUNCTION("""COMPUTED_VALUE"""),FALSE)</f>
        <v>0</v>
      </c>
      <c r="AB273" s="187">
        <f>IFERROR(__xludf.DUMMYFUNCTION("""COMPUTED_VALUE"""),45752.0)</f>
        <v>45752</v>
      </c>
      <c r="AC273" s="187">
        <f>IFERROR(__xludf.DUMMYFUNCTION("""COMPUTED_VALUE"""),45752.0)</f>
        <v>45752</v>
      </c>
      <c r="AD273" s="187">
        <f>IFERROR(__xludf.DUMMYFUNCTION("""COMPUTED_VALUE"""),45758.0)</f>
        <v>45758</v>
      </c>
      <c r="AE273" s="188" t="str">
        <f>IFERROR(__xludf.DUMMYFUNCTION("""COMPUTED_VALUE"""),"CLNRGA10293")</f>
        <v>CLNRGA10293</v>
      </c>
      <c r="AF273" s="188" t="str">
        <f>IFERROR(__xludf.DUMMYFUNCTION("""COMPUTED_VALUE"""),"CLNRGA10293")</f>
        <v>CLNRGA10293</v>
      </c>
      <c r="AG273" s="182" t="str">
        <f>IFERROR(__xludf.DUMMYFUNCTION("""COMPUTED_VALUE"""),"N/A")</f>
        <v>N/A</v>
      </c>
      <c r="AH273" s="188" t="str">
        <f>IFERROR(__xludf.DUMMYFUNCTION("""COMPUTED_VALUE"""),"CLNRGA10293")</f>
        <v>CLNRGA10293</v>
      </c>
      <c r="AI273" s="187">
        <f>IFERROR(__xludf.DUMMYFUNCTION("""COMPUTED_VALUE"""),45780.0)</f>
        <v>45780</v>
      </c>
      <c r="AJ273" s="182" t="b">
        <f>IFERROR(__xludf.DUMMYFUNCTION("""COMPUTED_VALUE"""),FALSE)</f>
        <v>0</v>
      </c>
      <c r="AK273" s="182" t="b">
        <f>IFERROR(__xludf.DUMMYFUNCTION("""COMPUTED_VALUE"""),FALSE)</f>
        <v>0</v>
      </c>
      <c r="AL273" s="187">
        <f>IFERROR(__xludf.DUMMYFUNCTION("""COMPUTED_VALUE"""),45780.0)</f>
        <v>45780</v>
      </c>
      <c r="AM273" s="182" t="b">
        <f>IFERROR(__xludf.DUMMYFUNCTION("""COMPUTED_VALUE"""),TRUE)</f>
        <v>1</v>
      </c>
      <c r="AN273" s="182" t="str">
        <f>IFERROR(__xludf.DUMMYFUNCTION("""COMPUTED_VALUE"""),"N")</f>
        <v>N</v>
      </c>
      <c r="AO273" s="182"/>
      <c r="AP273" s="182"/>
      <c r="AQ273" s="182" t="b">
        <f>IFERROR(__xludf.DUMMYFUNCTION("""COMPUTED_VALUE"""),FALSE)</f>
        <v>0</v>
      </c>
      <c r="AR273" s="182" t="str">
        <f>IFERROR(__xludf.DUMMYFUNCTION("""COMPUTED_VALUE"""),"N")</f>
        <v>N</v>
      </c>
      <c r="AS273" s="182"/>
      <c r="AT273" s="187">
        <f>IFERROR(__xludf.DUMMYFUNCTION("""COMPUTED_VALUE"""),45780.0)</f>
        <v>45780</v>
      </c>
      <c r="AU273" s="182"/>
      <c r="AV273" s="182"/>
      <c r="AW273" s="187">
        <f>IFERROR(__xludf.DUMMYFUNCTION("""COMPUTED_VALUE"""),45827.0)</f>
        <v>45827</v>
      </c>
      <c r="AX273" s="187">
        <f>IFERROR(__xludf.DUMMYFUNCTION("""COMPUTED_VALUE"""),45827.0)</f>
        <v>45827</v>
      </c>
      <c r="AY273" s="182" t="b">
        <f>IFERROR(__xludf.DUMMYFUNCTION("""COMPUTED_VALUE"""),FALSE)</f>
        <v>0</v>
      </c>
      <c r="AZ273" s="182"/>
      <c r="BA273" s="182"/>
      <c r="BB273" s="182"/>
    </row>
    <row r="274">
      <c r="A274" s="184" t="str">
        <f t="shared" si="1"/>
        <v>#VALUE!</v>
      </c>
      <c r="B274" s="191" t="str">
        <f t="shared" si="3"/>
        <v>#VALUE!</v>
      </c>
      <c r="C274" s="182" t="str">
        <f>IFERROR(__xludf.DUMMYFUNCTION("""COMPUTED_VALUE"""),"TMO")</f>
        <v>TMO</v>
      </c>
      <c r="D274" s="182" t="str">
        <f>IFERROR(__xludf.DUMMYFUNCTION("""COMPUTED_VALUE"""),"MP")</f>
        <v>MP</v>
      </c>
      <c r="E274" s="182" t="str">
        <f>IFERROR(__xludf.DUMMYFUNCTION("""COMPUTED_VALUE"""),"CLNR")</f>
        <v>CLNR</v>
      </c>
      <c r="F274" s="182" t="str">
        <f>IFERROR(__xludf.DUMMYFUNCTION("""COMPUTED_VALUE"""),"CLNRGA10294")</f>
        <v>CLNRGA10294</v>
      </c>
      <c r="G274" s="182" t="str">
        <f>IFERROR(__xludf.DUMMYFUNCTION("""COMPUTED_VALUE"""),"G4QUR")</f>
        <v>G4QUR</v>
      </c>
      <c r="H274" s="182">
        <f>IFERROR(__xludf.DUMMYFUNCTION("""COMPUTED_VALUE"""),8.40353936843E11)</f>
        <v>840353936843</v>
      </c>
      <c r="I274" s="185" t="str">
        <f>IFERROR(__xludf.DUMMYFUNCTION("""COMPUTED_VALUE"""),"0840353936843")</f>
        <v>0840353936843</v>
      </c>
      <c r="J274" s="182">
        <f>IFERROR(__xludf.DUMMYFUNCTION("""COMPUTED_VALUE"""),8.40353936843E11)</f>
        <v>840353936843</v>
      </c>
      <c r="K274" s="182" t="str">
        <f>IFERROR(__xludf.DUMMYFUNCTION("""COMPUTED_VALUE"""),"MasterCartonLabel_10 pack_TMO")</f>
        <v>MasterCartonLabel_10 pack_TMO</v>
      </c>
      <c r="L274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74" s="182" t="str">
        <f>IFERROR(__xludf.DUMMYFUNCTION("""COMPUTED_VALUE"""),"N/A")</f>
        <v>N/A</v>
      </c>
      <c r="N274" s="182" t="str">
        <f>IFERROR(__xludf.DUMMYFUNCTION("""COMPUTED_VALUE"""),"N/A")</f>
        <v>N/A</v>
      </c>
      <c r="O274" s="182"/>
      <c r="P274" s="182" t="str">
        <f>IFERROR(__xludf.DUMMYFUNCTION("""COMPUTED_VALUE"""),"128GB")</f>
        <v>128GB</v>
      </c>
      <c r="Q274" s="182" t="str">
        <f>IFERROR(__xludf.DUMMYFUNCTION("""COMPUTED_VALUE"""),"Moonstone")</f>
        <v>Moonstone</v>
      </c>
      <c r="R274" s="182" t="str">
        <f>IFERROR(__xludf.DUMMYFUNCTION("""COMPUTED_VALUE"""),"Sterling")</f>
        <v>Sterling</v>
      </c>
      <c r="S274" s="182" t="str">
        <f>IFERROR(__xludf.DUMMYFUNCTION("""COMPUTED_VALUE"""),"US - Tmobile")</f>
        <v>US - Tmobile</v>
      </c>
      <c r="T274" s="182" t="str">
        <f>IFERROR(__xludf.DUMMYFUNCTION("""COMPUTED_VALUE"""),"SKU,CLR3, GOOD, MMWAVE, TMO, BZ5, FRU")</f>
        <v>SKU,CLR3, GOOD, MMWAVE, TMO, BZ5, FRU</v>
      </c>
      <c r="U274" s="182"/>
      <c r="V274" s="183" t="str">
        <f>IFERROR(__xludf.DUMMYFUNCTION("""COMPUTED_VALUE"""),"#NUM!")</f>
        <v>#NUM!</v>
      </c>
      <c r="W274" s="186">
        <f>IFERROR(__xludf.DUMMYFUNCTION("""COMPUTED_VALUE"""),45831.0)</f>
        <v>45831</v>
      </c>
      <c r="X274" s="187">
        <f>IFERROR(__xludf.DUMMYFUNCTION("""COMPUTED_VALUE"""),45745.0)</f>
        <v>45745</v>
      </c>
      <c r="Y274" s="182" t="b">
        <f>IFERROR(__xludf.DUMMYFUNCTION("""COMPUTED_VALUE"""),FALSE)</f>
        <v>0</v>
      </c>
      <c r="Z274" s="187">
        <f>IFERROR(__xludf.DUMMYFUNCTION("""COMPUTED_VALUE"""),45746.0)</f>
        <v>45746</v>
      </c>
      <c r="AA274" s="182" t="b">
        <f>IFERROR(__xludf.DUMMYFUNCTION("""COMPUTED_VALUE"""),FALSE)</f>
        <v>0</v>
      </c>
      <c r="AB274" s="187">
        <f>IFERROR(__xludf.DUMMYFUNCTION("""COMPUTED_VALUE"""),45752.0)</f>
        <v>45752</v>
      </c>
      <c r="AC274" s="187">
        <f>IFERROR(__xludf.DUMMYFUNCTION("""COMPUTED_VALUE"""),45752.0)</f>
        <v>45752</v>
      </c>
      <c r="AD274" s="187">
        <f>IFERROR(__xludf.DUMMYFUNCTION("""COMPUTED_VALUE"""),45758.0)</f>
        <v>45758</v>
      </c>
      <c r="AE274" s="188" t="str">
        <f>IFERROR(__xludf.DUMMYFUNCTION("""COMPUTED_VALUE"""),"CLNRGA10294")</f>
        <v>CLNRGA10294</v>
      </c>
      <c r="AF274" s="188" t="str">
        <f>IFERROR(__xludf.DUMMYFUNCTION("""COMPUTED_VALUE"""),"CLNRGA10294")</f>
        <v>CLNRGA10294</v>
      </c>
      <c r="AG274" s="182" t="str">
        <f>IFERROR(__xludf.DUMMYFUNCTION("""COMPUTED_VALUE"""),"N/A")</f>
        <v>N/A</v>
      </c>
      <c r="AH274" s="188" t="str">
        <f>IFERROR(__xludf.DUMMYFUNCTION("""COMPUTED_VALUE"""),"CLNRGA10294")</f>
        <v>CLNRGA10294</v>
      </c>
      <c r="AI274" s="187">
        <f>IFERROR(__xludf.DUMMYFUNCTION("""COMPUTED_VALUE"""),45780.0)</f>
        <v>45780</v>
      </c>
      <c r="AJ274" s="182" t="b">
        <f>IFERROR(__xludf.DUMMYFUNCTION("""COMPUTED_VALUE"""),FALSE)</f>
        <v>0</v>
      </c>
      <c r="AK274" s="182" t="b">
        <f>IFERROR(__xludf.DUMMYFUNCTION("""COMPUTED_VALUE"""),FALSE)</f>
        <v>0</v>
      </c>
      <c r="AL274" s="187">
        <f>IFERROR(__xludf.DUMMYFUNCTION("""COMPUTED_VALUE"""),45780.0)</f>
        <v>45780</v>
      </c>
      <c r="AM274" s="182" t="b">
        <f>IFERROR(__xludf.DUMMYFUNCTION("""COMPUTED_VALUE"""),TRUE)</f>
        <v>1</v>
      </c>
      <c r="AN274" s="182" t="str">
        <f>IFERROR(__xludf.DUMMYFUNCTION("""COMPUTED_VALUE"""),"N")</f>
        <v>N</v>
      </c>
      <c r="AO274" s="182"/>
      <c r="AP274" s="182"/>
      <c r="AQ274" s="182" t="b">
        <f>IFERROR(__xludf.DUMMYFUNCTION("""COMPUTED_VALUE"""),FALSE)</f>
        <v>0</v>
      </c>
      <c r="AR274" s="182" t="str">
        <f>IFERROR(__xludf.DUMMYFUNCTION("""COMPUTED_VALUE"""),"N")</f>
        <v>N</v>
      </c>
      <c r="AS274" s="182"/>
      <c r="AT274" s="187">
        <f>IFERROR(__xludf.DUMMYFUNCTION("""COMPUTED_VALUE"""),45780.0)</f>
        <v>45780</v>
      </c>
      <c r="AU274" s="182"/>
      <c r="AV274" s="182"/>
      <c r="AW274" s="187">
        <f>IFERROR(__xludf.DUMMYFUNCTION("""COMPUTED_VALUE"""),45827.0)</f>
        <v>45827</v>
      </c>
      <c r="AX274" s="187">
        <f>IFERROR(__xludf.DUMMYFUNCTION("""COMPUTED_VALUE"""),45827.0)</f>
        <v>45827</v>
      </c>
      <c r="AY274" s="182" t="b">
        <f>IFERROR(__xludf.DUMMYFUNCTION("""COMPUTED_VALUE"""),FALSE)</f>
        <v>0</v>
      </c>
      <c r="AZ274" s="182"/>
      <c r="BA274" s="182"/>
      <c r="BB274" s="182"/>
    </row>
    <row r="275">
      <c r="A275" s="184" t="str">
        <f t="shared" si="1"/>
        <v>#VALUE!</v>
      </c>
      <c r="B275" s="191" t="str">
        <f t="shared" si="3"/>
        <v>#VALUE!</v>
      </c>
      <c r="C275" s="182" t="str">
        <f>IFERROR(__xludf.DUMMYFUNCTION("""COMPUTED_VALUE"""),"TMO")</f>
        <v>TMO</v>
      </c>
      <c r="D275" s="182" t="str">
        <f>IFERROR(__xludf.DUMMYFUNCTION("""COMPUTED_VALUE"""),"MP")</f>
        <v>MP</v>
      </c>
      <c r="E275" s="182" t="str">
        <f>IFERROR(__xludf.DUMMYFUNCTION("""COMPUTED_VALUE"""),"CLNR")</f>
        <v>CLNR</v>
      </c>
      <c r="F275" s="182" t="str">
        <f>IFERROR(__xludf.DUMMYFUNCTION("""COMPUTED_VALUE"""),"CLNRGA09898")</f>
        <v>CLNRGA09898</v>
      </c>
      <c r="G275" s="182" t="str">
        <f>IFERROR(__xludf.DUMMYFUNCTION("""COMPUTED_VALUE"""),"G4QUR")</f>
        <v>G4QUR</v>
      </c>
      <c r="H275" s="182">
        <f>IFERROR(__xludf.DUMMYFUNCTION("""COMPUTED_VALUE"""),8.40353936997E11)</f>
        <v>840353936997</v>
      </c>
      <c r="I275" s="185" t="str">
        <f>IFERROR(__xludf.DUMMYFUNCTION("""COMPUTED_VALUE"""),"0840353936997")</f>
        <v>0840353936997</v>
      </c>
      <c r="J275" s="182">
        <f>IFERROR(__xludf.DUMMYFUNCTION("""COMPUTED_VALUE"""),8.40353936997E11)</f>
        <v>840353936997</v>
      </c>
      <c r="K275" s="182" t="str">
        <f>IFERROR(__xludf.DUMMYFUNCTION("""COMPUTED_VALUE"""),"MasterCartonLabel_10 pack_TMO")</f>
        <v>MasterCartonLabel_10 pack_TMO</v>
      </c>
      <c r="L275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75" s="182" t="str">
        <f>IFERROR(__xludf.DUMMYFUNCTION("""COMPUTED_VALUE"""),"N/A")</f>
        <v>N/A</v>
      </c>
      <c r="N275" s="182" t="str">
        <f>IFERROR(__xludf.DUMMYFUNCTION("""COMPUTED_VALUE"""),"N/A")</f>
        <v>N/A</v>
      </c>
      <c r="O275" s="182"/>
      <c r="P275" s="182" t="str">
        <f>IFERROR(__xludf.DUMMYFUNCTION("""COMPUTED_VALUE"""),"256GB")</f>
        <v>256GB</v>
      </c>
      <c r="Q275" s="182" t="str">
        <f>IFERROR(__xludf.DUMMYFUNCTION("""COMPUTED_VALUE"""),"Obsidian")</f>
        <v>Obsidian</v>
      </c>
      <c r="R275" s="182" t="str">
        <f>IFERROR(__xludf.DUMMYFUNCTION("""COMPUTED_VALUE"""),"Midnight")</f>
        <v>Midnight</v>
      </c>
      <c r="S275" s="182" t="str">
        <f>IFERROR(__xludf.DUMMYFUNCTION("""COMPUTED_VALUE"""),"US - Tmobile")</f>
        <v>US - Tmobile</v>
      </c>
      <c r="T275" s="182" t="str">
        <f>IFERROR(__xludf.DUMMYFUNCTION("""COMPUTED_VALUE"""),"SKU,CLR1, BETTER, MMWAVE, TMO, BZ5, FRU")</f>
        <v>SKU,CLR1, BETTER, MMWAVE, TMO, BZ5, FRU</v>
      </c>
      <c r="U275" s="182"/>
      <c r="V275" s="183" t="str">
        <f>IFERROR(__xludf.DUMMYFUNCTION("""COMPUTED_VALUE"""),"#NUM!")</f>
        <v>#NUM!</v>
      </c>
      <c r="W275" s="186">
        <f>IFERROR(__xludf.DUMMYFUNCTION("""COMPUTED_VALUE"""),45831.0)</f>
        <v>45831</v>
      </c>
      <c r="X275" s="187">
        <f>IFERROR(__xludf.DUMMYFUNCTION("""COMPUTED_VALUE"""),45745.0)</f>
        <v>45745</v>
      </c>
      <c r="Y275" s="182" t="b">
        <f>IFERROR(__xludf.DUMMYFUNCTION("""COMPUTED_VALUE"""),FALSE)</f>
        <v>0</v>
      </c>
      <c r="Z275" s="187">
        <f>IFERROR(__xludf.DUMMYFUNCTION("""COMPUTED_VALUE"""),45746.0)</f>
        <v>45746</v>
      </c>
      <c r="AA275" s="182" t="b">
        <f>IFERROR(__xludf.DUMMYFUNCTION("""COMPUTED_VALUE"""),FALSE)</f>
        <v>0</v>
      </c>
      <c r="AB275" s="187">
        <f>IFERROR(__xludf.DUMMYFUNCTION("""COMPUTED_VALUE"""),45752.0)</f>
        <v>45752</v>
      </c>
      <c r="AC275" s="187">
        <f>IFERROR(__xludf.DUMMYFUNCTION("""COMPUTED_VALUE"""),45752.0)</f>
        <v>45752</v>
      </c>
      <c r="AD275" s="187">
        <f>IFERROR(__xludf.DUMMYFUNCTION("""COMPUTED_VALUE"""),45758.0)</f>
        <v>45758</v>
      </c>
      <c r="AE275" s="188" t="str">
        <f>IFERROR(__xludf.DUMMYFUNCTION("""COMPUTED_VALUE"""),"CLNRGA09898")</f>
        <v>CLNRGA09898</v>
      </c>
      <c r="AF275" s="188" t="str">
        <f>IFERROR(__xludf.DUMMYFUNCTION("""COMPUTED_VALUE"""),"CLNRGA09898")</f>
        <v>CLNRGA09898</v>
      </c>
      <c r="AG275" s="182" t="str">
        <f>IFERROR(__xludf.DUMMYFUNCTION("""COMPUTED_VALUE"""),"N/A")</f>
        <v>N/A</v>
      </c>
      <c r="AH275" s="188" t="str">
        <f>IFERROR(__xludf.DUMMYFUNCTION("""COMPUTED_VALUE"""),"CLNRGA09898")</f>
        <v>CLNRGA09898</v>
      </c>
      <c r="AI275" s="187">
        <f>IFERROR(__xludf.DUMMYFUNCTION("""COMPUTED_VALUE"""),45780.0)</f>
        <v>45780</v>
      </c>
      <c r="AJ275" s="182" t="b">
        <f>IFERROR(__xludf.DUMMYFUNCTION("""COMPUTED_VALUE"""),FALSE)</f>
        <v>0</v>
      </c>
      <c r="AK275" s="182" t="b">
        <f>IFERROR(__xludf.DUMMYFUNCTION("""COMPUTED_VALUE"""),FALSE)</f>
        <v>0</v>
      </c>
      <c r="AL275" s="187">
        <f>IFERROR(__xludf.DUMMYFUNCTION("""COMPUTED_VALUE"""),45780.0)</f>
        <v>45780</v>
      </c>
      <c r="AM275" s="182" t="b">
        <f>IFERROR(__xludf.DUMMYFUNCTION("""COMPUTED_VALUE"""),TRUE)</f>
        <v>1</v>
      </c>
      <c r="AN275" s="182" t="str">
        <f>IFERROR(__xludf.DUMMYFUNCTION("""COMPUTED_VALUE"""),"N")</f>
        <v>N</v>
      </c>
      <c r="AO275" s="182"/>
      <c r="AP275" s="182"/>
      <c r="AQ275" s="182" t="b">
        <f>IFERROR(__xludf.DUMMYFUNCTION("""COMPUTED_VALUE"""),FALSE)</f>
        <v>0</v>
      </c>
      <c r="AR275" s="182" t="str">
        <f>IFERROR(__xludf.DUMMYFUNCTION("""COMPUTED_VALUE"""),"N")</f>
        <v>N</v>
      </c>
      <c r="AS275" s="182"/>
      <c r="AT275" s="187">
        <f>IFERROR(__xludf.DUMMYFUNCTION("""COMPUTED_VALUE"""),45780.0)</f>
        <v>45780</v>
      </c>
      <c r="AU275" s="182"/>
      <c r="AV275" s="182"/>
      <c r="AW275" s="187">
        <f>IFERROR(__xludf.DUMMYFUNCTION("""COMPUTED_VALUE"""),45827.0)</f>
        <v>45827</v>
      </c>
      <c r="AX275" s="187">
        <f>IFERROR(__xludf.DUMMYFUNCTION("""COMPUTED_VALUE"""),45827.0)</f>
        <v>45827</v>
      </c>
      <c r="AY275" s="182" t="b">
        <f>IFERROR(__xludf.DUMMYFUNCTION("""COMPUTED_VALUE"""),FALSE)</f>
        <v>0</v>
      </c>
      <c r="AZ275" s="182"/>
      <c r="BA275" s="182"/>
      <c r="BB275" s="182"/>
    </row>
    <row r="276">
      <c r="A276" s="184" t="str">
        <f t="shared" si="1"/>
        <v>#VALUE!</v>
      </c>
      <c r="B276" s="191" t="str">
        <f t="shared" si="3"/>
        <v>#VALUE!</v>
      </c>
      <c r="C276" s="182" t="str">
        <f>IFERROR(__xludf.DUMMYFUNCTION("""COMPUTED_VALUE"""),"TMO")</f>
        <v>TMO</v>
      </c>
      <c r="D276" s="182" t="str">
        <f>IFERROR(__xludf.DUMMYFUNCTION("""COMPUTED_VALUE"""),"MP")</f>
        <v>MP</v>
      </c>
      <c r="E276" s="182" t="str">
        <f>IFERROR(__xludf.DUMMYFUNCTION("""COMPUTED_VALUE"""),"CLNR")</f>
        <v>CLNR</v>
      </c>
      <c r="F276" s="182" t="str">
        <f>IFERROR(__xludf.DUMMYFUNCTION("""COMPUTED_VALUE"""),"CLNRGA10296")</f>
        <v>CLNRGA10296</v>
      </c>
      <c r="G276" s="182" t="str">
        <f>IFERROR(__xludf.DUMMYFUNCTION("""COMPUTED_VALUE"""),"G4QUR")</f>
        <v>G4QUR</v>
      </c>
      <c r="H276" s="182">
        <f>IFERROR(__xludf.DUMMYFUNCTION("""COMPUTED_VALUE"""),8.40353937017E11)</f>
        <v>840353937017</v>
      </c>
      <c r="I276" s="185" t="str">
        <f>IFERROR(__xludf.DUMMYFUNCTION("""COMPUTED_VALUE"""),"0840353937017")</f>
        <v>0840353937017</v>
      </c>
      <c r="J276" s="182">
        <f>IFERROR(__xludf.DUMMYFUNCTION("""COMPUTED_VALUE"""),8.40353937017E11)</f>
        <v>840353937017</v>
      </c>
      <c r="K276" s="182" t="str">
        <f>IFERROR(__xludf.DUMMYFUNCTION("""COMPUTED_VALUE"""),"MasterCartonLabel_10 pack_TMO")</f>
        <v>MasterCartonLabel_10 pack_TMO</v>
      </c>
      <c r="L276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76" s="182" t="str">
        <f>IFERROR(__xludf.DUMMYFUNCTION("""COMPUTED_VALUE"""),"N/A")</f>
        <v>N/A</v>
      </c>
      <c r="N276" s="182" t="str">
        <f>IFERROR(__xludf.DUMMYFUNCTION("""COMPUTED_VALUE"""),"N/A")</f>
        <v>N/A</v>
      </c>
      <c r="O276" s="182"/>
      <c r="P276" s="182" t="str">
        <f>IFERROR(__xludf.DUMMYFUNCTION("""COMPUTED_VALUE"""),"256GB")</f>
        <v>256GB</v>
      </c>
      <c r="Q276" s="182" t="str">
        <f>IFERROR(__xludf.DUMMYFUNCTION("""COMPUTED_VALUE"""),"Moonstone")</f>
        <v>Moonstone</v>
      </c>
      <c r="R276" s="182" t="str">
        <f>IFERROR(__xludf.DUMMYFUNCTION("""COMPUTED_VALUE"""),"Sterling")</f>
        <v>Sterling</v>
      </c>
      <c r="S276" s="182" t="str">
        <f>IFERROR(__xludf.DUMMYFUNCTION("""COMPUTED_VALUE"""),"US - Tmobile")</f>
        <v>US - Tmobile</v>
      </c>
      <c r="T276" s="182" t="str">
        <f>IFERROR(__xludf.DUMMYFUNCTION("""COMPUTED_VALUE"""),"SKU,CLR3, BETTER, MMWAVE, TMO, BZ5, FRU")</f>
        <v>SKU,CLR3, BETTER, MMWAVE, TMO, BZ5, FRU</v>
      </c>
      <c r="U276" s="182"/>
      <c r="V276" s="183" t="str">
        <f>IFERROR(__xludf.DUMMYFUNCTION("""COMPUTED_VALUE"""),"#NUM!")</f>
        <v>#NUM!</v>
      </c>
      <c r="W276" s="186">
        <f>IFERROR(__xludf.DUMMYFUNCTION("""COMPUTED_VALUE"""),45831.0)</f>
        <v>45831</v>
      </c>
      <c r="X276" s="187">
        <f>IFERROR(__xludf.DUMMYFUNCTION("""COMPUTED_VALUE"""),45745.0)</f>
        <v>45745</v>
      </c>
      <c r="Y276" s="182" t="b">
        <f>IFERROR(__xludf.DUMMYFUNCTION("""COMPUTED_VALUE"""),FALSE)</f>
        <v>0</v>
      </c>
      <c r="Z276" s="187">
        <f>IFERROR(__xludf.DUMMYFUNCTION("""COMPUTED_VALUE"""),45746.0)</f>
        <v>45746</v>
      </c>
      <c r="AA276" s="182" t="b">
        <f>IFERROR(__xludf.DUMMYFUNCTION("""COMPUTED_VALUE"""),FALSE)</f>
        <v>0</v>
      </c>
      <c r="AB276" s="187">
        <f>IFERROR(__xludf.DUMMYFUNCTION("""COMPUTED_VALUE"""),45752.0)</f>
        <v>45752</v>
      </c>
      <c r="AC276" s="187">
        <f>IFERROR(__xludf.DUMMYFUNCTION("""COMPUTED_VALUE"""),45752.0)</f>
        <v>45752</v>
      </c>
      <c r="AD276" s="187">
        <f>IFERROR(__xludf.DUMMYFUNCTION("""COMPUTED_VALUE"""),45758.0)</f>
        <v>45758</v>
      </c>
      <c r="AE276" s="188" t="str">
        <f>IFERROR(__xludf.DUMMYFUNCTION("""COMPUTED_VALUE"""),"CLNRGA10296")</f>
        <v>CLNRGA10296</v>
      </c>
      <c r="AF276" s="188" t="str">
        <f>IFERROR(__xludf.DUMMYFUNCTION("""COMPUTED_VALUE"""),"CLNRGA10296")</f>
        <v>CLNRGA10296</v>
      </c>
      <c r="AG276" s="182" t="str">
        <f>IFERROR(__xludf.DUMMYFUNCTION("""COMPUTED_VALUE"""),"N/A")</f>
        <v>N/A</v>
      </c>
      <c r="AH276" s="188" t="str">
        <f>IFERROR(__xludf.DUMMYFUNCTION("""COMPUTED_VALUE"""),"CLNRGA10296")</f>
        <v>CLNRGA10296</v>
      </c>
      <c r="AI276" s="187">
        <f>IFERROR(__xludf.DUMMYFUNCTION("""COMPUTED_VALUE"""),45780.0)</f>
        <v>45780</v>
      </c>
      <c r="AJ276" s="182" t="b">
        <f>IFERROR(__xludf.DUMMYFUNCTION("""COMPUTED_VALUE"""),FALSE)</f>
        <v>0</v>
      </c>
      <c r="AK276" s="182" t="b">
        <f>IFERROR(__xludf.DUMMYFUNCTION("""COMPUTED_VALUE"""),FALSE)</f>
        <v>0</v>
      </c>
      <c r="AL276" s="187">
        <f>IFERROR(__xludf.DUMMYFUNCTION("""COMPUTED_VALUE"""),45780.0)</f>
        <v>45780</v>
      </c>
      <c r="AM276" s="182" t="b">
        <f>IFERROR(__xludf.DUMMYFUNCTION("""COMPUTED_VALUE"""),TRUE)</f>
        <v>1</v>
      </c>
      <c r="AN276" s="182" t="str">
        <f>IFERROR(__xludf.DUMMYFUNCTION("""COMPUTED_VALUE"""),"Y")</f>
        <v>Y</v>
      </c>
      <c r="AO276" s="182"/>
      <c r="AP276" s="182"/>
      <c r="AQ276" s="182" t="b">
        <f>IFERROR(__xludf.DUMMYFUNCTION("""COMPUTED_VALUE"""),FALSE)</f>
        <v>0</v>
      </c>
      <c r="AR276" s="182" t="str">
        <f>IFERROR(__xludf.DUMMYFUNCTION("""COMPUTED_VALUE"""),"N")</f>
        <v>N</v>
      </c>
      <c r="AS276" s="182"/>
      <c r="AT276" s="187">
        <f>IFERROR(__xludf.DUMMYFUNCTION("""COMPUTED_VALUE"""),45780.0)</f>
        <v>45780</v>
      </c>
      <c r="AU276" s="182"/>
      <c r="AV276" s="182"/>
      <c r="AW276" s="187">
        <f>IFERROR(__xludf.DUMMYFUNCTION("""COMPUTED_VALUE"""),45827.0)</f>
        <v>45827</v>
      </c>
      <c r="AX276" s="187">
        <f>IFERROR(__xludf.DUMMYFUNCTION("""COMPUTED_VALUE"""),45827.0)</f>
        <v>45827</v>
      </c>
      <c r="AY276" s="182" t="b">
        <f>IFERROR(__xludf.DUMMYFUNCTION("""COMPUTED_VALUE"""),FALSE)</f>
        <v>0</v>
      </c>
      <c r="AZ276" s="182"/>
      <c r="BA276" s="182"/>
      <c r="BB276" s="182"/>
    </row>
    <row r="277">
      <c r="A277" s="184" t="str">
        <f t="shared" si="1"/>
        <v>#VALUE!</v>
      </c>
      <c r="B277" s="191" t="str">
        <f t="shared" si="3"/>
        <v>#VALUE!</v>
      </c>
      <c r="C277" s="182" t="str">
        <f>IFERROR(__xludf.DUMMYFUNCTION("""COMPUTED_VALUE"""),"VZW")</f>
        <v>VZW</v>
      </c>
      <c r="D277" s="182" t="str">
        <f>IFERROR(__xludf.DUMMYFUNCTION("""COMPUTED_VALUE"""),"MP")</f>
        <v>MP</v>
      </c>
      <c r="E277" s="182" t="str">
        <f>IFERROR(__xludf.DUMMYFUNCTION("""COMPUTED_VALUE"""),"CLNR")</f>
        <v>CLNR</v>
      </c>
      <c r="F277" s="182" t="str">
        <f>IFERROR(__xludf.DUMMYFUNCTION("""COMPUTED_VALUE"""),"CLNRGOGA10275")</f>
        <v>CLNRGOGA10275</v>
      </c>
      <c r="G277" s="182" t="str">
        <f>IFERROR(__xludf.DUMMYFUNCTION("""COMPUTED_VALUE"""),"G4QUR")</f>
        <v>G4QUR</v>
      </c>
      <c r="H277" s="182">
        <f>IFERROR(__xludf.DUMMYFUNCTION("""COMPUTED_VALUE"""),8.40353936775E11)</f>
        <v>840353936775</v>
      </c>
      <c r="I277" s="185" t="str">
        <f>IFERROR(__xludf.DUMMYFUNCTION("""COMPUTED_VALUE"""),"0840353936775")</f>
        <v>0840353936775</v>
      </c>
      <c r="J277" s="182"/>
      <c r="K277" s="182" t="str">
        <f>IFERROR(__xludf.DUMMYFUNCTION("""COMPUTED_VALUE"""),"VZN Master Carton Label")</f>
        <v>VZN Master Carton Label</v>
      </c>
      <c r="L277" s="182" t="str">
        <f>IFERROR(__xludf.DUMMYFUNCTION("""COMPUTED_VALUE"""),"VZN Pallet Label -&gt; BTS(Normal case)")</f>
        <v>VZN Pallet Label -&gt; BTS(Normal case)</v>
      </c>
      <c r="M277" s="182" t="str">
        <f>IFERROR(__xludf.DUMMYFUNCTION("""COMPUTED_VALUE"""),"N/A")</f>
        <v>N/A</v>
      </c>
      <c r="N277" s="182" t="str">
        <f>IFERROR(__xludf.DUMMYFUNCTION("""COMPUTED_VALUE"""),"N/A")</f>
        <v>N/A</v>
      </c>
      <c r="O277" s="182"/>
      <c r="P277" s="182" t="str">
        <f>IFERROR(__xludf.DUMMYFUNCTION("""COMPUTED_VALUE"""),"128GB")</f>
        <v>128GB</v>
      </c>
      <c r="Q277" s="182" t="str">
        <f>IFERROR(__xludf.DUMMYFUNCTION("""COMPUTED_VALUE"""),"Porcelain")</f>
        <v>Porcelain</v>
      </c>
      <c r="R277" s="182" t="str">
        <f>IFERROR(__xludf.DUMMYFUNCTION("""COMPUTED_VALUE"""),"Light Porcelain")</f>
        <v>Light Porcelain</v>
      </c>
      <c r="S277" s="182" t="str">
        <f>IFERROR(__xludf.DUMMYFUNCTION("""COMPUTED_VALUE"""),"US-VZW")</f>
        <v>US-VZW</v>
      </c>
      <c r="T277" s="182" t="str">
        <f>IFERROR(__xludf.DUMMYFUNCTION("""COMPUTED_VALUE"""),"SKU,CLR2, GOOD, MMWAVE, VZW, BZ5, FRU")</f>
        <v>SKU,CLR2, GOOD, MMWAVE, VZW, BZ5, FRU</v>
      </c>
      <c r="U277" s="182"/>
      <c r="V277" s="183" t="str">
        <f>IFERROR(__xludf.DUMMYFUNCTION("""COMPUTED_VALUE"""),"#NUM!")</f>
        <v>#NUM!</v>
      </c>
      <c r="W277" s="186">
        <f>IFERROR(__xludf.DUMMYFUNCTION("""COMPUTED_VALUE"""),45831.0)</f>
        <v>45831</v>
      </c>
      <c r="X277" s="187">
        <f>IFERROR(__xludf.DUMMYFUNCTION("""COMPUTED_VALUE"""),45745.0)</f>
        <v>45745</v>
      </c>
      <c r="Y277" s="182" t="b">
        <f>IFERROR(__xludf.DUMMYFUNCTION("""COMPUTED_VALUE"""),FALSE)</f>
        <v>0</v>
      </c>
      <c r="Z277" s="187">
        <f>IFERROR(__xludf.DUMMYFUNCTION("""COMPUTED_VALUE"""),45746.0)</f>
        <v>45746</v>
      </c>
      <c r="AA277" s="182" t="b">
        <f>IFERROR(__xludf.DUMMYFUNCTION("""COMPUTED_VALUE"""),FALSE)</f>
        <v>0</v>
      </c>
      <c r="AB277" s="187">
        <f>IFERROR(__xludf.DUMMYFUNCTION("""COMPUTED_VALUE"""),45752.0)</f>
        <v>45752</v>
      </c>
      <c r="AC277" s="187">
        <f>IFERROR(__xludf.DUMMYFUNCTION("""COMPUTED_VALUE"""),45752.0)</f>
        <v>45752</v>
      </c>
      <c r="AD277" s="187">
        <f>IFERROR(__xludf.DUMMYFUNCTION("""COMPUTED_VALUE"""),45758.0)</f>
        <v>45758</v>
      </c>
      <c r="AE277" s="188" t="str">
        <f>IFERROR(__xludf.DUMMYFUNCTION("""COMPUTED_VALUE"""),"CLNRGOGA10275")</f>
        <v>CLNRGOGA10275</v>
      </c>
      <c r="AF277" s="188" t="str">
        <f>IFERROR(__xludf.DUMMYFUNCTION("""COMPUTED_VALUE"""),"CLNRGOGA10275")</f>
        <v>CLNRGOGA10275</v>
      </c>
      <c r="AG277" s="182" t="str">
        <f>IFERROR(__xludf.DUMMYFUNCTION("""COMPUTED_VALUE"""),"N/A")</f>
        <v>N/A</v>
      </c>
      <c r="AH277" s="188" t="str">
        <f>IFERROR(__xludf.DUMMYFUNCTION("""COMPUTED_VALUE"""),"CLNRGOGA10275")</f>
        <v>CLNRGOGA10275</v>
      </c>
      <c r="AI277" s="187">
        <f>IFERROR(__xludf.DUMMYFUNCTION("""COMPUTED_VALUE"""),45780.0)</f>
        <v>45780</v>
      </c>
      <c r="AJ277" s="182" t="b">
        <f>IFERROR(__xludf.DUMMYFUNCTION("""COMPUTED_VALUE"""),FALSE)</f>
        <v>0</v>
      </c>
      <c r="AK277" s="182" t="b">
        <f>IFERROR(__xludf.DUMMYFUNCTION("""COMPUTED_VALUE"""),FALSE)</f>
        <v>0</v>
      </c>
      <c r="AL277" s="187">
        <f>IFERROR(__xludf.DUMMYFUNCTION("""COMPUTED_VALUE"""),45780.0)</f>
        <v>45780</v>
      </c>
      <c r="AM277" s="182" t="b">
        <f>IFERROR(__xludf.DUMMYFUNCTION("""COMPUTED_VALUE"""),TRUE)</f>
        <v>1</v>
      </c>
      <c r="AN277" s="182" t="str">
        <f>IFERROR(__xludf.DUMMYFUNCTION("""COMPUTED_VALUE"""),"N")</f>
        <v>N</v>
      </c>
      <c r="AO277" s="182"/>
      <c r="AP277" s="187">
        <f>IFERROR(__xludf.DUMMYFUNCTION("""COMPUTED_VALUE"""),45780.0)</f>
        <v>45780</v>
      </c>
      <c r="AQ277" s="182" t="b">
        <f>IFERROR(__xludf.DUMMYFUNCTION("""COMPUTED_VALUE"""),FALSE)</f>
        <v>0</v>
      </c>
      <c r="AR277" s="182"/>
      <c r="AS277" s="182"/>
      <c r="AT277" s="187">
        <f>IFERROR(__xludf.DUMMYFUNCTION("""COMPUTED_VALUE"""),45780.0)</f>
        <v>45780</v>
      </c>
      <c r="AU277" s="182"/>
      <c r="AV277" s="182"/>
      <c r="AW277" s="187">
        <f>IFERROR(__xludf.DUMMYFUNCTION("""COMPUTED_VALUE"""),45827.0)</f>
        <v>45827</v>
      </c>
      <c r="AX277" s="187">
        <f>IFERROR(__xludf.DUMMYFUNCTION("""COMPUTED_VALUE"""),45827.0)</f>
        <v>45827</v>
      </c>
      <c r="AY277" s="182" t="b">
        <f>IFERROR(__xludf.DUMMYFUNCTION("""COMPUTED_VALUE"""),FALSE)</f>
        <v>0</v>
      </c>
      <c r="AZ277" s="182"/>
      <c r="BA277" s="182"/>
      <c r="BB277" s="182"/>
    </row>
    <row r="278">
      <c r="A278" s="184" t="str">
        <f t="shared" si="1"/>
        <v>#VALUE!</v>
      </c>
      <c r="B278" s="191" t="str">
        <f t="shared" si="3"/>
        <v>#VALUE!</v>
      </c>
      <c r="C278" s="182" t="str">
        <f>IFERROR(__xludf.DUMMYFUNCTION("""COMPUTED_VALUE"""),"VZW")</f>
        <v>VZW</v>
      </c>
      <c r="D278" s="182" t="str">
        <f>IFERROR(__xludf.DUMMYFUNCTION("""COMPUTED_VALUE"""),"MP")</f>
        <v>MP</v>
      </c>
      <c r="E278" s="182" t="str">
        <f>IFERROR(__xludf.DUMMYFUNCTION("""COMPUTED_VALUE"""),"CLNR")</f>
        <v>CLNR</v>
      </c>
      <c r="F278" s="182" t="str">
        <f>IFERROR(__xludf.DUMMYFUNCTION("""COMPUTED_VALUE"""),"CLNRGOGA10277")</f>
        <v>CLNRGOGA10277</v>
      </c>
      <c r="G278" s="182" t="str">
        <f>IFERROR(__xludf.DUMMYFUNCTION("""COMPUTED_VALUE"""),"G4QUR")</f>
        <v>G4QUR</v>
      </c>
      <c r="H278" s="182">
        <f>IFERROR(__xludf.DUMMYFUNCTION("""COMPUTED_VALUE"""),8.40353936904E11)</f>
        <v>840353936904</v>
      </c>
      <c r="I278" s="185" t="str">
        <f>IFERROR(__xludf.DUMMYFUNCTION("""COMPUTED_VALUE"""),"0840353936904")</f>
        <v>0840353936904</v>
      </c>
      <c r="J278" s="182"/>
      <c r="K278" s="182" t="str">
        <f>IFERROR(__xludf.DUMMYFUNCTION("""COMPUTED_VALUE"""),"VZN Master Carton Label")</f>
        <v>VZN Master Carton Label</v>
      </c>
      <c r="L278" s="182" t="str">
        <f>IFERROR(__xludf.DUMMYFUNCTION("""COMPUTED_VALUE"""),"VZN Pallet Label -&gt; BTS(Normal case)")</f>
        <v>VZN Pallet Label -&gt; BTS(Normal case)</v>
      </c>
      <c r="M278" s="182" t="str">
        <f>IFERROR(__xludf.DUMMYFUNCTION("""COMPUTED_VALUE"""),"N/A")</f>
        <v>N/A</v>
      </c>
      <c r="N278" s="182" t="str">
        <f>IFERROR(__xludf.DUMMYFUNCTION("""COMPUTED_VALUE"""),"N/A")</f>
        <v>N/A</v>
      </c>
      <c r="O278" s="182"/>
      <c r="P278" s="182" t="str">
        <f>IFERROR(__xludf.DUMMYFUNCTION("""COMPUTED_VALUE"""),"256GB")</f>
        <v>256GB</v>
      </c>
      <c r="Q278" s="182" t="str">
        <f>IFERROR(__xludf.DUMMYFUNCTION("""COMPUTED_VALUE"""),"Porcelain")</f>
        <v>Porcelain</v>
      </c>
      <c r="R278" s="182" t="str">
        <f>IFERROR(__xludf.DUMMYFUNCTION("""COMPUTED_VALUE"""),"Light Porcelain")</f>
        <v>Light Porcelain</v>
      </c>
      <c r="S278" s="182" t="str">
        <f>IFERROR(__xludf.DUMMYFUNCTION("""COMPUTED_VALUE"""),"US-VZW")</f>
        <v>US-VZW</v>
      </c>
      <c r="T278" s="182" t="str">
        <f>IFERROR(__xludf.DUMMYFUNCTION("""COMPUTED_VALUE"""),"SKU,CLR2, BETTER, MMWAVE, VZW, BZ5, FRU")</f>
        <v>SKU,CLR2, BETTER, MMWAVE, VZW, BZ5, FRU</v>
      </c>
      <c r="U278" s="182"/>
      <c r="V278" s="183" t="str">
        <f>IFERROR(__xludf.DUMMYFUNCTION("""COMPUTED_VALUE"""),"#NUM!")</f>
        <v>#NUM!</v>
      </c>
      <c r="W278" s="186">
        <f>IFERROR(__xludf.DUMMYFUNCTION("""COMPUTED_VALUE"""),45831.0)</f>
        <v>45831</v>
      </c>
      <c r="X278" s="187">
        <f>IFERROR(__xludf.DUMMYFUNCTION("""COMPUTED_VALUE"""),45745.0)</f>
        <v>45745</v>
      </c>
      <c r="Y278" s="182" t="b">
        <f>IFERROR(__xludf.DUMMYFUNCTION("""COMPUTED_VALUE"""),FALSE)</f>
        <v>0</v>
      </c>
      <c r="Z278" s="187">
        <f>IFERROR(__xludf.DUMMYFUNCTION("""COMPUTED_VALUE"""),45746.0)</f>
        <v>45746</v>
      </c>
      <c r="AA278" s="182" t="b">
        <f>IFERROR(__xludf.DUMMYFUNCTION("""COMPUTED_VALUE"""),FALSE)</f>
        <v>0</v>
      </c>
      <c r="AB278" s="187">
        <f>IFERROR(__xludf.DUMMYFUNCTION("""COMPUTED_VALUE"""),45752.0)</f>
        <v>45752</v>
      </c>
      <c r="AC278" s="187">
        <f>IFERROR(__xludf.DUMMYFUNCTION("""COMPUTED_VALUE"""),45752.0)</f>
        <v>45752</v>
      </c>
      <c r="AD278" s="187">
        <f>IFERROR(__xludf.DUMMYFUNCTION("""COMPUTED_VALUE"""),45758.0)</f>
        <v>45758</v>
      </c>
      <c r="AE278" s="182" t="str">
        <f>IFERROR(__xludf.DUMMYFUNCTION("""COMPUTED_VALUE"""),"N/A")</f>
        <v>N/A</v>
      </c>
      <c r="AF278" s="182"/>
      <c r="AG278" s="182" t="str">
        <f>IFERROR(__xludf.DUMMYFUNCTION("""COMPUTED_VALUE"""),"N/A")</f>
        <v>N/A</v>
      </c>
      <c r="AH278" s="182" t="str">
        <f>IFERROR(__xludf.DUMMYFUNCTION("""COMPUTED_VALUE"""),"CLNRGOGA10277")</f>
        <v>CLNRGOGA10277</v>
      </c>
      <c r="AI278" s="187">
        <f>IFERROR(__xludf.DUMMYFUNCTION("""COMPUTED_VALUE"""),45780.0)</f>
        <v>45780</v>
      </c>
      <c r="AJ278" s="182" t="b">
        <f>IFERROR(__xludf.DUMMYFUNCTION("""COMPUTED_VALUE"""),FALSE)</f>
        <v>0</v>
      </c>
      <c r="AK278" s="182" t="b">
        <f>IFERROR(__xludf.DUMMYFUNCTION("""COMPUTED_VALUE"""),FALSE)</f>
        <v>0</v>
      </c>
      <c r="AL278" s="187">
        <f>IFERROR(__xludf.DUMMYFUNCTION("""COMPUTED_VALUE"""),45780.0)</f>
        <v>45780</v>
      </c>
      <c r="AM278" s="182" t="b">
        <f>IFERROR(__xludf.DUMMYFUNCTION("""COMPUTED_VALUE"""),FALSE)</f>
        <v>0</v>
      </c>
      <c r="AN278" s="182"/>
      <c r="AO278" s="182"/>
      <c r="AP278" s="187">
        <f>IFERROR(__xludf.DUMMYFUNCTION("""COMPUTED_VALUE"""),45780.0)</f>
        <v>45780</v>
      </c>
      <c r="AQ278" s="182" t="b">
        <f>IFERROR(__xludf.DUMMYFUNCTION("""COMPUTED_VALUE"""),FALSE)</f>
        <v>0</v>
      </c>
      <c r="AR278" s="182"/>
      <c r="AS278" s="182"/>
      <c r="AT278" s="187">
        <f>IFERROR(__xludf.DUMMYFUNCTION("""COMPUTED_VALUE"""),45780.0)</f>
        <v>45780</v>
      </c>
      <c r="AU278" s="182"/>
      <c r="AV278" s="182"/>
      <c r="AW278" s="187">
        <f>IFERROR(__xludf.DUMMYFUNCTION("""COMPUTED_VALUE"""),45827.0)</f>
        <v>45827</v>
      </c>
      <c r="AX278" s="187">
        <f>IFERROR(__xludf.DUMMYFUNCTION("""COMPUTED_VALUE"""),45827.0)</f>
        <v>45827</v>
      </c>
      <c r="AY278" s="182" t="b">
        <f>IFERROR(__xludf.DUMMYFUNCTION("""COMPUTED_VALUE"""),FALSE)</f>
        <v>0</v>
      </c>
      <c r="AZ278" s="182"/>
      <c r="BA278" s="182"/>
      <c r="BB278" s="182"/>
    </row>
    <row r="279">
      <c r="A279" s="184" t="str">
        <f t="shared" si="1"/>
        <v>#VALUE!</v>
      </c>
      <c r="B279" s="191" t="str">
        <f t="shared" si="3"/>
        <v>#VALUE!</v>
      </c>
      <c r="C279" s="182" t="str">
        <f>IFERROR(__xludf.DUMMYFUNCTION("""COMPUTED_VALUE"""),"VZW")</f>
        <v>VZW</v>
      </c>
      <c r="D279" s="182" t="str">
        <f>IFERROR(__xludf.DUMMYFUNCTION("""COMPUTED_VALUE"""),"MP")</f>
        <v>MP</v>
      </c>
      <c r="E279" s="182" t="str">
        <f>IFERROR(__xludf.DUMMYFUNCTION("""COMPUTED_VALUE"""),"CLNR")</f>
        <v>CLNR</v>
      </c>
      <c r="F279" s="182" t="str">
        <f>IFERROR(__xludf.DUMMYFUNCTION("""COMPUTED_VALUE"""),"CLNRGOGA10280")</f>
        <v>CLNRGOGA10280</v>
      </c>
      <c r="G279" s="182" t="str">
        <f>IFERROR(__xludf.DUMMYFUNCTION("""COMPUTED_VALUE"""),"G4QUR")</f>
        <v>G4QUR</v>
      </c>
      <c r="H279" s="182">
        <f>IFERROR(__xludf.DUMMYFUNCTION("""COMPUTED_VALUE"""),8.40353936942E11)</f>
        <v>840353936942</v>
      </c>
      <c r="I279" s="185" t="str">
        <f>IFERROR(__xludf.DUMMYFUNCTION("""COMPUTED_VALUE"""),"0840353936942")</f>
        <v>0840353936942</v>
      </c>
      <c r="J279" s="182"/>
      <c r="K279" s="182" t="str">
        <f>IFERROR(__xludf.DUMMYFUNCTION("""COMPUTED_VALUE"""),"VZN Master Carton Label")</f>
        <v>VZN Master Carton Label</v>
      </c>
      <c r="L279" s="182" t="str">
        <f>IFERROR(__xludf.DUMMYFUNCTION("""COMPUTED_VALUE"""),"VZN Pallet Label -&gt; BTS(Normal case)")</f>
        <v>VZN Pallet Label -&gt; BTS(Normal case)</v>
      </c>
      <c r="M279" s="182" t="str">
        <f>IFERROR(__xludf.DUMMYFUNCTION("""COMPUTED_VALUE"""),"N/A")</f>
        <v>N/A</v>
      </c>
      <c r="N279" s="182" t="str">
        <f>IFERROR(__xludf.DUMMYFUNCTION("""COMPUTED_VALUE"""),"N/A")</f>
        <v>N/A</v>
      </c>
      <c r="O279" s="182"/>
      <c r="P279" s="182" t="str">
        <f>IFERROR(__xludf.DUMMYFUNCTION("""COMPUTED_VALUE"""),"512GB")</f>
        <v>512GB</v>
      </c>
      <c r="Q279" s="182" t="str">
        <f>IFERROR(__xludf.DUMMYFUNCTION("""COMPUTED_VALUE"""),"Porcelain")</f>
        <v>Porcelain</v>
      </c>
      <c r="R279" s="182" t="str">
        <f>IFERROR(__xludf.DUMMYFUNCTION("""COMPUTED_VALUE"""),"Light Porcelain")</f>
        <v>Light Porcelain</v>
      </c>
      <c r="S279" s="182" t="str">
        <f>IFERROR(__xludf.DUMMYFUNCTION("""COMPUTED_VALUE"""),"US-VZW")</f>
        <v>US-VZW</v>
      </c>
      <c r="T279" s="182" t="str">
        <f>IFERROR(__xludf.DUMMYFUNCTION("""COMPUTED_VALUE"""),"SKU,CLR2, BEST, MMWAVE, VZW, BZ5, FRU")</f>
        <v>SKU,CLR2, BEST, MMWAVE, VZW, BZ5, FRU</v>
      </c>
      <c r="U279" s="182"/>
      <c r="V279" s="183" t="str">
        <f>IFERROR(__xludf.DUMMYFUNCTION("""COMPUTED_VALUE"""),"#NUM!")</f>
        <v>#NUM!</v>
      </c>
      <c r="W279" s="186">
        <f>IFERROR(__xludf.DUMMYFUNCTION("""COMPUTED_VALUE"""),45831.0)</f>
        <v>45831</v>
      </c>
      <c r="X279" s="187">
        <f>IFERROR(__xludf.DUMMYFUNCTION("""COMPUTED_VALUE"""),45745.0)</f>
        <v>45745</v>
      </c>
      <c r="Y279" s="182" t="b">
        <f>IFERROR(__xludf.DUMMYFUNCTION("""COMPUTED_VALUE"""),FALSE)</f>
        <v>0</v>
      </c>
      <c r="Z279" s="187">
        <f>IFERROR(__xludf.DUMMYFUNCTION("""COMPUTED_VALUE"""),45746.0)</f>
        <v>45746</v>
      </c>
      <c r="AA279" s="182" t="b">
        <f>IFERROR(__xludf.DUMMYFUNCTION("""COMPUTED_VALUE"""),FALSE)</f>
        <v>0</v>
      </c>
      <c r="AB279" s="187">
        <f>IFERROR(__xludf.DUMMYFUNCTION("""COMPUTED_VALUE"""),45752.0)</f>
        <v>45752</v>
      </c>
      <c r="AC279" s="187">
        <f>IFERROR(__xludf.DUMMYFUNCTION("""COMPUTED_VALUE"""),45752.0)</f>
        <v>45752</v>
      </c>
      <c r="AD279" s="187">
        <f>IFERROR(__xludf.DUMMYFUNCTION("""COMPUTED_VALUE"""),45758.0)</f>
        <v>45758</v>
      </c>
      <c r="AE279" s="182" t="str">
        <f>IFERROR(__xludf.DUMMYFUNCTION("""COMPUTED_VALUE"""),"N/A")</f>
        <v>N/A</v>
      </c>
      <c r="AF279" s="182"/>
      <c r="AG279" s="182" t="str">
        <f>IFERROR(__xludf.DUMMYFUNCTION("""COMPUTED_VALUE"""),"N/A")</f>
        <v>N/A</v>
      </c>
      <c r="AH279" s="182" t="str">
        <f>IFERROR(__xludf.DUMMYFUNCTION("""COMPUTED_VALUE"""),"CLNRGOGA10280")</f>
        <v>CLNRGOGA10280</v>
      </c>
      <c r="AI279" s="187">
        <f>IFERROR(__xludf.DUMMYFUNCTION("""COMPUTED_VALUE"""),45780.0)</f>
        <v>45780</v>
      </c>
      <c r="AJ279" s="182" t="b">
        <f>IFERROR(__xludf.DUMMYFUNCTION("""COMPUTED_VALUE"""),FALSE)</f>
        <v>0</v>
      </c>
      <c r="AK279" s="182" t="b">
        <f>IFERROR(__xludf.DUMMYFUNCTION("""COMPUTED_VALUE"""),FALSE)</f>
        <v>0</v>
      </c>
      <c r="AL279" s="187">
        <f>IFERROR(__xludf.DUMMYFUNCTION("""COMPUTED_VALUE"""),45780.0)</f>
        <v>45780</v>
      </c>
      <c r="AM279" s="182" t="b">
        <f>IFERROR(__xludf.DUMMYFUNCTION("""COMPUTED_VALUE"""),FALSE)</f>
        <v>0</v>
      </c>
      <c r="AN279" s="182"/>
      <c r="AO279" s="182"/>
      <c r="AP279" s="187">
        <f>IFERROR(__xludf.DUMMYFUNCTION("""COMPUTED_VALUE"""),45780.0)</f>
        <v>45780</v>
      </c>
      <c r="AQ279" s="182" t="b">
        <f>IFERROR(__xludf.DUMMYFUNCTION("""COMPUTED_VALUE"""),FALSE)</f>
        <v>0</v>
      </c>
      <c r="AR279" s="182"/>
      <c r="AS279" s="182"/>
      <c r="AT279" s="187">
        <f>IFERROR(__xludf.DUMMYFUNCTION("""COMPUTED_VALUE"""),45780.0)</f>
        <v>45780</v>
      </c>
      <c r="AU279" s="182"/>
      <c r="AV279" s="182"/>
      <c r="AW279" s="187">
        <f>IFERROR(__xludf.DUMMYFUNCTION("""COMPUTED_VALUE"""),45827.0)</f>
        <v>45827</v>
      </c>
      <c r="AX279" s="187">
        <f>IFERROR(__xludf.DUMMYFUNCTION("""COMPUTED_VALUE"""),45827.0)</f>
        <v>45827</v>
      </c>
      <c r="AY279" s="182" t="b">
        <f>IFERROR(__xludf.DUMMYFUNCTION("""COMPUTED_VALUE"""),FALSE)</f>
        <v>0</v>
      </c>
      <c r="AZ279" s="182"/>
      <c r="BA279" s="182"/>
      <c r="BB279" s="182"/>
    </row>
    <row r="280">
      <c r="A280" s="184" t="str">
        <f t="shared" si="1"/>
        <v>#VALUE!</v>
      </c>
      <c r="B280" s="191" t="str">
        <f t="shared" si="3"/>
        <v>#VALUE!</v>
      </c>
      <c r="C280" s="182" t="str">
        <f>IFERROR(__xludf.DUMMYFUNCTION("""COMPUTED_VALUE"""),"VZW")</f>
        <v>VZW</v>
      </c>
      <c r="D280" s="182" t="str">
        <f>IFERROR(__xludf.DUMMYFUNCTION("""COMPUTED_VALUE"""),"MP")</f>
        <v>MP</v>
      </c>
      <c r="E280" s="182" t="str">
        <f>IFERROR(__xludf.DUMMYFUNCTION("""COMPUTED_VALUE"""),"CLNR")</f>
        <v>CLNR</v>
      </c>
      <c r="F280" s="182" t="str">
        <f>IFERROR(__xludf.DUMMYFUNCTION("""COMPUTED_VALUE"""),"CLNRGOGA10282")</f>
        <v>CLNRGOGA10282</v>
      </c>
      <c r="G280" s="182" t="str">
        <f>IFERROR(__xludf.DUMMYFUNCTION("""COMPUTED_VALUE"""),"G4QUR")</f>
        <v>G4QUR</v>
      </c>
      <c r="H280" s="182">
        <f>IFERROR(__xludf.DUMMYFUNCTION("""COMPUTED_VALUE"""),8.40353936966E11)</f>
        <v>840353936966</v>
      </c>
      <c r="I280" s="185" t="str">
        <f>IFERROR(__xludf.DUMMYFUNCTION("""COMPUTED_VALUE"""),"0840353936966")</f>
        <v>0840353936966</v>
      </c>
      <c r="J280" s="182"/>
      <c r="K280" s="182" t="str">
        <f>IFERROR(__xludf.DUMMYFUNCTION("""COMPUTED_VALUE"""),"VZN Master Carton Label")</f>
        <v>VZN Master Carton Label</v>
      </c>
      <c r="L280" s="182" t="str">
        <f>IFERROR(__xludf.DUMMYFUNCTION("""COMPUTED_VALUE"""),"VZN Pallet Label -&gt; BTS(Normal case)")</f>
        <v>VZN Pallet Label -&gt; BTS(Normal case)</v>
      </c>
      <c r="M280" s="182" t="str">
        <f>IFERROR(__xludf.DUMMYFUNCTION("""COMPUTED_VALUE"""),"N/A")</f>
        <v>N/A</v>
      </c>
      <c r="N280" s="182" t="str">
        <f>IFERROR(__xludf.DUMMYFUNCTION("""COMPUTED_VALUE"""),"N/A")</f>
        <v>N/A</v>
      </c>
      <c r="O280" s="182"/>
      <c r="P280" s="182" t="str">
        <f>IFERROR(__xludf.DUMMYFUNCTION("""COMPUTED_VALUE"""),"512GB")</f>
        <v>512GB</v>
      </c>
      <c r="Q280" s="182"/>
      <c r="R280" s="182" t="str">
        <f>IFERROR(__xludf.DUMMYFUNCTION("""COMPUTED_VALUE"""),"Smokey Green")</f>
        <v>Smokey Green</v>
      </c>
      <c r="S280" s="182" t="str">
        <f>IFERROR(__xludf.DUMMYFUNCTION("""COMPUTED_VALUE"""),"US-VZW")</f>
        <v>US-VZW</v>
      </c>
      <c r="T280" s="182" t="str">
        <f>IFERROR(__xludf.DUMMYFUNCTION("""COMPUTED_VALUE"""),"SKU,CLR4, BEST, MMWAVE, VZW, BZ5, FRU")</f>
        <v>SKU,CLR4, BEST, MMWAVE, VZW, BZ5, FRU</v>
      </c>
      <c r="U280" s="182"/>
      <c r="V280" s="183" t="str">
        <f>IFERROR(__xludf.DUMMYFUNCTION("""COMPUTED_VALUE"""),"#NUM!")</f>
        <v>#NUM!</v>
      </c>
      <c r="W280" s="186">
        <f>IFERROR(__xludf.DUMMYFUNCTION("""COMPUTED_VALUE"""),45831.0)</f>
        <v>45831</v>
      </c>
      <c r="X280" s="187">
        <f>IFERROR(__xludf.DUMMYFUNCTION("""COMPUTED_VALUE"""),45745.0)</f>
        <v>45745</v>
      </c>
      <c r="Y280" s="182" t="b">
        <f>IFERROR(__xludf.DUMMYFUNCTION("""COMPUTED_VALUE"""),FALSE)</f>
        <v>0</v>
      </c>
      <c r="Z280" s="187">
        <f>IFERROR(__xludf.DUMMYFUNCTION("""COMPUTED_VALUE"""),45746.0)</f>
        <v>45746</v>
      </c>
      <c r="AA280" s="182" t="b">
        <f>IFERROR(__xludf.DUMMYFUNCTION("""COMPUTED_VALUE"""),FALSE)</f>
        <v>0</v>
      </c>
      <c r="AB280" s="187">
        <f>IFERROR(__xludf.DUMMYFUNCTION("""COMPUTED_VALUE"""),45752.0)</f>
        <v>45752</v>
      </c>
      <c r="AC280" s="187">
        <f>IFERROR(__xludf.DUMMYFUNCTION("""COMPUTED_VALUE"""),45752.0)</f>
        <v>45752</v>
      </c>
      <c r="AD280" s="187">
        <f>IFERROR(__xludf.DUMMYFUNCTION("""COMPUTED_VALUE"""),45758.0)</f>
        <v>45758</v>
      </c>
      <c r="AE280" s="182" t="str">
        <f>IFERROR(__xludf.DUMMYFUNCTION("""COMPUTED_VALUE"""),"N/A")</f>
        <v>N/A</v>
      </c>
      <c r="AF280" s="182"/>
      <c r="AG280" s="182" t="str">
        <f>IFERROR(__xludf.DUMMYFUNCTION("""COMPUTED_VALUE"""),"N/A")</f>
        <v>N/A</v>
      </c>
      <c r="AH280" s="182" t="str">
        <f>IFERROR(__xludf.DUMMYFUNCTION("""COMPUTED_VALUE"""),"CLNRGOGA10282")</f>
        <v>CLNRGOGA10282</v>
      </c>
      <c r="AI280" s="187">
        <f>IFERROR(__xludf.DUMMYFUNCTION("""COMPUTED_VALUE"""),45780.0)</f>
        <v>45780</v>
      </c>
      <c r="AJ280" s="182" t="b">
        <f>IFERROR(__xludf.DUMMYFUNCTION("""COMPUTED_VALUE"""),FALSE)</f>
        <v>0</v>
      </c>
      <c r="AK280" s="182" t="b">
        <f>IFERROR(__xludf.DUMMYFUNCTION("""COMPUTED_VALUE"""),FALSE)</f>
        <v>0</v>
      </c>
      <c r="AL280" s="187">
        <f>IFERROR(__xludf.DUMMYFUNCTION("""COMPUTED_VALUE"""),45780.0)</f>
        <v>45780</v>
      </c>
      <c r="AM280" s="182" t="b">
        <f>IFERROR(__xludf.DUMMYFUNCTION("""COMPUTED_VALUE"""),FALSE)</f>
        <v>0</v>
      </c>
      <c r="AN280" s="182"/>
      <c r="AO280" s="182"/>
      <c r="AP280" s="182"/>
      <c r="AQ280" s="182" t="b">
        <f>IFERROR(__xludf.DUMMYFUNCTION("""COMPUTED_VALUE"""),FALSE)</f>
        <v>0</v>
      </c>
      <c r="AR280" s="182"/>
      <c r="AS280" s="182"/>
      <c r="AT280" s="187">
        <f>IFERROR(__xludf.DUMMYFUNCTION("""COMPUTED_VALUE"""),45780.0)</f>
        <v>45780</v>
      </c>
      <c r="AU280" s="182"/>
      <c r="AV280" s="182"/>
      <c r="AW280" s="187">
        <f>IFERROR(__xludf.DUMMYFUNCTION("""COMPUTED_VALUE"""),45827.0)</f>
        <v>45827</v>
      </c>
      <c r="AX280" s="187">
        <f>IFERROR(__xludf.DUMMYFUNCTION("""COMPUTED_VALUE"""),45827.0)</f>
        <v>45827</v>
      </c>
      <c r="AY280" s="182" t="b">
        <f>IFERROR(__xludf.DUMMYFUNCTION("""COMPUTED_VALUE"""),FALSE)</f>
        <v>0</v>
      </c>
      <c r="AZ280" s="182"/>
      <c r="BA280" s="182"/>
      <c r="BB280" s="182"/>
    </row>
    <row r="281">
      <c r="A281" s="184" t="str">
        <f t="shared" si="1"/>
        <v>#VALUE!</v>
      </c>
      <c r="B281" s="191" t="str">
        <f t="shared" si="3"/>
        <v>#VALUE!</v>
      </c>
      <c r="C281" s="182" t="str">
        <f>IFERROR(__xludf.DUMMYFUNCTION("""COMPUTED_VALUE"""),"VZW")</f>
        <v>VZW</v>
      </c>
      <c r="D281" s="182" t="str">
        <f>IFERROR(__xludf.DUMMYFUNCTION("""COMPUTED_VALUE"""),"MP")</f>
        <v>MP</v>
      </c>
      <c r="E281" s="182" t="str">
        <f>IFERROR(__xludf.DUMMYFUNCTION("""COMPUTED_VALUE"""),"CLNR")</f>
        <v>CLNR</v>
      </c>
      <c r="F281" s="182" t="str">
        <f>IFERROR(__xludf.DUMMYFUNCTION("""COMPUTED_VALUE"""),"CLNRGOGA09930")</f>
        <v>CLNRGOGA09930</v>
      </c>
      <c r="G281" s="182" t="str">
        <f>IFERROR(__xludf.DUMMYFUNCTION("""COMPUTED_VALUE"""),"G4QUR")</f>
        <v>G4QUR</v>
      </c>
      <c r="H281" s="182">
        <f>IFERROR(__xludf.DUMMYFUNCTION("""COMPUTED_VALUE"""),8.40353936973E11)</f>
        <v>840353936973</v>
      </c>
      <c r="I281" s="185" t="str">
        <f>IFERROR(__xludf.DUMMYFUNCTION("""COMPUTED_VALUE"""),"0840353936973")</f>
        <v>0840353936973</v>
      </c>
      <c r="J281" s="182"/>
      <c r="K281" s="182" t="str">
        <f>IFERROR(__xludf.DUMMYFUNCTION("""COMPUTED_VALUE"""),"VZN Master Carton Label")</f>
        <v>VZN Master Carton Label</v>
      </c>
      <c r="L281" s="182" t="str">
        <f>IFERROR(__xludf.DUMMYFUNCTION("""COMPUTED_VALUE"""),"VZN Pallet Label -&gt; BTS(Normal case)")</f>
        <v>VZN Pallet Label -&gt; BTS(Normal case)</v>
      </c>
      <c r="M281" s="182" t="str">
        <f>IFERROR(__xludf.DUMMYFUNCTION("""COMPUTED_VALUE"""),"N/A")</f>
        <v>N/A</v>
      </c>
      <c r="N281" s="182" t="str">
        <f>IFERROR(__xludf.DUMMYFUNCTION("""COMPUTED_VALUE"""),"N/A")</f>
        <v>N/A</v>
      </c>
      <c r="O281" s="182"/>
      <c r="P281" s="182" t="str">
        <f>IFERROR(__xludf.DUMMYFUNCTION("""COMPUTED_VALUE"""),"1TB")</f>
        <v>1TB</v>
      </c>
      <c r="Q281" s="182" t="str">
        <f>IFERROR(__xludf.DUMMYFUNCTION("""COMPUTED_VALUE"""),"Obsidian")</f>
        <v>Obsidian</v>
      </c>
      <c r="R281" s="182" t="str">
        <f>IFERROR(__xludf.DUMMYFUNCTION("""COMPUTED_VALUE"""),"Midnight")</f>
        <v>Midnight</v>
      </c>
      <c r="S281" s="182" t="str">
        <f>IFERROR(__xludf.DUMMYFUNCTION("""COMPUTED_VALUE"""),"US-VZW")</f>
        <v>US-VZW</v>
      </c>
      <c r="T281" s="182" t="str">
        <f>IFERROR(__xludf.DUMMYFUNCTION("""COMPUTED_VALUE"""),"SKU,CLR1, ULTRA, MMWAVE, VZW, BZ5, FRU")</f>
        <v>SKU,CLR1, ULTRA, MMWAVE, VZW, BZ5, FRU</v>
      </c>
      <c r="U281" s="182"/>
      <c r="V281" s="183" t="str">
        <f>IFERROR(__xludf.DUMMYFUNCTION("""COMPUTED_VALUE"""),"#NUM!")</f>
        <v>#NUM!</v>
      </c>
      <c r="W281" s="186">
        <f>IFERROR(__xludf.DUMMYFUNCTION("""COMPUTED_VALUE"""),45831.0)</f>
        <v>45831</v>
      </c>
      <c r="X281" s="187">
        <f>IFERROR(__xludf.DUMMYFUNCTION("""COMPUTED_VALUE"""),45745.0)</f>
        <v>45745</v>
      </c>
      <c r="Y281" s="182" t="b">
        <f>IFERROR(__xludf.DUMMYFUNCTION("""COMPUTED_VALUE"""),FALSE)</f>
        <v>0</v>
      </c>
      <c r="Z281" s="187">
        <f>IFERROR(__xludf.DUMMYFUNCTION("""COMPUTED_VALUE"""),45746.0)</f>
        <v>45746</v>
      </c>
      <c r="AA281" s="182" t="b">
        <f>IFERROR(__xludf.DUMMYFUNCTION("""COMPUTED_VALUE"""),FALSE)</f>
        <v>0</v>
      </c>
      <c r="AB281" s="187">
        <f>IFERROR(__xludf.DUMMYFUNCTION("""COMPUTED_VALUE"""),45752.0)</f>
        <v>45752</v>
      </c>
      <c r="AC281" s="187">
        <f>IFERROR(__xludf.DUMMYFUNCTION("""COMPUTED_VALUE"""),45752.0)</f>
        <v>45752</v>
      </c>
      <c r="AD281" s="187">
        <f>IFERROR(__xludf.DUMMYFUNCTION("""COMPUTED_VALUE"""),45758.0)</f>
        <v>45758</v>
      </c>
      <c r="AE281" s="182" t="str">
        <f>IFERROR(__xludf.DUMMYFUNCTION("""COMPUTED_VALUE"""),"N/A")</f>
        <v>N/A</v>
      </c>
      <c r="AF281" s="182"/>
      <c r="AG281" s="182" t="str">
        <f>IFERROR(__xludf.DUMMYFUNCTION("""COMPUTED_VALUE"""),"N/A")</f>
        <v>N/A</v>
      </c>
      <c r="AH281" s="182" t="str">
        <f>IFERROR(__xludf.DUMMYFUNCTION("""COMPUTED_VALUE"""),"CLNRGOGA09930")</f>
        <v>CLNRGOGA09930</v>
      </c>
      <c r="AI281" s="187">
        <f>IFERROR(__xludf.DUMMYFUNCTION("""COMPUTED_VALUE"""),45780.0)</f>
        <v>45780</v>
      </c>
      <c r="AJ281" s="182" t="b">
        <f>IFERROR(__xludf.DUMMYFUNCTION("""COMPUTED_VALUE"""),FALSE)</f>
        <v>0</v>
      </c>
      <c r="AK281" s="182" t="b">
        <f>IFERROR(__xludf.DUMMYFUNCTION("""COMPUTED_VALUE"""),FALSE)</f>
        <v>0</v>
      </c>
      <c r="AL281" s="187">
        <f>IFERROR(__xludf.DUMMYFUNCTION("""COMPUTED_VALUE"""),45780.0)</f>
        <v>45780</v>
      </c>
      <c r="AM281" s="182" t="b">
        <f>IFERROR(__xludf.DUMMYFUNCTION("""COMPUTED_VALUE"""),FALSE)</f>
        <v>0</v>
      </c>
      <c r="AN281" s="182"/>
      <c r="AO281" s="182"/>
      <c r="AP281" s="182"/>
      <c r="AQ281" s="182" t="b">
        <f>IFERROR(__xludf.DUMMYFUNCTION("""COMPUTED_VALUE"""),FALSE)</f>
        <v>0</v>
      </c>
      <c r="AR281" s="182"/>
      <c r="AS281" s="182"/>
      <c r="AT281" s="187">
        <f>IFERROR(__xludf.DUMMYFUNCTION("""COMPUTED_VALUE"""),45780.0)</f>
        <v>45780</v>
      </c>
      <c r="AU281" s="182"/>
      <c r="AV281" s="182"/>
      <c r="AW281" s="187">
        <f>IFERROR(__xludf.DUMMYFUNCTION("""COMPUTED_VALUE"""),45827.0)</f>
        <v>45827</v>
      </c>
      <c r="AX281" s="187">
        <f>IFERROR(__xludf.DUMMYFUNCTION("""COMPUTED_VALUE"""),45827.0)</f>
        <v>45827</v>
      </c>
      <c r="AY281" s="182" t="b">
        <f>IFERROR(__xludf.DUMMYFUNCTION("""COMPUTED_VALUE"""),FALSE)</f>
        <v>0</v>
      </c>
      <c r="AZ281" s="182"/>
      <c r="BA281" s="182"/>
      <c r="BB281" s="182"/>
    </row>
    <row r="282">
      <c r="A282" s="184" t="str">
        <f t="shared" si="1"/>
        <v>#VALUE!</v>
      </c>
      <c r="B282" s="191" t="str">
        <f t="shared" si="3"/>
        <v>#VALUE!</v>
      </c>
      <c r="C282" s="182" t="str">
        <f>IFERROR(__xludf.DUMMYFUNCTION("""COMPUTED_VALUE"""),"VZW")</f>
        <v>VZW</v>
      </c>
      <c r="D282" s="182" t="str">
        <f>IFERROR(__xludf.DUMMYFUNCTION("""COMPUTED_VALUE"""),"MP")</f>
        <v>MP</v>
      </c>
      <c r="E282" s="182" t="str">
        <f>IFERROR(__xludf.DUMMYFUNCTION("""COMPUTED_VALUE"""),"CLNR")</f>
        <v>CLNR</v>
      </c>
      <c r="F282" s="182" t="str">
        <f>IFERROR(__xludf.DUMMYFUNCTION("""COMPUTED_VALUE"""),"CLNRGOGA10283")</f>
        <v>CLNRGOGA10283</v>
      </c>
      <c r="G282" s="182" t="str">
        <f>IFERROR(__xludf.DUMMYFUNCTION("""COMPUTED_VALUE"""),"G4QUR")</f>
        <v>G4QUR</v>
      </c>
      <c r="H282" s="182">
        <f>IFERROR(__xludf.DUMMYFUNCTION("""COMPUTED_VALUE"""),8.4035393698E11)</f>
        <v>840353936980</v>
      </c>
      <c r="I282" s="185" t="str">
        <f>IFERROR(__xludf.DUMMYFUNCTION("""COMPUTED_VALUE"""),"0840353936980")</f>
        <v>0840353936980</v>
      </c>
      <c r="J282" s="182"/>
      <c r="K282" s="182" t="str">
        <f>IFERROR(__xludf.DUMMYFUNCTION("""COMPUTED_VALUE"""),"VZN Master Carton Label")</f>
        <v>VZN Master Carton Label</v>
      </c>
      <c r="L282" s="182" t="str">
        <f>IFERROR(__xludf.DUMMYFUNCTION("""COMPUTED_VALUE"""),"VZN Pallet Label -&gt; BTS(Normal case)")</f>
        <v>VZN Pallet Label -&gt; BTS(Normal case)</v>
      </c>
      <c r="M282" s="182" t="str">
        <f>IFERROR(__xludf.DUMMYFUNCTION("""COMPUTED_VALUE"""),"N/A")</f>
        <v>N/A</v>
      </c>
      <c r="N282" s="182" t="str">
        <f>IFERROR(__xludf.DUMMYFUNCTION("""COMPUTED_VALUE"""),"N/A")</f>
        <v>N/A</v>
      </c>
      <c r="O282" s="182"/>
      <c r="P282" s="182" t="str">
        <f>IFERROR(__xludf.DUMMYFUNCTION("""COMPUTED_VALUE"""),"1TB")</f>
        <v>1TB</v>
      </c>
      <c r="Q282" s="182" t="str">
        <f>IFERROR(__xludf.DUMMYFUNCTION("""COMPUTED_VALUE"""),"Moonstone")</f>
        <v>Moonstone</v>
      </c>
      <c r="R282" s="182" t="str">
        <f>IFERROR(__xludf.DUMMYFUNCTION("""COMPUTED_VALUE"""),"Sterling")</f>
        <v>Sterling</v>
      </c>
      <c r="S282" s="182" t="str">
        <f>IFERROR(__xludf.DUMMYFUNCTION("""COMPUTED_VALUE"""),"US-VZW")</f>
        <v>US-VZW</v>
      </c>
      <c r="T282" s="182" t="str">
        <f>IFERROR(__xludf.DUMMYFUNCTION("""COMPUTED_VALUE"""),"SKU,CLR3, ULTRA, MMWAVE, VZW, BZ5, FRU")</f>
        <v>SKU,CLR3, ULTRA, MMWAVE, VZW, BZ5, FRU</v>
      </c>
      <c r="U282" s="182"/>
      <c r="V282" s="183" t="str">
        <f>IFERROR(__xludf.DUMMYFUNCTION("""COMPUTED_VALUE"""),"#NUM!")</f>
        <v>#NUM!</v>
      </c>
      <c r="W282" s="186">
        <f>IFERROR(__xludf.DUMMYFUNCTION("""COMPUTED_VALUE"""),45831.0)</f>
        <v>45831</v>
      </c>
      <c r="X282" s="187">
        <f>IFERROR(__xludf.DUMMYFUNCTION("""COMPUTED_VALUE"""),45745.0)</f>
        <v>45745</v>
      </c>
      <c r="Y282" s="182" t="b">
        <f>IFERROR(__xludf.DUMMYFUNCTION("""COMPUTED_VALUE"""),FALSE)</f>
        <v>0</v>
      </c>
      <c r="Z282" s="187">
        <f>IFERROR(__xludf.DUMMYFUNCTION("""COMPUTED_VALUE"""),45746.0)</f>
        <v>45746</v>
      </c>
      <c r="AA282" s="182" t="b">
        <f>IFERROR(__xludf.DUMMYFUNCTION("""COMPUTED_VALUE"""),FALSE)</f>
        <v>0</v>
      </c>
      <c r="AB282" s="187">
        <f>IFERROR(__xludf.DUMMYFUNCTION("""COMPUTED_VALUE"""),45752.0)</f>
        <v>45752</v>
      </c>
      <c r="AC282" s="187">
        <f>IFERROR(__xludf.DUMMYFUNCTION("""COMPUTED_VALUE"""),45752.0)</f>
        <v>45752</v>
      </c>
      <c r="AD282" s="187">
        <f>IFERROR(__xludf.DUMMYFUNCTION("""COMPUTED_VALUE"""),45758.0)</f>
        <v>45758</v>
      </c>
      <c r="AE282" s="182" t="str">
        <f>IFERROR(__xludf.DUMMYFUNCTION("""COMPUTED_VALUE"""),"N/A")</f>
        <v>N/A</v>
      </c>
      <c r="AF282" s="182"/>
      <c r="AG282" s="182" t="str">
        <f>IFERROR(__xludf.DUMMYFUNCTION("""COMPUTED_VALUE"""),"N/A")</f>
        <v>N/A</v>
      </c>
      <c r="AH282" s="182" t="str">
        <f>IFERROR(__xludf.DUMMYFUNCTION("""COMPUTED_VALUE"""),"CLNRGOGA10283")</f>
        <v>CLNRGOGA10283</v>
      </c>
      <c r="AI282" s="187">
        <f>IFERROR(__xludf.DUMMYFUNCTION("""COMPUTED_VALUE"""),45780.0)</f>
        <v>45780</v>
      </c>
      <c r="AJ282" s="182" t="b">
        <f>IFERROR(__xludf.DUMMYFUNCTION("""COMPUTED_VALUE"""),FALSE)</f>
        <v>0</v>
      </c>
      <c r="AK282" s="182" t="b">
        <f>IFERROR(__xludf.DUMMYFUNCTION("""COMPUTED_VALUE"""),FALSE)</f>
        <v>0</v>
      </c>
      <c r="AL282" s="187">
        <f>IFERROR(__xludf.DUMMYFUNCTION("""COMPUTED_VALUE"""),45780.0)</f>
        <v>45780</v>
      </c>
      <c r="AM282" s="182" t="b">
        <f>IFERROR(__xludf.DUMMYFUNCTION("""COMPUTED_VALUE"""),FALSE)</f>
        <v>0</v>
      </c>
      <c r="AN282" s="182"/>
      <c r="AO282" s="182"/>
      <c r="AP282" s="182"/>
      <c r="AQ282" s="182" t="b">
        <f>IFERROR(__xludf.DUMMYFUNCTION("""COMPUTED_VALUE"""),FALSE)</f>
        <v>0</v>
      </c>
      <c r="AR282" s="182"/>
      <c r="AS282" s="182"/>
      <c r="AT282" s="187">
        <f>IFERROR(__xludf.DUMMYFUNCTION("""COMPUTED_VALUE"""),45780.0)</f>
        <v>45780</v>
      </c>
      <c r="AU282" s="182"/>
      <c r="AV282" s="182"/>
      <c r="AW282" s="187">
        <f>IFERROR(__xludf.DUMMYFUNCTION("""COMPUTED_VALUE"""),45827.0)</f>
        <v>45827</v>
      </c>
      <c r="AX282" s="187">
        <f>IFERROR(__xludf.DUMMYFUNCTION("""COMPUTED_VALUE"""),45827.0)</f>
        <v>45827</v>
      </c>
      <c r="AY282" s="182" t="b">
        <f>IFERROR(__xludf.DUMMYFUNCTION("""COMPUTED_VALUE"""),FALSE)</f>
        <v>0</v>
      </c>
      <c r="AZ282" s="182"/>
      <c r="BA282" s="182"/>
      <c r="BB282" s="182"/>
    </row>
    <row r="283">
      <c r="A283" s="184" t="str">
        <f t="shared" si="1"/>
        <v>#VALUE!</v>
      </c>
      <c r="B283" s="191" t="str">
        <f t="shared" si="3"/>
        <v>#VALUE!</v>
      </c>
      <c r="C283" s="182" t="str">
        <f>IFERROR(__xludf.DUMMYFUNCTION("""COMPUTED_VALUE"""),"TMO")</f>
        <v>TMO</v>
      </c>
      <c r="D283" s="182" t="str">
        <f>IFERROR(__xludf.DUMMYFUNCTION("""COMPUTED_VALUE"""),"MP")</f>
        <v>MP</v>
      </c>
      <c r="E283" s="182" t="str">
        <f>IFERROR(__xludf.DUMMYFUNCTION("""COMPUTED_VALUE"""),"CLNR")</f>
        <v>CLNR</v>
      </c>
      <c r="F283" s="182" t="str">
        <f>IFERROR(__xludf.DUMMYFUNCTION("""COMPUTED_VALUE"""),"CLNRGA10295")</f>
        <v>CLNRGA10295</v>
      </c>
      <c r="G283" s="182" t="str">
        <f>IFERROR(__xludf.DUMMYFUNCTION("""COMPUTED_VALUE"""),"G4QUR")</f>
        <v>G4QUR</v>
      </c>
      <c r="H283" s="182">
        <f>IFERROR(__xludf.DUMMYFUNCTION("""COMPUTED_VALUE"""),8.40353937E11)</f>
        <v>840353937000</v>
      </c>
      <c r="I283" s="185" t="str">
        <f>IFERROR(__xludf.DUMMYFUNCTION("""COMPUTED_VALUE"""),"0840353937000")</f>
        <v>0840353937000</v>
      </c>
      <c r="J283" s="182">
        <f>IFERROR(__xludf.DUMMYFUNCTION("""COMPUTED_VALUE"""),8.40353937E11)</f>
        <v>840353937000</v>
      </c>
      <c r="K283" s="182" t="str">
        <f>IFERROR(__xludf.DUMMYFUNCTION("""COMPUTED_VALUE"""),"MasterCartonLabel_10 pack_TMO")</f>
        <v>MasterCartonLabel_10 pack_TMO</v>
      </c>
      <c r="L283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83" s="182" t="str">
        <f>IFERROR(__xludf.DUMMYFUNCTION("""COMPUTED_VALUE"""),"N/A")</f>
        <v>N/A</v>
      </c>
      <c r="N283" s="182" t="str">
        <f>IFERROR(__xludf.DUMMYFUNCTION("""COMPUTED_VALUE"""),"N/A")</f>
        <v>N/A</v>
      </c>
      <c r="O283" s="182"/>
      <c r="P283" s="182" t="str">
        <f>IFERROR(__xludf.DUMMYFUNCTION("""COMPUTED_VALUE"""),"256GB")</f>
        <v>256GB</v>
      </c>
      <c r="Q283" s="182"/>
      <c r="R283" s="182" t="str">
        <f>IFERROR(__xludf.DUMMYFUNCTION("""COMPUTED_VALUE"""),"Light Porcelain")</f>
        <v>Light Porcelain</v>
      </c>
      <c r="S283" s="182" t="str">
        <f>IFERROR(__xludf.DUMMYFUNCTION("""COMPUTED_VALUE"""),"US - Tmobile")</f>
        <v>US - Tmobile</v>
      </c>
      <c r="T283" s="182" t="str">
        <f>IFERROR(__xludf.DUMMYFUNCTION("""COMPUTED_VALUE"""),"SKU,CLR2, BETTER, MMWAVE, TMO, BZ5, FRU")</f>
        <v>SKU,CLR2, BETTER, MMWAVE, TMO, BZ5, FRU</v>
      </c>
      <c r="U283" s="182"/>
      <c r="V283" s="183" t="str">
        <f>IFERROR(__xludf.DUMMYFUNCTION("""COMPUTED_VALUE"""),"#NUM!")</f>
        <v>#NUM!</v>
      </c>
      <c r="W283" s="186">
        <f>IFERROR(__xludf.DUMMYFUNCTION("""COMPUTED_VALUE"""),45831.0)</f>
        <v>45831</v>
      </c>
      <c r="X283" s="187">
        <f>IFERROR(__xludf.DUMMYFUNCTION("""COMPUTED_VALUE"""),45745.0)</f>
        <v>45745</v>
      </c>
      <c r="Y283" s="182" t="b">
        <f>IFERROR(__xludf.DUMMYFUNCTION("""COMPUTED_VALUE"""),FALSE)</f>
        <v>0</v>
      </c>
      <c r="Z283" s="187">
        <f>IFERROR(__xludf.DUMMYFUNCTION("""COMPUTED_VALUE"""),45746.0)</f>
        <v>45746</v>
      </c>
      <c r="AA283" s="182" t="b">
        <f>IFERROR(__xludf.DUMMYFUNCTION("""COMPUTED_VALUE"""),FALSE)</f>
        <v>0</v>
      </c>
      <c r="AB283" s="187">
        <f>IFERROR(__xludf.DUMMYFUNCTION("""COMPUTED_VALUE"""),45752.0)</f>
        <v>45752</v>
      </c>
      <c r="AC283" s="187">
        <f>IFERROR(__xludf.DUMMYFUNCTION("""COMPUTED_VALUE"""),45752.0)</f>
        <v>45752</v>
      </c>
      <c r="AD283" s="187">
        <f>IFERROR(__xludf.DUMMYFUNCTION("""COMPUTED_VALUE"""),45758.0)</f>
        <v>45758</v>
      </c>
      <c r="AE283" s="182" t="str">
        <f>IFERROR(__xludf.DUMMYFUNCTION("""COMPUTED_VALUE"""),"N/A")</f>
        <v>N/A</v>
      </c>
      <c r="AF283" s="182"/>
      <c r="AG283" s="182" t="str">
        <f>IFERROR(__xludf.DUMMYFUNCTION("""COMPUTED_VALUE"""),"N/A")</f>
        <v>N/A</v>
      </c>
      <c r="AH283" s="182" t="str">
        <f>IFERROR(__xludf.DUMMYFUNCTION("""COMPUTED_VALUE"""),"CLNRGA10295")</f>
        <v>CLNRGA10295</v>
      </c>
      <c r="AI283" s="187">
        <f>IFERROR(__xludf.DUMMYFUNCTION("""COMPUTED_VALUE"""),45780.0)</f>
        <v>45780</v>
      </c>
      <c r="AJ283" s="182" t="b">
        <f>IFERROR(__xludf.DUMMYFUNCTION("""COMPUTED_VALUE"""),FALSE)</f>
        <v>0</v>
      </c>
      <c r="AK283" s="182" t="b">
        <f>IFERROR(__xludf.DUMMYFUNCTION("""COMPUTED_VALUE"""),FALSE)</f>
        <v>0</v>
      </c>
      <c r="AL283" s="187">
        <f>IFERROR(__xludf.DUMMYFUNCTION("""COMPUTED_VALUE"""),45780.0)</f>
        <v>45780</v>
      </c>
      <c r="AM283" s="182" t="b">
        <f>IFERROR(__xludf.DUMMYFUNCTION("""COMPUTED_VALUE"""),FALSE)</f>
        <v>0</v>
      </c>
      <c r="AN283" s="182"/>
      <c r="AO283" s="182"/>
      <c r="AP283" s="182"/>
      <c r="AQ283" s="182" t="b">
        <f>IFERROR(__xludf.DUMMYFUNCTION("""COMPUTED_VALUE"""),FALSE)</f>
        <v>0</v>
      </c>
      <c r="AR283" s="182"/>
      <c r="AS283" s="182"/>
      <c r="AT283" s="187">
        <f>IFERROR(__xludf.DUMMYFUNCTION("""COMPUTED_VALUE"""),45780.0)</f>
        <v>45780</v>
      </c>
      <c r="AU283" s="182"/>
      <c r="AV283" s="182"/>
      <c r="AW283" s="187">
        <f>IFERROR(__xludf.DUMMYFUNCTION("""COMPUTED_VALUE"""),45827.0)</f>
        <v>45827</v>
      </c>
      <c r="AX283" s="187">
        <f>IFERROR(__xludf.DUMMYFUNCTION("""COMPUTED_VALUE"""),45827.0)</f>
        <v>45827</v>
      </c>
      <c r="AY283" s="182" t="b">
        <f>IFERROR(__xludf.DUMMYFUNCTION("""COMPUTED_VALUE"""),FALSE)</f>
        <v>0</v>
      </c>
      <c r="AZ283" s="182"/>
      <c r="BA283" s="182"/>
      <c r="BB283" s="182"/>
    </row>
    <row r="284">
      <c r="A284" s="184" t="str">
        <f t="shared" si="1"/>
        <v>#VALUE!</v>
      </c>
      <c r="B284" s="191" t="str">
        <f t="shared" si="3"/>
        <v>#VALUE!</v>
      </c>
      <c r="C284" s="182" t="str">
        <f>IFERROR(__xludf.DUMMYFUNCTION("""COMPUTED_VALUE"""),"TMO")</f>
        <v>TMO</v>
      </c>
      <c r="D284" s="182" t="str">
        <f>IFERROR(__xludf.DUMMYFUNCTION("""COMPUTED_VALUE"""),"MP")</f>
        <v>MP</v>
      </c>
      <c r="E284" s="182" t="str">
        <f>IFERROR(__xludf.DUMMYFUNCTION("""COMPUTED_VALUE"""),"CLNR")</f>
        <v>CLNR</v>
      </c>
      <c r="F284" s="182" t="str">
        <f>IFERROR(__xludf.DUMMYFUNCTION("""COMPUTED_VALUE"""),"CLNRGA10297")</f>
        <v>CLNRGA10297</v>
      </c>
      <c r="G284" s="182" t="str">
        <f>IFERROR(__xludf.DUMMYFUNCTION("""COMPUTED_VALUE"""),"G4QUR")</f>
        <v>G4QUR</v>
      </c>
      <c r="H284" s="182">
        <f>IFERROR(__xludf.DUMMYFUNCTION("""COMPUTED_VALUE"""),8.40353937024E11)</f>
        <v>840353937024</v>
      </c>
      <c r="I284" s="185" t="str">
        <f>IFERROR(__xludf.DUMMYFUNCTION("""COMPUTED_VALUE"""),"0840353937024")</f>
        <v>0840353937024</v>
      </c>
      <c r="J284" s="182">
        <f>IFERROR(__xludf.DUMMYFUNCTION("""COMPUTED_VALUE"""),8.40353937024E11)</f>
        <v>840353937024</v>
      </c>
      <c r="K284" s="182" t="str">
        <f>IFERROR(__xludf.DUMMYFUNCTION("""COMPUTED_VALUE"""),"MasterCartonLabel_10 pack_TMO")</f>
        <v>MasterCartonLabel_10 pack_TMO</v>
      </c>
      <c r="L284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84" s="182" t="str">
        <f>IFERROR(__xludf.DUMMYFUNCTION("""COMPUTED_VALUE"""),"N/A")</f>
        <v>N/A</v>
      </c>
      <c r="N284" s="182" t="str">
        <f>IFERROR(__xludf.DUMMYFUNCTION("""COMPUTED_VALUE"""),"N/A")</f>
        <v>N/A</v>
      </c>
      <c r="O284" s="182"/>
      <c r="P284" s="182" t="str">
        <f>IFERROR(__xludf.DUMMYFUNCTION("""COMPUTED_VALUE"""),"256GB")</f>
        <v>256GB</v>
      </c>
      <c r="Q284" s="182"/>
      <c r="R284" s="182" t="str">
        <f>IFERROR(__xludf.DUMMYFUNCTION("""COMPUTED_VALUE"""),"Smokey Green")</f>
        <v>Smokey Green</v>
      </c>
      <c r="S284" s="182" t="str">
        <f>IFERROR(__xludf.DUMMYFUNCTION("""COMPUTED_VALUE"""),"US - Tmobile")</f>
        <v>US - Tmobile</v>
      </c>
      <c r="T284" s="182" t="str">
        <f>IFERROR(__xludf.DUMMYFUNCTION("""COMPUTED_VALUE"""),"SKU,CLR4, BETTER, MMWAVE, TMO, BZ5, FRU")</f>
        <v>SKU,CLR4, BETTER, MMWAVE, TMO, BZ5, FRU</v>
      </c>
      <c r="U284" s="182"/>
      <c r="V284" s="183" t="str">
        <f>IFERROR(__xludf.DUMMYFUNCTION("""COMPUTED_VALUE"""),"#NUM!")</f>
        <v>#NUM!</v>
      </c>
      <c r="W284" s="186">
        <f>IFERROR(__xludf.DUMMYFUNCTION("""COMPUTED_VALUE"""),45831.0)</f>
        <v>45831</v>
      </c>
      <c r="X284" s="187">
        <f>IFERROR(__xludf.DUMMYFUNCTION("""COMPUTED_VALUE"""),45745.0)</f>
        <v>45745</v>
      </c>
      <c r="Y284" s="182" t="b">
        <f>IFERROR(__xludf.DUMMYFUNCTION("""COMPUTED_VALUE"""),FALSE)</f>
        <v>0</v>
      </c>
      <c r="Z284" s="187">
        <f>IFERROR(__xludf.DUMMYFUNCTION("""COMPUTED_VALUE"""),45746.0)</f>
        <v>45746</v>
      </c>
      <c r="AA284" s="182" t="b">
        <f>IFERROR(__xludf.DUMMYFUNCTION("""COMPUTED_VALUE"""),FALSE)</f>
        <v>0</v>
      </c>
      <c r="AB284" s="187">
        <f>IFERROR(__xludf.DUMMYFUNCTION("""COMPUTED_VALUE"""),45752.0)</f>
        <v>45752</v>
      </c>
      <c r="AC284" s="187">
        <f>IFERROR(__xludf.DUMMYFUNCTION("""COMPUTED_VALUE"""),45752.0)</f>
        <v>45752</v>
      </c>
      <c r="AD284" s="187">
        <f>IFERROR(__xludf.DUMMYFUNCTION("""COMPUTED_VALUE"""),45758.0)</f>
        <v>45758</v>
      </c>
      <c r="AE284" s="182"/>
      <c r="AF284" s="182"/>
      <c r="AG284" s="182"/>
      <c r="AH284" s="182" t="str">
        <f>IFERROR(__xludf.DUMMYFUNCTION("""COMPUTED_VALUE"""),"CLNRGA10297")</f>
        <v>CLNRGA10297</v>
      </c>
      <c r="AI284" s="187">
        <f>IFERROR(__xludf.DUMMYFUNCTION("""COMPUTED_VALUE"""),45780.0)</f>
        <v>45780</v>
      </c>
      <c r="AJ284" s="182" t="b">
        <f>IFERROR(__xludf.DUMMYFUNCTION("""COMPUTED_VALUE"""),FALSE)</f>
        <v>0</v>
      </c>
      <c r="AK284" s="182" t="b">
        <f>IFERROR(__xludf.DUMMYFUNCTION("""COMPUTED_VALUE"""),FALSE)</f>
        <v>0</v>
      </c>
      <c r="AL284" s="193">
        <f>IFERROR(__xludf.DUMMYFUNCTION("""COMPUTED_VALUE"""),45780.0)</f>
        <v>45780</v>
      </c>
      <c r="AM284" s="182" t="b">
        <f>IFERROR(__xludf.DUMMYFUNCTION("""COMPUTED_VALUE"""),FALSE)</f>
        <v>0</v>
      </c>
      <c r="AN284" s="182"/>
      <c r="AO284" s="182"/>
      <c r="AP284" s="182"/>
      <c r="AQ284" s="182" t="b">
        <f>IFERROR(__xludf.DUMMYFUNCTION("""COMPUTED_VALUE"""),FALSE)</f>
        <v>0</v>
      </c>
      <c r="AR284" s="182"/>
      <c r="AS284" s="182"/>
      <c r="AT284" s="187">
        <f>IFERROR(__xludf.DUMMYFUNCTION("""COMPUTED_VALUE"""),45780.0)</f>
        <v>45780</v>
      </c>
      <c r="AU284" s="182"/>
      <c r="AV284" s="182"/>
      <c r="AW284" s="187">
        <f>IFERROR(__xludf.DUMMYFUNCTION("""COMPUTED_VALUE"""),45827.0)</f>
        <v>45827</v>
      </c>
      <c r="AX284" s="187">
        <f>IFERROR(__xludf.DUMMYFUNCTION("""COMPUTED_VALUE"""),45827.0)</f>
        <v>45827</v>
      </c>
      <c r="AY284" s="182" t="b">
        <f>IFERROR(__xludf.DUMMYFUNCTION("""COMPUTED_VALUE"""),FALSE)</f>
        <v>0</v>
      </c>
      <c r="AZ284" s="182"/>
      <c r="BA284" s="182"/>
      <c r="BB284" s="182"/>
    </row>
    <row r="285">
      <c r="A285" s="184" t="str">
        <f t="shared" si="1"/>
        <v>#VALUE!</v>
      </c>
      <c r="B285" s="191" t="str">
        <f t="shared" si="3"/>
        <v>#VALUE!</v>
      </c>
      <c r="C285" s="182" t="str">
        <f>IFERROR(__xludf.DUMMYFUNCTION("""COMPUTED_VALUE"""),"TMO")</f>
        <v>TMO</v>
      </c>
      <c r="D285" s="182" t="str">
        <f>IFERROR(__xludf.DUMMYFUNCTION("""COMPUTED_VALUE"""),"MP")</f>
        <v>MP</v>
      </c>
      <c r="E285" s="182" t="str">
        <f>IFERROR(__xludf.DUMMYFUNCTION("""COMPUTED_VALUE"""),"CLNR")</f>
        <v>CLNR</v>
      </c>
      <c r="F285" s="182" t="str">
        <f>IFERROR(__xludf.DUMMYFUNCTION("""COMPUTED_VALUE"""),"CLNRGA09907")</f>
        <v>CLNRGA09907</v>
      </c>
      <c r="G285" s="182" t="str">
        <f>IFERROR(__xludf.DUMMYFUNCTION("""COMPUTED_VALUE"""),"G4QUR")</f>
        <v>G4QUR</v>
      </c>
      <c r="H285" s="182">
        <f>IFERROR(__xludf.DUMMYFUNCTION("""COMPUTED_VALUE"""),8.40353937031E11)</f>
        <v>840353937031</v>
      </c>
      <c r="I285" s="185" t="str">
        <f>IFERROR(__xludf.DUMMYFUNCTION("""COMPUTED_VALUE"""),"0840353937031")</f>
        <v>0840353937031</v>
      </c>
      <c r="J285" s="182">
        <f>IFERROR(__xludf.DUMMYFUNCTION("""COMPUTED_VALUE"""),8.40353937031E11)</f>
        <v>840353937031</v>
      </c>
      <c r="K285" s="182" t="str">
        <f>IFERROR(__xludf.DUMMYFUNCTION("""COMPUTED_VALUE"""),"MasterCartonLabel_10 pack_TMO")</f>
        <v>MasterCartonLabel_10 pack_TMO</v>
      </c>
      <c r="L285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85" s="182" t="str">
        <f>IFERROR(__xludf.DUMMYFUNCTION("""COMPUTED_VALUE"""),"N/A")</f>
        <v>N/A</v>
      </c>
      <c r="N285" s="182" t="str">
        <f>IFERROR(__xludf.DUMMYFUNCTION("""COMPUTED_VALUE"""),"N/A")</f>
        <v>N/A</v>
      </c>
      <c r="O285" s="182"/>
      <c r="P285" s="182" t="str">
        <f>IFERROR(__xludf.DUMMYFUNCTION("""COMPUTED_VALUE"""),"512GB")</f>
        <v>512GB</v>
      </c>
      <c r="Q285" s="182"/>
      <c r="R285" s="182" t="str">
        <f>IFERROR(__xludf.DUMMYFUNCTION("""COMPUTED_VALUE"""),"Midnight")</f>
        <v>Midnight</v>
      </c>
      <c r="S285" s="182" t="str">
        <f>IFERROR(__xludf.DUMMYFUNCTION("""COMPUTED_VALUE"""),"US - Tmobile")</f>
        <v>US - Tmobile</v>
      </c>
      <c r="T285" s="182" t="str">
        <f>IFERROR(__xludf.DUMMYFUNCTION("""COMPUTED_VALUE"""),"SKU,CLR1, BEST, MMWAVE, TMO, BZ5, FRU")</f>
        <v>SKU,CLR1, BEST, MMWAVE, TMO, BZ5, FRU</v>
      </c>
      <c r="U285" s="182"/>
      <c r="V285" s="183" t="str">
        <f>IFERROR(__xludf.DUMMYFUNCTION("""COMPUTED_VALUE"""),"#NUM!")</f>
        <v>#NUM!</v>
      </c>
      <c r="W285" s="186">
        <f>IFERROR(__xludf.DUMMYFUNCTION("""COMPUTED_VALUE"""),45831.0)</f>
        <v>45831</v>
      </c>
      <c r="X285" s="187">
        <f>IFERROR(__xludf.DUMMYFUNCTION("""COMPUTED_VALUE"""),45745.0)</f>
        <v>45745</v>
      </c>
      <c r="Y285" s="182" t="b">
        <f>IFERROR(__xludf.DUMMYFUNCTION("""COMPUTED_VALUE"""),FALSE)</f>
        <v>0</v>
      </c>
      <c r="Z285" s="187">
        <f>IFERROR(__xludf.DUMMYFUNCTION("""COMPUTED_VALUE"""),45746.0)</f>
        <v>45746</v>
      </c>
      <c r="AA285" s="182" t="b">
        <f>IFERROR(__xludf.DUMMYFUNCTION("""COMPUTED_VALUE"""),FALSE)</f>
        <v>0</v>
      </c>
      <c r="AB285" s="187">
        <f>IFERROR(__xludf.DUMMYFUNCTION("""COMPUTED_VALUE"""),45752.0)</f>
        <v>45752</v>
      </c>
      <c r="AC285" s="187">
        <f>IFERROR(__xludf.DUMMYFUNCTION("""COMPUTED_VALUE"""),45752.0)</f>
        <v>45752</v>
      </c>
      <c r="AD285" s="187">
        <f>IFERROR(__xludf.DUMMYFUNCTION("""COMPUTED_VALUE"""),45758.0)</f>
        <v>45758</v>
      </c>
      <c r="AE285" s="182"/>
      <c r="AF285" s="182"/>
      <c r="AG285" s="182"/>
      <c r="AH285" s="182" t="str">
        <f>IFERROR(__xludf.DUMMYFUNCTION("""COMPUTED_VALUE"""),"CLNRGA09907")</f>
        <v>CLNRGA09907</v>
      </c>
      <c r="AI285" s="187">
        <f>IFERROR(__xludf.DUMMYFUNCTION("""COMPUTED_VALUE"""),45780.0)</f>
        <v>45780</v>
      </c>
      <c r="AJ285" s="182" t="b">
        <f>IFERROR(__xludf.DUMMYFUNCTION("""COMPUTED_VALUE"""),FALSE)</f>
        <v>0</v>
      </c>
      <c r="AK285" s="182" t="b">
        <f>IFERROR(__xludf.DUMMYFUNCTION("""COMPUTED_VALUE"""),FALSE)</f>
        <v>0</v>
      </c>
      <c r="AL285" s="193">
        <f>IFERROR(__xludf.DUMMYFUNCTION("""COMPUTED_VALUE"""),45780.0)</f>
        <v>45780</v>
      </c>
      <c r="AM285" s="182" t="b">
        <f>IFERROR(__xludf.DUMMYFUNCTION("""COMPUTED_VALUE"""),FALSE)</f>
        <v>0</v>
      </c>
      <c r="AN285" s="182"/>
      <c r="AO285" s="182"/>
      <c r="AP285" s="182"/>
      <c r="AQ285" s="182" t="b">
        <f>IFERROR(__xludf.DUMMYFUNCTION("""COMPUTED_VALUE"""),FALSE)</f>
        <v>0</v>
      </c>
      <c r="AR285" s="182"/>
      <c r="AS285" s="182"/>
      <c r="AT285" s="187">
        <f>IFERROR(__xludf.DUMMYFUNCTION("""COMPUTED_VALUE"""),45780.0)</f>
        <v>45780</v>
      </c>
      <c r="AU285" s="182"/>
      <c r="AV285" s="182"/>
      <c r="AW285" s="187">
        <f>IFERROR(__xludf.DUMMYFUNCTION("""COMPUTED_VALUE"""),45827.0)</f>
        <v>45827</v>
      </c>
      <c r="AX285" s="187">
        <f>IFERROR(__xludf.DUMMYFUNCTION("""COMPUTED_VALUE"""),45827.0)</f>
        <v>45827</v>
      </c>
      <c r="AY285" s="182" t="b">
        <f>IFERROR(__xludf.DUMMYFUNCTION("""COMPUTED_VALUE"""),FALSE)</f>
        <v>0</v>
      </c>
      <c r="AZ285" s="182"/>
      <c r="BA285" s="182"/>
      <c r="BB285" s="182"/>
    </row>
    <row r="286">
      <c r="A286" s="184" t="str">
        <f t="shared" si="1"/>
        <v>#VALUE!</v>
      </c>
      <c r="B286" s="191" t="str">
        <f t="shared" si="3"/>
        <v>#VALUE!</v>
      </c>
      <c r="C286" s="182" t="str">
        <f>IFERROR(__xludf.DUMMYFUNCTION("""COMPUTED_VALUE"""),"TMO")</f>
        <v>TMO</v>
      </c>
      <c r="D286" s="182" t="str">
        <f>IFERROR(__xludf.DUMMYFUNCTION("""COMPUTED_VALUE"""),"MP")</f>
        <v>MP</v>
      </c>
      <c r="E286" s="182" t="str">
        <f>IFERROR(__xludf.DUMMYFUNCTION("""COMPUTED_VALUE"""),"CLNR")</f>
        <v>CLNR</v>
      </c>
      <c r="F286" s="182" t="str">
        <f>IFERROR(__xludf.DUMMYFUNCTION("""COMPUTED_VALUE"""),"CLNRGA10298")</f>
        <v>CLNRGA10298</v>
      </c>
      <c r="G286" s="182" t="str">
        <f>IFERROR(__xludf.DUMMYFUNCTION("""COMPUTED_VALUE"""),"G4QUR")</f>
        <v>G4QUR</v>
      </c>
      <c r="H286" s="182">
        <f>IFERROR(__xludf.DUMMYFUNCTION("""COMPUTED_VALUE"""),8.40353937048E11)</f>
        <v>840353937048</v>
      </c>
      <c r="I286" s="185" t="str">
        <f>IFERROR(__xludf.DUMMYFUNCTION("""COMPUTED_VALUE"""),"0840353937048")</f>
        <v>0840353937048</v>
      </c>
      <c r="J286" s="182">
        <f>IFERROR(__xludf.DUMMYFUNCTION("""COMPUTED_VALUE"""),8.40353937048E11)</f>
        <v>840353937048</v>
      </c>
      <c r="K286" s="182" t="str">
        <f>IFERROR(__xludf.DUMMYFUNCTION("""COMPUTED_VALUE"""),"MasterCartonLabel_10 pack_TMO")</f>
        <v>MasterCartonLabel_10 pack_TMO</v>
      </c>
      <c r="L286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86" s="182" t="str">
        <f>IFERROR(__xludf.DUMMYFUNCTION("""COMPUTED_VALUE"""),"N/A")</f>
        <v>N/A</v>
      </c>
      <c r="N286" s="182" t="str">
        <f>IFERROR(__xludf.DUMMYFUNCTION("""COMPUTED_VALUE"""),"N/A")</f>
        <v>N/A</v>
      </c>
      <c r="O286" s="182"/>
      <c r="P286" s="182" t="str">
        <f>IFERROR(__xludf.DUMMYFUNCTION("""COMPUTED_VALUE"""),"512GB")</f>
        <v>512GB</v>
      </c>
      <c r="Q286" s="182"/>
      <c r="R286" s="182" t="str">
        <f>IFERROR(__xludf.DUMMYFUNCTION("""COMPUTED_VALUE"""),"Light Porcelain")</f>
        <v>Light Porcelain</v>
      </c>
      <c r="S286" s="182" t="str">
        <f>IFERROR(__xludf.DUMMYFUNCTION("""COMPUTED_VALUE"""),"US - Tmobile")</f>
        <v>US - Tmobile</v>
      </c>
      <c r="T286" s="182" t="str">
        <f>IFERROR(__xludf.DUMMYFUNCTION("""COMPUTED_VALUE"""),"SKU,CLR2, BEST, MMWAVE, TMO, BZ5, FRU")</f>
        <v>SKU,CLR2, BEST, MMWAVE, TMO, BZ5, FRU</v>
      </c>
      <c r="U286" s="182"/>
      <c r="V286" s="183" t="str">
        <f>IFERROR(__xludf.DUMMYFUNCTION("""COMPUTED_VALUE"""),"#NUM!")</f>
        <v>#NUM!</v>
      </c>
      <c r="W286" s="186">
        <f>IFERROR(__xludf.DUMMYFUNCTION("""COMPUTED_VALUE"""),45831.0)</f>
        <v>45831</v>
      </c>
      <c r="X286" s="187">
        <f>IFERROR(__xludf.DUMMYFUNCTION("""COMPUTED_VALUE"""),45745.0)</f>
        <v>45745</v>
      </c>
      <c r="Y286" s="182" t="b">
        <f>IFERROR(__xludf.DUMMYFUNCTION("""COMPUTED_VALUE"""),FALSE)</f>
        <v>0</v>
      </c>
      <c r="Z286" s="187">
        <f>IFERROR(__xludf.DUMMYFUNCTION("""COMPUTED_VALUE"""),45746.0)</f>
        <v>45746</v>
      </c>
      <c r="AA286" s="182" t="b">
        <f>IFERROR(__xludf.DUMMYFUNCTION("""COMPUTED_VALUE"""),FALSE)</f>
        <v>0</v>
      </c>
      <c r="AB286" s="187">
        <f>IFERROR(__xludf.DUMMYFUNCTION("""COMPUTED_VALUE"""),45752.0)</f>
        <v>45752</v>
      </c>
      <c r="AC286" s="187">
        <f>IFERROR(__xludf.DUMMYFUNCTION("""COMPUTED_VALUE"""),45752.0)</f>
        <v>45752</v>
      </c>
      <c r="AD286" s="187">
        <f>IFERROR(__xludf.DUMMYFUNCTION("""COMPUTED_VALUE"""),45758.0)</f>
        <v>45758</v>
      </c>
      <c r="AE286" s="182"/>
      <c r="AF286" s="182"/>
      <c r="AG286" s="182"/>
      <c r="AH286" s="182" t="str">
        <f>IFERROR(__xludf.DUMMYFUNCTION("""COMPUTED_VALUE"""),"CLNRGA10298")</f>
        <v>CLNRGA10298</v>
      </c>
      <c r="AI286" s="187">
        <f>IFERROR(__xludf.DUMMYFUNCTION("""COMPUTED_VALUE"""),45780.0)</f>
        <v>45780</v>
      </c>
      <c r="AJ286" s="182" t="b">
        <f>IFERROR(__xludf.DUMMYFUNCTION("""COMPUTED_VALUE"""),FALSE)</f>
        <v>0</v>
      </c>
      <c r="AK286" s="182" t="b">
        <f>IFERROR(__xludf.DUMMYFUNCTION("""COMPUTED_VALUE"""),FALSE)</f>
        <v>0</v>
      </c>
      <c r="AL286" s="193">
        <f>IFERROR(__xludf.DUMMYFUNCTION("""COMPUTED_VALUE"""),45780.0)</f>
        <v>45780</v>
      </c>
      <c r="AM286" s="182" t="b">
        <f>IFERROR(__xludf.DUMMYFUNCTION("""COMPUTED_VALUE"""),FALSE)</f>
        <v>0</v>
      </c>
      <c r="AN286" s="182"/>
      <c r="AO286" s="182"/>
      <c r="AP286" s="182"/>
      <c r="AQ286" s="182" t="b">
        <f>IFERROR(__xludf.DUMMYFUNCTION("""COMPUTED_VALUE"""),FALSE)</f>
        <v>0</v>
      </c>
      <c r="AR286" s="182"/>
      <c r="AS286" s="182"/>
      <c r="AT286" s="187">
        <f>IFERROR(__xludf.DUMMYFUNCTION("""COMPUTED_VALUE"""),45780.0)</f>
        <v>45780</v>
      </c>
      <c r="AU286" s="182"/>
      <c r="AV286" s="182"/>
      <c r="AW286" s="187">
        <f>IFERROR(__xludf.DUMMYFUNCTION("""COMPUTED_VALUE"""),45827.0)</f>
        <v>45827</v>
      </c>
      <c r="AX286" s="187">
        <f>IFERROR(__xludf.DUMMYFUNCTION("""COMPUTED_VALUE"""),45827.0)</f>
        <v>45827</v>
      </c>
      <c r="AY286" s="182" t="b">
        <f>IFERROR(__xludf.DUMMYFUNCTION("""COMPUTED_VALUE"""),FALSE)</f>
        <v>0</v>
      </c>
      <c r="AZ286" s="182"/>
      <c r="BA286" s="182"/>
      <c r="BB286" s="182"/>
    </row>
    <row r="287">
      <c r="A287" s="184" t="str">
        <f t="shared" si="1"/>
        <v>#VALUE!</v>
      </c>
      <c r="B287" s="191" t="str">
        <f t="shared" si="3"/>
        <v>#VALUE!</v>
      </c>
      <c r="C287" s="182" t="str">
        <f>IFERROR(__xludf.DUMMYFUNCTION("""COMPUTED_VALUE"""),"TMO")</f>
        <v>TMO</v>
      </c>
      <c r="D287" s="182" t="str">
        <f>IFERROR(__xludf.DUMMYFUNCTION("""COMPUTED_VALUE"""),"MP")</f>
        <v>MP</v>
      </c>
      <c r="E287" s="182" t="str">
        <f>IFERROR(__xludf.DUMMYFUNCTION("""COMPUTED_VALUE"""),"CLNR")</f>
        <v>CLNR</v>
      </c>
      <c r="F287" s="182" t="str">
        <f>IFERROR(__xludf.DUMMYFUNCTION("""COMPUTED_VALUE"""),"CLNRGA10299")</f>
        <v>CLNRGA10299</v>
      </c>
      <c r="G287" s="182" t="str">
        <f>IFERROR(__xludf.DUMMYFUNCTION("""COMPUTED_VALUE"""),"G4QUR")</f>
        <v>G4QUR</v>
      </c>
      <c r="H287" s="182">
        <f>IFERROR(__xludf.DUMMYFUNCTION("""COMPUTED_VALUE"""),8.40353937055E11)</f>
        <v>840353937055</v>
      </c>
      <c r="I287" s="185" t="str">
        <f>IFERROR(__xludf.DUMMYFUNCTION("""COMPUTED_VALUE"""),"0840353937055")</f>
        <v>0840353937055</v>
      </c>
      <c r="J287" s="182">
        <f>IFERROR(__xludf.DUMMYFUNCTION("""COMPUTED_VALUE"""),8.40353937055E11)</f>
        <v>840353937055</v>
      </c>
      <c r="K287" s="182" t="str">
        <f>IFERROR(__xludf.DUMMYFUNCTION("""COMPUTED_VALUE"""),"MasterCartonLabel_10 pack_TMO")</f>
        <v>MasterCartonLabel_10 pack_TMO</v>
      </c>
      <c r="L287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87" s="182" t="str">
        <f>IFERROR(__xludf.DUMMYFUNCTION("""COMPUTED_VALUE"""),"N/A")</f>
        <v>N/A</v>
      </c>
      <c r="N287" s="182" t="str">
        <f>IFERROR(__xludf.DUMMYFUNCTION("""COMPUTED_VALUE"""),"N/A")</f>
        <v>N/A</v>
      </c>
      <c r="O287" s="182"/>
      <c r="P287" s="182" t="str">
        <f>IFERROR(__xludf.DUMMYFUNCTION("""COMPUTED_VALUE"""),"512GB")</f>
        <v>512GB</v>
      </c>
      <c r="Q287" s="182" t="str">
        <f>IFERROR(__xludf.DUMMYFUNCTION("""COMPUTED_VALUE"""),"Moonstone")</f>
        <v>Moonstone</v>
      </c>
      <c r="R287" s="182" t="str">
        <f>IFERROR(__xludf.DUMMYFUNCTION("""COMPUTED_VALUE"""),"Sterling")</f>
        <v>Sterling</v>
      </c>
      <c r="S287" s="182" t="str">
        <f>IFERROR(__xludf.DUMMYFUNCTION("""COMPUTED_VALUE"""),"US - Tmobile")</f>
        <v>US - Tmobile</v>
      </c>
      <c r="T287" s="182" t="str">
        <f>IFERROR(__xludf.DUMMYFUNCTION("""COMPUTED_VALUE"""),"SKU,CLR3, BEST, MMWAVE, TMO, BZ5, FRU")</f>
        <v>SKU,CLR3, BEST, MMWAVE, TMO, BZ5, FRU</v>
      </c>
      <c r="U287" s="182"/>
      <c r="V287" s="183" t="str">
        <f>IFERROR(__xludf.DUMMYFUNCTION("""COMPUTED_VALUE"""),"#NUM!")</f>
        <v>#NUM!</v>
      </c>
      <c r="W287" s="186">
        <f>IFERROR(__xludf.DUMMYFUNCTION("""COMPUTED_VALUE"""),45831.0)</f>
        <v>45831</v>
      </c>
      <c r="X287" s="187">
        <f>IFERROR(__xludf.DUMMYFUNCTION("""COMPUTED_VALUE"""),45745.0)</f>
        <v>45745</v>
      </c>
      <c r="Y287" s="182" t="b">
        <f>IFERROR(__xludf.DUMMYFUNCTION("""COMPUTED_VALUE"""),FALSE)</f>
        <v>0</v>
      </c>
      <c r="Z287" s="187">
        <f>IFERROR(__xludf.DUMMYFUNCTION("""COMPUTED_VALUE"""),45746.0)</f>
        <v>45746</v>
      </c>
      <c r="AA287" s="182" t="b">
        <f>IFERROR(__xludf.DUMMYFUNCTION("""COMPUTED_VALUE"""),FALSE)</f>
        <v>0</v>
      </c>
      <c r="AB287" s="187">
        <f>IFERROR(__xludf.DUMMYFUNCTION("""COMPUTED_VALUE"""),45752.0)</f>
        <v>45752</v>
      </c>
      <c r="AC287" s="187">
        <f>IFERROR(__xludf.DUMMYFUNCTION("""COMPUTED_VALUE"""),45752.0)</f>
        <v>45752</v>
      </c>
      <c r="AD287" s="187">
        <f>IFERROR(__xludf.DUMMYFUNCTION("""COMPUTED_VALUE"""),45758.0)</f>
        <v>45758</v>
      </c>
      <c r="AE287" s="182"/>
      <c r="AF287" s="182"/>
      <c r="AG287" s="182"/>
      <c r="AH287" s="182" t="str">
        <f>IFERROR(__xludf.DUMMYFUNCTION("""COMPUTED_VALUE"""),"CLNRGA10299")</f>
        <v>CLNRGA10299</v>
      </c>
      <c r="AI287" s="187">
        <f>IFERROR(__xludf.DUMMYFUNCTION("""COMPUTED_VALUE"""),45780.0)</f>
        <v>45780</v>
      </c>
      <c r="AJ287" s="182" t="b">
        <f>IFERROR(__xludf.DUMMYFUNCTION("""COMPUTED_VALUE"""),FALSE)</f>
        <v>0</v>
      </c>
      <c r="AK287" s="182" t="b">
        <f>IFERROR(__xludf.DUMMYFUNCTION("""COMPUTED_VALUE"""),FALSE)</f>
        <v>0</v>
      </c>
      <c r="AL287" s="193">
        <f>IFERROR(__xludf.DUMMYFUNCTION("""COMPUTED_VALUE"""),45780.0)</f>
        <v>45780</v>
      </c>
      <c r="AM287" s="182" t="b">
        <f>IFERROR(__xludf.DUMMYFUNCTION("""COMPUTED_VALUE"""),FALSE)</f>
        <v>0</v>
      </c>
      <c r="AN287" s="182"/>
      <c r="AO287" s="182"/>
      <c r="AP287" s="182"/>
      <c r="AQ287" s="182" t="b">
        <f>IFERROR(__xludf.DUMMYFUNCTION("""COMPUTED_VALUE"""),FALSE)</f>
        <v>0</v>
      </c>
      <c r="AR287" s="182"/>
      <c r="AS287" s="182"/>
      <c r="AT287" s="187">
        <f>IFERROR(__xludf.DUMMYFUNCTION("""COMPUTED_VALUE"""),45780.0)</f>
        <v>45780</v>
      </c>
      <c r="AU287" s="182"/>
      <c r="AV287" s="182"/>
      <c r="AW287" s="187">
        <f>IFERROR(__xludf.DUMMYFUNCTION("""COMPUTED_VALUE"""),45827.0)</f>
        <v>45827</v>
      </c>
      <c r="AX287" s="187">
        <f>IFERROR(__xludf.DUMMYFUNCTION("""COMPUTED_VALUE"""),45827.0)</f>
        <v>45827</v>
      </c>
      <c r="AY287" s="182" t="b">
        <f>IFERROR(__xludf.DUMMYFUNCTION("""COMPUTED_VALUE"""),FALSE)</f>
        <v>0</v>
      </c>
      <c r="AZ287" s="182"/>
      <c r="BA287" s="182"/>
      <c r="BB287" s="182"/>
    </row>
    <row r="288">
      <c r="A288" s="184" t="str">
        <f t="shared" si="1"/>
        <v>#VALUE!</v>
      </c>
      <c r="B288" s="191" t="str">
        <f t="shared" si="3"/>
        <v>#VALUE!</v>
      </c>
      <c r="C288" s="182" t="str">
        <f>IFERROR(__xludf.DUMMYFUNCTION("""COMPUTED_VALUE"""),"TMO")</f>
        <v>TMO</v>
      </c>
      <c r="D288" s="182" t="str">
        <f>IFERROR(__xludf.DUMMYFUNCTION("""COMPUTED_VALUE"""),"MP")</f>
        <v>MP</v>
      </c>
      <c r="E288" s="182" t="str">
        <f>IFERROR(__xludf.DUMMYFUNCTION("""COMPUTED_VALUE"""),"CLNR")</f>
        <v>CLNR</v>
      </c>
      <c r="F288" s="182" t="str">
        <f>IFERROR(__xludf.DUMMYFUNCTION("""COMPUTED_VALUE"""),"CLNRGA10300")</f>
        <v>CLNRGA10300</v>
      </c>
      <c r="G288" s="182" t="str">
        <f>IFERROR(__xludf.DUMMYFUNCTION("""COMPUTED_VALUE"""),"G4QUR")</f>
        <v>G4QUR</v>
      </c>
      <c r="H288" s="182">
        <f>IFERROR(__xludf.DUMMYFUNCTION("""COMPUTED_VALUE"""),8.40353937062E11)</f>
        <v>840353937062</v>
      </c>
      <c r="I288" s="185" t="str">
        <f>IFERROR(__xludf.DUMMYFUNCTION("""COMPUTED_VALUE"""),"0840353937062")</f>
        <v>0840353937062</v>
      </c>
      <c r="J288" s="182">
        <f>IFERROR(__xludf.DUMMYFUNCTION("""COMPUTED_VALUE"""),8.40353937062E11)</f>
        <v>840353937062</v>
      </c>
      <c r="K288" s="182" t="str">
        <f>IFERROR(__xludf.DUMMYFUNCTION("""COMPUTED_VALUE"""),"MasterCartonLabel_10 pack_TMO")</f>
        <v>MasterCartonLabel_10 pack_TMO</v>
      </c>
      <c r="L288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88" s="182" t="str">
        <f>IFERROR(__xludf.DUMMYFUNCTION("""COMPUTED_VALUE"""),"N/A")</f>
        <v>N/A</v>
      </c>
      <c r="N288" s="182" t="str">
        <f>IFERROR(__xludf.DUMMYFUNCTION("""COMPUTED_VALUE"""),"N/A")</f>
        <v>N/A</v>
      </c>
      <c r="O288" s="182"/>
      <c r="P288" s="182" t="str">
        <f>IFERROR(__xludf.DUMMYFUNCTION("""COMPUTED_VALUE"""),"512GB")</f>
        <v>512GB</v>
      </c>
      <c r="Q288" s="182"/>
      <c r="R288" s="182" t="str">
        <f>IFERROR(__xludf.DUMMYFUNCTION("""COMPUTED_VALUE"""),"Smokey Green")</f>
        <v>Smokey Green</v>
      </c>
      <c r="S288" s="182" t="str">
        <f>IFERROR(__xludf.DUMMYFUNCTION("""COMPUTED_VALUE"""),"US - Tmobile")</f>
        <v>US - Tmobile</v>
      </c>
      <c r="T288" s="182" t="str">
        <f>IFERROR(__xludf.DUMMYFUNCTION("""COMPUTED_VALUE"""),"SKU,CLR4, BEST, MMWAVE, TMO, BZ5, FRU")</f>
        <v>SKU,CLR4, BEST, MMWAVE, TMO, BZ5, FRU</v>
      </c>
      <c r="U288" s="182"/>
      <c r="V288" s="183" t="str">
        <f>IFERROR(__xludf.DUMMYFUNCTION("""COMPUTED_VALUE"""),"#NUM!")</f>
        <v>#NUM!</v>
      </c>
      <c r="W288" s="186">
        <f>IFERROR(__xludf.DUMMYFUNCTION("""COMPUTED_VALUE"""),45831.0)</f>
        <v>45831</v>
      </c>
      <c r="X288" s="187">
        <f>IFERROR(__xludf.DUMMYFUNCTION("""COMPUTED_VALUE"""),45745.0)</f>
        <v>45745</v>
      </c>
      <c r="Y288" s="182" t="b">
        <f>IFERROR(__xludf.DUMMYFUNCTION("""COMPUTED_VALUE"""),FALSE)</f>
        <v>0</v>
      </c>
      <c r="Z288" s="187">
        <f>IFERROR(__xludf.DUMMYFUNCTION("""COMPUTED_VALUE"""),45746.0)</f>
        <v>45746</v>
      </c>
      <c r="AA288" s="182" t="b">
        <f>IFERROR(__xludf.DUMMYFUNCTION("""COMPUTED_VALUE"""),FALSE)</f>
        <v>0</v>
      </c>
      <c r="AB288" s="187">
        <f>IFERROR(__xludf.DUMMYFUNCTION("""COMPUTED_VALUE"""),45752.0)</f>
        <v>45752</v>
      </c>
      <c r="AC288" s="187">
        <f>IFERROR(__xludf.DUMMYFUNCTION("""COMPUTED_VALUE"""),45752.0)</f>
        <v>45752</v>
      </c>
      <c r="AD288" s="187">
        <f>IFERROR(__xludf.DUMMYFUNCTION("""COMPUTED_VALUE"""),45758.0)</f>
        <v>45758</v>
      </c>
      <c r="AE288" s="182"/>
      <c r="AF288" s="182"/>
      <c r="AG288" s="182"/>
      <c r="AH288" s="182" t="str">
        <f>IFERROR(__xludf.DUMMYFUNCTION("""COMPUTED_VALUE"""),"CLNRGA10300")</f>
        <v>CLNRGA10300</v>
      </c>
      <c r="AI288" s="187">
        <f>IFERROR(__xludf.DUMMYFUNCTION("""COMPUTED_VALUE"""),45780.0)</f>
        <v>45780</v>
      </c>
      <c r="AJ288" s="182" t="b">
        <f>IFERROR(__xludf.DUMMYFUNCTION("""COMPUTED_VALUE"""),FALSE)</f>
        <v>0</v>
      </c>
      <c r="AK288" s="182" t="b">
        <f>IFERROR(__xludf.DUMMYFUNCTION("""COMPUTED_VALUE"""),FALSE)</f>
        <v>0</v>
      </c>
      <c r="AL288" s="193">
        <f>IFERROR(__xludf.DUMMYFUNCTION("""COMPUTED_VALUE"""),45780.0)</f>
        <v>45780</v>
      </c>
      <c r="AM288" s="182" t="b">
        <f>IFERROR(__xludf.DUMMYFUNCTION("""COMPUTED_VALUE"""),FALSE)</f>
        <v>0</v>
      </c>
      <c r="AN288" s="182"/>
      <c r="AO288" s="182"/>
      <c r="AP288" s="182"/>
      <c r="AQ288" s="182" t="b">
        <f>IFERROR(__xludf.DUMMYFUNCTION("""COMPUTED_VALUE"""),FALSE)</f>
        <v>0</v>
      </c>
      <c r="AR288" s="182"/>
      <c r="AS288" s="182"/>
      <c r="AT288" s="187">
        <f>IFERROR(__xludf.DUMMYFUNCTION("""COMPUTED_VALUE"""),45780.0)</f>
        <v>45780</v>
      </c>
      <c r="AU288" s="182"/>
      <c r="AV288" s="182"/>
      <c r="AW288" s="187">
        <f>IFERROR(__xludf.DUMMYFUNCTION("""COMPUTED_VALUE"""),45827.0)</f>
        <v>45827</v>
      </c>
      <c r="AX288" s="187">
        <f>IFERROR(__xludf.DUMMYFUNCTION("""COMPUTED_VALUE"""),45827.0)</f>
        <v>45827</v>
      </c>
      <c r="AY288" s="182" t="b">
        <f>IFERROR(__xludf.DUMMYFUNCTION("""COMPUTED_VALUE"""),FALSE)</f>
        <v>0</v>
      </c>
      <c r="AZ288" s="182"/>
      <c r="BA288" s="182"/>
      <c r="BB288" s="182"/>
    </row>
    <row r="289">
      <c r="A289" s="184" t="str">
        <f t="shared" si="1"/>
        <v>#VALUE!</v>
      </c>
      <c r="B289" s="191" t="str">
        <f t="shared" si="3"/>
        <v>#VALUE!</v>
      </c>
      <c r="C289" s="182" t="str">
        <f>IFERROR(__xludf.DUMMYFUNCTION("""COMPUTED_VALUE"""),"TMO")</f>
        <v>TMO</v>
      </c>
      <c r="D289" s="182" t="str">
        <f>IFERROR(__xludf.DUMMYFUNCTION("""COMPUTED_VALUE"""),"MP")</f>
        <v>MP</v>
      </c>
      <c r="E289" s="182" t="str">
        <f>IFERROR(__xludf.DUMMYFUNCTION("""COMPUTED_VALUE"""),"CLNR")</f>
        <v>CLNR</v>
      </c>
      <c r="F289" s="182" t="str">
        <f>IFERROR(__xludf.DUMMYFUNCTION("""COMPUTED_VALUE"""),"CLNRGA09932")</f>
        <v>CLNRGA09932</v>
      </c>
      <c r="G289" s="182" t="str">
        <f>IFERROR(__xludf.DUMMYFUNCTION("""COMPUTED_VALUE"""),"G4QUR")</f>
        <v>G4QUR</v>
      </c>
      <c r="H289" s="182">
        <f>IFERROR(__xludf.DUMMYFUNCTION("""COMPUTED_VALUE"""),8.40353937079E11)</f>
        <v>840353937079</v>
      </c>
      <c r="I289" s="185" t="str">
        <f>IFERROR(__xludf.DUMMYFUNCTION("""COMPUTED_VALUE"""),"0840353937079")</f>
        <v>0840353937079</v>
      </c>
      <c r="J289" s="182">
        <f>IFERROR(__xludf.DUMMYFUNCTION("""COMPUTED_VALUE"""),8.40353937079E11)</f>
        <v>840353937079</v>
      </c>
      <c r="K289" s="182" t="str">
        <f>IFERROR(__xludf.DUMMYFUNCTION("""COMPUTED_VALUE"""),"MasterCartonLabel_10 pack_TMO")</f>
        <v>MasterCartonLabel_10 pack_TMO</v>
      </c>
      <c r="L289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89" s="182" t="str">
        <f>IFERROR(__xludf.DUMMYFUNCTION("""COMPUTED_VALUE"""),"N/A")</f>
        <v>N/A</v>
      </c>
      <c r="N289" s="182" t="str">
        <f>IFERROR(__xludf.DUMMYFUNCTION("""COMPUTED_VALUE"""),"N/A")</f>
        <v>N/A</v>
      </c>
      <c r="O289" s="182"/>
      <c r="P289" s="182" t="str">
        <f>IFERROR(__xludf.DUMMYFUNCTION("""COMPUTED_VALUE"""),"1TB")</f>
        <v>1TB</v>
      </c>
      <c r="Q289" s="182"/>
      <c r="R289" s="182" t="str">
        <f>IFERROR(__xludf.DUMMYFUNCTION("""COMPUTED_VALUE"""),"Midnight")</f>
        <v>Midnight</v>
      </c>
      <c r="S289" s="182" t="str">
        <f>IFERROR(__xludf.DUMMYFUNCTION("""COMPUTED_VALUE"""),"US - Tmobile")</f>
        <v>US - Tmobile</v>
      </c>
      <c r="T289" s="182" t="str">
        <f>IFERROR(__xludf.DUMMYFUNCTION("""COMPUTED_VALUE"""),"SKU,CLR1, ULTRA, MMWAVE, TMO, BZ5, FRU")</f>
        <v>SKU,CLR1, ULTRA, MMWAVE, TMO, BZ5, FRU</v>
      </c>
      <c r="U289" s="182"/>
      <c r="V289" s="183" t="str">
        <f>IFERROR(__xludf.DUMMYFUNCTION("""COMPUTED_VALUE"""),"#NUM!")</f>
        <v>#NUM!</v>
      </c>
      <c r="W289" s="186">
        <f>IFERROR(__xludf.DUMMYFUNCTION("""COMPUTED_VALUE"""),45831.0)</f>
        <v>45831</v>
      </c>
      <c r="X289" s="187">
        <f>IFERROR(__xludf.DUMMYFUNCTION("""COMPUTED_VALUE"""),45745.0)</f>
        <v>45745</v>
      </c>
      <c r="Y289" s="182" t="b">
        <f>IFERROR(__xludf.DUMMYFUNCTION("""COMPUTED_VALUE"""),FALSE)</f>
        <v>0</v>
      </c>
      <c r="Z289" s="187">
        <f>IFERROR(__xludf.DUMMYFUNCTION("""COMPUTED_VALUE"""),45746.0)</f>
        <v>45746</v>
      </c>
      <c r="AA289" s="182" t="b">
        <f>IFERROR(__xludf.DUMMYFUNCTION("""COMPUTED_VALUE"""),FALSE)</f>
        <v>0</v>
      </c>
      <c r="AB289" s="187">
        <f>IFERROR(__xludf.DUMMYFUNCTION("""COMPUTED_VALUE"""),45752.0)</f>
        <v>45752</v>
      </c>
      <c r="AC289" s="187">
        <f>IFERROR(__xludf.DUMMYFUNCTION("""COMPUTED_VALUE"""),45752.0)</f>
        <v>45752</v>
      </c>
      <c r="AD289" s="187">
        <f>IFERROR(__xludf.DUMMYFUNCTION("""COMPUTED_VALUE"""),45758.0)</f>
        <v>45758</v>
      </c>
      <c r="AE289" s="182"/>
      <c r="AF289" s="182"/>
      <c r="AG289" s="182"/>
      <c r="AH289" s="182" t="str">
        <f>IFERROR(__xludf.DUMMYFUNCTION("""COMPUTED_VALUE"""),"CLNRGA09932")</f>
        <v>CLNRGA09932</v>
      </c>
      <c r="AI289" s="187">
        <f>IFERROR(__xludf.DUMMYFUNCTION("""COMPUTED_VALUE"""),45780.0)</f>
        <v>45780</v>
      </c>
      <c r="AJ289" s="182" t="b">
        <f>IFERROR(__xludf.DUMMYFUNCTION("""COMPUTED_VALUE"""),FALSE)</f>
        <v>0</v>
      </c>
      <c r="AK289" s="182" t="b">
        <f>IFERROR(__xludf.DUMMYFUNCTION("""COMPUTED_VALUE"""),FALSE)</f>
        <v>0</v>
      </c>
      <c r="AL289" s="193">
        <f>IFERROR(__xludf.DUMMYFUNCTION("""COMPUTED_VALUE"""),45780.0)</f>
        <v>45780</v>
      </c>
      <c r="AM289" s="182" t="b">
        <f>IFERROR(__xludf.DUMMYFUNCTION("""COMPUTED_VALUE"""),FALSE)</f>
        <v>0</v>
      </c>
      <c r="AN289" s="182"/>
      <c r="AO289" s="182"/>
      <c r="AP289" s="182"/>
      <c r="AQ289" s="182" t="b">
        <f>IFERROR(__xludf.DUMMYFUNCTION("""COMPUTED_VALUE"""),FALSE)</f>
        <v>0</v>
      </c>
      <c r="AR289" s="182"/>
      <c r="AS289" s="182"/>
      <c r="AT289" s="187">
        <f>IFERROR(__xludf.DUMMYFUNCTION("""COMPUTED_VALUE"""),45780.0)</f>
        <v>45780</v>
      </c>
      <c r="AU289" s="182"/>
      <c r="AV289" s="182"/>
      <c r="AW289" s="187">
        <f>IFERROR(__xludf.DUMMYFUNCTION("""COMPUTED_VALUE"""),45827.0)</f>
        <v>45827</v>
      </c>
      <c r="AX289" s="187">
        <f>IFERROR(__xludf.DUMMYFUNCTION("""COMPUTED_VALUE"""),45827.0)</f>
        <v>45827</v>
      </c>
      <c r="AY289" s="182" t="b">
        <f>IFERROR(__xludf.DUMMYFUNCTION("""COMPUTED_VALUE"""),FALSE)</f>
        <v>0</v>
      </c>
      <c r="AZ289" s="182"/>
      <c r="BA289" s="182"/>
      <c r="BB289" s="182"/>
    </row>
    <row r="290">
      <c r="A290" s="184" t="str">
        <f t="shared" si="1"/>
        <v>#VALUE!</v>
      </c>
      <c r="B290" s="69" t="str">
        <f t="shared" si="3"/>
        <v>#VALUE!</v>
      </c>
      <c r="C290" s="182" t="str">
        <f>IFERROR(__xludf.DUMMYFUNCTION("""COMPUTED_VALUE"""),"TMO")</f>
        <v>TMO</v>
      </c>
      <c r="D290" s="182" t="str">
        <f>IFERROR(__xludf.DUMMYFUNCTION("""COMPUTED_VALUE"""),"MP")</f>
        <v>MP</v>
      </c>
      <c r="E290" s="182" t="str">
        <f>IFERROR(__xludf.DUMMYFUNCTION("""COMPUTED_VALUE"""),"CLNR")</f>
        <v>CLNR</v>
      </c>
      <c r="F290" s="182" t="str">
        <f>IFERROR(__xludf.DUMMYFUNCTION("""COMPUTED_VALUE"""),"CLNRGA10301")</f>
        <v>CLNRGA10301</v>
      </c>
      <c r="G290" s="182" t="str">
        <f>IFERROR(__xludf.DUMMYFUNCTION("""COMPUTED_VALUE"""),"G4QUR")</f>
        <v>G4QUR</v>
      </c>
      <c r="H290" s="182">
        <f>IFERROR(__xludf.DUMMYFUNCTION("""COMPUTED_VALUE"""),8.40353937086E11)</f>
        <v>840353937086</v>
      </c>
      <c r="I290" s="185" t="str">
        <f>IFERROR(__xludf.DUMMYFUNCTION("""COMPUTED_VALUE"""),"0840353937086")</f>
        <v>0840353937086</v>
      </c>
      <c r="J290" s="182">
        <f>IFERROR(__xludf.DUMMYFUNCTION("""COMPUTED_VALUE"""),8.40353937086E11)</f>
        <v>840353937086</v>
      </c>
      <c r="K290" s="182" t="str">
        <f>IFERROR(__xludf.DUMMYFUNCTION("""COMPUTED_VALUE"""),"MasterCartonLabel_10 pack_TMO")</f>
        <v>MasterCartonLabel_10 pack_TMO</v>
      </c>
      <c r="L290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90" s="182" t="str">
        <f>IFERROR(__xludf.DUMMYFUNCTION("""COMPUTED_VALUE"""),"N/A")</f>
        <v>N/A</v>
      </c>
      <c r="N290" s="182" t="str">
        <f>IFERROR(__xludf.DUMMYFUNCTION("""COMPUTED_VALUE"""),"N/A")</f>
        <v>N/A</v>
      </c>
      <c r="O290" s="182"/>
      <c r="P290" s="182" t="str">
        <f>IFERROR(__xludf.DUMMYFUNCTION("""COMPUTED_VALUE"""),"1TB")</f>
        <v>1TB</v>
      </c>
      <c r="Q290" s="182" t="str">
        <f>IFERROR(__xludf.DUMMYFUNCTION("""COMPUTED_VALUE"""),"Moonstone")</f>
        <v>Moonstone</v>
      </c>
      <c r="R290" s="182" t="str">
        <f>IFERROR(__xludf.DUMMYFUNCTION("""COMPUTED_VALUE"""),"Sterling")</f>
        <v>Sterling</v>
      </c>
      <c r="S290" s="182" t="str">
        <f>IFERROR(__xludf.DUMMYFUNCTION("""COMPUTED_VALUE"""),"US - Tmobile")</f>
        <v>US - Tmobile</v>
      </c>
      <c r="T290" s="182" t="str">
        <f>IFERROR(__xludf.DUMMYFUNCTION("""COMPUTED_VALUE"""),"SKU,CLR3, ULTRA, MMWAVE, TMO, BZ5, FRU")</f>
        <v>SKU,CLR3, ULTRA, MMWAVE, TMO, BZ5, FRU</v>
      </c>
      <c r="U290" s="182"/>
      <c r="V290" s="183" t="str">
        <f>IFERROR(__xludf.DUMMYFUNCTION("""COMPUTED_VALUE"""),"#NUM!")</f>
        <v>#NUM!</v>
      </c>
      <c r="W290" s="186">
        <f>IFERROR(__xludf.DUMMYFUNCTION("""COMPUTED_VALUE"""),45831.0)</f>
        <v>45831</v>
      </c>
      <c r="X290" s="187">
        <f>IFERROR(__xludf.DUMMYFUNCTION("""COMPUTED_VALUE"""),45745.0)</f>
        <v>45745</v>
      </c>
      <c r="Y290" s="182" t="b">
        <f>IFERROR(__xludf.DUMMYFUNCTION("""COMPUTED_VALUE"""),FALSE)</f>
        <v>0</v>
      </c>
      <c r="Z290" s="187">
        <f>IFERROR(__xludf.DUMMYFUNCTION("""COMPUTED_VALUE"""),45746.0)</f>
        <v>45746</v>
      </c>
      <c r="AA290" s="182" t="b">
        <f>IFERROR(__xludf.DUMMYFUNCTION("""COMPUTED_VALUE"""),FALSE)</f>
        <v>0</v>
      </c>
      <c r="AB290" s="187">
        <f>IFERROR(__xludf.DUMMYFUNCTION("""COMPUTED_VALUE"""),45752.0)</f>
        <v>45752</v>
      </c>
      <c r="AC290" s="187">
        <f>IFERROR(__xludf.DUMMYFUNCTION("""COMPUTED_VALUE"""),45752.0)</f>
        <v>45752</v>
      </c>
      <c r="AD290" s="187">
        <f>IFERROR(__xludf.DUMMYFUNCTION("""COMPUTED_VALUE"""),45758.0)</f>
        <v>45758</v>
      </c>
      <c r="AE290" s="182"/>
      <c r="AF290" s="182"/>
      <c r="AG290" s="182"/>
      <c r="AH290" s="182" t="str">
        <f>IFERROR(__xludf.DUMMYFUNCTION("""COMPUTED_VALUE"""),"CLNRGA10301")</f>
        <v>CLNRGA10301</v>
      </c>
      <c r="AI290" s="187">
        <f>IFERROR(__xludf.DUMMYFUNCTION("""COMPUTED_VALUE"""),45780.0)</f>
        <v>45780</v>
      </c>
      <c r="AJ290" s="182" t="b">
        <f>IFERROR(__xludf.DUMMYFUNCTION("""COMPUTED_VALUE"""),FALSE)</f>
        <v>0</v>
      </c>
      <c r="AK290" s="182" t="b">
        <f>IFERROR(__xludf.DUMMYFUNCTION("""COMPUTED_VALUE"""),FALSE)</f>
        <v>0</v>
      </c>
      <c r="AL290" s="193">
        <f>IFERROR(__xludf.DUMMYFUNCTION("""COMPUTED_VALUE"""),45780.0)</f>
        <v>45780</v>
      </c>
      <c r="AM290" s="182" t="b">
        <f>IFERROR(__xludf.DUMMYFUNCTION("""COMPUTED_VALUE"""),FALSE)</f>
        <v>0</v>
      </c>
      <c r="AN290" s="182"/>
      <c r="AO290" s="182"/>
      <c r="AP290" s="182"/>
      <c r="AQ290" s="182" t="b">
        <f>IFERROR(__xludf.DUMMYFUNCTION("""COMPUTED_VALUE"""),FALSE)</f>
        <v>0</v>
      </c>
      <c r="AR290" s="182"/>
      <c r="AS290" s="182"/>
      <c r="AT290" s="187">
        <f>IFERROR(__xludf.DUMMYFUNCTION("""COMPUTED_VALUE"""),45780.0)</f>
        <v>45780</v>
      </c>
      <c r="AU290" s="182"/>
      <c r="AV290" s="182"/>
      <c r="AW290" s="187">
        <f>IFERROR(__xludf.DUMMYFUNCTION("""COMPUTED_VALUE"""),45827.0)</f>
        <v>45827</v>
      </c>
      <c r="AX290" s="187">
        <f>IFERROR(__xludf.DUMMYFUNCTION("""COMPUTED_VALUE"""),45827.0)</f>
        <v>45827</v>
      </c>
      <c r="AY290" s="182" t="b">
        <f>IFERROR(__xludf.DUMMYFUNCTION("""COMPUTED_VALUE"""),FALSE)</f>
        <v>0</v>
      </c>
      <c r="AZ290" s="182"/>
      <c r="BA290" s="182"/>
      <c r="BB290" s="182"/>
    </row>
    <row r="291">
      <c r="A291" s="184" t="str">
        <f t="shared" si="1"/>
        <v>G990-08499-31-A</v>
      </c>
      <c r="B291" s="69" t="str">
        <f t="shared" si="3"/>
        <v>G990-09735-00-A</v>
      </c>
      <c r="C291" s="182" t="str">
        <f>IFERROR(__xludf.DUMMYFUNCTION("""COMPUTED_VALUE"""),"TMO")</f>
        <v>TMO</v>
      </c>
      <c r="D291" s="182" t="str">
        <f>IFERROR(__xludf.DUMMYFUNCTION("""COMPUTED_VALUE"""),"MP")</f>
        <v>MP</v>
      </c>
      <c r="E291" s="182" t="str">
        <f>IFERROR(__xludf.DUMMYFUNCTION("""COMPUTED_VALUE"""),"IQ")</f>
        <v>IQ</v>
      </c>
      <c r="F291" s="182" t="str">
        <f>IFERROR(__xludf.DUMMYFUNCTION("""COMPUTED_VALUE"""),"GA11018-US")</f>
        <v>GA11018-US</v>
      </c>
      <c r="G291" s="182" t="str">
        <f>IFERROR(__xludf.DUMMYFUNCTION("""COMPUTED_VALUE"""),"G4QUR")</f>
        <v>G4QUR</v>
      </c>
      <c r="H291" s="182">
        <f>IFERROR(__xludf.DUMMYFUNCTION("""COMPUTED_VALUE"""),8.40353948297E11)</f>
        <v>840353948297</v>
      </c>
      <c r="I291" s="185" t="str">
        <f>IFERROR(__xludf.DUMMYFUNCTION("""COMPUTED_VALUE"""),"0840353948297")</f>
        <v>0840353948297</v>
      </c>
      <c r="J291" s="182">
        <f>IFERROR(__xludf.DUMMYFUNCTION("""COMPUTED_VALUE"""),8.40353948297E11)</f>
        <v>840353948297</v>
      </c>
      <c r="K291" s="182" t="str">
        <f>IFERROR(__xludf.DUMMYFUNCTION("""COMPUTED_VALUE"""),"MasterCartonLabel_10 pack_TMO")</f>
        <v>MasterCartonLabel_10 pack_TMO</v>
      </c>
      <c r="L291" s="182" t="str">
        <f>IFERROR(__xludf.DUMMYFUNCTION("""COMPUTED_VALUE"""),"T-Mobile Pallet Label-&gt; BTO(EDI)
T-Mobile Pallet Label-&gt; BTS(Normal case)")</f>
        <v>T-Mobile Pallet Label-&gt; BTO(EDI)
T-Mobile Pallet Label-&gt; BTS(Normal case)</v>
      </c>
      <c r="M291" s="182" t="str">
        <f>IFERROR(__xludf.DUMMYFUNCTION("""COMPUTED_VALUE"""),"G990-08499-31-02
G990-08499-31-A")</f>
        <v>G990-08499-31-02
G990-08499-31-A</v>
      </c>
      <c r="N291" s="182" t="str">
        <f>IFERROR(__xludf.DUMMYFUNCTION("""COMPUTED_VALUE"""),"G990-09735-00-02
G990-09735-00-A")</f>
        <v>G990-09735-00-02
G990-09735-00-A</v>
      </c>
      <c r="O291" s="182" t="str">
        <f>IFERROR(__xludf.DUMMYFUNCTION("""COMPUTED_VALUE"""),"BOB→A
Retail→A")</f>
        <v>BOB→A
Retail→A</v>
      </c>
      <c r="P291" s="182" t="str">
        <f>IFERROR(__xludf.DUMMYFUNCTION("""COMPUTED_VALUE"""),"128GB")</f>
        <v>128GB</v>
      </c>
      <c r="Q291" s="182" t="str">
        <f>IFERROR(__xludf.DUMMYFUNCTION("""COMPUTED_VALUE"""),"Moonstone")</f>
        <v>Moonstone</v>
      </c>
      <c r="R291" s="182" t="str">
        <f>IFERROR(__xludf.DUMMYFUNCTION("""COMPUTED_VALUE"""),"Sterling")</f>
        <v>Sterling</v>
      </c>
      <c r="S291" s="182" t="str">
        <f>IFERROR(__xludf.DUMMYFUNCTION("""COMPUTED_VALUE"""),"US - Tmobile")</f>
        <v>US - Tmobile</v>
      </c>
      <c r="T291" s="182" t="str">
        <f>IFERROR(__xludf.DUMMYFUNCTION("""COMPUTED_VALUE"""),"CLR3, GOOD, MMWAVE, TMO, IQ, US, BZ5")</f>
        <v>CLR3, GOOD, MMWAVE, TMO, IQ, US, BZ5</v>
      </c>
      <c r="U291" s="182"/>
      <c r="V291" s="183" t="str">
        <f>IFERROR(__xludf.DUMMYFUNCTION("""COMPUTED_VALUE"""),"#NUM!")</f>
        <v>#NUM!</v>
      </c>
      <c r="W291" s="186">
        <f>IFERROR(__xludf.DUMMYFUNCTION("""COMPUTED_VALUE"""),45831.0)</f>
        <v>45831</v>
      </c>
      <c r="X291" s="187">
        <f>IFERROR(__xludf.DUMMYFUNCTION("""COMPUTED_VALUE"""),45745.0)</f>
        <v>45745</v>
      </c>
      <c r="Y291" s="182" t="b">
        <f>IFERROR(__xludf.DUMMYFUNCTION("""COMPUTED_VALUE"""),TRUE)</f>
        <v>1</v>
      </c>
      <c r="Z291" s="187">
        <f>IFERROR(__xludf.DUMMYFUNCTION("""COMPUTED_VALUE"""),45746.0)</f>
        <v>45746</v>
      </c>
      <c r="AA291" s="182" t="b">
        <f>IFERROR(__xludf.DUMMYFUNCTION("""COMPUTED_VALUE"""),FALSE)</f>
        <v>0</v>
      </c>
      <c r="AB291" s="187">
        <f>IFERROR(__xludf.DUMMYFUNCTION("""COMPUTED_VALUE"""),45752.0)</f>
        <v>45752</v>
      </c>
      <c r="AC291" s="187">
        <f>IFERROR(__xludf.DUMMYFUNCTION("""COMPUTED_VALUE"""),45752.0)</f>
        <v>45752</v>
      </c>
      <c r="AD291" s="187">
        <f>IFERROR(__xludf.DUMMYFUNCTION("""COMPUTED_VALUE"""),45758.0)</f>
        <v>45758</v>
      </c>
      <c r="AE291" s="182" t="str">
        <f>IFERROR(__xludf.DUMMYFUNCTION("""COMPUTED_VALUE"""),"GA11018-US
GA11018-US RevA")</f>
        <v>GA11018-US
GA11018-US RevA</v>
      </c>
      <c r="AF291" s="188" t="str">
        <f>IFERROR(__xludf.DUMMYFUNCTION("""COMPUTED_VALUE"""),"GA11018-US")</f>
        <v>GA11018-US</v>
      </c>
      <c r="AG291" s="182" t="str">
        <f>IFERROR(__xludf.DUMMYFUNCTION("""COMPUTED_VALUE"""),"GA11018-US
GA11018-US RevA")</f>
        <v>GA11018-US
GA11018-US RevA</v>
      </c>
      <c r="AH291" s="188" t="str">
        <f>IFERROR(__xludf.DUMMYFUNCTION("""COMPUTED_VALUE"""),"GA11018-US")</f>
        <v>GA11018-US</v>
      </c>
      <c r="AI291" s="187">
        <f>IFERROR(__xludf.DUMMYFUNCTION("""COMPUTED_VALUE"""),45780.0)</f>
        <v>45780</v>
      </c>
      <c r="AJ291" s="182" t="b">
        <f>IFERROR(__xludf.DUMMYFUNCTION("""COMPUTED_VALUE"""),TRUE)</f>
        <v>1</v>
      </c>
      <c r="AK291" s="182" t="b">
        <f>IFERROR(__xludf.DUMMYFUNCTION("""COMPUTED_VALUE"""),TRUE)</f>
        <v>1</v>
      </c>
      <c r="AL291" s="193">
        <f>IFERROR(__xludf.DUMMYFUNCTION("""COMPUTED_VALUE"""),45780.0)</f>
        <v>45780</v>
      </c>
      <c r="AM291" s="182" t="b">
        <f>IFERROR(__xludf.DUMMYFUNCTION("""COMPUTED_VALUE"""),TRUE)</f>
        <v>1</v>
      </c>
      <c r="AN291" s="182" t="str">
        <f>IFERROR(__xludf.DUMMYFUNCTION("""COMPUTED_VALUE"""),"Y")</f>
        <v>Y</v>
      </c>
      <c r="AO291" s="182"/>
      <c r="AP291" s="182"/>
      <c r="AQ291" s="182" t="b">
        <f>IFERROR(__xludf.DUMMYFUNCTION("""COMPUTED_VALUE"""),FALSE)</f>
        <v>0</v>
      </c>
      <c r="AR291" s="182" t="str">
        <f>IFERROR(__xludf.DUMMYFUNCTION("""COMPUTED_VALUE"""),"N")</f>
        <v>N</v>
      </c>
      <c r="AS291" s="182"/>
      <c r="AT291" s="187">
        <f>IFERROR(__xludf.DUMMYFUNCTION("""COMPUTED_VALUE"""),45780.0)</f>
        <v>45780</v>
      </c>
      <c r="AU291" s="182" t="str">
        <f>IFERROR(__xludf.DUMMYFUNCTION("""COMPUTED_VALUE"""),"Y")</f>
        <v>Y</v>
      </c>
      <c r="AV291" s="182"/>
      <c r="AW291" s="187">
        <f>IFERROR(__xludf.DUMMYFUNCTION("""COMPUTED_VALUE"""),45827.0)</f>
        <v>45827</v>
      </c>
      <c r="AX291" s="187">
        <f>IFERROR(__xludf.DUMMYFUNCTION("""COMPUTED_VALUE"""),45827.0)</f>
        <v>45827</v>
      </c>
      <c r="AY291" s="182" t="b">
        <f>IFERROR(__xludf.DUMMYFUNCTION("""COMPUTED_VALUE"""),FALSE)</f>
        <v>0</v>
      </c>
      <c r="AZ291" s="182"/>
      <c r="BA291" s="182"/>
      <c r="BB291" s="182"/>
    </row>
    <row r="292">
      <c r="A292" s="184" t="str">
        <f t="shared" si="1"/>
        <v>#VALUE!</v>
      </c>
      <c r="B292" s="69" t="str">
        <f t="shared" si="3"/>
        <v>#VALUE!</v>
      </c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3" t="str">
        <f>IFERROR(__xludf.DUMMYFUNCTION("""COMPUTED_VALUE"""),"#NUM!")</f>
        <v>#NUM!</v>
      </c>
      <c r="W292" s="182"/>
      <c r="X292" s="182" t="str">
        <f>IFERROR(__xludf.DUMMYFUNCTION("""COMPUTED_VALUE"""),"#VALUE!")</f>
        <v>#VALUE!</v>
      </c>
      <c r="Y292" s="182" t="b">
        <f>IFERROR(__xludf.DUMMYFUNCTION("""COMPUTED_VALUE"""),FALSE)</f>
        <v>0</v>
      </c>
      <c r="Z292" s="182" t="str">
        <f>IFERROR(__xludf.DUMMYFUNCTION("""COMPUTED_VALUE"""),"#VALUE!")</f>
        <v>#VALUE!</v>
      </c>
      <c r="AA292" s="182" t="b">
        <f>IFERROR(__xludf.DUMMYFUNCTION("""COMPUTED_VALUE"""),FALSE)</f>
        <v>0</v>
      </c>
      <c r="AB292" s="182" t="str">
        <f>IFERROR(__xludf.DUMMYFUNCTION("""COMPUTED_VALUE"""),"#VALUE!")</f>
        <v>#VALUE!</v>
      </c>
      <c r="AC292" s="182" t="str">
        <f>IFERROR(__xludf.DUMMYFUNCTION("""COMPUTED_VALUE"""),"#VALUE!")</f>
        <v>#VALUE!</v>
      </c>
      <c r="AD292" s="182" t="str">
        <f>IFERROR(__xludf.DUMMYFUNCTION("""COMPUTED_VALUE"""),"#VALUE!")</f>
        <v>#VALUE!</v>
      </c>
      <c r="AE292" s="182"/>
      <c r="AF292" s="182"/>
      <c r="AG292" s="182"/>
      <c r="AH292" s="182"/>
      <c r="AI292" s="182" t="str">
        <f>IFERROR(__xludf.DUMMYFUNCTION("""COMPUTED_VALUE"""),"#VALUE!")</f>
        <v>#VALUE!</v>
      </c>
      <c r="AJ292" s="182"/>
      <c r="AK292" s="182"/>
      <c r="AL292" s="193" t="str">
        <f>IFERROR(__xludf.DUMMYFUNCTION("""COMPUTED_VALUE"""),"#VALUE!")</f>
        <v>#VALUE!</v>
      </c>
      <c r="AM292" s="182"/>
      <c r="AN292" s="182"/>
      <c r="AO292" s="182"/>
      <c r="AP292" s="182"/>
      <c r="AQ292" s="182"/>
      <c r="AR292" s="182"/>
      <c r="AS292" s="182"/>
      <c r="AT292" s="182" t="str">
        <f>IFERROR(__xludf.DUMMYFUNCTION("""COMPUTED_VALUE"""),"#VALUE!")</f>
        <v>#VALUE!</v>
      </c>
      <c r="AU292" s="182"/>
      <c r="AV292" s="182"/>
      <c r="AW292" s="182" t="str">
        <f>IFERROR(__xludf.DUMMYFUNCTION("""COMPUTED_VALUE"""),"#VALUE!")</f>
        <v>#VALUE!</v>
      </c>
      <c r="AX292" s="182" t="str">
        <f>IFERROR(__xludf.DUMMYFUNCTION("""COMPUTED_VALUE"""),"#VALUE!")</f>
        <v>#VALUE!</v>
      </c>
      <c r="AY292" s="182" t="b">
        <f>IFERROR(__xludf.DUMMYFUNCTION("""COMPUTED_VALUE"""),FALSE)</f>
        <v>0</v>
      </c>
      <c r="AZ292" s="182"/>
      <c r="BA292" s="182"/>
      <c r="BB292" s="182"/>
    </row>
    <row r="293">
      <c r="A293" s="184" t="str">
        <f t="shared" si="1"/>
        <v>#VALUE!</v>
      </c>
      <c r="B293" s="69" t="str">
        <f t="shared" si="3"/>
        <v>#VALUE!</v>
      </c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3" t="str">
        <f>IFERROR(__xludf.DUMMYFUNCTION("""COMPUTED_VALUE"""),"#NUM!")</f>
        <v>#NUM!</v>
      </c>
      <c r="W293" s="182"/>
      <c r="X293" s="182" t="str">
        <f>IFERROR(__xludf.DUMMYFUNCTION("""COMPUTED_VALUE"""),"#VALUE!")</f>
        <v>#VALUE!</v>
      </c>
      <c r="Y293" s="182" t="b">
        <f>IFERROR(__xludf.DUMMYFUNCTION("""COMPUTED_VALUE"""),FALSE)</f>
        <v>0</v>
      </c>
      <c r="Z293" s="182" t="str">
        <f>IFERROR(__xludf.DUMMYFUNCTION("""COMPUTED_VALUE"""),"#VALUE!")</f>
        <v>#VALUE!</v>
      </c>
      <c r="AA293" s="182" t="b">
        <f>IFERROR(__xludf.DUMMYFUNCTION("""COMPUTED_VALUE"""),FALSE)</f>
        <v>0</v>
      </c>
      <c r="AB293" s="182" t="str">
        <f>IFERROR(__xludf.DUMMYFUNCTION("""COMPUTED_VALUE"""),"#VALUE!")</f>
        <v>#VALUE!</v>
      </c>
      <c r="AC293" s="182" t="str">
        <f>IFERROR(__xludf.DUMMYFUNCTION("""COMPUTED_VALUE"""),"#VALUE!")</f>
        <v>#VALUE!</v>
      </c>
      <c r="AD293" s="182" t="str">
        <f>IFERROR(__xludf.DUMMYFUNCTION("""COMPUTED_VALUE"""),"#VALUE!")</f>
        <v>#VALUE!</v>
      </c>
      <c r="AE293" s="182"/>
      <c r="AF293" s="182"/>
      <c r="AG293" s="182"/>
      <c r="AH293" s="182"/>
      <c r="AI293" s="182" t="str">
        <f>IFERROR(__xludf.DUMMYFUNCTION("""COMPUTED_VALUE"""),"#VALUE!")</f>
        <v>#VALUE!</v>
      </c>
      <c r="AJ293" s="182"/>
      <c r="AK293" s="182"/>
      <c r="AL293" s="193" t="str">
        <f>IFERROR(__xludf.DUMMYFUNCTION("""COMPUTED_VALUE"""),"#VALUE!")</f>
        <v>#VALUE!</v>
      </c>
      <c r="AM293" s="182"/>
      <c r="AN293" s="182"/>
      <c r="AO293" s="182"/>
      <c r="AP293" s="182"/>
      <c r="AQ293" s="182"/>
      <c r="AR293" s="182"/>
      <c r="AS293" s="182"/>
      <c r="AT293" s="182" t="str">
        <f>IFERROR(__xludf.DUMMYFUNCTION("""COMPUTED_VALUE"""),"#VALUE!")</f>
        <v>#VALUE!</v>
      </c>
      <c r="AU293" s="182"/>
      <c r="AV293" s="182"/>
      <c r="AW293" s="182" t="str">
        <f>IFERROR(__xludf.DUMMYFUNCTION("""COMPUTED_VALUE"""),"#VALUE!")</f>
        <v>#VALUE!</v>
      </c>
      <c r="AX293" s="182" t="str">
        <f>IFERROR(__xludf.DUMMYFUNCTION("""COMPUTED_VALUE"""),"#VALUE!")</f>
        <v>#VALUE!</v>
      </c>
      <c r="AY293" s="182" t="b">
        <f>IFERROR(__xludf.DUMMYFUNCTION("""COMPUTED_VALUE"""),FALSE)</f>
        <v>0</v>
      </c>
      <c r="AZ293" s="182"/>
      <c r="BA293" s="182"/>
      <c r="BB293" s="182"/>
    </row>
    <row r="294">
      <c r="A294" s="184" t="str">
        <f t="shared" si="1"/>
        <v>#VALUE!</v>
      </c>
      <c r="B294" s="69" t="str">
        <f t="shared" si="3"/>
        <v>#VALUE!</v>
      </c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3" t="str">
        <f>IFERROR(__xludf.DUMMYFUNCTION("""COMPUTED_VALUE"""),"#NUM!")</f>
        <v>#NUM!</v>
      </c>
      <c r="W294" s="182"/>
      <c r="X294" s="182" t="str">
        <f>IFERROR(__xludf.DUMMYFUNCTION("""COMPUTED_VALUE"""),"#VALUE!")</f>
        <v>#VALUE!</v>
      </c>
      <c r="Y294" s="182" t="b">
        <f>IFERROR(__xludf.DUMMYFUNCTION("""COMPUTED_VALUE"""),FALSE)</f>
        <v>0</v>
      </c>
      <c r="Z294" s="182" t="str">
        <f>IFERROR(__xludf.DUMMYFUNCTION("""COMPUTED_VALUE"""),"#VALUE!")</f>
        <v>#VALUE!</v>
      </c>
      <c r="AA294" s="182" t="b">
        <f>IFERROR(__xludf.DUMMYFUNCTION("""COMPUTED_VALUE"""),FALSE)</f>
        <v>0</v>
      </c>
      <c r="AB294" s="182" t="str">
        <f>IFERROR(__xludf.DUMMYFUNCTION("""COMPUTED_VALUE"""),"#VALUE!")</f>
        <v>#VALUE!</v>
      </c>
      <c r="AC294" s="182" t="str">
        <f>IFERROR(__xludf.DUMMYFUNCTION("""COMPUTED_VALUE"""),"#VALUE!")</f>
        <v>#VALUE!</v>
      </c>
      <c r="AD294" s="182" t="str">
        <f>IFERROR(__xludf.DUMMYFUNCTION("""COMPUTED_VALUE"""),"#VALUE!")</f>
        <v>#VALUE!</v>
      </c>
      <c r="AE294" s="182"/>
      <c r="AF294" s="182"/>
      <c r="AG294" s="182"/>
      <c r="AH294" s="182"/>
      <c r="AI294" s="182" t="str">
        <f>IFERROR(__xludf.DUMMYFUNCTION("""COMPUTED_VALUE"""),"#VALUE!")</f>
        <v>#VALUE!</v>
      </c>
      <c r="AJ294" s="182"/>
      <c r="AK294" s="182"/>
      <c r="AL294" s="193" t="str">
        <f>IFERROR(__xludf.DUMMYFUNCTION("""COMPUTED_VALUE"""),"#VALUE!")</f>
        <v>#VALUE!</v>
      </c>
      <c r="AM294" s="182"/>
      <c r="AN294" s="182"/>
      <c r="AO294" s="182"/>
      <c r="AP294" s="182"/>
      <c r="AQ294" s="182"/>
      <c r="AR294" s="182"/>
      <c r="AS294" s="182"/>
      <c r="AT294" s="182" t="str">
        <f>IFERROR(__xludf.DUMMYFUNCTION("""COMPUTED_VALUE"""),"#VALUE!")</f>
        <v>#VALUE!</v>
      </c>
      <c r="AU294" s="182"/>
      <c r="AV294" s="182"/>
      <c r="AW294" s="182" t="str">
        <f>IFERROR(__xludf.DUMMYFUNCTION("""COMPUTED_VALUE"""),"#VALUE!")</f>
        <v>#VALUE!</v>
      </c>
      <c r="AX294" s="182" t="str">
        <f>IFERROR(__xludf.DUMMYFUNCTION("""COMPUTED_VALUE"""),"#VALUE!")</f>
        <v>#VALUE!</v>
      </c>
      <c r="AY294" s="182" t="b">
        <f>IFERROR(__xludf.DUMMYFUNCTION("""COMPUTED_VALUE"""),FALSE)</f>
        <v>0</v>
      </c>
      <c r="AZ294" s="182"/>
      <c r="BA294" s="182"/>
      <c r="BB294" s="182"/>
    </row>
    <row r="295">
      <c r="A295" s="184" t="str">
        <f t="shared" si="1"/>
        <v>#VALUE!</v>
      </c>
      <c r="B295" s="69" t="str">
        <f t="shared" si="3"/>
        <v>#VALUE!</v>
      </c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3" t="str">
        <f>IFERROR(__xludf.DUMMYFUNCTION("""COMPUTED_VALUE"""),"#NUM!")</f>
        <v>#NUM!</v>
      </c>
      <c r="W295" s="182"/>
      <c r="X295" s="182" t="str">
        <f>IFERROR(__xludf.DUMMYFUNCTION("""COMPUTED_VALUE"""),"#VALUE!")</f>
        <v>#VALUE!</v>
      </c>
      <c r="Y295" s="182" t="b">
        <f>IFERROR(__xludf.DUMMYFUNCTION("""COMPUTED_VALUE"""),FALSE)</f>
        <v>0</v>
      </c>
      <c r="Z295" s="182" t="str">
        <f>IFERROR(__xludf.DUMMYFUNCTION("""COMPUTED_VALUE"""),"#VALUE!")</f>
        <v>#VALUE!</v>
      </c>
      <c r="AA295" s="182" t="b">
        <f>IFERROR(__xludf.DUMMYFUNCTION("""COMPUTED_VALUE"""),FALSE)</f>
        <v>0</v>
      </c>
      <c r="AB295" s="182" t="str">
        <f>IFERROR(__xludf.DUMMYFUNCTION("""COMPUTED_VALUE"""),"#VALUE!")</f>
        <v>#VALUE!</v>
      </c>
      <c r="AC295" s="182" t="str">
        <f>IFERROR(__xludf.DUMMYFUNCTION("""COMPUTED_VALUE"""),"#VALUE!")</f>
        <v>#VALUE!</v>
      </c>
      <c r="AD295" s="182" t="str">
        <f>IFERROR(__xludf.DUMMYFUNCTION("""COMPUTED_VALUE"""),"#VALUE!")</f>
        <v>#VALUE!</v>
      </c>
      <c r="AE295" s="182"/>
      <c r="AF295" s="182"/>
      <c r="AG295" s="182"/>
      <c r="AH295" s="182"/>
      <c r="AI295" s="182" t="str">
        <f>IFERROR(__xludf.DUMMYFUNCTION("""COMPUTED_VALUE"""),"#VALUE!")</f>
        <v>#VALUE!</v>
      </c>
      <c r="AJ295" s="182"/>
      <c r="AK295" s="182"/>
      <c r="AL295" s="193" t="str">
        <f>IFERROR(__xludf.DUMMYFUNCTION("""COMPUTED_VALUE"""),"#VALUE!")</f>
        <v>#VALUE!</v>
      </c>
      <c r="AM295" s="182"/>
      <c r="AN295" s="182"/>
      <c r="AO295" s="182"/>
      <c r="AP295" s="182"/>
      <c r="AQ295" s="182"/>
      <c r="AR295" s="182"/>
      <c r="AS295" s="182"/>
      <c r="AT295" s="182" t="str">
        <f>IFERROR(__xludf.DUMMYFUNCTION("""COMPUTED_VALUE"""),"#VALUE!")</f>
        <v>#VALUE!</v>
      </c>
      <c r="AU295" s="182"/>
      <c r="AV295" s="182"/>
      <c r="AW295" s="182" t="str">
        <f>IFERROR(__xludf.DUMMYFUNCTION("""COMPUTED_VALUE"""),"#VALUE!")</f>
        <v>#VALUE!</v>
      </c>
      <c r="AX295" s="182" t="str">
        <f>IFERROR(__xludf.DUMMYFUNCTION("""COMPUTED_VALUE"""),"#VALUE!")</f>
        <v>#VALUE!</v>
      </c>
      <c r="AY295" s="182" t="b">
        <f>IFERROR(__xludf.DUMMYFUNCTION("""COMPUTED_VALUE"""),FALSE)</f>
        <v>0</v>
      </c>
      <c r="AZ295" s="182"/>
      <c r="BA295" s="182"/>
      <c r="BB295" s="182"/>
    </row>
    <row r="296">
      <c r="A296" s="184" t="str">
        <f t="shared" si="1"/>
        <v>#VALUE!</v>
      </c>
      <c r="B296" s="69" t="str">
        <f t="shared" si="3"/>
        <v>#VALUE!</v>
      </c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3" t="str">
        <f>IFERROR(__xludf.DUMMYFUNCTION("""COMPUTED_VALUE"""),"#NUM!")</f>
        <v>#NUM!</v>
      </c>
      <c r="W296" s="182"/>
      <c r="X296" s="182" t="str">
        <f>IFERROR(__xludf.DUMMYFUNCTION("""COMPUTED_VALUE"""),"#VALUE!")</f>
        <v>#VALUE!</v>
      </c>
      <c r="Y296" s="182" t="b">
        <f>IFERROR(__xludf.DUMMYFUNCTION("""COMPUTED_VALUE"""),FALSE)</f>
        <v>0</v>
      </c>
      <c r="Z296" s="182" t="str">
        <f>IFERROR(__xludf.DUMMYFUNCTION("""COMPUTED_VALUE"""),"#VALUE!")</f>
        <v>#VALUE!</v>
      </c>
      <c r="AA296" s="182" t="b">
        <f>IFERROR(__xludf.DUMMYFUNCTION("""COMPUTED_VALUE"""),FALSE)</f>
        <v>0</v>
      </c>
      <c r="AB296" s="182" t="str">
        <f>IFERROR(__xludf.DUMMYFUNCTION("""COMPUTED_VALUE"""),"#VALUE!")</f>
        <v>#VALUE!</v>
      </c>
      <c r="AC296" s="182" t="str">
        <f>IFERROR(__xludf.DUMMYFUNCTION("""COMPUTED_VALUE"""),"#VALUE!")</f>
        <v>#VALUE!</v>
      </c>
      <c r="AD296" s="182" t="str">
        <f>IFERROR(__xludf.DUMMYFUNCTION("""COMPUTED_VALUE"""),"#VALUE!")</f>
        <v>#VALUE!</v>
      </c>
      <c r="AE296" s="182"/>
      <c r="AF296" s="182"/>
      <c r="AG296" s="182"/>
      <c r="AH296" s="182"/>
      <c r="AI296" s="182" t="str">
        <f>IFERROR(__xludf.DUMMYFUNCTION("""COMPUTED_VALUE"""),"#VALUE!")</f>
        <v>#VALUE!</v>
      </c>
      <c r="AJ296" s="182"/>
      <c r="AK296" s="182"/>
      <c r="AL296" s="193" t="str">
        <f>IFERROR(__xludf.DUMMYFUNCTION("""COMPUTED_VALUE"""),"#VALUE!")</f>
        <v>#VALUE!</v>
      </c>
      <c r="AM296" s="182"/>
      <c r="AN296" s="182"/>
      <c r="AO296" s="182"/>
      <c r="AP296" s="182"/>
      <c r="AQ296" s="182"/>
      <c r="AR296" s="182"/>
      <c r="AS296" s="182"/>
      <c r="AT296" s="182" t="str">
        <f>IFERROR(__xludf.DUMMYFUNCTION("""COMPUTED_VALUE"""),"#VALUE!")</f>
        <v>#VALUE!</v>
      </c>
      <c r="AU296" s="182"/>
      <c r="AV296" s="182"/>
      <c r="AW296" s="182" t="str">
        <f>IFERROR(__xludf.DUMMYFUNCTION("""COMPUTED_VALUE"""),"#VALUE!")</f>
        <v>#VALUE!</v>
      </c>
      <c r="AX296" s="182" t="str">
        <f>IFERROR(__xludf.DUMMYFUNCTION("""COMPUTED_VALUE"""),"#VALUE!")</f>
        <v>#VALUE!</v>
      </c>
      <c r="AY296" s="182" t="b">
        <f>IFERROR(__xludf.DUMMYFUNCTION("""COMPUTED_VALUE"""),FALSE)</f>
        <v>0</v>
      </c>
      <c r="AZ296" s="182"/>
      <c r="BA296" s="182"/>
      <c r="BB296" s="182"/>
    </row>
    <row r="297">
      <c r="A297" s="184" t="str">
        <f t="shared" si="1"/>
        <v>#VALUE!</v>
      </c>
      <c r="B297" s="69" t="str">
        <f t="shared" si="3"/>
        <v>#VALUE!</v>
      </c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3" t="str">
        <f>IFERROR(__xludf.DUMMYFUNCTION("""COMPUTED_VALUE"""),"#NUM!")</f>
        <v>#NUM!</v>
      </c>
      <c r="W297" s="182"/>
      <c r="X297" s="182" t="str">
        <f>IFERROR(__xludf.DUMMYFUNCTION("""COMPUTED_VALUE"""),"#VALUE!")</f>
        <v>#VALUE!</v>
      </c>
      <c r="Y297" s="182" t="b">
        <f>IFERROR(__xludf.DUMMYFUNCTION("""COMPUTED_VALUE"""),FALSE)</f>
        <v>0</v>
      </c>
      <c r="Z297" s="182" t="str">
        <f>IFERROR(__xludf.DUMMYFUNCTION("""COMPUTED_VALUE"""),"#VALUE!")</f>
        <v>#VALUE!</v>
      </c>
      <c r="AA297" s="182" t="b">
        <f>IFERROR(__xludf.DUMMYFUNCTION("""COMPUTED_VALUE"""),FALSE)</f>
        <v>0</v>
      </c>
      <c r="AB297" s="182" t="str">
        <f>IFERROR(__xludf.DUMMYFUNCTION("""COMPUTED_VALUE"""),"#VALUE!")</f>
        <v>#VALUE!</v>
      </c>
      <c r="AC297" s="182" t="str">
        <f>IFERROR(__xludf.DUMMYFUNCTION("""COMPUTED_VALUE"""),"#VALUE!")</f>
        <v>#VALUE!</v>
      </c>
      <c r="AD297" s="182" t="str">
        <f>IFERROR(__xludf.DUMMYFUNCTION("""COMPUTED_VALUE"""),"#VALUE!")</f>
        <v>#VALUE!</v>
      </c>
      <c r="AE297" s="182"/>
      <c r="AF297" s="182"/>
      <c r="AG297" s="182"/>
      <c r="AH297" s="182"/>
      <c r="AI297" s="182" t="str">
        <f>IFERROR(__xludf.DUMMYFUNCTION("""COMPUTED_VALUE"""),"#VALUE!")</f>
        <v>#VALUE!</v>
      </c>
      <c r="AJ297" s="182"/>
      <c r="AK297" s="182"/>
      <c r="AL297" s="193" t="str">
        <f>IFERROR(__xludf.DUMMYFUNCTION("""COMPUTED_VALUE"""),"#VALUE!")</f>
        <v>#VALUE!</v>
      </c>
      <c r="AM297" s="182"/>
      <c r="AN297" s="182"/>
      <c r="AO297" s="182"/>
      <c r="AP297" s="182"/>
      <c r="AQ297" s="182"/>
      <c r="AR297" s="182"/>
      <c r="AS297" s="182"/>
      <c r="AT297" s="182" t="str">
        <f>IFERROR(__xludf.DUMMYFUNCTION("""COMPUTED_VALUE"""),"#VALUE!")</f>
        <v>#VALUE!</v>
      </c>
      <c r="AU297" s="182"/>
      <c r="AV297" s="182"/>
      <c r="AW297" s="182" t="str">
        <f>IFERROR(__xludf.DUMMYFUNCTION("""COMPUTED_VALUE"""),"#VALUE!")</f>
        <v>#VALUE!</v>
      </c>
      <c r="AX297" s="182" t="str">
        <f>IFERROR(__xludf.DUMMYFUNCTION("""COMPUTED_VALUE"""),"#VALUE!")</f>
        <v>#VALUE!</v>
      </c>
      <c r="AY297" s="182" t="b">
        <f>IFERROR(__xludf.DUMMYFUNCTION("""COMPUTED_VALUE"""),FALSE)</f>
        <v>0</v>
      </c>
      <c r="AZ297" s="182"/>
      <c r="BA297" s="182"/>
      <c r="BB297" s="182"/>
    </row>
    <row r="298">
      <c r="A298" s="184" t="str">
        <f t="shared" si="1"/>
        <v>#VALUE!</v>
      </c>
      <c r="B298" s="69" t="str">
        <f t="shared" si="3"/>
        <v>#VALUE!</v>
      </c>
    </row>
    <row r="299">
      <c r="A299" s="184" t="str">
        <f t="shared" si="1"/>
        <v>#VALUE!</v>
      </c>
      <c r="B299" s="69" t="str">
        <f t="shared" si="3"/>
        <v>#VALUE!</v>
      </c>
    </row>
    <row r="300">
      <c r="A300" s="184" t="str">
        <f t="shared" si="1"/>
        <v>#VALUE!</v>
      </c>
      <c r="B300" s="69" t="str">
        <f t="shared" si="3"/>
        <v>#VALUE!</v>
      </c>
    </row>
    <row r="301">
      <c r="A301" s="184" t="str">
        <f t="shared" si="1"/>
        <v>#VALUE!</v>
      </c>
      <c r="B301" s="69" t="str">
        <f t="shared" si="3"/>
        <v>#VALUE!</v>
      </c>
    </row>
    <row r="302">
      <c r="A302" s="184" t="str">
        <f t="shared" si="1"/>
        <v>#VALUE!</v>
      </c>
      <c r="B302" s="69" t="str">
        <f t="shared" si="3"/>
        <v>#VALUE!</v>
      </c>
    </row>
    <row r="303">
      <c r="A303" s="184" t="str">
        <f t="shared" si="1"/>
        <v>#VALUE!</v>
      </c>
      <c r="B303" s="69" t="str">
        <f t="shared" si="3"/>
        <v>#VALUE!</v>
      </c>
    </row>
    <row r="304">
      <c r="A304" s="69"/>
      <c r="B304" s="69"/>
    </row>
    <row r="305">
      <c r="A305" s="69"/>
      <c r="B305" s="69"/>
    </row>
    <row r="306">
      <c r="A306" s="69"/>
      <c r="B306" s="69"/>
    </row>
    <row r="307">
      <c r="A307" s="69"/>
      <c r="B307" s="69"/>
    </row>
    <row r="308">
      <c r="A308" s="69"/>
      <c r="B308" s="69"/>
    </row>
    <row r="309">
      <c r="A309" s="69"/>
      <c r="B309" s="69"/>
    </row>
    <row r="310">
      <c r="A310" s="69"/>
      <c r="B310" s="69"/>
    </row>
    <row r="311">
      <c r="A311" s="69"/>
      <c r="B311" s="69"/>
    </row>
    <row r="312">
      <c r="A312" s="69"/>
      <c r="B312" s="69"/>
    </row>
    <row r="313">
      <c r="A313" s="69"/>
      <c r="B313" s="69"/>
    </row>
    <row r="314">
      <c r="A314" s="69"/>
      <c r="B314" s="69"/>
    </row>
    <row r="315">
      <c r="A315" s="69"/>
      <c r="B315" s="69"/>
    </row>
    <row r="316">
      <c r="A316" s="69"/>
      <c r="B316" s="69"/>
    </row>
    <row r="317">
      <c r="A317" s="69"/>
      <c r="B317" s="69"/>
    </row>
    <row r="318">
      <c r="A318" s="69"/>
      <c r="B318" s="69"/>
    </row>
    <row r="319">
      <c r="A319" s="69"/>
      <c r="B319" s="69"/>
    </row>
    <row r="320">
      <c r="A320" s="69"/>
      <c r="B320" s="69"/>
    </row>
    <row r="321">
      <c r="A321" s="69"/>
      <c r="B321" s="69"/>
    </row>
    <row r="322">
      <c r="A322" s="69"/>
      <c r="B322" s="69"/>
    </row>
    <row r="323">
      <c r="A323" s="69"/>
      <c r="B323" s="69"/>
    </row>
    <row r="324">
      <c r="A324" s="69"/>
      <c r="B324" s="69"/>
    </row>
    <row r="325">
      <c r="A325" s="69"/>
      <c r="B325" s="69"/>
    </row>
    <row r="326">
      <c r="A326" s="69"/>
      <c r="B326" s="69"/>
    </row>
    <row r="327">
      <c r="A327" s="69"/>
      <c r="B327" s="69"/>
    </row>
    <row r="328">
      <c r="A328" s="69"/>
      <c r="B328" s="69"/>
    </row>
    <row r="329">
      <c r="A329" s="69"/>
      <c r="B329" s="69"/>
    </row>
    <row r="330">
      <c r="A330" s="69"/>
      <c r="B330" s="69"/>
    </row>
    <row r="331">
      <c r="A331" s="69"/>
      <c r="B331" s="69"/>
    </row>
    <row r="332">
      <c r="A332" s="69"/>
      <c r="B332" s="69"/>
    </row>
    <row r="333">
      <c r="A333" s="69"/>
      <c r="B333" s="69"/>
    </row>
    <row r="334">
      <c r="A334" s="69"/>
      <c r="B334" s="69"/>
    </row>
    <row r="335">
      <c r="A335" s="69"/>
      <c r="B335" s="69"/>
    </row>
    <row r="336">
      <c r="A336" s="69"/>
      <c r="B336" s="69"/>
    </row>
    <row r="337">
      <c r="A337" s="69"/>
      <c r="B337" s="69"/>
    </row>
    <row r="338">
      <c r="A338" s="69"/>
      <c r="B338" s="69"/>
    </row>
    <row r="339">
      <c r="A339" s="69"/>
      <c r="B339" s="69"/>
    </row>
    <row r="340">
      <c r="A340" s="69"/>
      <c r="B340" s="69"/>
    </row>
    <row r="341">
      <c r="A341" s="69"/>
      <c r="B341" s="69"/>
    </row>
    <row r="342">
      <c r="A342" s="69"/>
      <c r="B342" s="69"/>
    </row>
    <row r="343">
      <c r="A343" s="69"/>
      <c r="B343" s="69"/>
    </row>
    <row r="344">
      <c r="A344" s="69"/>
      <c r="B344" s="69"/>
    </row>
    <row r="345">
      <c r="A345" s="69"/>
      <c r="B345" s="69"/>
    </row>
    <row r="346">
      <c r="A346" s="69"/>
      <c r="B346" s="69"/>
    </row>
    <row r="347">
      <c r="A347" s="69"/>
      <c r="B347" s="69"/>
    </row>
    <row r="348">
      <c r="A348" s="69"/>
      <c r="B348" s="69"/>
    </row>
    <row r="349">
      <c r="A349" s="69"/>
      <c r="B349" s="69"/>
    </row>
    <row r="350">
      <c r="A350" s="69"/>
      <c r="B350" s="69"/>
    </row>
    <row r="351">
      <c r="A351" s="69"/>
      <c r="B351" s="69"/>
    </row>
    <row r="352">
      <c r="A352" s="69"/>
      <c r="B352" s="69"/>
    </row>
    <row r="353">
      <c r="A353" s="69"/>
      <c r="B353" s="69"/>
    </row>
    <row r="354">
      <c r="A354" s="69"/>
      <c r="B354" s="69"/>
    </row>
    <row r="355">
      <c r="A355" s="69"/>
      <c r="B355" s="69"/>
    </row>
    <row r="356">
      <c r="A356" s="69"/>
      <c r="B356" s="69"/>
    </row>
    <row r="357">
      <c r="A357" s="69"/>
      <c r="B357" s="69"/>
    </row>
    <row r="358">
      <c r="A358" s="69"/>
      <c r="B358" s="69"/>
    </row>
    <row r="359">
      <c r="A359" s="69"/>
      <c r="B359" s="69"/>
    </row>
    <row r="360">
      <c r="A360" s="69"/>
      <c r="B360" s="69"/>
    </row>
    <row r="361">
      <c r="A361" s="69"/>
      <c r="B361" s="69"/>
    </row>
    <row r="362">
      <c r="A362" s="69"/>
      <c r="B362" s="69"/>
    </row>
    <row r="363">
      <c r="A363" s="69"/>
      <c r="B363" s="69"/>
    </row>
    <row r="364">
      <c r="A364" s="69"/>
      <c r="B364" s="69"/>
    </row>
    <row r="365">
      <c r="A365" s="69"/>
      <c r="B365" s="69"/>
    </row>
    <row r="366">
      <c r="A366" s="69"/>
      <c r="B366" s="69"/>
    </row>
    <row r="367">
      <c r="A367" s="69"/>
      <c r="B367" s="69"/>
    </row>
    <row r="368">
      <c r="A368" s="69"/>
      <c r="B368" s="69"/>
    </row>
    <row r="369">
      <c r="A369" s="69"/>
      <c r="B369" s="69"/>
    </row>
    <row r="370">
      <c r="A370" s="69"/>
      <c r="B370" s="69"/>
    </row>
    <row r="371">
      <c r="A371" s="69"/>
      <c r="B371" s="69"/>
    </row>
    <row r="372">
      <c r="A372" s="69"/>
      <c r="B372" s="69"/>
    </row>
    <row r="373">
      <c r="A373" s="69"/>
      <c r="B373" s="69"/>
    </row>
    <row r="374">
      <c r="A374" s="69"/>
      <c r="B374" s="69"/>
    </row>
    <row r="375">
      <c r="A375" s="69"/>
      <c r="B375" s="69"/>
    </row>
    <row r="376">
      <c r="A376" s="69"/>
      <c r="B376" s="69"/>
    </row>
    <row r="377">
      <c r="A377" s="69"/>
      <c r="B377" s="69"/>
    </row>
    <row r="378">
      <c r="A378" s="69"/>
      <c r="B378" s="69"/>
    </row>
    <row r="379">
      <c r="A379" s="69"/>
      <c r="B379" s="69"/>
    </row>
    <row r="380">
      <c r="A380" s="69"/>
      <c r="B380" s="69"/>
    </row>
    <row r="381">
      <c r="A381" s="69"/>
      <c r="B381" s="69"/>
    </row>
    <row r="382">
      <c r="A382" s="69"/>
      <c r="B382" s="69"/>
    </row>
    <row r="383">
      <c r="A383" s="69"/>
      <c r="B383" s="69"/>
    </row>
    <row r="384">
      <c r="A384" s="69"/>
      <c r="B384" s="69"/>
    </row>
    <row r="385">
      <c r="A385" s="69"/>
      <c r="B385" s="69"/>
    </row>
    <row r="386">
      <c r="A386" s="69"/>
      <c r="B386" s="69"/>
    </row>
    <row r="387">
      <c r="A387" s="69"/>
      <c r="B387" s="69"/>
    </row>
    <row r="388">
      <c r="A388" s="69"/>
      <c r="B388" s="69"/>
    </row>
    <row r="389">
      <c r="A389" s="69"/>
      <c r="B389" s="69"/>
    </row>
    <row r="390">
      <c r="A390" s="69"/>
      <c r="B390" s="69"/>
    </row>
    <row r="391">
      <c r="A391" s="69"/>
      <c r="B391" s="69"/>
    </row>
    <row r="392">
      <c r="A392" s="69"/>
      <c r="B392" s="69"/>
    </row>
    <row r="393">
      <c r="A393" s="69"/>
      <c r="B393" s="69"/>
    </row>
    <row r="394">
      <c r="A394" s="69"/>
      <c r="B394" s="69"/>
    </row>
    <row r="395">
      <c r="A395" s="69"/>
      <c r="B395" s="69"/>
    </row>
    <row r="396">
      <c r="A396" s="69"/>
      <c r="B396" s="69"/>
    </row>
    <row r="397">
      <c r="A397" s="69"/>
      <c r="B397" s="69"/>
    </row>
    <row r="398">
      <c r="A398" s="69"/>
      <c r="B398" s="69"/>
    </row>
    <row r="399">
      <c r="A399" s="69"/>
      <c r="B399" s="69"/>
    </row>
    <row r="400">
      <c r="A400" s="69"/>
      <c r="B400" s="69"/>
    </row>
    <row r="401">
      <c r="A401" s="69"/>
      <c r="B401" s="69"/>
    </row>
    <row r="402">
      <c r="A402" s="69"/>
      <c r="B402" s="69"/>
    </row>
    <row r="403">
      <c r="A403" s="69"/>
      <c r="B403" s="69"/>
    </row>
    <row r="404">
      <c r="A404" s="69"/>
      <c r="B404" s="69"/>
    </row>
    <row r="405">
      <c r="A405" s="69"/>
      <c r="B405" s="69"/>
    </row>
    <row r="406">
      <c r="A406" s="69"/>
      <c r="B406" s="69"/>
    </row>
    <row r="407">
      <c r="A407" s="69"/>
      <c r="B407" s="69"/>
    </row>
    <row r="408">
      <c r="A408" s="69"/>
      <c r="B408" s="69"/>
    </row>
    <row r="409">
      <c r="A409" s="69"/>
      <c r="B409" s="69"/>
    </row>
    <row r="410">
      <c r="A410" s="69"/>
      <c r="B410" s="69"/>
    </row>
    <row r="411">
      <c r="A411" s="69"/>
      <c r="B411" s="69"/>
    </row>
    <row r="412">
      <c r="A412" s="69"/>
      <c r="B412" s="69"/>
    </row>
    <row r="413">
      <c r="A413" s="69"/>
      <c r="B413" s="69"/>
    </row>
    <row r="414">
      <c r="A414" s="69"/>
      <c r="B414" s="69"/>
    </row>
    <row r="415">
      <c r="A415" s="69"/>
      <c r="B415" s="69"/>
    </row>
    <row r="416">
      <c r="A416" s="69"/>
      <c r="B416" s="69"/>
    </row>
    <row r="417">
      <c r="A417" s="69"/>
      <c r="B417" s="69"/>
    </row>
    <row r="418">
      <c r="A418" s="69"/>
      <c r="B418" s="69"/>
    </row>
    <row r="419">
      <c r="A419" s="69"/>
      <c r="B419" s="69"/>
    </row>
    <row r="420">
      <c r="A420" s="69"/>
      <c r="B420" s="69"/>
    </row>
    <row r="421">
      <c r="A421" s="69"/>
      <c r="B421" s="69"/>
    </row>
    <row r="422">
      <c r="A422" s="69"/>
      <c r="B422" s="69"/>
    </row>
    <row r="423">
      <c r="A423" s="69"/>
      <c r="B423" s="69"/>
    </row>
    <row r="424">
      <c r="A424" s="69"/>
      <c r="B424" s="69"/>
    </row>
    <row r="425">
      <c r="A425" s="69"/>
      <c r="B425" s="69"/>
    </row>
    <row r="426">
      <c r="A426" s="69"/>
      <c r="B426" s="69"/>
    </row>
    <row r="427">
      <c r="A427" s="69"/>
      <c r="B427" s="69"/>
    </row>
    <row r="428">
      <c r="A428" s="69"/>
      <c r="B428" s="69"/>
    </row>
    <row r="429">
      <c r="A429" s="69"/>
      <c r="B429" s="69"/>
    </row>
    <row r="430">
      <c r="A430" s="69"/>
      <c r="B430" s="69"/>
    </row>
    <row r="431">
      <c r="A431" s="69"/>
      <c r="B431" s="69"/>
    </row>
    <row r="432">
      <c r="A432" s="69"/>
      <c r="B432" s="69"/>
    </row>
    <row r="433">
      <c r="A433" s="69"/>
      <c r="B433" s="69"/>
    </row>
    <row r="434">
      <c r="A434" s="69"/>
      <c r="B434" s="69"/>
    </row>
    <row r="435">
      <c r="A435" s="69"/>
      <c r="B435" s="69"/>
    </row>
    <row r="436">
      <c r="A436" s="69"/>
      <c r="B436" s="69"/>
    </row>
    <row r="437">
      <c r="A437" s="69"/>
      <c r="B437" s="69"/>
    </row>
    <row r="438">
      <c r="A438" s="69"/>
      <c r="B438" s="69"/>
    </row>
    <row r="439">
      <c r="A439" s="69"/>
      <c r="B439" s="69"/>
    </row>
    <row r="440">
      <c r="A440" s="69"/>
      <c r="B440" s="69"/>
    </row>
    <row r="441">
      <c r="A441" s="69"/>
      <c r="B441" s="69"/>
    </row>
    <row r="442">
      <c r="A442" s="69"/>
      <c r="B442" s="69"/>
    </row>
    <row r="443">
      <c r="A443" s="69"/>
      <c r="B443" s="69"/>
    </row>
    <row r="444">
      <c r="A444" s="69"/>
      <c r="B444" s="69"/>
    </row>
    <row r="445">
      <c r="A445" s="69"/>
      <c r="B445" s="69"/>
    </row>
    <row r="446">
      <c r="A446" s="69"/>
      <c r="B446" s="69"/>
    </row>
    <row r="447">
      <c r="A447" s="69"/>
      <c r="B447" s="69"/>
    </row>
    <row r="448">
      <c r="A448" s="69"/>
      <c r="B448" s="69"/>
    </row>
    <row r="449">
      <c r="A449" s="69"/>
      <c r="B449" s="69"/>
    </row>
    <row r="450">
      <c r="A450" s="69"/>
      <c r="B450" s="69"/>
    </row>
    <row r="451">
      <c r="A451" s="69"/>
      <c r="B451" s="69"/>
    </row>
    <row r="452">
      <c r="A452" s="69"/>
      <c r="B452" s="69"/>
    </row>
    <row r="453">
      <c r="A453" s="69"/>
      <c r="B453" s="69"/>
    </row>
    <row r="454">
      <c r="A454" s="69"/>
      <c r="B454" s="69"/>
    </row>
    <row r="455">
      <c r="A455" s="69"/>
      <c r="B455" s="69"/>
    </row>
    <row r="456">
      <c r="A456" s="69"/>
      <c r="B456" s="69"/>
    </row>
    <row r="457">
      <c r="A457" s="69"/>
      <c r="B457" s="69"/>
    </row>
    <row r="458">
      <c r="A458" s="69"/>
      <c r="B458" s="69"/>
    </row>
    <row r="459">
      <c r="A459" s="69"/>
      <c r="B459" s="69"/>
    </row>
    <row r="460">
      <c r="A460" s="69"/>
      <c r="B460" s="69"/>
    </row>
    <row r="461">
      <c r="A461" s="69"/>
      <c r="B461" s="69"/>
    </row>
    <row r="462">
      <c r="A462" s="69"/>
      <c r="B462" s="69"/>
    </row>
    <row r="463">
      <c r="A463" s="69"/>
      <c r="B463" s="69"/>
    </row>
    <row r="464">
      <c r="A464" s="69"/>
      <c r="B464" s="69"/>
    </row>
    <row r="465">
      <c r="A465" s="69"/>
      <c r="B465" s="69"/>
    </row>
    <row r="466">
      <c r="A466" s="69"/>
      <c r="B466" s="69"/>
    </row>
    <row r="467">
      <c r="A467" s="69"/>
      <c r="B467" s="69"/>
    </row>
    <row r="468">
      <c r="A468" s="69"/>
      <c r="B468" s="69"/>
    </row>
    <row r="469">
      <c r="A469" s="69"/>
      <c r="B469" s="69"/>
    </row>
    <row r="470">
      <c r="A470" s="69"/>
      <c r="B470" s="69"/>
    </row>
    <row r="471">
      <c r="A471" s="69"/>
      <c r="B471" s="69"/>
    </row>
    <row r="472">
      <c r="A472" s="69"/>
      <c r="B472" s="69"/>
    </row>
    <row r="473">
      <c r="A473" s="69"/>
      <c r="B473" s="69"/>
    </row>
    <row r="474">
      <c r="A474" s="69"/>
      <c r="B474" s="69"/>
    </row>
    <row r="475">
      <c r="A475" s="69"/>
      <c r="B475" s="69"/>
    </row>
    <row r="476">
      <c r="A476" s="69"/>
      <c r="B476" s="69"/>
    </row>
    <row r="477">
      <c r="A477" s="69"/>
      <c r="B477" s="69"/>
    </row>
    <row r="478">
      <c r="A478" s="69"/>
      <c r="B478" s="69"/>
    </row>
    <row r="479">
      <c r="A479" s="69"/>
      <c r="B479" s="69"/>
    </row>
    <row r="480">
      <c r="A480" s="69"/>
      <c r="B480" s="69"/>
    </row>
    <row r="481">
      <c r="A481" s="69"/>
      <c r="B481" s="69"/>
    </row>
    <row r="482">
      <c r="A482" s="69"/>
      <c r="B482" s="69"/>
    </row>
    <row r="483">
      <c r="A483" s="69"/>
      <c r="B483" s="69"/>
    </row>
    <row r="484">
      <c r="A484" s="69"/>
      <c r="B484" s="69"/>
    </row>
    <row r="485">
      <c r="A485" s="69"/>
      <c r="B485" s="69"/>
    </row>
    <row r="486">
      <c r="A486" s="69"/>
      <c r="B486" s="69"/>
    </row>
    <row r="487">
      <c r="A487" s="69"/>
      <c r="B487" s="69"/>
    </row>
    <row r="488">
      <c r="A488" s="69"/>
      <c r="B488" s="69"/>
    </row>
    <row r="489">
      <c r="A489" s="69"/>
      <c r="B489" s="69"/>
    </row>
    <row r="490">
      <c r="A490" s="69"/>
      <c r="B490" s="69"/>
    </row>
    <row r="491">
      <c r="A491" s="69"/>
      <c r="B491" s="69"/>
    </row>
    <row r="492">
      <c r="A492" s="69"/>
      <c r="B492" s="69"/>
    </row>
    <row r="493">
      <c r="A493" s="69"/>
      <c r="B493" s="69"/>
    </row>
    <row r="494">
      <c r="A494" s="69"/>
      <c r="B494" s="69"/>
    </row>
    <row r="495">
      <c r="A495" s="69"/>
      <c r="B495" s="69"/>
    </row>
    <row r="496">
      <c r="A496" s="69"/>
      <c r="B496" s="69"/>
    </row>
    <row r="497">
      <c r="A497" s="69"/>
      <c r="B497" s="69"/>
    </row>
    <row r="498">
      <c r="A498" s="69"/>
      <c r="B498" s="69"/>
    </row>
    <row r="499">
      <c r="A499" s="69"/>
      <c r="B499" s="69"/>
    </row>
    <row r="500">
      <c r="A500" s="69"/>
      <c r="B500" s="69"/>
    </row>
    <row r="501">
      <c r="A501" s="69"/>
      <c r="B501" s="69"/>
    </row>
    <row r="502">
      <c r="A502" s="69"/>
      <c r="B502" s="69"/>
    </row>
    <row r="503">
      <c r="A503" s="69"/>
      <c r="B503" s="69"/>
    </row>
    <row r="504">
      <c r="A504" s="69"/>
      <c r="B504" s="69"/>
    </row>
    <row r="505">
      <c r="A505" s="69"/>
      <c r="B505" s="69"/>
    </row>
    <row r="506">
      <c r="A506" s="69"/>
      <c r="B506" s="69"/>
    </row>
    <row r="507">
      <c r="A507" s="69"/>
      <c r="B507" s="69"/>
    </row>
    <row r="508">
      <c r="A508" s="69"/>
      <c r="B508" s="69"/>
    </row>
    <row r="509">
      <c r="A509" s="69"/>
      <c r="B509" s="69"/>
    </row>
    <row r="510">
      <c r="A510" s="69"/>
      <c r="B510" s="69"/>
    </row>
    <row r="511">
      <c r="A511" s="69"/>
      <c r="B511" s="69"/>
    </row>
    <row r="512">
      <c r="A512" s="69"/>
      <c r="B512" s="69"/>
    </row>
    <row r="513">
      <c r="A513" s="69"/>
      <c r="B513" s="69"/>
    </row>
    <row r="514">
      <c r="A514" s="69"/>
      <c r="B514" s="69"/>
    </row>
    <row r="515">
      <c r="A515" s="69"/>
      <c r="B515" s="69"/>
    </row>
    <row r="516">
      <c r="A516" s="69"/>
      <c r="B516" s="69"/>
    </row>
    <row r="517">
      <c r="A517" s="69"/>
      <c r="B517" s="69"/>
    </row>
    <row r="518">
      <c r="A518" s="69"/>
      <c r="B518" s="69"/>
    </row>
    <row r="519">
      <c r="A519" s="69"/>
      <c r="B519" s="69"/>
    </row>
    <row r="520">
      <c r="A520" s="69"/>
      <c r="B520" s="69"/>
    </row>
    <row r="521">
      <c r="A521" s="69"/>
      <c r="B521" s="69"/>
    </row>
    <row r="522">
      <c r="A522" s="69"/>
      <c r="B522" s="69"/>
    </row>
    <row r="523">
      <c r="A523" s="69"/>
      <c r="B523" s="69"/>
    </row>
    <row r="524">
      <c r="A524" s="69"/>
      <c r="B524" s="69"/>
    </row>
    <row r="525">
      <c r="A525" s="69"/>
      <c r="B525" s="69"/>
    </row>
    <row r="526">
      <c r="A526" s="69"/>
      <c r="B526" s="69"/>
    </row>
    <row r="527">
      <c r="A527" s="69"/>
      <c r="B527" s="69"/>
    </row>
    <row r="528">
      <c r="A528" s="69"/>
      <c r="B528" s="69"/>
    </row>
    <row r="529">
      <c r="A529" s="69"/>
      <c r="B529" s="69"/>
    </row>
    <row r="530">
      <c r="A530" s="69"/>
      <c r="B530" s="69"/>
    </row>
    <row r="531">
      <c r="A531" s="69"/>
      <c r="B531" s="69"/>
    </row>
    <row r="532">
      <c r="A532" s="69"/>
      <c r="B532" s="69"/>
    </row>
    <row r="533">
      <c r="A533" s="69"/>
      <c r="B533" s="69"/>
    </row>
    <row r="534">
      <c r="A534" s="69"/>
      <c r="B534" s="69"/>
    </row>
    <row r="535">
      <c r="A535" s="69"/>
      <c r="B535" s="69"/>
    </row>
    <row r="536">
      <c r="A536" s="69"/>
      <c r="B536" s="69"/>
    </row>
    <row r="537">
      <c r="A537" s="69"/>
      <c r="B537" s="69"/>
    </row>
    <row r="538">
      <c r="A538" s="69"/>
      <c r="B538" s="69"/>
    </row>
    <row r="539">
      <c r="A539" s="69"/>
      <c r="B539" s="69"/>
    </row>
    <row r="540">
      <c r="A540" s="69"/>
      <c r="B540" s="69"/>
    </row>
    <row r="541">
      <c r="A541" s="69"/>
      <c r="B541" s="69"/>
    </row>
    <row r="542">
      <c r="A542" s="69"/>
      <c r="B542" s="69"/>
    </row>
    <row r="543">
      <c r="A543" s="69"/>
      <c r="B543" s="69"/>
    </row>
    <row r="544">
      <c r="A544" s="69"/>
      <c r="B544" s="69"/>
    </row>
    <row r="545">
      <c r="A545" s="69"/>
      <c r="B545" s="69"/>
    </row>
    <row r="546">
      <c r="A546" s="69"/>
      <c r="B546" s="69"/>
    </row>
    <row r="547">
      <c r="A547" s="69"/>
      <c r="B547" s="69"/>
    </row>
    <row r="548">
      <c r="A548" s="69"/>
      <c r="B548" s="69"/>
    </row>
    <row r="549">
      <c r="A549" s="69"/>
      <c r="B549" s="69"/>
    </row>
    <row r="550">
      <c r="A550" s="69"/>
      <c r="B550" s="69"/>
    </row>
    <row r="551">
      <c r="A551" s="69"/>
      <c r="B551" s="69"/>
    </row>
    <row r="552">
      <c r="A552" s="69"/>
      <c r="B552" s="69"/>
    </row>
    <row r="553">
      <c r="A553" s="69"/>
      <c r="B553" s="69"/>
    </row>
    <row r="554">
      <c r="A554" s="69"/>
      <c r="B554" s="69"/>
    </row>
    <row r="555">
      <c r="A555" s="69"/>
      <c r="B555" s="69"/>
    </row>
    <row r="556">
      <c r="A556" s="69"/>
      <c r="B556" s="69"/>
    </row>
    <row r="557">
      <c r="A557" s="69"/>
      <c r="B557" s="69"/>
    </row>
    <row r="558">
      <c r="A558" s="69"/>
      <c r="B558" s="69"/>
    </row>
    <row r="559">
      <c r="A559" s="69"/>
      <c r="B559" s="69"/>
    </row>
    <row r="560">
      <c r="A560" s="69"/>
      <c r="B560" s="69"/>
    </row>
    <row r="561">
      <c r="A561" s="69"/>
      <c r="B561" s="69"/>
    </row>
    <row r="562">
      <c r="A562" s="69"/>
      <c r="B562" s="69"/>
    </row>
    <row r="563">
      <c r="A563" s="69"/>
      <c r="B563" s="69"/>
    </row>
    <row r="564">
      <c r="A564" s="69"/>
      <c r="B564" s="69"/>
    </row>
    <row r="565">
      <c r="A565" s="69"/>
      <c r="B565" s="69"/>
    </row>
    <row r="566">
      <c r="A566" s="69"/>
      <c r="B566" s="69"/>
    </row>
    <row r="567">
      <c r="A567" s="69"/>
      <c r="B567" s="69"/>
    </row>
    <row r="568">
      <c r="A568" s="69"/>
      <c r="B568" s="69"/>
    </row>
    <row r="569">
      <c r="A569" s="69"/>
      <c r="B569" s="69"/>
    </row>
    <row r="570">
      <c r="A570" s="69"/>
      <c r="B570" s="69"/>
    </row>
    <row r="571">
      <c r="A571" s="69"/>
      <c r="B571" s="69"/>
    </row>
    <row r="572">
      <c r="A572" s="69"/>
      <c r="B572" s="69"/>
    </row>
    <row r="573">
      <c r="A573" s="69"/>
      <c r="B573" s="69"/>
    </row>
    <row r="574">
      <c r="A574" s="69"/>
      <c r="B574" s="69"/>
    </row>
    <row r="575">
      <c r="A575" s="69"/>
      <c r="B575" s="69"/>
    </row>
    <row r="576">
      <c r="A576" s="69"/>
      <c r="B576" s="69"/>
    </row>
    <row r="577">
      <c r="A577" s="69"/>
      <c r="B577" s="69"/>
    </row>
    <row r="578">
      <c r="A578" s="69"/>
      <c r="B578" s="69"/>
    </row>
    <row r="579">
      <c r="A579" s="69"/>
      <c r="B579" s="69"/>
    </row>
    <row r="580">
      <c r="A580" s="69"/>
      <c r="B580" s="69"/>
    </row>
    <row r="581">
      <c r="A581" s="69"/>
      <c r="B581" s="69"/>
    </row>
    <row r="582">
      <c r="A582" s="69"/>
      <c r="B582" s="69"/>
    </row>
    <row r="583">
      <c r="A583" s="69"/>
      <c r="B583" s="69"/>
    </row>
    <row r="584">
      <c r="A584" s="69"/>
      <c r="B584" s="69"/>
    </row>
    <row r="585">
      <c r="A585" s="69"/>
      <c r="B585" s="69"/>
    </row>
    <row r="586">
      <c r="A586" s="69"/>
      <c r="B586" s="69"/>
    </row>
    <row r="587">
      <c r="A587" s="69"/>
      <c r="B587" s="69"/>
    </row>
    <row r="588">
      <c r="A588" s="69"/>
      <c r="B588" s="69"/>
    </row>
    <row r="589">
      <c r="A589" s="69"/>
      <c r="B589" s="69"/>
    </row>
    <row r="590">
      <c r="A590" s="69"/>
      <c r="B590" s="69"/>
    </row>
    <row r="591">
      <c r="A591" s="69"/>
      <c r="B591" s="69"/>
    </row>
    <row r="592">
      <c r="A592" s="69"/>
      <c r="B592" s="69"/>
    </row>
    <row r="593">
      <c r="A593" s="69"/>
      <c r="B593" s="69"/>
    </row>
    <row r="594">
      <c r="A594" s="69"/>
      <c r="B594" s="69"/>
    </row>
    <row r="595">
      <c r="A595" s="69"/>
      <c r="B595" s="69"/>
    </row>
    <row r="596">
      <c r="A596" s="69"/>
      <c r="B596" s="69"/>
    </row>
    <row r="597">
      <c r="A597" s="69"/>
      <c r="B597" s="69"/>
    </row>
    <row r="598">
      <c r="A598" s="69"/>
      <c r="B598" s="69"/>
    </row>
    <row r="599">
      <c r="A599" s="69"/>
      <c r="B599" s="69"/>
    </row>
    <row r="600">
      <c r="A600" s="69"/>
      <c r="B600" s="69"/>
    </row>
    <row r="601">
      <c r="A601" s="69"/>
      <c r="B601" s="69"/>
    </row>
    <row r="602">
      <c r="A602" s="69"/>
      <c r="B602" s="69"/>
    </row>
    <row r="603">
      <c r="A603" s="69"/>
      <c r="B603" s="69"/>
    </row>
    <row r="604">
      <c r="A604" s="69"/>
      <c r="B604" s="69"/>
    </row>
    <row r="605">
      <c r="A605" s="69"/>
      <c r="B605" s="69"/>
    </row>
    <row r="606">
      <c r="A606" s="69"/>
      <c r="B606" s="69"/>
    </row>
    <row r="607">
      <c r="A607" s="69"/>
      <c r="B607" s="69"/>
    </row>
    <row r="608">
      <c r="A608" s="69"/>
      <c r="B608" s="69"/>
    </row>
    <row r="609">
      <c r="A609" s="69"/>
      <c r="B609" s="69"/>
    </row>
    <row r="610">
      <c r="A610" s="69"/>
      <c r="B610" s="69"/>
    </row>
    <row r="611">
      <c r="A611" s="69"/>
      <c r="B611" s="69"/>
    </row>
    <row r="612">
      <c r="A612" s="69"/>
      <c r="B612" s="69"/>
    </row>
    <row r="613">
      <c r="A613" s="69"/>
      <c r="B613" s="69"/>
    </row>
    <row r="614">
      <c r="A614" s="69"/>
      <c r="B614" s="69"/>
    </row>
    <row r="615">
      <c r="A615" s="69"/>
      <c r="B615" s="69"/>
    </row>
    <row r="616">
      <c r="A616" s="69"/>
      <c r="B616" s="69"/>
    </row>
    <row r="617">
      <c r="A617" s="69"/>
      <c r="B617" s="69"/>
    </row>
    <row r="618">
      <c r="A618" s="69"/>
      <c r="B618" s="69"/>
    </row>
    <row r="619">
      <c r="A619" s="69"/>
      <c r="B619" s="69"/>
    </row>
    <row r="620">
      <c r="A620" s="69"/>
      <c r="B620" s="69"/>
    </row>
    <row r="621">
      <c r="A621" s="69"/>
      <c r="B621" s="69"/>
    </row>
    <row r="622">
      <c r="A622" s="69"/>
      <c r="B622" s="69"/>
    </row>
    <row r="623">
      <c r="A623" s="69"/>
      <c r="B623" s="69"/>
    </row>
    <row r="624">
      <c r="A624" s="69"/>
      <c r="B624" s="69"/>
    </row>
    <row r="625">
      <c r="A625" s="69"/>
      <c r="B625" s="69"/>
    </row>
    <row r="626">
      <c r="A626" s="69"/>
      <c r="B626" s="69"/>
    </row>
    <row r="627">
      <c r="A627" s="69"/>
      <c r="B627" s="69"/>
    </row>
    <row r="628">
      <c r="A628" s="69"/>
      <c r="B628" s="69"/>
    </row>
    <row r="629">
      <c r="A629" s="69"/>
      <c r="B629" s="69"/>
    </row>
    <row r="630">
      <c r="A630" s="69"/>
      <c r="B630" s="69"/>
    </row>
    <row r="631">
      <c r="A631" s="69"/>
      <c r="B631" s="69"/>
    </row>
    <row r="632">
      <c r="A632" s="69"/>
      <c r="B632" s="69"/>
    </row>
    <row r="633">
      <c r="A633" s="69"/>
      <c r="B633" s="69"/>
    </row>
    <row r="634">
      <c r="A634" s="69"/>
      <c r="B634" s="69"/>
    </row>
    <row r="635">
      <c r="A635" s="69"/>
      <c r="B635" s="69"/>
    </row>
    <row r="636">
      <c r="A636" s="69"/>
      <c r="B636" s="69"/>
    </row>
    <row r="637">
      <c r="A637" s="69"/>
      <c r="B637" s="69"/>
    </row>
    <row r="638">
      <c r="A638" s="69"/>
      <c r="B638" s="69"/>
    </row>
    <row r="639">
      <c r="A639" s="69"/>
      <c r="B639" s="69"/>
    </row>
    <row r="640">
      <c r="A640" s="69"/>
      <c r="B640" s="69"/>
    </row>
    <row r="641">
      <c r="A641" s="69"/>
      <c r="B641" s="69"/>
    </row>
    <row r="642">
      <c r="A642" s="69"/>
      <c r="B642" s="69"/>
    </row>
    <row r="643">
      <c r="A643" s="69"/>
      <c r="B643" s="69"/>
    </row>
    <row r="644">
      <c r="A644" s="69"/>
      <c r="B644" s="69"/>
    </row>
    <row r="645">
      <c r="A645" s="69"/>
      <c r="B645" s="69"/>
    </row>
    <row r="646">
      <c r="A646" s="69"/>
      <c r="B646" s="69"/>
    </row>
    <row r="647">
      <c r="A647" s="69"/>
      <c r="B647" s="69"/>
    </row>
    <row r="648">
      <c r="A648" s="69"/>
      <c r="B648" s="69"/>
    </row>
    <row r="649">
      <c r="A649" s="69"/>
      <c r="B649" s="69"/>
    </row>
    <row r="650">
      <c r="A650" s="69"/>
      <c r="B650" s="69"/>
    </row>
    <row r="651">
      <c r="A651" s="69"/>
      <c r="B651" s="69"/>
    </row>
    <row r="652">
      <c r="A652" s="69"/>
      <c r="B652" s="69"/>
    </row>
    <row r="653">
      <c r="A653" s="69"/>
      <c r="B653" s="69"/>
    </row>
    <row r="654">
      <c r="A654" s="69"/>
      <c r="B654" s="69"/>
    </row>
    <row r="655">
      <c r="A655" s="69"/>
      <c r="B655" s="69"/>
    </row>
    <row r="656">
      <c r="A656" s="69"/>
      <c r="B656" s="69"/>
    </row>
    <row r="657">
      <c r="A657" s="69"/>
      <c r="B657" s="69"/>
    </row>
    <row r="658">
      <c r="A658" s="69"/>
      <c r="B658" s="69"/>
    </row>
    <row r="659">
      <c r="A659" s="69"/>
      <c r="B659" s="69"/>
    </row>
    <row r="660">
      <c r="A660" s="69"/>
      <c r="B660" s="69"/>
    </row>
    <row r="661">
      <c r="A661" s="69"/>
      <c r="B661" s="69"/>
    </row>
    <row r="662">
      <c r="A662" s="69"/>
      <c r="B662" s="69"/>
    </row>
    <row r="663">
      <c r="A663" s="69"/>
      <c r="B663" s="69"/>
    </row>
    <row r="664">
      <c r="A664" s="69"/>
      <c r="B664" s="69"/>
    </row>
    <row r="665">
      <c r="A665" s="69"/>
      <c r="B665" s="69"/>
    </row>
    <row r="666">
      <c r="A666" s="69"/>
      <c r="B666" s="69"/>
    </row>
    <row r="667">
      <c r="A667" s="69"/>
      <c r="B667" s="69"/>
    </row>
    <row r="668">
      <c r="A668" s="69"/>
      <c r="B668" s="69"/>
    </row>
    <row r="669">
      <c r="A669" s="69"/>
      <c r="B669" s="69"/>
    </row>
    <row r="670">
      <c r="A670" s="69"/>
      <c r="B670" s="69"/>
    </row>
    <row r="671">
      <c r="A671" s="69"/>
      <c r="B671" s="69"/>
    </row>
    <row r="672">
      <c r="A672" s="69"/>
      <c r="B672" s="69"/>
    </row>
    <row r="673">
      <c r="A673" s="69"/>
      <c r="B673" s="69"/>
    </row>
    <row r="674">
      <c r="A674" s="69"/>
      <c r="B674" s="69"/>
    </row>
    <row r="675">
      <c r="A675" s="69"/>
      <c r="B675" s="69"/>
    </row>
    <row r="676">
      <c r="A676" s="69"/>
      <c r="B676" s="69"/>
    </row>
    <row r="677">
      <c r="A677" s="69"/>
      <c r="B677" s="69"/>
    </row>
    <row r="678">
      <c r="A678" s="69"/>
      <c r="B678" s="69"/>
    </row>
    <row r="679">
      <c r="A679" s="69"/>
      <c r="B679" s="69"/>
    </row>
    <row r="680">
      <c r="A680" s="69"/>
      <c r="B680" s="69"/>
    </row>
    <row r="681">
      <c r="A681" s="69"/>
      <c r="B681" s="69"/>
    </row>
    <row r="682">
      <c r="A682" s="69"/>
      <c r="B682" s="69"/>
    </row>
    <row r="683">
      <c r="A683" s="69"/>
      <c r="B683" s="69"/>
    </row>
    <row r="684">
      <c r="A684" s="69"/>
      <c r="B684" s="69"/>
    </row>
    <row r="685">
      <c r="A685" s="69"/>
      <c r="B685" s="69"/>
    </row>
    <row r="686">
      <c r="A686" s="69"/>
      <c r="B686" s="69"/>
    </row>
    <row r="687">
      <c r="A687" s="69"/>
      <c r="B687" s="69"/>
    </row>
    <row r="688">
      <c r="A688" s="69"/>
      <c r="B688" s="69"/>
    </row>
    <row r="689">
      <c r="A689" s="69"/>
      <c r="B689" s="69"/>
    </row>
    <row r="690">
      <c r="A690" s="69"/>
      <c r="B690" s="69"/>
    </row>
    <row r="691">
      <c r="A691" s="69"/>
      <c r="B691" s="69"/>
    </row>
    <row r="692">
      <c r="A692" s="69"/>
      <c r="B692" s="69"/>
    </row>
    <row r="693">
      <c r="A693" s="69"/>
      <c r="B693" s="69"/>
    </row>
    <row r="694">
      <c r="A694" s="69"/>
      <c r="B694" s="69"/>
    </row>
    <row r="695">
      <c r="A695" s="69"/>
      <c r="B695" s="69"/>
    </row>
    <row r="696">
      <c r="A696" s="69"/>
      <c r="B696" s="69"/>
    </row>
    <row r="697">
      <c r="A697" s="69"/>
      <c r="B697" s="69"/>
    </row>
    <row r="698">
      <c r="A698" s="69"/>
      <c r="B698" s="69"/>
    </row>
    <row r="699">
      <c r="A699" s="69"/>
      <c r="B699" s="69"/>
    </row>
    <row r="700">
      <c r="A700" s="69"/>
      <c r="B700" s="69"/>
    </row>
    <row r="701">
      <c r="A701" s="69"/>
      <c r="B701" s="69"/>
    </row>
    <row r="702">
      <c r="A702" s="69"/>
      <c r="B702" s="69"/>
    </row>
    <row r="703">
      <c r="A703" s="69"/>
      <c r="B703" s="69"/>
    </row>
    <row r="704">
      <c r="A704" s="69"/>
      <c r="B704" s="69"/>
    </row>
    <row r="705">
      <c r="A705" s="69"/>
      <c r="B705" s="69"/>
    </row>
    <row r="706">
      <c r="A706" s="69"/>
      <c r="B706" s="69"/>
    </row>
    <row r="707">
      <c r="A707" s="69"/>
      <c r="B707" s="69"/>
    </row>
    <row r="708">
      <c r="A708" s="69"/>
      <c r="B708" s="69"/>
    </row>
    <row r="709">
      <c r="A709" s="69"/>
      <c r="B709" s="69"/>
    </row>
    <row r="710">
      <c r="A710" s="69"/>
      <c r="B710" s="69"/>
    </row>
    <row r="711">
      <c r="A711" s="69"/>
      <c r="B711" s="69"/>
    </row>
    <row r="712">
      <c r="A712" s="69"/>
      <c r="B712" s="69"/>
    </row>
    <row r="713">
      <c r="A713" s="69"/>
      <c r="B713" s="69"/>
    </row>
    <row r="714">
      <c r="A714" s="69"/>
      <c r="B714" s="69"/>
    </row>
    <row r="715">
      <c r="A715" s="69"/>
      <c r="B715" s="69"/>
    </row>
    <row r="716">
      <c r="A716" s="69"/>
      <c r="B716" s="69"/>
    </row>
    <row r="717">
      <c r="A717" s="69"/>
      <c r="B717" s="69"/>
    </row>
    <row r="718">
      <c r="A718" s="69"/>
      <c r="B718" s="69"/>
    </row>
    <row r="719">
      <c r="A719" s="69"/>
      <c r="B719" s="69"/>
    </row>
    <row r="720">
      <c r="A720" s="69"/>
      <c r="B720" s="69"/>
    </row>
    <row r="721">
      <c r="A721" s="69"/>
      <c r="B721" s="69"/>
    </row>
    <row r="722">
      <c r="A722" s="69"/>
      <c r="B722" s="69"/>
    </row>
    <row r="723">
      <c r="A723" s="69"/>
      <c r="B723" s="69"/>
    </row>
    <row r="724">
      <c r="A724" s="69"/>
      <c r="B724" s="69"/>
    </row>
    <row r="725">
      <c r="A725" s="69"/>
      <c r="B725" s="69"/>
    </row>
    <row r="726">
      <c r="A726" s="69"/>
      <c r="B726" s="69"/>
    </row>
    <row r="727">
      <c r="A727" s="69"/>
      <c r="B727" s="69"/>
    </row>
    <row r="728">
      <c r="A728" s="69"/>
      <c r="B728" s="69"/>
    </row>
    <row r="729">
      <c r="A729" s="69"/>
      <c r="B729" s="69"/>
    </row>
    <row r="730">
      <c r="A730" s="69"/>
      <c r="B730" s="69"/>
    </row>
    <row r="731">
      <c r="A731" s="69"/>
      <c r="B731" s="69"/>
    </row>
    <row r="732">
      <c r="A732" s="69"/>
      <c r="B732" s="69"/>
    </row>
    <row r="733">
      <c r="A733" s="69"/>
      <c r="B733" s="69"/>
    </row>
    <row r="734">
      <c r="A734" s="69"/>
      <c r="B734" s="69"/>
    </row>
    <row r="735">
      <c r="A735" s="69"/>
      <c r="B735" s="69"/>
    </row>
    <row r="736">
      <c r="A736" s="69"/>
      <c r="B736" s="69"/>
    </row>
    <row r="737">
      <c r="A737" s="69"/>
      <c r="B737" s="69"/>
    </row>
    <row r="738">
      <c r="A738" s="69"/>
      <c r="B738" s="69"/>
    </row>
    <row r="739">
      <c r="A739" s="69"/>
      <c r="B739" s="69"/>
    </row>
    <row r="740">
      <c r="A740" s="69"/>
      <c r="B740" s="69"/>
    </row>
    <row r="741">
      <c r="A741" s="69"/>
      <c r="B741" s="69"/>
    </row>
    <row r="742">
      <c r="A742" s="69"/>
      <c r="B742" s="69"/>
    </row>
    <row r="743">
      <c r="A743" s="69"/>
      <c r="B743" s="69"/>
    </row>
    <row r="744">
      <c r="A744" s="69"/>
      <c r="B744" s="69"/>
    </row>
    <row r="745">
      <c r="A745" s="69"/>
      <c r="B745" s="69"/>
    </row>
    <row r="746">
      <c r="A746" s="69"/>
      <c r="B746" s="69"/>
    </row>
    <row r="747">
      <c r="A747" s="69"/>
      <c r="B747" s="69"/>
    </row>
    <row r="748">
      <c r="A748" s="69"/>
      <c r="B748" s="69"/>
    </row>
    <row r="749">
      <c r="A749" s="69"/>
      <c r="B749" s="69"/>
    </row>
    <row r="750">
      <c r="A750" s="69"/>
      <c r="B750" s="69"/>
    </row>
    <row r="751">
      <c r="A751" s="69"/>
      <c r="B751" s="69"/>
    </row>
    <row r="752">
      <c r="A752" s="69"/>
      <c r="B752" s="69"/>
    </row>
    <row r="753">
      <c r="A753" s="69"/>
      <c r="B753" s="69"/>
    </row>
    <row r="754">
      <c r="A754" s="69"/>
      <c r="B754" s="69"/>
    </row>
    <row r="755">
      <c r="A755" s="69"/>
      <c r="B755" s="69"/>
    </row>
    <row r="756">
      <c r="A756" s="69"/>
      <c r="B756" s="69"/>
    </row>
    <row r="757">
      <c r="A757" s="69"/>
      <c r="B757" s="69"/>
    </row>
    <row r="758">
      <c r="A758" s="69"/>
      <c r="B758" s="69"/>
    </row>
    <row r="759">
      <c r="A759" s="69"/>
      <c r="B759" s="69"/>
    </row>
    <row r="760">
      <c r="A760" s="69"/>
      <c r="B760" s="69"/>
    </row>
    <row r="761">
      <c r="A761" s="69"/>
      <c r="B761" s="69"/>
    </row>
    <row r="762">
      <c r="A762" s="69"/>
      <c r="B762" s="69"/>
    </row>
    <row r="763">
      <c r="A763" s="69"/>
      <c r="B763" s="69"/>
    </row>
    <row r="764">
      <c r="A764" s="69"/>
      <c r="B764" s="69"/>
    </row>
    <row r="765">
      <c r="A765" s="69"/>
      <c r="B765" s="69"/>
    </row>
    <row r="766">
      <c r="A766" s="69"/>
      <c r="B766" s="69"/>
    </row>
    <row r="767">
      <c r="A767" s="69"/>
      <c r="B767" s="69"/>
    </row>
    <row r="768">
      <c r="A768" s="69"/>
      <c r="B768" s="69"/>
    </row>
    <row r="769">
      <c r="A769" s="69"/>
      <c r="B769" s="69"/>
    </row>
    <row r="770">
      <c r="A770" s="69"/>
      <c r="B770" s="69"/>
    </row>
    <row r="771">
      <c r="A771" s="69"/>
      <c r="B771" s="69"/>
    </row>
    <row r="772">
      <c r="A772" s="69"/>
      <c r="B772" s="69"/>
    </row>
    <row r="773">
      <c r="A773" s="69"/>
      <c r="B773" s="69"/>
    </row>
    <row r="774">
      <c r="A774" s="69"/>
      <c r="B774" s="69"/>
    </row>
    <row r="775">
      <c r="A775" s="69"/>
      <c r="B775" s="69"/>
    </row>
    <row r="776">
      <c r="A776" s="69"/>
      <c r="B776" s="69"/>
    </row>
    <row r="777">
      <c r="A777" s="69"/>
      <c r="B777" s="69"/>
    </row>
    <row r="778">
      <c r="A778" s="69"/>
      <c r="B778" s="69"/>
    </row>
    <row r="779">
      <c r="A779" s="69"/>
      <c r="B779" s="69"/>
    </row>
    <row r="780">
      <c r="A780" s="69"/>
      <c r="B780" s="69"/>
    </row>
    <row r="781">
      <c r="A781" s="69"/>
      <c r="B781" s="69"/>
    </row>
    <row r="782">
      <c r="A782" s="69"/>
      <c r="B782" s="69"/>
    </row>
    <row r="783">
      <c r="A783" s="69"/>
      <c r="B783" s="69"/>
    </row>
    <row r="784">
      <c r="A784" s="69"/>
      <c r="B784" s="69"/>
    </row>
    <row r="785">
      <c r="A785" s="69"/>
      <c r="B785" s="69"/>
    </row>
    <row r="786">
      <c r="A786" s="69"/>
      <c r="B786" s="69"/>
    </row>
    <row r="787">
      <c r="A787" s="69"/>
      <c r="B787" s="69"/>
    </row>
    <row r="788">
      <c r="A788" s="69"/>
      <c r="B788" s="69"/>
    </row>
    <row r="789">
      <c r="A789" s="69"/>
      <c r="B789" s="69"/>
    </row>
    <row r="790">
      <c r="A790" s="69"/>
      <c r="B790" s="69"/>
    </row>
    <row r="791">
      <c r="A791" s="69"/>
      <c r="B791" s="69"/>
    </row>
    <row r="792">
      <c r="A792" s="69"/>
      <c r="B792" s="69"/>
    </row>
    <row r="793">
      <c r="A793" s="69"/>
      <c r="B793" s="69"/>
    </row>
    <row r="794">
      <c r="A794" s="69"/>
      <c r="B794" s="69"/>
    </row>
    <row r="795">
      <c r="A795" s="69"/>
      <c r="B795" s="69"/>
    </row>
    <row r="796">
      <c r="A796" s="69"/>
      <c r="B796" s="69"/>
    </row>
    <row r="797">
      <c r="A797" s="69"/>
      <c r="B797" s="69"/>
    </row>
    <row r="798">
      <c r="A798" s="69"/>
      <c r="B798" s="69"/>
    </row>
    <row r="799">
      <c r="A799" s="69"/>
      <c r="B799" s="69"/>
    </row>
    <row r="800">
      <c r="A800" s="69"/>
      <c r="B800" s="69"/>
    </row>
    <row r="801">
      <c r="A801" s="69"/>
      <c r="B801" s="69"/>
    </row>
    <row r="802">
      <c r="A802" s="69"/>
      <c r="B802" s="69"/>
    </row>
    <row r="803">
      <c r="A803" s="69"/>
      <c r="B803" s="69"/>
    </row>
    <row r="804">
      <c r="A804" s="69"/>
      <c r="B804" s="69"/>
    </row>
    <row r="805">
      <c r="A805" s="69"/>
      <c r="B805" s="69"/>
    </row>
    <row r="806">
      <c r="A806" s="69"/>
      <c r="B806" s="69"/>
    </row>
    <row r="807">
      <c r="A807" s="69"/>
      <c r="B807" s="69"/>
    </row>
    <row r="808">
      <c r="A808" s="69"/>
      <c r="B808" s="69"/>
    </row>
    <row r="809">
      <c r="A809" s="69"/>
      <c r="B809" s="69"/>
    </row>
    <row r="810">
      <c r="A810" s="69"/>
      <c r="B810" s="69"/>
    </row>
    <row r="811">
      <c r="A811" s="69"/>
      <c r="B811" s="69"/>
    </row>
    <row r="812">
      <c r="A812" s="69"/>
      <c r="B812" s="69"/>
    </row>
    <row r="813">
      <c r="A813" s="69"/>
      <c r="B813" s="69"/>
    </row>
    <row r="814">
      <c r="A814" s="69"/>
      <c r="B814" s="69"/>
    </row>
    <row r="815">
      <c r="A815" s="69"/>
      <c r="B815" s="69"/>
    </row>
    <row r="816">
      <c r="A816" s="69"/>
      <c r="B816" s="69"/>
    </row>
    <row r="817">
      <c r="A817" s="69"/>
      <c r="B817" s="69"/>
    </row>
    <row r="818">
      <c r="A818" s="69"/>
      <c r="B818" s="69"/>
    </row>
    <row r="819">
      <c r="A819" s="69"/>
      <c r="B819" s="69"/>
    </row>
    <row r="820">
      <c r="A820" s="69"/>
      <c r="B820" s="69"/>
    </row>
    <row r="821">
      <c r="A821" s="69"/>
      <c r="B821" s="69"/>
    </row>
    <row r="822">
      <c r="A822" s="69"/>
      <c r="B822" s="69"/>
    </row>
    <row r="823">
      <c r="A823" s="69"/>
      <c r="B823" s="69"/>
    </row>
    <row r="824">
      <c r="A824" s="69"/>
      <c r="B824" s="69"/>
    </row>
    <row r="825">
      <c r="A825" s="69"/>
      <c r="B825" s="69"/>
    </row>
    <row r="826">
      <c r="A826" s="69"/>
      <c r="B826" s="69"/>
    </row>
    <row r="827">
      <c r="A827" s="69"/>
      <c r="B827" s="69"/>
    </row>
    <row r="828">
      <c r="A828" s="69"/>
      <c r="B828" s="69"/>
    </row>
    <row r="829">
      <c r="A829" s="69"/>
      <c r="B829" s="69"/>
    </row>
    <row r="830">
      <c r="A830" s="69"/>
      <c r="B830" s="69"/>
    </row>
    <row r="831">
      <c r="A831" s="69"/>
      <c r="B831" s="69"/>
    </row>
    <row r="832">
      <c r="A832" s="69"/>
      <c r="B832" s="69"/>
    </row>
    <row r="833">
      <c r="A833" s="69"/>
      <c r="B833" s="69"/>
    </row>
    <row r="834">
      <c r="A834" s="69"/>
      <c r="B834" s="69"/>
    </row>
    <row r="835">
      <c r="A835" s="69"/>
      <c r="B835" s="69"/>
    </row>
    <row r="836">
      <c r="A836" s="69"/>
      <c r="B836" s="69"/>
    </row>
    <row r="837">
      <c r="A837" s="69"/>
      <c r="B837" s="69"/>
    </row>
    <row r="838">
      <c r="A838" s="69"/>
      <c r="B838" s="69"/>
    </row>
    <row r="839">
      <c r="A839" s="69"/>
      <c r="B839" s="69"/>
    </row>
    <row r="840">
      <c r="A840" s="69"/>
      <c r="B840" s="69"/>
    </row>
    <row r="841">
      <c r="A841" s="69"/>
      <c r="B841" s="69"/>
    </row>
    <row r="842">
      <c r="A842" s="69"/>
      <c r="B842" s="69"/>
    </row>
    <row r="843">
      <c r="A843" s="69"/>
      <c r="B843" s="69"/>
    </row>
    <row r="844">
      <c r="A844" s="69"/>
      <c r="B844" s="69"/>
    </row>
    <row r="845">
      <c r="A845" s="69"/>
      <c r="B845" s="69"/>
    </row>
    <row r="846">
      <c r="A846" s="69"/>
      <c r="B846" s="69"/>
    </row>
    <row r="847">
      <c r="A847" s="69"/>
      <c r="B847" s="69"/>
    </row>
    <row r="848">
      <c r="A848" s="69"/>
      <c r="B848" s="69"/>
    </row>
    <row r="849">
      <c r="A849" s="69"/>
      <c r="B849" s="69"/>
    </row>
    <row r="850">
      <c r="A850" s="69"/>
      <c r="B850" s="69"/>
    </row>
    <row r="851">
      <c r="A851" s="69"/>
      <c r="B851" s="69"/>
    </row>
    <row r="852">
      <c r="A852" s="69"/>
      <c r="B852" s="69"/>
    </row>
    <row r="853">
      <c r="A853" s="69"/>
      <c r="B853" s="69"/>
    </row>
    <row r="854">
      <c r="A854" s="69"/>
      <c r="B854" s="69"/>
    </row>
    <row r="855">
      <c r="A855" s="69"/>
      <c r="B855" s="69"/>
    </row>
    <row r="856">
      <c r="A856" s="69"/>
      <c r="B856" s="69"/>
    </row>
    <row r="857">
      <c r="A857" s="69"/>
      <c r="B857" s="69"/>
    </row>
    <row r="858">
      <c r="A858" s="69"/>
      <c r="B858" s="69"/>
    </row>
    <row r="859">
      <c r="A859" s="69"/>
      <c r="B859" s="69"/>
    </row>
    <row r="860">
      <c r="A860" s="69"/>
      <c r="B860" s="69"/>
    </row>
    <row r="861">
      <c r="A861" s="69"/>
      <c r="B861" s="69"/>
    </row>
    <row r="862">
      <c r="A862" s="69"/>
      <c r="B862" s="69"/>
    </row>
    <row r="863">
      <c r="A863" s="69"/>
      <c r="B863" s="69"/>
    </row>
    <row r="864">
      <c r="A864" s="69"/>
      <c r="B864" s="69"/>
    </row>
    <row r="865">
      <c r="A865" s="69"/>
      <c r="B865" s="69"/>
    </row>
    <row r="866">
      <c r="A866" s="69"/>
      <c r="B866" s="69"/>
    </row>
    <row r="867">
      <c r="A867" s="69"/>
      <c r="B867" s="69"/>
    </row>
    <row r="868">
      <c r="A868" s="69"/>
      <c r="B868" s="69"/>
    </row>
    <row r="869">
      <c r="A869" s="69"/>
      <c r="B869" s="69"/>
    </row>
    <row r="870">
      <c r="A870" s="69"/>
      <c r="B870" s="69"/>
    </row>
    <row r="871">
      <c r="A871" s="69"/>
      <c r="B871" s="69"/>
    </row>
    <row r="872">
      <c r="A872" s="69"/>
      <c r="B872" s="69"/>
    </row>
    <row r="873">
      <c r="A873" s="69"/>
      <c r="B873" s="69"/>
    </row>
    <row r="874">
      <c r="A874" s="69"/>
      <c r="B874" s="69"/>
    </row>
    <row r="875">
      <c r="A875" s="69"/>
      <c r="B875" s="69"/>
    </row>
    <row r="876">
      <c r="A876" s="69"/>
      <c r="B876" s="69"/>
    </row>
    <row r="877">
      <c r="A877" s="69"/>
      <c r="B877" s="69"/>
    </row>
    <row r="878">
      <c r="A878" s="69"/>
      <c r="B878" s="69"/>
    </row>
    <row r="879">
      <c r="A879" s="69"/>
      <c r="B879" s="69"/>
    </row>
    <row r="880">
      <c r="A880" s="69"/>
      <c r="B880" s="69"/>
    </row>
    <row r="881">
      <c r="A881" s="69"/>
      <c r="B881" s="69"/>
    </row>
    <row r="882">
      <c r="A882" s="69"/>
      <c r="B882" s="69"/>
    </row>
    <row r="883">
      <c r="A883" s="69"/>
      <c r="B883" s="69"/>
    </row>
    <row r="884">
      <c r="A884" s="69"/>
      <c r="B884" s="69"/>
    </row>
    <row r="885">
      <c r="A885" s="69"/>
      <c r="B885" s="69"/>
    </row>
    <row r="886">
      <c r="A886" s="69"/>
      <c r="B886" s="69"/>
    </row>
    <row r="887">
      <c r="A887" s="69"/>
      <c r="B887" s="69"/>
    </row>
    <row r="888">
      <c r="A888" s="69"/>
      <c r="B888" s="69"/>
    </row>
    <row r="889">
      <c r="A889" s="69"/>
      <c r="B889" s="69"/>
    </row>
    <row r="890">
      <c r="A890" s="69"/>
      <c r="B890" s="69"/>
    </row>
    <row r="891">
      <c r="A891" s="69"/>
      <c r="B891" s="69"/>
    </row>
    <row r="892">
      <c r="A892" s="69"/>
      <c r="B892" s="69"/>
    </row>
    <row r="893">
      <c r="A893" s="69"/>
      <c r="B893" s="69"/>
    </row>
    <row r="894">
      <c r="A894" s="69"/>
      <c r="B894" s="69"/>
    </row>
    <row r="895">
      <c r="A895" s="69"/>
      <c r="B895" s="69"/>
    </row>
    <row r="896">
      <c r="A896" s="69"/>
      <c r="B896" s="69"/>
    </row>
    <row r="897">
      <c r="A897" s="69"/>
      <c r="B897" s="69"/>
    </row>
    <row r="898">
      <c r="A898" s="69"/>
      <c r="B898" s="69"/>
    </row>
    <row r="899">
      <c r="A899" s="69"/>
      <c r="B899" s="69"/>
    </row>
    <row r="900">
      <c r="A900" s="69"/>
      <c r="B900" s="69"/>
    </row>
    <row r="901">
      <c r="A901" s="69"/>
      <c r="B901" s="69"/>
    </row>
    <row r="902">
      <c r="A902" s="69"/>
      <c r="B902" s="69"/>
    </row>
    <row r="903">
      <c r="A903" s="69"/>
      <c r="B903" s="69"/>
    </row>
    <row r="904">
      <c r="A904" s="69"/>
      <c r="B904" s="69"/>
    </row>
    <row r="905">
      <c r="A905" s="69"/>
      <c r="B905" s="69"/>
    </row>
    <row r="906">
      <c r="A906" s="69"/>
      <c r="B906" s="69"/>
    </row>
    <row r="907">
      <c r="A907" s="69"/>
      <c r="B907" s="69"/>
    </row>
    <row r="908">
      <c r="A908" s="69"/>
      <c r="B908" s="69"/>
    </row>
    <row r="909">
      <c r="A909" s="69"/>
      <c r="B909" s="69"/>
    </row>
    <row r="910">
      <c r="A910" s="69"/>
      <c r="B910" s="69"/>
    </row>
    <row r="911">
      <c r="A911" s="69"/>
      <c r="B911" s="69"/>
    </row>
    <row r="912">
      <c r="A912" s="69"/>
      <c r="B912" s="69"/>
    </row>
    <row r="913">
      <c r="A913" s="69"/>
      <c r="B913" s="69"/>
    </row>
    <row r="914">
      <c r="A914" s="69"/>
      <c r="B914" s="69"/>
    </row>
    <row r="915">
      <c r="A915" s="69"/>
      <c r="B915" s="69"/>
    </row>
    <row r="916">
      <c r="A916" s="69"/>
      <c r="B916" s="69"/>
    </row>
    <row r="917">
      <c r="A917" s="69"/>
      <c r="B917" s="69"/>
    </row>
    <row r="918">
      <c r="A918" s="69"/>
      <c r="B918" s="69"/>
    </row>
    <row r="919">
      <c r="A919" s="69"/>
      <c r="B919" s="69"/>
    </row>
    <row r="920">
      <c r="A920" s="69"/>
      <c r="B920" s="69"/>
    </row>
    <row r="921">
      <c r="A921" s="69"/>
      <c r="B921" s="69"/>
    </row>
    <row r="922">
      <c r="A922" s="69"/>
      <c r="B922" s="69"/>
    </row>
    <row r="923">
      <c r="A923" s="69"/>
      <c r="B923" s="69"/>
    </row>
    <row r="924">
      <c r="A924" s="69"/>
      <c r="B924" s="69"/>
    </row>
    <row r="925">
      <c r="A925" s="69"/>
      <c r="B925" s="69"/>
    </row>
    <row r="926">
      <c r="A926" s="69"/>
      <c r="B926" s="69"/>
    </row>
    <row r="927">
      <c r="A927" s="69"/>
      <c r="B927" s="69"/>
    </row>
    <row r="928">
      <c r="A928" s="69"/>
      <c r="B928" s="69"/>
    </row>
    <row r="929">
      <c r="A929" s="69"/>
      <c r="B929" s="69"/>
    </row>
    <row r="930">
      <c r="A930" s="69"/>
      <c r="B930" s="69"/>
    </row>
    <row r="931">
      <c r="A931" s="69"/>
      <c r="B931" s="69"/>
    </row>
    <row r="932">
      <c r="A932" s="69"/>
      <c r="B932" s="69"/>
    </row>
    <row r="933">
      <c r="A933" s="69"/>
      <c r="B933" s="69"/>
    </row>
    <row r="934">
      <c r="A934" s="69"/>
      <c r="B934" s="69"/>
    </row>
    <row r="935">
      <c r="A935" s="69"/>
      <c r="B935" s="69"/>
    </row>
    <row r="936">
      <c r="A936" s="69"/>
      <c r="B936" s="69"/>
    </row>
    <row r="937">
      <c r="A937" s="69"/>
      <c r="B937" s="69"/>
    </row>
    <row r="938">
      <c r="A938" s="69"/>
      <c r="B938" s="69"/>
    </row>
    <row r="939">
      <c r="A939" s="69"/>
      <c r="B939" s="69"/>
    </row>
    <row r="940">
      <c r="A940" s="69"/>
      <c r="B940" s="69"/>
    </row>
    <row r="941">
      <c r="A941" s="69"/>
      <c r="B941" s="69"/>
    </row>
    <row r="942">
      <c r="A942" s="69"/>
      <c r="B942" s="69"/>
    </row>
    <row r="943">
      <c r="A943" s="69"/>
      <c r="B943" s="69"/>
    </row>
    <row r="944">
      <c r="A944" s="69"/>
      <c r="B944" s="69"/>
    </row>
    <row r="945">
      <c r="A945" s="69"/>
      <c r="B945" s="69"/>
    </row>
    <row r="946">
      <c r="A946" s="69"/>
      <c r="B946" s="69"/>
    </row>
    <row r="947">
      <c r="A947" s="69"/>
      <c r="B947" s="69"/>
    </row>
    <row r="948">
      <c r="A948" s="69"/>
      <c r="B948" s="69"/>
    </row>
    <row r="949">
      <c r="A949" s="69"/>
      <c r="B949" s="69"/>
    </row>
    <row r="950">
      <c r="A950" s="69"/>
      <c r="B950" s="69"/>
    </row>
    <row r="951">
      <c r="A951" s="69"/>
      <c r="B951" s="69"/>
    </row>
    <row r="952">
      <c r="A952" s="69"/>
      <c r="B952" s="69"/>
    </row>
    <row r="953">
      <c r="A953" s="69"/>
      <c r="B953" s="69"/>
    </row>
    <row r="954">
      <c r="A954" s="69"/>
      <c r="B954" s="69"/>
    </row>
    <row r="955">
      <c r="A955" s="69"/>
      <c r="B955" s="69"/>
    </row>
    <row r="956">
      <c r="A956" s="69"/>
      <c r="B956" s="69"/>
    </row>
    <row r="957">
      <c r="A957" s="69"/>
      <c r="B957" s="69"/>
    </row>
    <row r="958">
      <c r="A958" s="69"/>
      <c r="B958" s="69"/>
    </row>
    <row r="959">
      <c r="A959" s="69"/>
      <c r="B959" s="69"/>
    </row>
    <row r="960">
      <c r="A960" s="69"/>
      <c r="B960" s="69"/>
    </row>
    <row r="961">
      <c r="A961" s="69"/>
      <c r="B961" s="69"/>
    </row>
    <row r="962">
      <c r="A962" s="69"/>
      <c r="B962" s="69"/>
    </row>
    <row r="963">
      <c r="A963" s="69"/>
      <c r="B963" s="69"/>
    </row>
    <row r="964">
      <c r="A964" s="69"/>
      <c r="B964" s="69"/>
    </row>
    <row r="965">
      <c r="A965" s="69"/>
      <c r="B965" s="69"/>
    </row>
    <row r="966">
      <c r="A966" s="69"/>
      <c r="B966" s="69"/>
    </row>
    <row r="967">
      <c r="A967" s="69"/>
      <c r="B967" s="69"/>
    </row>
    <row r="968">
      <c r="A968" s="69"/>
      <c r="B968" s="69"/>
    </row>
    <row r="969">
      <c r="A969" s="69"/>
      <c r="B969" s="69"/>
    </row>
    <row r="970">
      <c r="A970" s="69"/>
      <c r="B970" s="69"/>
    </row>
    <row r="971">
      <c r="A971" s="69"/>
      <c r="B971" s="69"/>
    </row>
    <row r="972">
      <c r="A972" s="69"/>
      <c r="B972" s="69"/>
    </row>
    <row r="973">
      <c r="A973" s="69"/>
      <c r="B973" s="69"/>
    </row>
    <row r="974">
      <c r="A974" s="69"/>
      <c r="B974" s="69"/>
    </row>
    <row r="975">
      <c r="A975" s="69"/>
      <c r="B975" s="69"/>
    </row>
    <row r="976">
      <c r="A976" s="69"/>
      <c r="B976" s="69"/>
    </row>
    <row r="977">
      <c r="A977" s="69"/>
      <c r="B977" s="69"/>
    </row>
    <row r="978">
      <c r="A978" s="69"/>
      <c r="B978" s="69"/>
    </row>
    <row r="979">
      <c r="A979" s="69"/>
      <c r="B979" s="69"/>
    </row>
    <row r="980">
      <c r="A980" s="69"/>
      <c r="B980" s="69"/>
    </row>
    <row r="981">
      <c r="A981" s="69"/>
      <c r="B981" s="69"/>
    </row>
    <row r="982">
      <c r="A982" s="69"/>
      <c r="B982" s="69"/>
    </row>
    <row r="983">
      <c r="A983" s="69"/>
      <c r="B983" s="69"/>
    </row>
    <row r="984">
      <c r="A984" s="69"/>
      <c r="B984" s="69"/>
    </row>
    <row r="985">
      <c r="A985" s="69"/>
      <c r="B985" s="69"/>
    </row>
    <row r="986">
      <c r="A986" s="69"/>
      <c r="B986" s="69"/>
    </row>
    <row r="987">
      <c r="A987" s="69"/>
      <c r="B987" s="69"/>
    </row>
    <row r="988">
      <c r="A988" s="69"/>
      <c r="B988" s="69"/>
    </row>
    <row r="989">
      <c r="A989" s="69"/>
      <c r="B989" s="69"/>
    </row>
    <row r="990">
      <c r="A990" s="69"/>
      <c r="B990" s="69"/>
    </row>
    <row r="991">
      <c r="A991" s="69"/>
      <c r="B991" s="69"/>
    </row>
    <row r="992">
      <c r="A992" s="69"/>
      <c r="B992" s="69"/>
    </row>
    <row r="993">
      <c r="A993" s="69"/>
      <c r="B993" s="69"/>
    </row>
    <row r="994">
      <c r="A994" s="69"/>
      <c r="B994" s="69"/>
    </row>
    <row r="995">
      <c r="A995" s="69"/>
      <c r="B995" s="69"/>
    </row>
    <row r="996">
      <c r="A996" s="69"/>
      <c r="B996" s="69"/>
    </row>
    <row r="997">
      <c r="A997" s="69"/>
      <c r="B997" s="69"/>
    </row>
    <row r="998">
      <c r="A998" s="69"/>
      <c r="B998" s="69"/>
    </row>
    <row r="999">
      <c r="A999" s="69"/>
      <c r="B999" s="69"/>
    </row>
    <row r="1000">
      <c r="A1000" s="69"/>
      <c r="B1000" s="69"/>
    </row>
  </sheetData>
  <hyperlinks>
    <hyperlink r:id="rId1" ref="AE3"/>
    <hyperlink r:id="rId2" ref="AE4"/>
    <hyperlink r:id="rId3" ref="AG6"/>
    <hyperlink r:id="rId4" ref="AI6"/>
    <hyperlink r:id="rId5" ref="AG7"/>
    <hyperlink r:id="rId6" ref="AI7"/>
    <hyperlink r:id="rId7" ref="AG8"/>
    <hyperlink r:id="rId8" ref="AI8"/>
    <hyperlink r:id="rId9" ref="AG9"/>
    <hyperlink r:id="rId10" ref="AI9"/>
    <hyperlink r:id="rId11" ref="AG10"/>
    <hyperlink r:id="rId12" ref="AI10"/>
    <hyperlink r:id="rId13" ref="AG11"/>
    <hyperlink r:id="rId14" ref="AI11"/>
    <hyperlink r:id="rId15" ref="AG12"/>
    <hyperlink r:id="rId16" ref="AI12"/>
    <hyperlink r:id="rId17" ref="AG13"/>
    <hyperlink r:id="rId18" ref="AI13"/>
    <hyperlink r:id="rId19" ref="AG14"/>
    <hyperlink r:id="rId20" ref="AI14"/>
    <hyperlink r:id="rId21" ref="AG15"/>
    <hyperlink r:id="rId22" ref="AI15"/>
    <hyperlink r:id="rId23" ref="M16"/>
    <hyperlink r:id="rId24" ref="AI16"/>
    <hyperlink r:id="rId25" ref="AG17"/>
    <hyperlink r:id="rId26" ref="AI17"/>
    <hyperlink r:id="rId27" ref="M18"/>
    <hyperlink r:id="rId28" ref="O18"/>
    <hyperlink r:id="rId29" ref="AI18"/>
    <hyperlink r:id="rId30" ref="M19"/>
    <hyperlink r:id="rId31" ref="O19"/>
    <hyperlink r:id="rId32" ref="AI19"/>
    <hyperlink r:id="rId33" ref="M20"/>
    <hyperlink r:id="rId34" ref="O20"/>
    <hyperlink r:id="rId35" ref="AI20"/>
    <hyperlink r:id="rId36" ref="M21"/>
    <hyperlink r:id="rId37" ref="O21"/>
    <hyperlink r:id="rId38" ref="AI21"/>
    <hyperlink r:id="rId39" ref="AG22"/>
    <hyperlink r:id="rId40" ref="AI22"/>
    <hyperlink r:id="rId41" ref="AG23"/>
    <hyperlink r:id="rId42" ref="AI23"/>
    <hyperlink r:id="rId43" ref="AG24"/>
    <hyperlink r:id="rId44" ref="AI24"/>
    <hyperlink r:id="rId45" ref="AG25"/>
    <hyperlink r:id="rId46" ref="AI25"/>
    <hyperlink r:id="rId47" ref="AG26"/>
    <hyperlink r:id="rId48" ref="AI26"/>
    <hyperlink r:id="rId49" ref="M27"/>
    <hyperlink r:id="rId50" ref="O27"/>
    <hyperlink r:id="rId51" ref="AI27"/>
    <hyperlink r:id="rId52" ref="M28"/>
    <hyperlink r:id="rId53" ref="O28"/>
    <hyperlink r:id="rId54" ref="AI28"/>
    <hyperlink r:id="rId55" ref="M29"/>
    <hyperlink r:id="rId56" ref="O29"/>
    <hyperlink r:id="rId57" ref="AI29"/>
    <hyperlink r:id="rId58" ref="M30"/>
    <hyperlink r:id="rId59" ref="O30"/>
    <hyperlink r:id="rId60" ref="AI30"/>
    <hyperlink r:id="rId61" ref="M31"/>
    <hyperlink r:id="rId62" ref="O31"/>
    <hyperlink r:id="rId63" ref="AI31"/>
    <hyperlink r:id="rId64" ref="AG32"/>
    <hyperlink r:id="rId65" ref="AI32"/>
    <hyperlink r:id="rId66" ref="AG33"/>
    <hyperlink r:id="rId67" ref="AI33"/>
    <hyperlink r:id="rId68" ref="AG34"/>
    <hyperlink r:id="rId69" ref="AI34"/>
    <hyperlink r:id="rId70" ref="AG35"/>
    <hyperlink r:id="rId71" ref="AI35"/>
    <hyperlink r:id="rId72" ref="AG36"/>
    <hyperlink r:id="rId73" ref="AI36"/>
    <hyperlink r:id="rId74" ref="AG37"/>
    <hyperlink r:id="rId75" ref="AI37"/>
    <hyperlink r:id="rId76" ref="AG38"/>
    <hyperlink r:id="rId77" ref="AI38"/>
    <hyperlink r:id="rId78" ref="AG39"/>
    <hyperlink r:id="rId79" ref="AI39"/>
    <hyperlink r:id="rId80" ref="M40"/>
    <hyperlink r:id="rId81" ref="AI40"/>
    <hyperlink r:id="rId82" ref="AG41"/>
    <hyperlink r:id="rId83" ref="AI41"/>
    <hyperlink r:id="rId84" ref="M42"/>
    <hyperlink r:id="rId85" ref="AI42"/>
    <hyperlink r:id="rId86" ref="AG43"/>
    <hyperlink r:id="rId87" ref="AI43"/>
    <hyperlink r:id="rId88" ref="M44"/>
    <hyperlink r:id="rId89" ref="O44"/>
    <hyperlink r:id="rId90" ref="AI44"/>
    <hyperlink r:id="rId91" ref="AG45"/>
    <hyperlink r:id="rId92" ref="AI45"/>
    <hyperlink r:id="rId93" ref="AG46"/>
    <hyperlink r:id="rId94" ref="AI46"/>
    <hyperlink r:id="rId95" ref="AG47"/>
    <hyperlink r:id="rId96" ref="AI47"/>
    <hyperlink r:id="rId97" ref="AG48"/>
    <hyperlink r:id="rId98" ref="AI48"/>
    <hyperlink r:id="rId99" ref="AG49"/>
    <hyperlink r:id="rId100" ref="AI49"/>
    <hyperlink r:id="rId101" ref="AG50"/>
    <hyperlink r:id="rId102" ref="AI50"/>
    <hyperlink r:id="rId103" ref="AG51"/>
    <hyperlink r:id="rId104" ref="AI51"/>
    <hyperlink r:id="rId105" ref="AG52"/>
    <hyperlink r:id="rId106" ref="AI52"/>
    <hyperlink r:id="rId107" ref="AG53"/>
    <hyperlink r:id="rId108" ref="AI53"/>
    <hyperlink r:id="rId109" ref="AG54"/>
    <hyperlink r:id="rId110" ref="AI54"/>
    <hyperlink r:id="rId111" ref="M55"/>
    <hyperlink r:id="rId112" ref="AI55"/>
    <hyperlink r:id="rId113" ref="AG56"/>
    <hyperlink r:id="rId114" ref="AI56"/>
    <hyperlink r:id="rId115" ref="M57"/>
    <hyperlink r:id="rId116" ref="O57"/>
    <hyperlink r:id="rId117" ref="AI57"/>
    <hyperlink r:id="rId118" ref="N61"/>
    <hyperlink r:id="rId119" ref="AE61"/>
    <hyperlink r:id="rId120" ref="AF61"/>
    <hyperlink r:id="rId121" ref="AG61"/>
    <hyperlink r:id="rId122" ref="AI61"/>
    <hyperlink r:id="rId123" ref="N62"/>
    <hyperlink r:id="rId124" ref="AF62"/>
    <hyperlink r:id="rId125" ref="AG62"/>
    <hyperlink r:id="rId126" ref="AI62"/>
    <hyperlink r:id="rId127" ref="N63"/>
    <hyperlink r:id="rId128" ref="AF63"/>
    <hyperlink r:id="rId129" ref="AG63"/>
    <hyperlink r:id="rId130" ref="AI63"/>
    <hyperlink r:id="rId131" ref="N64"/>
    <hyperlink r:id="rId132" ref="AF64"/>
    <hyperlink r:id="rId133" ref="AG64"/>
    <hyperlink r:id="rId134" ref="AI64"/>
    <hyperlink r:id="rId135" ref="M65"/>
    <hyperlink r:id="rId136" ref="O65"/>
    <hyperlink r:id="rId137" ref="M66"/>
    <hyperlink r:id="rId138" ref="O66"/>
    <hyperlink r:id="rId139" ref="AI66"/>
    <hyperlink r:id="rId140" ref="M67"/>
    <hyperlink r:id="rId141" ref="O67"/>
    <hyperlink r:id="rId142" ref="AI67"/>
    <hyperlink r:id="rId143" ref="M68"/>
    <hyperlink r:id="rId144" ref="O68"/>
    <hyperlink r:id="rId145" ref="AI68"/>
    <hyperlink r:id="rId146" ref="M69"/>
    <hyperlink r:id="rId147" ref="O69"/>
    <hyperlink r:id="rId148" ref="AI69"/>
    <hyperlink r:id="rId149" ref="M70"/>
    <hyperlink r:id="rId150" ref="O70"/>
    <hyperlink r:id="rId151" ref="AI70"/>
    <hyperlink r:id="rId152" ref="M71"/>
    <hyperlink r:id="rId153" ref="O71"/>
    <hyperlink r:id="rId154" ref="AE71"/>
    <hyperlink r:id="rId155" ref="AG71"/>
    <hyperlink r:id="rId156" ref="AH71"/>
    <hyperlink r:id="rId157" ref="AI71"/>
    <hyperlink r:id="rId158" ref="M72"/>
    <hyperlink r:id="rId159" ref="O72"/>
    <hyperlink r:id="rId160" ref="AE72"/>
    <hyperlink r:id="rId161" ref="AG72"/>
    <hyperlink r:id="rId162" ref="AH72"/>
    <hyperlink r:id="rId163" ref="AI72"/>
    <hyperlink r:id="rId164" ref="M73"/>
    <hyperlink r:id="rId165" ref="O73"/>
    <hyperlink r:id="rId166" ref="AE73"/>
    <hyperlink r:id="rId167" ref="AG73"/>
    <hyperlink r:id="rId168" ref="AH73"/>
    <hyperlink r:id="rId169" ref="AI73"/>
    <hyperlink r:id="rId170" ref="M74"/>
    <hyperlink r:id="rId171" ref="O74"/>
    <hyperlink r:id="rId172" ref="AI74"/>
    <hyperlink r:id="rId173" ref="M75"/>
    <hyperlink r:id="rId174" ref="O75"/>
    <hyperlink r:id="rId175" ref="AI75"/>
    <hyperlink r:id="rId176" ref="M76"/>
    <hyperlink r:id="rId177" ref="O76"/>
    <hyperlink r:id="rId178" ref="AI76"/>
    <hyperlink r:id="rId179" ref="M77"/>
    <hyperlink r:id="rId180" ref="O77"/>
    <hyperlink r:id="rId181" ref="AI77"/>
    <hyperlink r:id="rId182" ref="M78"/>
    <hyperlink r:id="rId183" ref="O78"/>
    <hyperlink r:id="rId184" ref="AE78"/>
    <hyperlink r:id="rId185" ref="AG78"/>
    <hyperlink r:id="rId186" ref="AH78"/>
    <hyperlink r:id="rId187" ref="AI78"/>
    <hyperlink r:id="rId188" ref="M79"/>
    <hyperlink r:id="rId189" ref="O79"/>
    <hyperlink r:id="rId190" ref="AE79"/>
    <hyperlink r:id="rId191" ref="AG79"/>
    <hyperlink r:id="rId192" ref="AH79"/>
    <hyperlink r:id="rId193" ref="AI79"/>
    <hyperlink r:id="rId194" ref="M80"/>
    <hyperlink r:id="rId195" ref="O80"/>
    <hyperlink r:id="rId196" ref="AE80"/>
    <hyperlink r:id="rId197" ref="AG80"/>
    <hyperlink r:id="rId198" ref="AH80"/>
    <hyperlink r:id="rId199" ref="AI80"/>
    <hyperlink r:id="rId200" ref="M81"/>
    <hyperlink r:id="rId201" ref="O81"/>
    <hyperlink r:id="rId202" ref="AE81"/>
    <hyperlink r:id="rId203" ref="AG81"/>
    <hyperlink r:id="rId204" ref="AH81"/>
    <hyperlink r:id="rId205" ref="AI81"/>
    <hyperlink r:id="rId206" ref="M82"/>
    <hyperlink r:id="rId207" ref="O82"/>
    <hyperlink r:id="rId208" ref="AI82"/>
    <hyperlink r:id="rId209" ref="M83"/>
    <hyperlink r:id="rId210" ref="O83"/>
    <hyperlink r:id="rId211" ref="AI83"/>
    <hyperlink r:id="rId212" ref="M84"/>
    <hyperlink r:id="rId213" ref="O84"/>
    <hyperlink r:id="rId214" ref="AI84"/>
    <hyperlink r:id="rId215" ref="M85"/>
    <hyperlink r:id="rId216" ref="O85"/>
    <hyperlink r:id="rId217" ref="AI85"/>
    <hyperlink r:id="rId218" ref="M86"/>
    <hyperlink r:id="rId219" ref="O86"/>
    <hyperlink r:id="rId220" ref="AE86"/>
    <hyperlink r:id="rId221" ref="AG86"/>
    <hyperlink r:id="rId222" ref="AH86"/>
    <hyperlink r:id="rId223" ref="AI86"/>
    <hyperlink r:id="rId224" ref="M87"/>
    <hyperlink r:id="rId225" ref="O87"/>
    <hyperlink r:id="rId226" ref="AE87"/>
    <hyperlink r:id="rId227" ref="AG87"/>
    <hyperlink r:id="rId228" ref="AH87"/>
    <hyperlink r:id="rId229" ref="AI87"/>
    <hyperlink r:id="rId230" ref="M88"/>
    <hyperlink r:id="rId231" ref="O88"/>
    <hyperlink r:id="rId232" ref="AE88"/>
    <hyperlink r:id="rId233" ref="AG88"/>
    <hyperlink r:id="rId234" ref="AH88"/>
    <hyperlink r:id="rId235" ref="AI88"/>
    <hyperlink r:id="rId236" ref="M89"/>
    <hyperlink r:id="rId237" ref="O89"/>
    <hyperlink r:id="rId238" ref="AE89"/>
    <hyperlink r:id="rId239" ref="AG89"/>
    <hyperlink r:id="rId240" ref="AH89"/>
    <hyperlink r:id="rId241" ref="AI89"/>
    <hyperlink r:id="rId242" ref="M90"/>
    <hyperlink r:id="rId243" ref="O90"/>
    <hyperlink r:id="rId244" ref="AI90"/>
    <hyperlink r:id="rId245" ref="M91"/>
    <hyperlink r:id="rId246" ref="O91"/>
    <hyperlink r:id="rId247" ref="AI91"/>
    <hyperlink r:id="rId248" ref="M92"/>
    <hyperlink r:id="rId249" ref="O92"/>
    <hyperlink r:id="rId250" ref="M93"/>
    <hyperlink r:id="rId251" ref="O93"/>
    <hyperlink r:id="rId252" ref="AI93"/>
    <hyperlink r:id="rId253" ref="M94"/>
    <hyperlink r:id="rId254" ref="O94"/>
    <hyperlink r:id="rId255" ref="AE94"/>
    <hyperlink r:id="rId256" ref="AG94"/>
    <hyperlink r:id="rId257" ref="AH94"/>
    <hyperlink r:id="rId258" ref="AI94"/>
    <hyperlink r:id="rId259" ref="M95"/>
    <hyperlink r:id="rId260" ref="O95"/>
    <hyperlink r:id="rId261" ref="AE95"/>
    <hyperlink r:id="rId262" ref="AG95"/>
    <hyperlink r:id="rId263" ref="AH95"/>
    <hyperlink r:id="rId264" ref="AI95"/>
    <hyperlink r:id="rId265" ref="M96"/>
    <hyperlink r:id="rId266" ref="O96"/>
    <hyperlink r:id="rId267" ref="AE96"/>
    <hyperlink r:id="rId268" ref="AG96"/>
    <hyperlink r:id="rId269" ref="AH96"/>
    <hyperlink r:id="rId270" ref="AI96"/>
    <hyperlink r:id="rId271" ref="M97"/>
    <hyperlink r:id="rId272" ref="O97"/>
    <hyperlink r:id="rId273" ref="AE97"/>
    <hyperlink r:id="rId274" ref="AG97"/>
    <hyperlink r:id="rId275" ref="AH97"/>
    <hyperlink r:id="rId276" ref="AI97"/>
    <hyperlink r:id="rId277" ref="M98"/>
    <hyperlink r:id="rId278" ref="O98"/>
    <hyperlink r:id="rId279" ref="AI98"/>
    <hyperlink r:id="rId280" ref="M99"/>
    <hyperlink r:id="rId281" ref="O99"/>
    <hyperlink r:id="rId282" ref="AI99"/>
    <hyperlink r:id="rId283" ref="M100"/>
    <hyperlink r:id="rId284" ref="O100"/>
    <hyperlink r:id="rId285" ref="AI100"/>
    <hyperlink r:id="rId286" ref="M101"/>
    <hyperlink r:id="rId287" ref="O101"/>
    <hyperlink r:id="rId288" ref="AI101"/>
    <hyperlink r:id="rId289" ref="M102"/>
    <hyperlink r:id="rId290" ref="O102"/>
    <hyperlink r:id="rId291" ref="AE102"/>
    <hyperlink r:id="rId292" ref="AG102"/>
    <hyperlink r:id="rId293" ref="AH102"/>
    <hyperlink r:id="rId294" ref="AI102"/>
    <hyperlink r:id="rId295" ref="M103"/>
    <hyperlink r:id="rId296" ref="O103"/>
    <hyperlink r:id="rId297" ref="AE103"/>
    <hyperlink r:id="rId298" ref="AG103"/>
    <hyperlink r:id="rId299" ref="AH103"/>
    <hyperlink r:id="rId300" ref="AI103"/>
    <hyperlink r:id="rId301" ref="M104"/>
    <hyperlink r:id="rId302" ref="O104"/>
    <hyperlink r:id="rId303" ref="AE104"/>
    <hyperlink r:id="rId304" ref="AG104"/>
    <hyperlink r:id="rId305" ref="AH104"/>
    <hyperlink r:id="rId306" ref="AI104"/>
    <hyperlink r:id="rId307" ref="M105"/>
    <hyperlink r:id="rId308" ref="O105"/>
    <hyperlink r:id="rId309" ref="AE105"/>
    <hyperlink r:id="rId310" ref="AG105"/>
    <hyperlink r:id="rId311" ref="AH105"/>
    <hyperlink r:id="rId312" ref="AI105"/>
    <hyperlink r:id="rId313" ref="M106"/>
    <hyperlink r:id="rId314" ref="O106"/>
    <hyperlink r:id="rId315" ref="AE106"/>
    <hyperlink r:id="rId316" ref="AG106"/>
    <hyperlink r:id="rId317" ref="AH106"/>
    <hyperlink r:id="rId318" ref="AI106"/>
    <hyperlink r:id="rId319" ref="M107"/>
    <hyperlink r:id="rId320" ref="O107"/>
    <hyperlink r:id="rId321" ref="AE107"/>
    <hyperlink r:id="rId322" ref="AG107"/>
    <hyperlink r:id="rId323" ref="AH107"/>
    <hyperlink r:id="rId324" ref="AI107"/>
    <hyperlink r:id="rId325" ref="M108"/>
    <hyperlink r:id="rId326" ref="O108"/>
    <hyperlink r:id="rId327" ref="AE108"/>
    <hyperlink r:id="rId328" ref="AG108"/>
    <hyperlink r:id="rId329" ref="AH108"/>
    <hyperlink r:id="rId330" ref="AI108"/>
    <hyperlink r:id="rId331" ref="M109"/>
    <hyperlink r:id="rId332" ref="O109"/>
    <hyperlink r:id="rId333" ref="AE109"/>
    <hyperlink r:id="rId334" ref="AG109"/>
    <hyperlink r:id="rId335" ref="AH109"/>
    <hyperlink r:id="rId336" ref="AI109"/>
    <hyperlink r:id="rId337" ref="M110"/>
    <hyperlink r:id="rId338" ref="O110"/>
    <hyperlink r:id="rId339" ref="AE110"/>
    <hyperlink r:id="rId340" ref="AG110"/>
    <hyperlink r:id="rId341" ref="AH110"/>
    <hyperlink r:id="rId342" ref="AI110"/>
    <hyperlink r:id="rId343" ref="M111"/>
    <hyperlink r:id="rId344" ref="O111"/>
    <hyperlink r:id="rId345" ref="AE111"/>
    <hyperlink r:id="rId346" ref="AG111"/>
    <hyperlink r:id="rId347" ref="AH111"/>
    <hyperlink r:id="rId348" ref="AI111"/>
    <hyperlink r:id="rId349" ref="M112"/>
    <hyperlink r:id="rId350" ref="O112"/>
    <hyperlink r:id="rId351" ref="AE112"/>
    <hyperlink r:id="rId352" ref="AG112"/>
    <hyperlink r:id="rId353" ref="AH112"/>
    <hyperlink r:id="rId354" ref="AI112"/>
    <hyperlink r:id="rId355" ref="M113"/>
    <hyperlink r:id="rId356" ref="O113"/>
    <hyperlink r:id="rId357" ref="AE113"/>
    <hyperlink r:id="rId358" ref="AG113"/>
    <hyperlink r:id="rId359" ref="AH113"/>
    <hyperlink r:id="rId360" ref="AI113"/>
    <hyperlink r:id="rId361" ref="M114"/>
    <hyperlink r:id="rId362" ref="O114"/>
    <hyperlink r:id="rId363" ref="AE114"/>
    <hyperlink r:id="rId364" ref="AG114"/>
    <hyperlink r:id="rId365" ref="AH114"/>
    <hyperlink r:id="rId366" ref="AI114"/>
    <hyperlink r:id="rId367" ref="M115"/>
    <hyperlink r:id="rId368" ref="O115"/>
    <hyperlink r:id="rId369" ref="AE115"/>
    <hyperlink r:id="rId370" ref="AG115"/>
    <hyperlink r:id="rId371" ref="AH115"/>
    <hyperlink r:id="rId372" ref="AI115"/>
    <hyperlink r:id="rId373" ref="M116"/>
    <hyperlink r:id="rId374" ref="O116"/>
    <hyperlink r:id="rId375" ref="AE116"/>
    <hyperlink r:id="rId376" ref="AG116"/>
    <hyperlink r:id="rId377" ref="AH116"/>
    <hyperlink r:id="rId378" ref="AI116"/>
    <hyperlink r:id="rId379" ref="M117"/>
    <hyperlink r:id="rId380" ref="O117"/>
    <hyperlink r:id="rId381" ref="AE117"/>
    <hyperlink r:id="rId382" ref="AG117"/>
    <hyperlink r:id="rId383" ref="AH117"/>
    <hyperlink r:id="rId384" ref="AI117"/>
    <hyperlink r:id="rId385" ref="M118"/>
    <hyperlink r:id="rId386" ref="O118"/>
    <hyperlink r:id="rId387" ref="AE118"/>
    <hyperlink r:id="rId388" ref="AG118"/>
    <hyperlink r:id="rId389" ref="AH118"/>
    <hyperlink r:id="rId390" ref="AI118"/>
    <hyperlink r:id="rId391" ref="M119"/>
    <hyperlink r:id="rId392" ref="O119"/>
    <hyperlink r:id="rId393" ref="AE119"/>
    <hyperlink r:id="rId394" ref="AG119"/>
    <hyperlink r:id="rId395" ref="AH119"/>
    <hyperlink r:id="rId396" ref="AI119"/>
    <hyperlink r:id="rId397" ref="M120"/>
    <hyperlink r:id="rId398" ref="O120"/>
    <hyperlink r:id="rId399" ref="AE120"/>
    <hyperlink r:id="rId400" ref="AG120"/>
    <hyperlink r:id="rId401" ref="AH120"/>
    <hyperlink r:id="rId402" ref="AI120"/>
    <hyperlink r:id="rId403" ref="M121"/>
    <hyperlink r:id="rId404" ref="O121"/>
    <hyperlink r:id="rId405" ref="AE121"/>
    <hyperlink r:id="rId406" ref="AG121"/>
    <hyperlink r:id="rId407" ref="AH121"/>
    <hyperlink r:id="rId408" ref="AI121"/>
    <hyperlink r:id="rId409" ref="M122"/>
    <hyperlink r:id="rId410" ref="O122"/>
    <hyperlink r:id="rId411" ref="AE122"/>
    <hyperlink r:id="rId412" ref="AG122"/>
    <hyperlink r:id="rId413" ref="AH122"/>
    <hyperlink r:id="rId414" ref="AI122"/>
    <hyperlink r:id="rId415" ref="AE123"/>
    <hyperlink r:id="rId416" ref="AG123"/>
    <hyperlink r:id="rId417" ref="AI123"/>
    <hyperlink r:id="rId418" ref="AE124"/>
    <hyperlink r:id="rId419" ref="AG124"/>
    <hyperlink r:id="rId420" ref="AI124"/>
    <hyperlink r:id="rId421" ref="AE125"/>
    <hyperlink r:id="rId422" ref="AG125"/>
    <hyperlink r:id="rId423" ref="AI125"/>
    <hyperlink r:id="rId424" ref="AE126"/>
    <hyperlink r:id="rId425" ref="AG126"/>
    <hyperlink r:id="rId426" ref="AI126"/>
    <hyperlink r:id="rId427" ref="AE127"/>
    <hyperlink r:id="rId428" ref="AG127"/>
    <hyperlink r:id="rId429" ref="AI127"/>
    <hyperlink r:id="rId430" ref="AE128"/>
    <hyperlink r:id="rId431" ref="AG128"/>
    <hyperlink r:id="rId432" ref="AI128"/>
    <hyperlink r:id="rId433" ref="AE129"/>
    <hyperlink r:id="rId434" ref="AG129"/>
    <hyperlink r:id="rId435" ref="AI129"/>
    <hyperlink r:id="rId436" ref="AE130"/>
    <hyperlink r:id="rId437" ref="AG130"/>
    <hyperlink r:id="rId438" ref="AI130"/>
    <hyperlink r:id="rId439" ref="AE131"/>
    <hyperlink r:id="rId440" ref="AG131"/>
    <hyperlink r:id="rId441" ref="AI131"/>
    <hyperlink r:id="rId442" ref="AE132"/>
    <hyperlink r:id="rId443" ref="AG132"/>
    <hyperlink r:id="rId444" ref="AI132"/>
    <hyperlink r:id="rId445" ref="AE134"/>
    <hyperlink r:id="rId446" ref="AG134"/>
    <hyperlink r:id="rId447" ref="AI134"/>
    <hyperlink r:id="rId448" ref="AE136"/>
    <hyperlink r:id="rId449" ref="AG136"/>
    <hyperlink r:id="rId450" ref="AI136"/>
    <hyperlink r:id="rId451" ref="AE137"/>
    <hyperlink r:id="rId452" ref="AG137"/>
    <hyperlink r:id="rId453" ref="AI137"/>
    <hyperlink r:id="rId454" ref="AE138"/>
    <hyperlink r:id="rId455" ref="AG138"/>
    <hyperlink r:id="rId456" ref="AI138"/>
    <hyperlink r:id="rId457" ref="AE139"/>
    <hyperlink r:id="rId458" ref="AG139"/>
    <hyperlink r:id="rId459" ref="AI139"/>
    <hyperlink r:id="rId460" ref="AE140"/>
    <hyperlink r:id="rId461" ref="AG140"/>
    <hyperlink r:id="rId462" ref="AI140"/>
    <hyperlink r:id="rId463" ref="AE141"/>
    <hyperlink r:id="rId464" ref="AG141"/>
    <hyperlink r:id="rId465" ref="AI141"/>
    <hyperlink r:id="rId466" ref="AE142"/>
    <hyperlink r:id="rId467" ref="AG142"/>
    <hyperlink r:id="rId468" ref="AI142"/>
    <hyperlink r:id="rId469" ref="AE143"/>
    <hyperlink r:id="rId470" ref="AG143"/>
    <hyperlink r:id="rId471" ref="AI143"/>
    <hyperlink r:id="rId472" ref="AE145"/>
    <hyperlink r:id="rId473" ref="AG145"/>
    <hyperlink r:id="rId474" ref="AI145"/>
    <hyperlink r:id="rId475" ref="AE147"/>
    <hyperlink r:id="rId476" ref="AG147"/>
    <hyperlink r:id="rId477" ref="AI147"/>
    <hyperlink r:id="rId478" ref="AE149"/>
    <hyperlink r:id="rId479" ref="AG149"/>
    <hyperlink r:id="rId480" ref="AI149"/>
    <hyperlink r:id="rId481" ref="AE150"/>
    <hyperlink r:id="rId482" ref="AG150"/>
    <hyperlink r:id="rId483" ref="AI150"/>
    <hyperlink r:id="rId484" ref="AE151"/>
    <hyperlink r:id="rId485" ref="AG151"/>
    <hyperlink r:id="rId486" ref="AI151"/>
    <hyperlink r:id="rId487" ref="AE152"/>
    <hyperlink r:id="rId488" ref="AG152"/>
    <hyperlink r:id="rId489" ref="AI152"/>
    <hyperlink r:id="rId490" ref="AE153"/>
    <hyperlink r:id="rId491" ref="AG153"/>
    <hyperlink r:id="rId492" ref="AI153"/>
    <hyperlink r:id="rId493" ref="AE154"/>
    <hyperlink r:id="rId494" ref="AG154"/>
    <hyperlink r:id="rId495" ref="AI154"/>
    <hyperlink r:id="rId496" ref="AE155"/>
    <hyperlink r:id="rId497" ref="AG155"/>
    <hyperlink r:id="rId498" ref="AI155"/>
    <hyperlink r:id="rId499" ref="AE156"/>
    <hyperlink r:id="rId500" ref="AG156"/>
    <hyperlink r:id="rId501" ref="AI156"/>
    <hyperlink r:id="rId502" ref="AE157"/>
    <hyperlink r:id="rId503" ref="AG157"/>
    <hyperlink r:id="rId504" ref="AI157"/>
    <hyperlink r:id="rId505" ref="AE158"/>
    <hyperlink r:id="rId506" ref="AG158"/>
    <hyperlink r:id="rId507" ref="AI158"/>
    <hyperlink r:id="rId508" ref="AE160"/>
    <hyperlink r:id="rId509" ref="AG160"/>
    <hyperlink r:id="rId510" ref="AI160"/>
    <hyperlink r:id="rId511" ref="AF205"/>
    <hyperlink r:id="rId512" ref="AH205"/>
    <hyperlink r:id="rId513" ref="M206"/>
    <hyperlink r:id="rId514" ref="N206"/>
    <hyperlink r:id="rId515" ref="AF207"/>
    <hyperlink r:id="rId516" ref="AH207"/>
    <hyperlink r:id="rId517" ref="AF208"/>
    <hyperlink r:id="rId518" ref="AH208"/>
    <hyperlink r:id="rId519" ref="M209"/>
    <hyperlink r:id="rId520" ref="N209"/>
    <hyperlink r:id="rId521" ref="AF210"/>
    <hyperlink r:id="rId522" ref="AH210"/>
    <hyperlink r:id="rId523" ref="AF211"/>
    <hyperlink r:id="rId524" ref="AH211"/>
    <hyperlink r:id="rId525" ref="M212"/>
    <hyperlink r:id="rId526" ref="N212"/>
    <hyperlink r:id="rId527" ref="AF213"/>
    <hyperlink r:id="rId528" ref="AH213"/>
    <hyperlink r:id="rId529" ref="M214"/>
    <hyperlink r:id="rId530" ref="N214"/>
    <hyperlink r:id="rId531" ref="M215"/>
    <hyperlink r:id="rId532" ref="N215"/>
    <hyperlink r:id="rId533" ref="AF216"/>
    <hyperlink r:id="rId534" ref="AH216"/>
    <hyperlink r:id="rId535" ref="M217"/>
    <hyperlink r:id="rId536" ref="N217"/>
    <hyperlink r:id="rId537" ref="AF218"/>
    <hyperlink r:id="rId538" ref="AH218"/>
    <hyperlink r:id="rId539" ref="M219"/>
    <hyperlink r:id="rId540" ref="N219"/>
    <hyperlink r:id="rId541" ref="AF220"/>
    <hyperlink r:id="rId542" ref="AH220"/>
    <hyperlink r:id="rId543" ref="M221"/>
    <hyperlink r:id="rId544" ref="N221"/>
    <hyperlink r:id="rId545" ref="M222"/>
    <hyperlink r:id="rId546" ref="N222"/>
    <hyperlink r:id="rId547" ref="F223"/>
    <hyperlink r:id="rId548" ref="AF223"/>
    <hyperlink r:id="rId549" ref="AH223"/>
    <hyperlink r:id="rId550" ref="M224"/>
    <hyperlink r:id="rId551" ref="N224"/>
    <hyperlink r:id="rId552" ref="M225"/>
    <hyperlink r:id="rId553" ref="N225"/>
    <hyperlink r:id="rId554" ref="M226"/>
    <hyperlink r:id="rId555" ref="N226"/>
    <hyperlink r:id="rId556" ref="M227"/>
    <hyperlink r:id="rId557" ref="N227"/>
    <hyperlink r:id="rId558" ref="M228"/>
    <hyperlink r:id="rId559" ref="N228"/>
    <hyperlink r:id="rId560" ref="M229"/>
    <hyperlink r:id="rId561" ref="N229"/>
    <hyperlink r:id="rId562" ref="M230"/>
    <hyperlink r:id="rId563" ref="N230"/>
    <hyperlink r:id="rId564" ref="AF231"/>
    <hyperlink r:id="rId565" ref="AH231"/>
    <hyperlink r:id="rId566" ref="AF232"/>
    <hyperlink r:id="rId567" ref="AH232"/>
    <hyperlink r:id="rId568" ref="AF233"/>
    <hyperlink r:id="rId569" ref="AH233"/>
    <hyperlink r:id="rId570" ref="AF234"/>
    <hyperlink r:id="rId571" ref="AH234"/>
    <hyperlink r:id="rId572" ref="M235"/>
    <hyperlink r:id="rId573" ref="N235"/>
    <hyperlink r:id="rId574" ref="N236"/>
    <hyperlink r:id="rId575" ref="AF236"/>
    <hyperlink r:id="rId576" ref="AH236"/>
    <hyperlink r:id="rId577" ref="M237"/>
    <hyperlink r:id="rId578" ref="N237"/>
    <hyperlink r:id="rId579" ref="M238"/>
    <hyperlink r:id="rId580" ref="N238"/>
    <hyperlink r:id="rId581" ref="M239"/>
    <hyperlink r:id="rId582" ref="N239"/>
    <hyperlink r:id="rId583" ref="M240"/>
    <hyperlink r:id="rId584" ref="N240"/>
    <hyperlink r:id="rId585" ref="M241"/>
    <hyperlink r:id="rId586" ref="N241"/>
    <hyperlink r:id="rId587" ref="M242"/>
    <hyperlink r:id="rId588" ref="N242"/>
    <hyperlink r:id="rId589" ref="M243"/>
    <hyperlink r:id="rId590" ref="N243"/>
    <hyperlink r:id="rId591" ref="AF244"/>
    <hyperlink r:id="rId592" ref="AH244"/>
    <hyperlink r:id="rId593" ref="AF245"/>
    <hyperlink r:id="rId594" ref="AH245"/>
    <hyperlink r:id="rId595" ref="AF246"/>
    <hyperlink r:id="rId596" ref="AH246"/>
    <hyperlink r:id="rId597" ref="AF247"/>
    <hyperlink r:id="rId598" ref="AH247"/>
    <hyperlink r:id="rId599" ref="AF248"/>
    <hyperlink r:id="rId600" ref="AH248"/>
    <hyperlink r:id="rId601" ref="AF249"/>
    <hyperlink r:id="rId602" ref="AH249"/>
    <hyperlink r:id="rId603" ref="AF250"/>
    <hyperlink r:id="rId604" ref="AH250"/>
    <hyperlink r:id="rId605" ref="AF251"/>
    <hyperlink r:id="rId606" ref="AH251"/>
    <hyperlink r:id="rId607" ref="AF252"/>
    <hyperlink r:id="rId608" ref="AH252"/>
    <hyperlink r:id="rId609" ref="AF253"/>
    <hyperlink r:id="rId610" ref="AH253"/>
    <hyperlink r:id="rId611" ref="AF254"/>
    <hyperlink r:id="rId612" ref="AH254"/>
    <hyperlink r:id="rId613" ref="AF255"/>
    <hyperlink r:id="rId614" ref="AH255"/>
    <hyperlink r:id="rId615" ref="AF256"/>
    <hyperlink r:id="rId616" ref="AH256"/>
    <hyperlink r:id="rId617" ref="M257"/>
    <hyperlink r:id="rId618" ref="N257"/>
    <hyperlink r:id="rId619" ref="M258"/>
    <hyperlink r:id="rId620" ref="N258"/>
    <hyperlink r:id="rId621" ref="M259"/>
    <hyperlink r:id="rId622" ref="N259"/>
    <hyperlink r:id="rId623" ref="AE259"/>
    <hyperlink r:id="rId624" ref="AF259"/>
    <hyperlink r:id="rId625" ref="AG259"/>
    <hyperlink r:id="rId626" ref="M260"/>
    <hyperlink r:id="rId627" ref="M261"/>
    <hyperlink r:id="rId628" ref="N261"/>
    <hyperlink r:id="rId629" ref="AE261"/>
    <hyperlink r:id="rId630" ref="AF261"/>
    <hyperlink r:id="rId631" ref="AG261"/>
    <hyperlink r:id="rId632" ref="AH261"/>
    <hyperlink r:id="rId633" ref="M262"/>
    <hyperlink r:id="rId634" ref="N262"/>
    <hyperlink r:id="rId635" ref="AE262"/>
    <hyperlink r:id="rId636" ref="AF262"/>
    <hyperlink r:id="rId637" ref="AG262"/>
    <hyperlink r:id="rId638" ref="AH262"/>
    <hyperlink r:id="rId639" ref="M263"/>
    <hyperlink r:id="rId640" ref="N263"/>
    <hyperlink r:id="rId641" ref="AE263"/>
    <hyperlink r:id="rId642" ref="AF263"/>
    <hyperlink r:id="rId643" ref="AG263"/>
    <hyperlink r:id="rId644" ref="AH263"/>
    <hyperlink r:id="rId645" ref="M264"/>
    <hyperlink r:id="rId646" ref="AF264"/>
    <hyperlink r:id="rId647" ref="AE265"/>
    <hyperlink r:id="rId648" ref="AF265"/>
    <hyperlink r:id="rId649" ref="AH265"/>
    <hyperlink r:id="rId650" ref="AE266"/>
    <hyperlink r:id="rId651" ref="AF266"/>
    <hyperlink r:id="rId652" ref="AH266"/>
    <hyperlink r:id="rId653" ref="AE267"/>
    <hyperlink r:id="rId654" ref="AF267"/>
    <hyperlink r:id="rId655" ref="AH267"/>
    <hyperlink r:id="rId656" ref="AE268"/>
    <hyperlink r:id="rId657" ref="AF268"/>
    <hyperlink r:id="rId658" ref="AE269"/>
    <hyperlink r:id="rId659" ref="AF269"/>
    <hyperlink r:id="rId660" ref="AE270"/>
    <hyperlink r:id="rId661" ref="AF270"/>
    <hyperlink r:id="rId662" ref="AH270"/>
    <hyperlink r:id="rId663" ref="AE271"/>
    <hyperlink r:id="rId664" ref="AF271"/>
    <hyperlink r:id="rId665" ref="AH271"/>
    <hyperlink r:id="rId666" ref="AE272"/>
    <hyperlink r:id="rId667" ref="AF272"/>
    <hyperlink r:id="rId668" ref="AH272"/>
    <hyperlink r:id="rId669" ref="AE273"/>
    <hyperlink r:id="rId670" ref="AF273"/>
    <hyperlink r:id="rId671" ref="AH273"/>
    <hyperlink r:id="rId672" ref="AE274"/>
    <hyperlink r:id="rId673" ref="AF274"/>
    <hyperlink r:id="rId674" ref="AH274"/>
    <hyperlink r:id="rId675" ref="AE275"/>
    <hyperlink r:id="rId676" ref="AF275"/>
    <hyperlink r:id="rId677" ref="AH275"/>
    <hyperlink r:id="rId678" ref="AE276"/>
    <hyperlink r:id="rId679" ref="AF276"/>
    <hyperlink r:id="rId680" ref="AH276"/>
    <hyperlink r:id="rId681" ref="AE277"/>
    <hyperlink r:id="rId682" ref="AF277"/>
    <hyperlink r:id="rId683" ref="AH277"/>
    <hyperlink r:id="rId684" ref="AF291"/>
    <hyperlink r:id="rId685" ref="AH291"/>
  </hyperlinks>
  <drawing r:id="rId68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9.75"/>
    <col customWidth="1" min="8" max="8" width="28.63"/>
    <col customWidth="1" min="9" max="26" width="19.75"/>
  </cols>
  <sheetData>
    <row r="1">
      <c r="H1" s="168"/>
    </row>
    <row r="2">
      <c r="A2" s="194" t="str">
        <f>IFERROR(__xludf.DUMMYFUNCTION("IMPORTRANGE(""https://docs.google.com/spreadsheets/d/1-KhOXA7ddj5Ur8qhPPG05l0gK73D2rZMxNDvUjBChTs/edit?gid=755373771#gid=755373771"",""MP SKUS NEW!A1:L270"")"),"GPN")</f>
        <v>GPN</v>
      </c>
      <c r="B2" s="182" t="str">
        <f>IFERROR(__xludf.DUMMYFUNCTION("""COMPUTED_VALUE"""),"Description")</f>
        <v>Description</v>
      </c>
      <c r="C2" s="182"/>
      <c r="D2" s="182"/>
      <c r="E2" s="182" t="str">
        <f>IFERROR(__xludf.DUMMYFUNCTION("""COMPUTED_VALUE"""),"Color")</f>
        <v>Color</v>
      </c>
      <c r="F2" s="182" t="str">
        <f>IFERROR(__xludf.DUMMYFUNCTION("""COMPUTED_VALUE"""),"UFS")</f>
        <v>UFS</v>
      </c>
      <c r="G2" s="182" t="str">
        <f>IFERROR(__xludf.DUMMYFUNCTION("""COMPUTED_VALUE"""),"Region")</f>
        <v>Region</v>
      </c>
      <c r="H2" s="168" t="str">
        <f>IFERROR(__xludf.DUMMYFUNCTION("""COMPUTED_VALUE"""),"UPC")</f>
        <v>UPC</v>
      </c>
      <c r="I2" s="182" t="str">
        <f>IFERROR(__xludf.DUMMYFUNCTION("""COMPUTED_VALUE"""),"EAN")</f>
        <v>EAN</v>
      </c>
      <c r="J2" s="182" t="str">
        <f>IFERROR(__xludf.DUMMYFUNCTION("""COMPUTED_VALUE"""),"C-SKU")</f>
        <v>C-SKU</v>
      </c>
      <c r="K2" s="182" t="str">
        <f>IFERROR(__xludf.DUMMYFUNCTION("""COMPUTED_VALUE"""),"Model ID")</f>
        <v>Model ID</v>
      </c>
      <c r="L2" s="182" t="str">
        <f>IFERROR(__xludf.DUMMYFUNCTION("""COMPUTED_VALUE"""),"TAC")</f>
        <v>TAC</v>
      </c>
    </row>
    <row r="3">
      <c r="A3" s="182" t="str">
        <f>IFERROR(__xludf.DUMMYFUNCTION("""COMPUTED_VALUE"""),"GA09187-US")</f>
        <v>GA09187-US</v>
      </c>
      <c r="B3" s="182" t="str">
        <f>IFERROR(__xludf.DUMMYFUNCTION("""COMPUTED_VALUE"""),"SKU,CLR1, GOOD, MMWAVE, VZW, BZ5")</f>
        <v>SKU,CLR1, GOOD, MMWAVE, VZW, BZ5</v>
      </c>
      <c r="C3" s="182" t="str">
        <f>IFERROR(__xludf.DUMMYFUNCTION("""COMPUTED_VALUE"""),"GOOD")</f>
        <v>GOOD</v>
      </c>
      <c r="D3" s="182" t="str">
        <f>IFERROR(__xludf.DUMMYFUNCTION("""COMPUTED_VALUE"""),"CLR1")</f>
        <v>CLR1</v>
      </c>
      <c r="E3" s="182" t="str">
        <f>IFERROR(__xludf.DUMMYFUNCTION("""COMPUTED_VALUE"""),"Midnight")</f>
        <v>Midnight</v>
      </c>
      <c r="F3" s="182" t="str">
        <f>IFERROR(__xludf.DUMMYFUNCTION("""COMPUTED_VALUE"""),"128GB")</f>
        <v>128GB</v>
      </c>
      <c r="G3" s="182" t="str">
        <f>IFERROR(__xludf.DUMMYFUNCTION("""COMPUTED_VALUE"""),"US-VZW")</f>
        <v>US-VZW</v>
      </c>
      <c r="H3" s="168">
        <f>IFERROR(__xludf.DUMMYFUNCTION("""COMPUTED_VALUE"""),8.40353926042E11)</f>
        <v>840353926042</v>
      </c>
      <c r="I3" s="185" t="str">
        <f>IFERROR(__xludf.DUMMYFUNCTION("""COMPUTED_VALUE"""),"0840353926042")</f>
        <v>0840353926042</v>
      </c>
      <c r="J3" s="182" t="str">
        <f>IFERROR(__xludf.DUMMYFUNCTION("""COMPUTED_VALUE"""),"#N/A")</f>
        <v>#N/A</v>
      </c>
      <c r="K3" s="182" t="str">
        <f>IFERROR(__xludf.DUMMYFUNCTION("""COMPUTED_VALUE"""),"G4QUR")</f>
        <v>G4QUR</v>
      </c>
      <c r="L3" s="182" t="str">
        <f>IFERROR(__xludf.DUMMYFUNCTION("""COMPUTED_VALUE"""),"VZW")</f>
        <v>VZW</v>
      </c>
    </row>
    <row r="4">
      <c r="A4" s="182" t="str">
        <f>IFERROR(__xludf.DUMMYFUNCTION("""COMPUTED_VALUE"""),"GA10275-US")</f>
        <v>GA10275-US</v>
      </c>
      <c r="B4" s="182" t="str">
        <f>IFERROR(__xludf.DUMMYFUNCTION("""COMPUTED_VALUE"""),"SKU,CLR2, GOOD, MMWAVE, VZW, US, BZ5")</f>
        <v>SKU,CLR2, GOOD, MMWAVE, VZW, US, BZ5</v>
      </c>
      <c r="C4" s="182" t="str">
        <f>IFERROR(__xludf.DUMMYFUNCTION("""COMPUTED_VALUE"""),"GOOD")</f>
        <v>GOOD</v>
      </c>
      <c r="D4" s="182" t="str">
        <f>IFERROR(__xludf.DUMMYFUNCTION("""COMPUTED_VALUE"""),"CLR2")</f>
        <v>CLR2</v>
      </c>
      <c r="E4" s="182" t="str">
        <f>IFERROR(__xludf.DUMMYFUNCTION("""COMPUTED_VALUE"""),"Light Porcelain")</f>
        <v>Light Porcelain</v>
      </c>
      <c r="F4" s="182" t="str">
        <f>IFERROR(__xludf.DUMMYFUNCTION("""COMPUTED_VALUE"""),"128GB")</f>
        <v>128GB</v>
      </c>
      <c r="G4" s="182" t="str">
        <f>IFERROR(__xludf.DUMMYFUNCTION("""COMPUTED_VALUE"""),"US-VZW")</f>
        <v>US-VZW</v>
      </c>
      <c r="H4" s="168">
        <f>IFERROR(__xludf.DUMMYFUNCTION("""COMPUTED_VALUE"""),8.40353926059E11)</f>
        <v>840353926059</v>
      </c>
      <c r="I4" s="185" t="str">
        <f>IFERROR(__xludf.DUMMYFUNCTION("""COMPUTED_VALUE"""),"0840353926059")</f>
        <v>0840353926059</v>
      </c>
      <c r="J4" s="182" t="str">
        <f>IFERROR(__xludf.DUMMYFUNCTION("""COMPUTED_VALUE"""),"#N/A")</f>
        <v>#N/A</v>
      </c>
      <c r="K4" s="182" t="str">
        <f>IFERROR(__xludf.DUMMYFUNCTION("""COMPUTED_VALUE"""),"G4QUR")</f>
        <v>G4QUR</v>
      </c>
      <c r="L4" s="182" t="str">
        <f>IFERROR(__xludf.DUMMYFUNCTION("""COMPUTED_VALUE"""),"VZW")</f>
        <v>VZW</v>
      </c>
    </row>
    <row r="5">
      <c r="A5" s="182" t="str">
        <f>IFERROR(__xludf.DUMMYFUNCTION("""COMPUTED_VALUE"""),"GA10276-US")</f>
        <v>GA10276-US</v>
      </c>
      <c r="B5" s="182" t="str">
        <f>IFERROR(__xludf.DUMMYFUNCTION("""COMPUTED_VALUE"""),"SKU,CLR3, GOOD, MMWAVE, VZW, US, BZ5")</f>
        <v>SKU,CLR3, GOOD, MMWAVE, VZW, US, BZ5</v>
      </c>
      <c r="C5" s="182" t="str">
        <f>IFERROR(__xludf.DUMMYFUNCTION("""COMPUTED_VALUE"""),"GOOD")</f>
        <v>GOOD</v>
      </c>
      <c r="D5" s="182" t="str">
        <f>IFERROR(__xludf.DUMMYFUNCTION("""COMPUTED_VALUE"""),"CLR3")</f>
        <v>CLR3</v>
      </c>
      <c r="E5" s="182" t="str">
        <f>IFERROR(__xludf.DUMMYFUNCTION("""COMPUTED_VALUE"""),"Sterling")</f>
        <v>Sterling</v>
      </c>
      <c r="F5" s="182" t="str">
        <f>IFERROR(__xludf.DUMMYFUNCTION("""COMPUTED_VALUE"""),"128GB")</f>
        <v>128GB</v>
      </c>
      <c r="G5" s="182" t="str">
        <f>IFERROR(__xludf.DUMMYFUNCTION("""COMPUTED_VALUE"""),"US-VZW")</f>
        <v>US-VZW</v>
      </c>
      <c r="H5" s="168">
        <f>IFERROR(__xludf.DUMMYFUNCTION("""COMPUTED_VALUE"""),8.40353926066E11)</f>
        <v>840353926066</v>
      </c>
      <c r="I5" s="185" t="str">
        <f>IFERROR(__xludf.DUMMYFUNCTION("""COMPUTED_VALUE"""),"0840353926066")</f>
        <v>0840353926066</v>
      </c>
      <c r="J5" s="182" t="str">
        <f>IFERROR(__xludf.DUMMYFUNCTION("""COMPUTED_VALUE"""),"#N/A")</f>
        <v>#N/A</v>
      </c>
      <c r="K5" s="182" t="str">
        <f>IFERROR(__xludf.DUMMYFUNCTION("""COMPUTED_VALUE"""),"G4QUR")</f>
        <v>G4QUR</v>
      </c>
      <c r="L5" s="182" t="str">
        <f>IFERROR(__xludf.DUMMYFUNCTION("""COMPUTED_VALUE"""),"VZW")</f>
        <v>VZW</v>
      </c>
    </row>
    <row r="6">
      <c r="A6" s="182" t="str">
        <f>IFERROR(__xludf.DUMMYFUNCTION("""COMPUTED_VALUE"""),"GA09896-US")</f>
        <v>GA09896-US</v>
      </c>
      <c r="B6" s="182" t="str">
        <f>IFERROR(__xludf.DUMMYFUNCTION("""COMPUTED_VALUE"""),"SKU,CLR1, BETTER, MMWAVE, VZW, BZ5")</f>
        <v>SKU,CLR1, BETTER, MMWAVE, VZW, BZ5</v>
      </c>
      <c r="C6" s="182" t="str">
        <f>IFERROR(__xludf.DUMMYFUNCTION("""COMPUTED_VALUE"""),"BETTER")</f>
        <v>BETTER</v>
      </c>
      <c r="D6" s="182" t="str">
        <f>IFERROR(__xludf.DUMMYFUNCTION("""COMPUTED_VALUE"""),"CLR1")</f>
        <v>CLR1</v>
      </c>
      <c r="E6" s="182" t="str">
        <f>IFERROR(__xludf.DUMMYFUNCTION("""COMPUTED_VALUE"""),"Midnight")</f>
        <v>Midnight</v>
      </c>
      <c r="F6" s="182" t="str">
        <f>IFERROR(__xludf.DUMMYFUNCTION("""COMPUTED_VALUE"""),"256GB")</f>
        <v>256GB</v>
      </c>
      <c r="G6" s="182" t="str">
        <f>IFERROR(__xludf.DUMMYFUNCTION("""COMPUTED_VALUE"""),"US-VZW")</f>
        <v>US-VZW</v>
      </c>
      <c r="H6" s="168">
        <f>IFERROR(__xludf.DUMMYFUNCTION("""COMPUTED_VALUE"""),8.40353925328E11)</f>
        <v>840353925328</v>
      </c>
      <c r="I6" s="185" t="str">
        <f>IFERROR(__xludf.DUMMYFUNCTION("""COMPUTED_VALUE"""),"0840353925328")</f>
        <v>0840353925328</v>
      </c>
      <c r="J6" s="182" t="str">
        <f>IFERROR(__xludf.DUMMYFUNCTION("""COMPUTED_VALUE"""),"#N/A")</f>
        <v>#N/A</v>
      </c>
      <c r="K6" s="182" t="str">
        <f>IFERROR(__xludf.DUMMYFUNCTION("""COMPUTED_VALUE"""),"G4QUR")</f>
        <v>G4QUR</v>
      </c>
      <c r="L6" s="182" t="str">
        <f>IFERROR(__xludf.DUMMYFUNCTION("""COMPUTED_VALUE"""),"VZW")</f>
        <v>VZW</v>
      </c>
    </row>
    <row r="7">
      <c r="A7" s="182" t="str">
        <f>IFERROR(__xludf.DUMMYFUNCTION("""COMPUTED_VALUE"""),"GA10277-US")</f>
        <v>GA10277-US</v>
      </c>
      <c r="B7" s="182" t="str">
        <f>IFERROR(__xludf.DUMMYFUNCTION("""COMPUTED_VALUE"""),"SKU,CLR2, BETTER, MMWAVE, VZW, US, BZ5")</f>
        <v>SKU,CLR2, BETTER, MMWAVE, VZW, US, BZ5</v>
      </c>
      <c r="C7" s="182" t="str">
        <f>IFERROR(__xludf.DUMMYFUNCTION("""COMPUTED_VALUE"""),"BETTER")</f>
        <v>BETTER</v>
      </c>
      <c r="D7" s="182" t="str">
        <f>IFERROR(__xludf.DUMMYFUNCTION("""COMPUTED_VALUE"""),"CLR2")</f>
        <v>CLR2</v>
      </c>
      <c r="E7" s="182" t="str">
        <f>IFERROR(__xludf.DUMMYFUNCTION("""COMPUTED_VALUE"""),"Light Porcelain")</f>
        <v>Light Porcelain</v>
      </c>
      <c r="F7" s="182" t="str">
        <f>IFERROR(__xludf.DUMMYFUNCTION("""COMPUTED_VALUE"""),"256GB")</f>
        <v>256GB</v>
      </c>
      <c r="G7" s="182" t="str">
        <f>IFERROR(__xludf.DUMMYFUNCTION("""COMPUTED_VALUE"""),"US-VZW")</f>
        <v>US-VZW</v>
      </c>
      <c r="H7" s="168">
        <f>IFERROR(__xludf.DUMMYFUNCTION("""COMPUTED_VALUE"""),8.40353925359E11)</f>
        <v>840353925359</v>
      </c>
      <c r="I7" s="185" t="str">
        <f>IFERROR(__xludf.DUMMYFUNCTION("""COMPUTED_VALUE"""),"0840353925359")</f>
        <v>0840353925359</v>
      </c>
      <c r="J7" s="182" t="str">
        <f>IFERROR(__xludf.DUMMYFUNCTION("""COMPUTED_VALUE"""),"#N/A")</f>
        <v>#N/A</v>
      </c>
      <c r="K7" s="182" t="str">
        <f>IFERROR(__xludf.DUMMYFUNCTION("""COMPUTED_VALUE"""),"G4QUR")</f>
        <v>G4QUR</v>
      </c>
      <c r="L7" s="182" t="str">
        <f>IFERROR(__xludf.DUMMYFUNCTION("""COMPUTED_VALUE"""),"VZW")</f>
        <v>VZW</v>
      </c>
    </row>
    <row r="8">
      <c r="A8" s="182" t="str">
        <f>IFERROR(__xludf.DUMMYFUNCTION("""COMPUTED_VALUE"""),"GA10278-US")</f>
        <v>GA10278-US</v>
      </c>
      <c r="B8" s="182" t="str">
        <f>IFERROR(__xludf.DUMMYFUNCTION("""COMPUTED_VALUE"""),"SKU,CLR3, BETTER, MMWAVE, VZW, US, BZ5")</f>
        <v>SKU,CLR3, BETTER, MMWAVE, VZW, US, BZ5</v>
      </c>
      <c r="C8" s="182" t="str">
        <f>IFERROR(__xludf.DUMMYFUNCTION("""COMPUTED_VALUE"""),"BETTER")</f>
        <v>BETTER</v>
      </c>
      <c r="D8" s="182" t="str">
        <f>IFERROR(__xludf.DUMMYFUNCTION("""COMPUTED_VALUE"""),"CLR3")</f>
        <v>CLR3</v>
      </c>
      <c r="E8" s="182" t="str">
        <f>IFERROR(__xludf.DUMMYFUNCTION("""COMPUTED_VALUE"""),"Sterling")</f>
        <v>Sterling</v>
      </c>
      <c r="F8" s="182" t="str">
        <f>IFERROR(__xludf.DUMMYFUNCTION("""COMPUTED_VALUE"""),"256GB")</f>
        <v>256GB</v>
      </c>
      <c r="G8" s="182" t="str">
        <f>IFERROR(__xludf.DUMMYFUNCTION("""COMPUTED_VALUE"""),"US-VZW")</f>
        <v>US-VZW</v>
      </c>
      <c r="H8" s="168">
        <f>IFERROR(__xludf.DUMMYFUNCTION("""COMPUTED_VALUE"""),8.40353925335E11)</f>
        <v>840353925335</v>
      </c>
      <c r="I8" s="185" t="str">
        <f>IFERROR(__xludf.DUMMYFUNCTION("""COMPUTED_VALUE"""),"0840353925335")</f>
        <v>0840353925335</v>
      </c>
      <c r="J8" s="182" t="str">
        <f>IFERROR(__xludf.DUMMYFUNCTION("""COMPUTED_VALUE"""),"#N/A")</f>
        <v>#N/A</v>
      </c>
      <c r="K8" s="182" t="str">
        <f>IFERROR(__xludf.DUMMYFUNCTION("""COMPUTED_VALUE"""),"G4QUR")</f>
        <v>G4QUR</v>
      </c>
      <c r="L8" s="182" t="str">
        <f>IFERROR(__xludf.DUMMYFUNCTION("""COMPUTED_VALUE"""),"VZW")</f>
        <v>VZW</v>
      </c>
    </row>
    <row r="9">
      <c r="A9" s="182" t="str">
        <f>IFERROR(__xludf.DUMMYFUNCTION("""COMPUTED_VALUE"""),"GA10279-US")</f>
        <v>GA10279-US</v>
      </c>
      <c r="B9" s="182" t="str">
        <f>IFERROR(__xludf.DUMMYFUNCTION("""COMPUTED_VALUE"""),"SKU,CLR4, BETTER, MMWAVE, VZW, US, BZ5")</f>
        <v>SKU,CLR4, BETTER, MMWAVE, VZW, US, BZ5</v>
      </c>
      <c r="C9" s="182" t="str">
        <f>IFERROR(__xludf.DUMMYFUNCTION("""COMPUTED_VALUE"""),"BETTER")</f>
        <v>BETTER</v>
      </c>
      <c r="D9" s="182" t="str">
        <f>IFERROR(__xludf.DUMMYFUNCTION("""COMPUTED_VALUE"""),"CLR4")</f>
        <v>CLR4</v>
      </c>
      <c r="E9" s="182" t="str">
        <f>IFERROR(__xludf.DUMMYFUNCTION("""COMPUTED_VALUE"""),"Smokey Green")</f>
        <v>Smokey Green</v>
      </c>
      <c r="F9" s="182" t="str">
        <f>IFERROR(__xludf.DUMMYFUNCTION("""COMPUTED_VALUE"""),"256GB")</f>
        <v>256GB</v>
      </c>
      <c r="G9" s="182" t="str">
        <f>IFERROR(__xludf.DUMMYFUNCTION("""COMPUTED_VALUE"""),"US-VZW")</f>
        <v>US-VZW</v>
      </c>
      <c r="H9" s="168">
        <f>IFERROR(__xludf.DUMMYFUNCTION("""COMPUTED_VALUE"""),8.40353925342E11)</f>
        <v>840353925342</v>
      </c>
      <c r="I9" s="185" t="str">
        <f>IFERROR(__xludf.DUMMYFUNCTION("""COMPUTED_VALUE"""),"0840353925342")</f>
        <v>0840353925342</v>
      </c>
      <c r="J9" s="182" t="str">
        <f>IFERROR(__xludf.DUMMYFUNCTION("""COMPUTED_VALUE"""),"#N/A")</f>
        <v>#N/A</v>
      </c>
      <c r="K9" s="182" t="str">
        <f>IFERROR(__xludf.DUMMYFUNCTION("""COMPUTED_VALUE"""),"G4QUR")</f>
        <v>G4QUR</v>
      </c>
      <c r="L9" s="182" t="str">
        <f>IFERROR(__xludf.DUMMYFUNCTION("""COMPUTED_VALUE"""),"VZW")</f>
        <v>VZW</v>
      </c>
    </row>
    <row r="10">
      <c r="A10" s="182" t="str">
        <f>IFERROR(__xludf.DUMMYFUNCTION("""COMPUTED_VALUE"""),"GA09905-US")</f>
        <v>GA09905-US</v>
      </c>
      <c r="B10" s="182" t="str">
        <f>IFERROR(__xludf.DUMMYFUNCTION("""COMPUTED_VALUE"""),"SKU,CLR1, BEST, MMWAVE, VZW, BZ5")</f>
        <v>SKU,CLR1, BEST, MMWAVE, VZW, BZ5</v>
      </c>
      <c r="C10" s="182" t="str">
        <f>IFERROR(__xludf.DUMMYFUNCTION("""COMPUTED_VALUE"""),"BEST")</f>
        <v>BEST</v>
      </c>
      <c r="D10" s="182" t="str">
        <f>IFERROR(__xludf.DUMMYFUNCTION("""COMPUTED_VALUE"""),"CLR1")</f>
        <v>CLR1</v>
      </c>
      <c r="E10" s="182" t="str">
        <f>IFERROR(__xludf.DUMMYFUNCTION("""COMPUTED_VALUE"""),"Midnight")</f>
        <v>Midnight</v>
      </c>
      <c r="F10" s="182" t="str">
        <f>IFERROR(__xludf.DUMMYFUNCTION("""COMPUTED_VALUE"""),"512GB")</f>
        <v>512GB</v>
      </c>
      <c r="G10" s="182" t="str">
        <f>IFERROR(__xludf.DUMMYFUNCTION("""COMPUTED_VALUE"""),"US-VZW")</f>
        <v>US-VZW</v>
      </c>
      <c r="H10" s="168">
        <f>IFERROR(__xludf.DUMMYFUNCTION("""COMPUTED_VALUE"""),8.403539257E11)</f>
        <v>840353925700</v>
      </c>
      <c r="I10" s="185" t="str">
        <f>IFERROR(__xludf.DUMMYFUNCTION("""COMPUTED_VALUE"""),"0840353925700")</f>
        <v>0840353925700</v>
      </c>
      <c r="J10" s="182" t="str">
        <f>IFERROR(__xludf.DUMMYFUNCTION("""COMPUTED_VALUE"""),"#N/A")</f>
        <v>#N/A</v>
      </c>
      <c r="K10" s="182" t="str">
        <f>IFERROR(__xludf.DUMMYFUNCTION("""COMPUTED_VALUE"""),"G4QUR")</f>
        <v>G4QUR</v>
      </c>
      <c r="L10" s="182" t="str">
        <f>IFERROR(__xludf.DUMMYFUNCTION("""COMPUTED_VALUE"""),"VZW")</f>
        <v>VZW</v>
      </c>
    </row>
    <row r="11">
      <c r="A11" s="182" t="str">
        <f>IFERROR(__xludf.DUMMYFUNCTION("""COMPUTED_VALUE"""),"GA10280-US")</f>
        <v>GA10280-US</v>
      </c>
      <c r="B11" s="182" t="str">
        <f>IFERROR(__xludf.DUMMYFUNCTION("""COMPUTED_VALUE"""),"SKU,CLR2, BEST, MMWAVE, VZW, US, BZ5")</f>
        <v>SKU,CLR2, BEST, MMWAVE, VZW, US, BZ5</v>
      </c>
      <c r="C11" s="182" t="str">
        <f>IFERROR(__xludf.DUMMYFUNCTION("""COMPUTED_VALUE"""),"BEST")</f>
        <v>BEST</v>
      </c>
      <c r="D11" s="182" t="str">
        <f>IFERROR(__xludf.DUMMYFUNCTION("""COMPUTED_VALUE"""),"CLR2")</f>
        <v>CLR2</v>
      </c>
      <c r="E11" s="182" t="str">
        <f>IFERROR(__xludf.DUMMYFUNCTION("""COMPUTED_VALUE"""),"Light Porcelain")</f>
        <v>Light Porcelain</v>
      </c>
      <c r="F11" s="182" t="str">
        <f>IFERROR(__xludf.DUMMYFUNCTION("""COMPUTED_VALUE"""),"512GB")</f>
        <v>512GB</v>
      </c>
      <c r="G11" s="182" t="str">
        <f>IFERROR(__xludf.DUMMYFUNCTION("""COMPUTED_VALUE"""),"US-VZW")</f>
        <v>US-VZW</v>
      </c>
      <c r="H11" s="168">
        <f>IFERROR(__xludf.DUMMYFUNCTION("""COMPUTED_VALUE"""),8.40353925731E11)</f>
        <v>840353925731</v>
      </c>
      <c r="I11" s="185" t="str">
        <f>IFERROR(__xludf.DUMMYFUNCTION("""COMPUTED_VALUE"""),"0840353925731")</f>
        <v>0840353925731</v>
      </c>
      <c r="J11" s="182" t="str">
        <f>IFERROR(__xludf.DUMMYFUNCTION("""COMPUTED_VALUE"""),"#N/A")</f>
        <v>#N/A</v>
      </c>
      <c r="K11" s="182" t="str">
        <f>IFERROR(__xludf.DUMMYFUNCTION("""COMPUTED_VALUE"""),"G4QUR")</f>
        <v>G4QUR</v>
      </c>
      <c r="L11" s="182" t="str">
        <f>IFERROR(__xludf.DUMMYFUNCTION("""COMPUTED_VALUE"""),"VZW")</f>
        <v>VZW</v>
      </c>
    </row>
    <row r="12">
      <c r="A12" s="182" t="str">
        <f>IFERROR(__xludf.DUMMYFUNCTION("""COMPUTED_VALUE"""),"GA10281-US")</f>
        <v>GA10281-US</v>
      </c>
      <c r="B12" s="182" t="str">
        <f>IFERROR(__xludf.DUMMYFUNCTION("""COMPUTED_VALUE"""),"SKU,CLR3, BEST, MMWAVE, VZW, US, BZ5")</f>
        <v>SKU,CLR3, BEST, MMWAVE, VZW, US, BZ5</v>
      </c>
      <c r="C12" s="182" t="str">
        <f>IFERROR(__xludf.DUMMYFUNCTION("""COMPUTED_VALUE"""),"BEST")</f>
        <v>BEST</v>
      </c>
      <c r="D12" s="182" t="str">
        <f>IFERROR(__xludf.DUMMYFUNCTION("""COMPUTED_VALUE"""),"CLR3")</f>
        <v>CLR3</v>
      </c>
      <c r="E12" s="182" t="str">
        <f>IFERROR(__xludf.DUMMYFUNCTION("""COMPUTED_VALUE"""),"Sterling")</f>
        <v>Sterling</v>
      </c>
      <c r="F12" s="182" t="str">
        <f>IFERROR(__xludf.DUMMYFUNCTION("""COMPUTED_VALUE"""),"512GB")</f>
        <v>512GB</v>
      </c>
      <c r="G12" s="182" t="str">
        <f>IFERROR(__xludf.DUMMYFUNCTION("""COMPUTED_VALUE"""),"US-VZW")</f>
        <v>US-VZW</v>
      </c>
      <c r="H12" s="168">
        <f>IFERROR(__xludf.DUMMYFUNCTION("""COMPUTED_VALUE"""),8.40353925724E11)</f>
        <v>840353925724</v>
      </c>
      <c r="I12" s="185" t="str">
        <f>IFERROR(__xludf.DUMMYFUNCTION("""COMPUTED_VALUE"""),"0840353925724")</f>
        <v>0840353925724</v>
      </c>
      <c r="J12" s="182" t="str">
        <f>IFERROR(__xludf.DUMMYFUNCTION("""COMPUTED_VALUE"""),"#N/A")</f>
        <v>#N/A</v>
      </c>
      <c r="K12" s="182" t="str">
        <f>IFERROR(__xludf.DUMMYFUNCTION("""COMPUTED_VALUE"""),"G4QUR")</f>
        <v>G4QUR</v>
      </c>
      <c r="L12" s="182" t="str">
        <f>IFERROR(__xludf.DUMMYFUNCTION("""COMPUTED_VALUE"""),"VZW")</f>
        <v>VZW</v>
      </c>
    </row>
    <row r="13">
      <c r="A13" s="182" t="str">
        <f>IFERROR(__xludf.DUMMYFUNCTION("""COMPUTED_VALUE"""),"GA10282-US")</f>
        <v>GA10282-US</v>
      </c>
      <c r="B13" s="182" t="str">
        <f>IFERROR(__xludf.DUMMYFUNCTION("""COMPUTED_VALUE"""),"SKU,CLR4, BEST, MMWAVE, VZW, US, BZ5")</f>
        <v>SKU,CLR4, BEST, MMWAVE, VZW, US, BZ5</v>
      </c>
      <c r="C13" s="182" t="str">
        <f>IFERROR(__xludf.DUMMYFUNCTION("""COMPUTED_VALUE"""),"BEST")</f>
        <v>BEST</v>
      </c>
      <c r="D13" s="182" t="str">
        <f>IFERROR(__xludf.DUMMYFUNCTION("""COMPUTED_VALUE"""),"CLR4")</f>
        <v>CLR4</v>
      </c>
      <c r="E13" s="182" t="str">
        <f>IFERROR(__xludf.DUMMYFUNCTION("""COMPUTED_VALUE"""),"Smokey Green")</f>
        <v>Smokey Green</v>
      </c>
      <c r="F13" s="182" t="str">
        <f>IFERROR(__xludf.DUMMYFUNCTION("""COMPUTED_VALUE"""),"512GB")</f>
        <v>512GB</v>
      </c>
      <c r="G13" s="182" t="str">
        <f>IFERROR(__xludf.DUMMYFUNCTION("""COMPUTED_VALUE"""),"US-VZW")</f>
        <v>US-VZW</v>
      </c>
      <c r="H13" s="168">
        <f>IFERROR(__xludf.DUMMYFUNCTION("""COMPUTED_VALUE"""),8.40353925717E11)</f>
        <v>840353925717</v>
      </c>
      <c r="I13" s="185" t="str">
        <f>IFERROR(__xludf.DUMMYFUNCTION("""COMPUTED_VALUE"""),"0840353925717")</f>
        <v>0840353925717</v>
      </c>
      <c r="J13" s="182" t="str">
        <f>IFERROR(__xludf.DUMMYFUNCTION("""COMPUTED_VALUE"""),"#N/A")</f>
        <v>#N/A</v>
      </c>
      <c r="K13" s="182" t="str">
        <f>IFERROR(__xludf.DUMMYFUNCTION("""COMPUTED_VALUE"""),"G4QUR")</f>
        <v>G4QUR</v>
      </c>
      <c r="L13" s="182" t="str">
        <f>IFERROR(__xludf.DUMMYFUNCTION("""COMPUTED_VALUE"""),"VZW")</f>
        <v>VZW</v>
      </c>
    </row>
    <row r="14">
      <c r="A14" s="182" t="str">
        <f>IFERROR(__xludf.DUMMYFUNCTION("""COMPUTED_VALUE"""),"GA09930-US")</f>
        <v>GA09930-US</v>
      </c>
      <c r="B14" s="182" t="str">
        <f>IFERROR(__xludf.DUMMYFUNCTION("""COMPUTED_VALUE"""),"SKU,CLR1, ULTRA, MMWAVE, VZW, BZ5")</f>
        <v>SKU,CLR1, ULTRA, MMWAVE, VZW, BZ5</v>
      </c>
      <c r="C14" s="182" t="str">
        <f>IFERROR(__xludf.DUMMYFUNCTION("""COMPUTED_VALUE"""),"ULTRA")</f>
        <v>ULTRA</v>
      </c>
      <c r="D14" s="182" t="str">
        <f>IFERROR(__xludf.DUMMYFUNCTION("""COMPUTED_VALUE"""),"CLR1")</f>
        <v>CLR1</v>
      </c>
      <c r="E14" s="182" t="str">
        <f>IFERROR(__xludf.DUMMYFUNCTION("""COMPUTED_VALUE"""),"Midnight")</f>
        <v>Midnight</v>
      </c>
      <c r="F14" s="182" t="str">
        <f>IFERROR(__xludf.DUMMYFUNCTION("""COMPUTED_VALUE"""),"1TB")</f>
        <v>1TB</v>
      </c>
      <c r="G14" s="182" t="str">
        <f>IFERROR(__xludf.DUMMYFUNCTION("""COMPUTED_VALUE"""),"US-VZW")</f>
        <v>US-VZW</v>
      </c>
      <c r="H14" s="168">
        <f>IFERROR(__xludf.DUMMYFUNCTION("""COMPUTED_VALUE"""),8.40353925366E11)</f>
        <v>840353925366</v>
      </c>
      <c r="I14" s="185" t="str">
        <f>IFERROR(__xludf.DUMMYFUNCTION("""COMPUTED_VALUE"""),"0840353925366")</f>
        <v>0840353925366</v>
      </c>
      <c r="J14" s="182" t="str">
        <f>IFERROR(__xludf.DUMMYFUNCTION("""COMPUTED_VALUE"""),"#N/A")</f>
        <v>#N/A</v>
      </c>
      <c r="K14" s="182" t="str">
        <f>IFERROR(__xludf.DUMMYFUNCTION("""COMPUTED_VALUE"""),"G4QUR")</f>
        <v>G4QUR</v>
      </c>
      <c r="L14" s="182" t="str">
        <f>IFERROR(__xludf.DUMMYFUNCTION("""COMPUTED_VALUE"""),"VZW")</f>
        <v>VZW</v>
      </c>
    </row>
    <row r="15">
      <c r="A15" s="182" t="str">
        <f>IFERROR(__xludf.DUMMYFUNCTION("""COMPUTED_VALUE"""),"GA10283-US")</f>
        <v>GA10283-US</v>
      </c>
      <c r="B15" s="182" t="str">
        <f>IFERROR(__xludf.DUMMYFUNCTION("""COMPUTED_VALUE"""),"SKU,CLR3, ULTRA, MMWAVE, VZW, US, BZ5")</f>
        <v>SKU,CLR3, ULTRA, MMWAVE, VZW, US, BZ5</v>
      </c>
      <c r="C15" s="182" t="str">
        <f>IFERROR(__xludf.DUMMYFUNCTION("""COMPUTED_VALUE"""),"ULTRA")</f>
        <v>ULTRA</v>
      </c>
      <c r="D15" s="182" t="str">
        <f>IFERROR(__xludf.DUMMYFUNCTION("""COMPUTED_VALUE"""),"CLR3")</f>
        <v>CLR3</v>
      </c>
      <c r="E15" s="182" t="str">
        <f>IFERROR(__xludf.DUMMYFUNCTION("""COMPUTED_VALUE"""),"Sterling")</f>
        <v>Sterling</v>
      </c>
      <c r="F15" s="182" t="str">
        <f>IFERROR(__xludf.DUMMYFUNCTION("""COMPUTED_VALUE"""),"1TB")</f>
        <v>1TB</v>
      </c>
      <c r="G15" s="182" t="str">
        <f>IFERROR(__xludf.DUMMYFUNCTION("""COMPUTED_VALUE"""),"US-VZW")</f>
        <v>US-VZW</v>
      </c>
      <c r="H15" s="168">
        <f>IFERROR(__xludf.DUMMYFUNCTION("""COMPUTED_VALUE"""),8.40353925373E11)</f>
        <v>840353925373</v>
      </c>
      <c r="I15" s="185" t="str">
        <f>IFERROR(__xludf.DUMMYFUNCTION("""COMPUTED_VALUE"""),"0840353925373")</f>
        <v>0840353925373</v>
      </c>
      <c r="J15" s="182" t="str">
        <f>IFERROR(__xludf.DUMMYFUNCTION("""COMPUTED_VALUE"""),"#N/A")</f>
        <v>#N/A</v>
      </c>
      <c r="K15" s="182" t="str">
        <f>IFERROR(__xludf.DUMMYFUNCTION("""COMPUTED_VALUE"""),"G4QUR")</f>
        <v>G4QUR</v>
      </c>
      <c r="L15" s="182" t="str">
        <f>IFERROR(__xludf.DUMMYFUNCTION("""COMPUTED_VALUE"""),"VZW")</f>
        <v>VZW</v>
      </c>
    </row>
    <row r="16">
      <c r="A16" s="182" t="str">
        <f>IFERROR(__xludf.DUMMYFUNCTION("""COMPUTED_VALUE"""),"GA09885-US")</f>
        <v>GA09885-US</v>
      </c>
      <c r="B16" s="182" t="str">
        <f>IFERROR(__xludf.DUMMYFUNCTION("""COMPUTED_VALUE"""),"SKU,CLR1, GOOD, MMWAVE, ATT, BZ5")</f>
        <v>SKU,CLR1, GOOD, MMWAVE, ATT, BZ5</v>
      </c>
      <c r="C16" s="182" t="str">
        <f>IFERROR(__xludf.DUMMYFUNCTION("""COMPUTED_VALUE"""),"GOOD")</f>
        <v>GOOD</v>
      </c>
      <c r="D16" s="182" t="str">
        <f>IFERROR(__xludf.DUMMYFUNCTION("""COMPUTED_VALUE"""),"CLR1")</f>
        <v>CLR1</v>
      </c>
      <c r="E16" s="182" t="str">
        <f>IFERROR(__xludf.DUMMYFUNCTION("""COMPUTED_VALUE"""),"Midnight")</f>
        <v>Midnight</v>
      </c>
      <c r="F16" s="182" t="str">
        <f>IFERROR(__xludf.DUMMYFUNCTION("""COMPUTED_VALUE"""),"128GB")</f>
        <v>128GB</v>
      </c>
      <c r="G16" s="182" t="str">
        <f>IFERROR(__xludf.DUMMYFUNCTION("""COMPUTED_VALUE"""),"US - AT&amp;T")</f>
        <v>US - AT&amp;T</v>
      </c>
      <c r="H16" s="168">
        <f>IFERROR(__xludf.DUMMYFUNCTION("""COMPUTED_VALUE"""),8.40353925069E11)</f>
        <v>840353925069</v>
      </c>
      <c r="I16" s="185" t="str">
        <f>IFERROR(__xludf.DUMMYFUNCTION("""COMPUTED_VALUE"""),"0840353925069")</f>
        <v>0840353925069</v>
      </c>
      <c r="J16" s="182" t="str">
        <f>IFERROR(__xludf.DUMMYFUNCTION("""COMPUTED_VALUE"""),"6993E")</f>
        <v>6993E</v>
      </c>
      <c r="K16" s="182" t="str">
        <f>IFERROR(__xludf.DUMMYFUNCTION("""COMPUTED_VALUE"""),"G4QUR")</f>
        <v>G4QUR</v>
      </c>
      <c r="L16" s="182" t="str">
        <f>IFERROR(__xludf.DUMMYFUNCTION("""COMPUTED_VALUE"""),"ATT")</f>
        <v>ATT</v>
      </c>
    </row>
    <row r="17">
      <c r="A17" s="182" t="str">
        <f>IFERROR(__xludf.DUMMYFUNCTION("""COMPUTED_VALUE"""),"GA10284-US")</f>
        <v>GA10284-US</v>
      </c>
      <c r="B17" s="182" t="str">
        <f>IFERROR(__xludf.DUMMYFUNCTION("""COMPUTED_VALUE"""),"SKU,CLR2, GOOD, MMWAVE, AT&amp;T, US, BZ5")</f>
        <v>SKU,CLR2, GOOD, MMWAVE, AT&amp;T, US, BZ5</v>
      </c>
      <c r="C17" s="182" t="str">
        <f>IFERROR(__xludf.DUMMYFUNCTION("""COMPUTED_VALUE"""),"GOOD")</f>
        <v>GOOD</v>
      </c>
      <c r="D17" s="182" t="str">
        <f>IFERROR(__xludf.DUMMYFUNCTION("""COMPUTED_VALUE"""),"CLR2")</f>
        <v>CLR2</v>
      </c>
      <c r="E17" s="182" t="str">
        <f>IFERROR(__xludf.DUMMYFUNCTION("""COMPUTED_VALUE"""),"Light Porcelain")</f>
        <v>Light Porcelain</v>
      </c>
      <c r="F17" s="182" t="str">
        <f>IFERROR(__xludf.DUMMYFUNCTION("""COMPUTED_VALUE"""),"128GB")</f>
        <v>128GB</v>
      </c>
      <c r="G17" s="182" t="str">
        <f>IFERROR(__xludf.DUMMYFUNCTION("""COMPUTED_VALUE"""),"US - AT&amp;T")</f>
        <v>US - AT&amp;T</v>
      </c>
      <c r="H17" s="168">
        <f>IFERROR(__xludf.DUMMYFUNCTION("""COMPUTED_VALUE"""),8.40353925076E11)</f>
        <v>840353925076</v>
      </c>
      <c r="I17" s="185" t="str">
        <f>IFERROR(__xludf.DUMMYFUNCTION("""COMPUTED_VALUE"""),"0840353925076")</f>
        <v>0840353925076</v>
      </c>
      <c r="J17" s="182" t="str">
        <f>IFERROR(__xludf.DUMMYFUNCTION("""COMPUTED_VALUE"""),"#N/A")</f>
        <v>#N/A</v>
      </c>
      <c r="K17" s="182" t="str">
        <f>IFERROR(__xludf.DUMMYFUNCTION("""COMPUTED_VALUE"""),"G4QUR")</f>
        <v>G4QUR</v>
      </c>
      <c r="L17" s="182" t="str">
        <f>IFERROR(__xludf.DUMMYFUNCTION("""COMPUTED_VALUE"""),"ATT")</f>
        <v>ATT</v>
      </c>
    </row>
    <row r="18">
      <c r="A18" s="182" t="str">
        <f>IFERROR(__xludf.DUMMYFUNCTION("""COMPUTED_VALUE"""),"GA10285-US")</f>
        <v>GA10285-US</v>
      </c>
      <c r="B18" s="182" t="str">
        <f>IFERROR(__xludf.DUMMYFUNCTION("""COMPUTED_VALUE"""),"SKU,CLR3, GOOD, MMWAVE, AT&amp;T, US, BZ5")</f>
        <v>SKU,CLR3, GOOD, MMWAVE, AT&amp;T, US, BZ5</v>
      </c>
      <c r="C18" s="182" t="str">
        <f>IFERROR(__xludf.DUMMYFUNCTION("""COMPUTED_VALUE"""),"GOOD")</f>
        <v>GOOD</v>
      </c>
      <c r="D18" s="182" t="str">
        <f>IFERROR(__xludf.DUMMYFUNCTION("""COMPUTED_VALUE"""),"CLR3")</f>
        <v>CLR3</v>
      </c>
      <c r="E18" s="182" t="str">
        <f>IFERROR(__xludf.DUMMYFUNCTION("""COMPUTED_VALUE"""),"Sterling")</f>
        <v>Sterling</v>
      </c>
      <c r="F18" s="182" t="str">
        <f>IFERROR(__xludf.DUMMYFUNCTION("""COMPUTED_VALUE"""),"128GB")</f>
        <v>128GB</v>
      </c>
      <c r="G18" s="182" t="str">
        <f>IFERROR(__xludf.DUMMYFUNCTION("""COMPUTED_VALUE"""),"US - AT&amp;T")</f>
        <v>US - AT&amp;T</v>
      </c>
      <c r="H18" s="168">
        <f>IFERROR(__xludf.DUMMYFUNCTION("""COMPUTED_VALUE"""),8.40353925083E11)</f>
        <v>840353925083</v>
      </c>
      <c r="I18" s="185" t="str">
        <f>IFERROR(__xludf.DUMMYFUNCTION("""COMPUTED_VALUE"""),"0840353925083")</f>
        <v>0840353925083</v>
      </c>
      <c r="J18" s="182" t="str">
        <f>IFERROR(__xludf.DUMMYFUNCTION("""COMPUTED_VALUE"""),"6992E")</f>
        <v>6992E</v>
      </c>
      <c r="K18" s="182" t="str">
        <f>IFERROR(__xludf.DUMMYFUNCTION("""COMPUTED_VALUE"""),"G4QUR")</f>
        <v>G4QUR</v>
      </c>
      <c r="L18" s="182" t="str">
        <f>IFERROR(__xludf.DUMMYFUNCTION("""COMPUTED_VALUE"""),"ATT")</f>
        <v>ATT</v>
      </c>
    </row>
    <row r="19">
      <c r="A19" s="182" t="str">
        <f>IFERROR(__xludf.DUMMYFUNCTION("""COMPUTED_VALUE"""),"GA09897-US")</f>
        <v>GA09897-US</v>
      </c>
      <c r="B19" s="182" t="str">
        <f>IFERROR(__xludf.DUMMYFUNCTION("""COMPUTED_VALUE"""),"SKU,CLR1, BETTER, MMWAVE, ATT, BZ5")</f>
        <v>SKU,CLR1, BETTER, MMWAVE, ATT, BZ5</v>
      </c>
      <c r="C19" s="182" t="str">
        <f>IFERROR(__xludf.DUMMYFUNCTION("""COMPUTED_VALUE"""),"BETTER")</f>
        <v>BETTER</v>
      </c>
      <c r="D19" s="182" t="str">
        <f>IFERROR(__xludf.DUMMYFUNCTION("""COMPUTED_VALUE"""),"CLR1")</f>
        <v>CLR1</v>
      </c>
      <c r="E19" s="182" t="str">
        <f>IFERROR(__xludf.DUMMYFUNCTION("""COMPUTED_VALUE"""),"Midnight")</f>
        <v>Midnight</v>
      </c>
      <c r="F19" s="182" t="str">
        <f>IFERROR(__xludf.DUMMYFUNCTION("""COMPUTED_VALUE"""),"256GB")</f>
        <v>256GB</v>
      </c>
      <c r="G19" s="182" t="str">
        <f>IFERROR(__xludf.DUMMYFUNCTION("""COMPUTED_VALUE"""),"US - AT&amp;T")</f>
        <v>US - AT&amp;T</v>
      </c>
      <c r="H19" s="168">
        <f>IFERROR(__xludf.DUMMYFUNCTION("""COMPUTED_VALUE"""),8.40353925137E11)</f>
        <v>840353925137</v>
      </c>
      <c r="I19" s="185" t="str">
        <f>IFERROR(__xludf.DUMMYFUNCTION("""COMPUTED_VALUE"""),"0840353925137")</f>
        <v>0840353925137</v>
      </c>
      <c r="J19" s="182" t="str">
        <f>IFERROR(__xludf.DUMMYFUNCTION("""COMPUTED_VALUE"""),"#N/A")</f>
        <v>#N/A</v>
      </c>
      <c r="K19" s="182" t="str">
        <f>IFERROR(__xludf.DUMMYFUNCTION("""COMPUTED_VALUE"""),"G4QUR")</f>
        <v>G4QUR</v>
      </c>
      <c r="L19" s="182" t="str">
        <f>IFERROR(__xludf.DUMMYFUNCTION("""COMPUTED_VALUE"""),"ATT")</f>
        <v>ATT</v>
      </c>
    </row>
    <row r="20">
      <c r="A20" s="182" t="str">
        <f>IFERROR(__xludf.DUMMYFUNCTION("""COMPUTED_VALUE"""),"GA10286-US")</f>
        <v>GA10286-US</v>
      </c>
      <c r="B20" s="182" t="str">
        <f>IFERROR(__xludf.DUMMYFUNCTION("""COMPUTED_VALUE"""),"SKU,CLR2, BETTER, MMWAVE, AT&amp;T, US, BZ5")</f>
        <v>SKU,CLR2, BETTER, MMWAVE, AT&amp;T, US, BZ5</v>
      </c>
      <c r="C20" s="182" t="str">
        <f>IFERROR(__xludf.DUMMYFUNCTION("""COMPUTED_VALUE"""),"BETTER")</f>
        <v>BETTER</v>
      </c>
      <c r="D20" s="182" t="str">
        <f>IFERROR(__xludf.DUMMYFUNCTION("""COMPUTED_VALUE"""),"CLR2")</f>
        <v>CLR2</v>
      </c>
      <c r="E20" s="182" t="str">
        <f>IFERROR(__xludf.DUMMYFUNCTION("""COMPUTED_VALUE"""),"Light Porcelain")</f>
        <v>Light Porcelain</v>
      </c>
      <c r="F20" s="182" t="str">
        <f>IFERROR(__xludf.DUMMYFUNCTION("""COMPUTED_VALUE"""),"256GB")</f>
        <v>256GB</v>
      </c>
      <c r="G20" s="182" t="str">
        <f>IFERROR(__xludf.DUMMYFUNCTION("""COMPUTED_VALUE"""),"US - AT&amp;T")</f>
        <v>US - AT&amp;T</v>
      </c>
      <c r="H20" s="168">
        <f>IFERROR(__xludf.DUMMYFUNCTION("""COMPUTED_VALUE"""),8.40353925144E11)</f>
        <v>840353925144</v>
      </c>
      <c r="I20" s="185" t="str">
        <f>IFERROR(__xludf.DUMMYFUNCTION("""COMPUTED_VALUE"""),"0840353925144")</f>
        <v>0840353925144</v>
      </c>
      <c r="J20" s="182" t="str">
        <f>IFERROR(__xludf.DUMMYFUNCTION("""COMPUTED_VALUE"""),"#N/A")</f>
        <v>#N/A</v>
      </c>
      <c r="K20" s="182" t="str">
        <f>IFERROR(__xludf.DUMMYFUNCTION("""COMPUTED_VALUE"""),"G4QUR")</f>
        <v>G4QUR</v>
      </c>
      <c r="L20" s="182" t="str">
        <f>IFERROR(__xludf.DUMMYFUNCTION("""COMPUTED_VALUE"""),"ATT")</f>
        <v>ATT</v>
      </c>
    </row>
    <row r="21">
      <c r="A21" s="182" t="str">
        <f>IFERROR(__xludf.DUMMYFUNCTION("""COMPUTED_VALUE"""),"GA10287-US")</f>
        <v>GA10287-US</v>
      </c>
      <c r="B21" s="182" t="str">
        <f>IFERROR(__xludf.DUMMYFUNCTION("""COMPUTED_VALUE"""),"SKU,CLR3, BETTER, MMWAVE, AT&amp;T, US, BZ5")</f>
        <v>SKU,CLR3, BETTER, MMWAVE, AT&amp;T, US, BZ5</v>
      </c>
      <c r="C21" s="182" t="str">
        <f>IFERROR(__xludf.DUMMYFUNCTION("""COMPUTED_VALUE"""),"BETTER")</f>
        <v>BETTER</v>
      </c>
      <c r="D21" s="182" t="str">
        <f>IFERROR(__xludf.DUMMYFUNCTION("""COMPUTED_VALUE"""),"CLR3")</f>
        <v>CLR3</v>
      </c>
      <c r="E21" s="182" t="str">
        <f>IFERROR(__xludf.DUMMYFUNCTION("""COMPUTED_VALUE"""),"Sterling")</f>
        <v>Sterling</v>
      </c>
      <c r="F21" s="182" t="str">
        <f>IFERROR(__xludf.DUMMYFUNCTION("""COMPUTED_VALUE"""),"256GB")</f>
        <v>256GB</v>
      </c>
      <c r="G21" s="182" t="str">
        <f>IFERROR(__xludf.DUMMYFUNCTION("""COMPUTED_VALUE"""),"US - AT&amp;T")</f>
        <v>US - AT&amp;T</v>
      </c>
      <c r="H21" s="168">
        <f>IFERROR(__xludf.DUMMYFUNCTION("""COMPUTED_VALUE"""),8.40353925151E11)</f>
        <v>840353925151</v>
      </c>
      <c r="I21" s="185" t="str">
        <f>IFERROR(__xludf.DUMMYFUNCTION("""COMPUTED_VALUE"""),"0840353925151")</f>
        <v>0840353925151</v>
      </c>
      <c r="J21" s="182" t="str">
        <f>IFERROR(__xludf.DUMMYFUNCTION("""COMPUTED_VALUE"""),"6994E")</f>
        <v>6994E</v>
      </c>
      <c r="K21" s="182" t="str">
        <f>IFERROR(__xludf.DUMMYFUNCTION("""COMPUTED_VALUE"""),"G4QUR")</f>
        <v>G4QUR</v>
      </c>
      <c r="L21" s="182" t="str">
        <f>IFERROR(__xludf.DUMMYFUNCTION("""COMPUTED_VALUE"""),"ATT")</f>
        <v>ATT</v>
      </c>
    </row>
    <row r="22">
      <c r="A22" s="182" t="str">
        <f>IFERROR(__xludf.DUMMYFUNCTION("""COMPUTED_VALUE"""),"GA10288-US")</f>
        <v>GA10288-US</v>
      </c>
      <c r="B22" s="182" t="str">
        <f>IFERROR(__xludf.DUMMYFUNCTION("""COMPUTED_VALUE"""),"SKU,CLR4, BETTER, MMWAVE, AT&amp;T, US, BZ5")</f>
        <v>SKU,CLR4, BETTER, MMWAVE, AT&amp;T, US, BZ5</v>
      </c>
      <c r="C22" s="182" t="str">
        <f>IFERROR(__xludf.DUMMYFUNCTION("""COMPUTED_VALUE"""),"BETTER")</f>
        <v>BETTER</v>
      </c>
      <c r="D22" s="182" t="str">
        <f>IFERROR(__xludf.DUMMYFUNCTION("""COMPUTED_VALUE"""),"CLR4")</f>
        <v>CLR4</v>
      </c>
      <c r="E22" s="182" t="str">
        <f>IFERROR(__xludf.DUMMYFUNCTION("""COMPUTED_VALUE"""),"Smokey Green")</f>
        <v>Smokey Green</v>
      </c>
      <c r="F22" s="182" t="str">
        <f>IFERROR(__xludf.DUMMYFUNCTION("""COMPUTED_VALUE"""),"256GB")</f>
        <v>256GB</v>
      </c>
      <c r="G22" s="182" t="str">
        <f>IFERROR(__xludf.DUMMYFUNCTION("""COMPUTED_VALUE"""),"US - AT&amp;T")</f>
        <v>US - AT&amp;T</v>
      </c>
      <c r="H22" s="168">
        <f>IFERROR(__xludf.DUMMYFUNCTION("""COMPUTED_VALUE"""),8.40353925168E11)</f>
        <v>840353925168</v>
      </c>
      <c r="I22" s="185" t="str">
        <f>IFERROR(__xludf.DUMMYFUNCTION("""COMPUTED_VALUE"""),"0840353925168")</f>
        <v>0840353925168</v>
      </c>
      <c r="J22" s="182" t="str">
        <f>IFERROR(__xludf.DUMMYFUNCTION("""COMPUTED_VALUE"""),"#N/A")</f>
        <v>#N/A</v>
      </c>
      <c r="K22" s="182" t="str">
        <f>IFERROR(__xludf.DUMMYFUNCTION("""COMPUTED_VALUE"""),"G4QUR")</f>
        <v>G4QUR</v>
      </c>
      <c r="L22" s="182" t="str">
        <f>IFERROR(__xludf.DUMMYFUNCTION("""COMPUTED_VALUE"""),"ATT")</f>
        <v>ATT</v>
      </c>
    </row>
    <row r="23">
      <c r="A23" s="182" t="str">
        <f>IFERROR(__xludf.DUMMYFUNCTION("""COMPUTED_VALUE"""),"GA09906-US")</f>
        <v>GA09906-US</v>
      </c>
      <c r="B23" s="182" t="str">
        <f>IFERROR(__xludf.DUMMYFUNCTION("""COMPUTED_VALUE"""),"SKU,CLR1, BEST, MMWAVE, ATT, BZ5")</f>
        <v>SKU,CLR1, BEST, MMWAVE, ATT, BZ5</v>
      </c>
      <c r="C23" s="182" t="str">
        <f>IFERROR(__xludf.DUMMYFUNCTION("""COMPUTED_VALUE"""),"BEST")</f>
        <v>BEST</v>
      </c>
      <c r="D23" s="182" t="str">
        <f>IFERROR(__xludf.DUMMYFUNCTION("""COMPUTED_VALUE"""),"CLR1")</f>
        <v>CLR1</v>
      </c>
      <c r="E23" s="182" t="str">
        <f>IFERROR(__xludf.DUMMYFUNCTION("""COMPUTED_VALUE"""),"Midnight")</f>
        <v>Midnight</v>
      </c>
      <c r="F23" s="182" t="str">
        <f>IFERROR(__xludf.DUMMYFUNCTION("""COMPUTED_VALUE"""),"512GB")</f>
        <v>512GB</v>
      </c>
      <c r="G23" s="182" t="str">
        <f>IFERROR(__xludf.DUMMYFUNCTION("""COMPUTED_VALUE"""),"US - AT&amp;T")</f>
        <v>US - AT&amp;T</v>
      </c>
      <c r="H23" s="168">
        <f>IFERROR(__xludf.DUMMYFUNCTION("""COMPUTED_VALUE"""),8.40353925175E11)</f>
        <v>840353925175</v>
      </c>
      <c r="I23" s="185" t="str">
        <f>IFERROR(__xludf.DUMMYFUNCTION("""COMPUTED_VALUE"""),"0840353925175")</f>
        <v>0840353925175</v>
      </c>
      <c r="J23" s="182" t="str">
        <f>IFERROR(__xludf.DUMMYFUNCTION("""COMPUTED_VALUE"""),"#N/A")</f>
        <v>#N/A</v>
      </c>
      <c r="K23" s="182" t="str">
        <f>IFERROR(__xludf.DUMMYFUNCTION("""COMPUTED_VALUE"""),"G4QUR")</f>
        <v>G4QUR</v>
      </c>
      <c r="L23" s="182" t="str">
        <f>IFERROR(__xludf.DUMMYFUNCTION("""COMPUTED_VALUE"""),"ATT")</f>
        <v>ATT</v>
      </c>
    </row>
    <row r="24">
      <c r="A24" s="182" t="str">
        <f>IFERROR(__xludf.DUMMYFUNCTION("""COMPUTED_VALUE"""),"GA10289-US")</f>
        <v>GA10289-US</v>
      </c>
      <c r="B24" s="182" t="str">
        <f>IFERROR(__xludf.DUMMYFUNCTION("""COMPUTED_VALUE"""),"SKU,CLR2, BEST, MMWAVE, AT&amp;T, US, BZ5")</f>
        <v>SKU,CLR2, BEST, MMWAVE, AT&amp;T, US, BZ5</v>
      </c>
      <c r="C24" s="182" t="str">
        <f>IFERROR(__xludf.DUMMYFUNCTION("""COMPUTED_VALUE"""),"BEST")</f>
        <v>BEST</v>
      </c>
      <c r="D24" s="182" t="str">
        <f>IFERROR(__xludf.DUMMYFUNCTION("""COMPUTED_VALUE"""),"CLR2")</f>
        <v>CLR2</v>
      </c>
      <c r="E24" s="182" t="str">
        <f>IFERROR(__xludf.DUMMYFUNCTION("""COMPUTED_VALUE"""),"Light Porcelain")</f>
        <v>Light Porcelain</v>
      </c>
      <c r="F24" s="182" t="str">
        <f>IFERROR(__xludf.DUMMYFUNCTION("""COMPUTED_VALUE"""),"512GB")</f>
        <v>512GB</v>
      </c>
      <c r="G24" s="182" t="str">
        <f>IFERROR(__xludf.DUMMYFUNCTION("""COMPUTED_VALUE"""),"US - AT&amp;T")</f>
        <v>US - AT&amp;T</v>
      </c>
      <c r="H24" s="168">
        <f>IFERROR(__xludf.DUMMYFUNCTION("""COMPUTED_VALUE"""),8.40353925199E11)</f>
        <v>840353925199</v>
      </c>
      <c r="I24" s="185" t="str">
        <f>IFERROR(__xludf.DUMMYFUNCTION("""COMPUTED_VALUE"""),"0840353925199")</f>
        <v>0840353925199</v>
      </c>
      <c r="J24" s="182" t="str">
        <f>IFERROR(__xludf.DUMMYFUNCTION("""COMPUTED_VALUE"""),"#N/A")</f>
        <v>#N/A</v>
      </c>
      <c r="K24" s="182" t="str">
        <f>IFERROR(__xludf.DUMMYFUNCTION("""COMPUTED_VALUE"""),"G4QUR")</f>
        <v>G4QUR</v>
      </c>
      <c r="L24" s="182" t="str">
        <f>IFERROR(__xludf.DUMMYFUNCTION("""COMPUTED_VALUE"""),"ATT")</f>
        <v>ATT</v>
      </c>
    </row>
    <row r="25">
      <c r="A25" s="182" t="str">
        <f>IFERROR(__xludf.DUMMYFUNCTION("""COMPUTED_VALUE"""),"GA10290-US")</f>
        <v>GA10290-US</v>
      </c>
      <c r="B25" s="182" t="str">
        <f>IFERROR(__xludf.DUMMYFUNCTION("""COMPUTED_VALUE"""),"SKU,CLR3, BEST, MMWAVE, AT&amp;T, US, BZ5")</f>
        <v>SKU,CLR3, BEST, MMWAVE, AT&amp;T, US, BZ5</v>
      </c>
      <c r="C25" s="182" t="str">
        <f>IFERROR(__xludf.DUMMYFUNCTION("""COMPUTED_VALUE"""),"BEST")</f>
        <v>BEST</v>
      </c>
      <c r="D25" s="182" t="str">
        <f>IFERROR(__xludf.DUMMYFUNCTION("""COMPUTED_VALUE"""),"CLR3")</f>
        <v>CLR3</v>
      </c>
      <c r="E25" s="182" t="str">
        <f>IFERROR(__xludf.DUMMYFUNCTION("""COMPUTED_VALUE"""),"Sterling")</f>
        <v>Sterling</v>
      </c>
      <c r="F25" s="182" t="str">
        <f>IFERROR(__xludf.DUMMYFUNCTION("""COMPUTED_VALUE"""),"512GB")</f>
        <v>512GB</v>
      </c>
      <c r="G25" s="182" t="str">
        <f>IFERROR(__xludf.DUMMYFUNCTION("""COMPUTED_VALUE"""),"US - AT&amp;T")</f>
        <v>US - AT&amp;T</v>
      </c>
      <c r="H25" s="168">
        <f>IFERROR(__xludf.DUMMYFUNCTION("""COMPUTED_VALUE"""),8.40353925205E11)</f>
        <v>840353925205</v>
      </c>
      <c r="I25" s="185" t="str">
        <f>IFERROR(__xludf.DUMMYFUNCTION("""COMPUTED_VALUE"""),"0840353925205")</f>
        <v>0840353925205</v>
      </c>
      <c r="J25" s="182" t="str">
        <f>IFERROR(__xludf.DUMMYFUNCTION("""COMPUTED_VALUE"""),"#N/A")</f>
        <v>#N/A</v>
      </c>
      <c r="K25" s="182" t="str">
        <f>IFERROR(__xludf.DUMMYFUNCTION("""COMPUTED_VALUE"""),"G4QUR")</f>
        <v>G4QUR</v>
      </c>
      <c r="L25" s="182" t="str">
        <f>IFERROR(__xludf.DUMMYFUNCTION("""COMPUTED_VALUE"""),"ATT")</f>
        <v>ATT</v>
      </c>
    </row>
    <row r="26">
      <c r="A26" s="182" t="str">
        <f>IFERROR(__xludf.DUMMYFUNCTION("""COMPUTED_VALUE"""),"GA10291-US")</f>
        <v>GA10291-US</v>
      </c>
      <c r="B26" s="182" t="str">
        <f>IFERROR(__xludf.DUMMYFUNCTION("""COMPUTED_VALUE"""),"SKU,CLR4, BEST, MMWAVE, AT&amp;T, US, BZ5")</f>
        <v>SKU,CLR4, BEST, MMWAVE, AT&amp;T, US, BZ5</v>
      </c>
      <c r="C26" s="182" t="str">
        <f>IFERROR(__xludf.DUMMYFUNCTION("""COMPUTED_VALUE"""),"BEST")</f>
        <v>BEST</v>
      </c>
      <c r="D26" s="182" t="str">
        <f>IFERROR(__xludf.DUMMYFUNCTION("""COMPUTED_VALUE"""),"CLR4")</f>
        <v>CLR4</v>
      </c>
      <c r="E26" s="182" t="str">
        <f>IFERROR(__xludf.DUMMYFUNCTION("""COMPUTED_VALUE"""),"Smokey Green")</f>
        <v>Smokey Green</v>
      </c>
      <c r="F26" s="182" t="str">
        <f>IFERROR(__xludf.DUMMYFUNCTION("""COMPUTED_VALUE"""),"512GB")</f>
        <v>512GB</v>
      </c>
      <c r="G26" s="182" t="str">
        <f>IFERROR(__xludf.DUMMYFUNCTION("""COMPUTED_VALUE"""),"US - AT&amp;T")</f>
        <v>US - AT&amp;T</v>
      </c>
      <c r="H26" s="168">
        <f>IFERROR(__xludf.DUMMYFUNCTION("""COMPUTED_VALUE"""),8.40353925182E11)</f>
        <v>840353925182</v>
      </c>
      <c r="I26" s="185" t="str">
        <f>IFERROR(__xludf.DUMMYFUNCTION("""COMPUTED_VALUE"""),"0840353925182")</f>
        <v>0840353925182</v>
      </c>
      <c r="J26" s="182" t="str">
        <f>IFERROR(__xludf.DUMMYFUNCTION("""COMPUTED_VALUE"""),"#N/A")</f>
        <v>#N/A</v>
      </c>
      <c r="K26" s="182" t="str">
        <f>IFERROR(__xludf.DUMMYFUNCTION("""COMPUTED_VALUE"""),"G4QUR")</f>
        <v>G4QUR</v>
      </c>
      <c r="L26" s="182" t="str">
        <f>IFERROR(__xludf.DUMMYFUNCTION("""COMPUTED_VALUE"""),"ATT")</f>
        <v>ATT</v>
      </c>
    </row>
    <row r="27">
      <c r="A27" s="182" t="str">
        <f>IFERROR(__xludf.DUMMYFUNCTION("""COMPUTED_VALUE"""),"GA09931-US")</f>
        <v>GA09931-US</v>
      </c>
      <c r="B27" s="182" t="str">
        <f>IFERROR(__xludf.DUMMYFUNCTION("""COMPUTED_VALUE"""),"SKU,CLR1, ULTRA, MMWAVE, ATT, BZ5")</f>
        <v>SKU,CLR1, ULTRA, MMWAVE, ATT, BZ5</v>
      </c>
      <c r="C27" s="182" t="str">
        <f>IFERROR(__xludf.DUMMYFUNCTION("""COMPUTED_VALUE"""),"ULTRA")</f>
        <v>ULTRA</v>
      </c>
      <c r="D27" s="182" t="str">
        <f>IFERROR(__xludf.DUMMYFUNCTION("""COMPUTED_VALUE"""),"CLR1")</f>
        <v>CLR1</v>
      </c>
      <c r="E27" s="182" t="str">
        <f>IFERROR(__xludf.DUMMYFUNCTION("""COMPUTED_VALUE"""),"Midnight")</f>
        <v>Midnight</v>
      </c>
      <c r="F27" s="182" t="str">
        <f>IFERROR(__xludf.DUMMYFUNCTION("""COMPUTED_VALUE"""),"1TB")</f>
        <v>1TB</v>
      </c>
      <c r="G27" s="182" t="str">
        <f>IFERROR(__xludf.DUMMYFUNCTION("""COMPUTED_VALUE"""),"US - AT&amp;T")</f>
        <v>US - AT&amp;T</v>
      </c>
      <c r="H27" s="168">
        <f>IFERROR(__xludf.DUMMYFUNCTION("""COMPUTED_VALUE"""),8.40353925281E11)</f>
        <v>840353925281</v>
      </c>
      <c r="I27" s="185" t="str">
        <f>IFERROR(__xludf.DUMMYFUNCTION("""COMPUTED_VALUE"""),"0840353925281")</f>
        <v>0840353925281</v>
      </c>
      <c r="J27" s="182" t="str">
        <f>IFERROR(__xludf.DUMMYFUNCTION("""COMPUTED_VALUE"""),"#N/A")</f>
        <v>#N/A</v>
      </c>
      <c r="K27" s="182" t="str">
        <f>IFERROR(__xludf.DUMMYFUNCTION("""COMPUTED_VALUE"""),"G4QUR")</f>
        <v>G4QUR</v>
      </c>
      <c r="L27" s="182" t="str">
        <f>IFERROR(__xludf.DUMMYFUNCTION("""COMPUTED_VALUE"""),"ATT")</f>
        <v>ATT</v>
      </c>
    </row>
    <row r="28">
      <c r="A28" s="182" t="str">
        <f>IFERROR(__xludf.DUMMYFUNCTION("""COMPUTED_VALUE"""),"GA10292-US")</f>
        <v>GA10292-US</v>
      </c>
      <c r="B28" s="182" t="str">
        <f>IFERROR(__xludf.DUMMYFUNCTION("""COMPUTED_VALUE"""),"SKU,CLR3, ULTRA, MMWAVE, AT&amp;T, US, BZ5")</f>
        <v>SKU,CLR3, ULTRA, MMWAVE, AT&amp;T, US, BZ5</v>
      </c>
      <c r="C28" s="182" t="str">
        <f>IFERROR(__xludf.DUMMYFUNCTION("""COMPUTED_VALUE"""),"ULTRA")</f>
        <v>ULTRA</v>
      </c>
      <c r="D28" s="182" t="str">
        <f>IFERROR(__xludf.DUMMYFUNCTION("""COMPUTED_VALUE"""),"CLR3")</f>
        <v>CLR3</v>
      </c>
      <c r="E28" s="182" t="str">
        <f>IFERROR(__xludf.DUMMYFUNCTION("""COMPUTED_VALUE"""),"Sterling")</f>
        <v>Sterling</v>
      </c>
      <c r="F28" s="182" t="str">
        <f>IFERROR(__xludf.DUMMYFUNCTION("""COMPUTED_VALUE"""),"1TB")</f>
        <v>1TB</v>
      </c>
      <c r="G28" s="182" t="str">
        <f>IFERROR(__xludf.DUMMYFUNCTION("""COMPUTED_VALUE"""),"US - AT&amp;T")</f>
        <v>US - AT&amp;T</v>
      </c>
      <c r="H28" s="168">
        <f>IFERROR(__xludf.DUMMYFUNCTION("""COMPUTED_VALUE"""),8.40353925298E11)</f>
        <v>840353925298</v>
      </c>
      <c r="I28" s="185" t="str">
        <f>IFERROR(__xludf.DUMMYFUNCTION("""COMPUTED_VALUE"""),"0840353925298")</f>
        <v>0840353925298</v>
      </c>
      <c r="J28" s="182" t="str">
        <f>IFERROR(__xludf.DUMMYFUNCTION("""COMPUTED_VALUE"""),"#N/A")</f>
        <v>#N/A</v>
      </c>
      <c r="K28" s="182" t="str">
        <f>IFERROR(__xludf.DUMMYFUNCTION("""COMPUTED_VALUE"""),"G4QUR")</f>
        <v>G4QUR</v>
      </c>
      <c r="L28" s="182" t="str">
        <f>IFERROR(__xludf.DUMMYFUNCTION("""COMPUTED_VALUE"""),"ATT")</f>
        <v>ATT</v>
      </c>
    </row>
    <row r="29">
      <c r="A29" s="182" t="str">
        <f>IFERROR(__xludf.DUMMYFUNCTION("""COMPUTED_VALUE"""),"GA09886-US")</f>
        <v>GA09886-US</v>
      </c>
      <c r="B29" s="182" t="str">
        <f>IFERROR(__xludf.DUMMYFUNCTION("""COMPUTED_VALUE"""),"SKU,CLR1, GOOD, MMWAVE, TMO, BZ5")</f>
        <v>SKU,CLR1, GOOD, MMWAVE, TMO, BZ5</v>
      </c>
      <c r="C29" s="182" t="str">
        <f>IFERROR(__xludf.DUMMYFUNCTION("""COMPUTED_VALUE"""),"GOOD")</f>
        <v>GOOD</v>
      </c>
      <c r="D29" s="182" t="str">
        <f>IFERROR(__xludf.DUMMYFUNCTION("""COMPUTED_VALUE"""),"CLR1")</f>
        <v>CLR1</v>
      </c>
      <c r="E29" s="182" t="str">
        <f>IFERROR(__xludf.DUMMYFUNCTION("""COMPUTED_VALUE"""),"Midnight")</f>
        <v>Midnight</v>
      </c>
      <c r="F29" s="182" t="str">
        <f>IFERROR(__xludf.DUMMYFUNCTION("""COMPUTED_VALUE"""),"128GB")</f>
        <v>128GB</v>
      </c>
      <c r="G29" s="182" t="str">
        <f>IFERROR(__xludf.DUMMYFUNCTION("""COMPUTED_VALUE"""),"US - Tmobile")</f>
        <v>US - Tmobile</v>
      </c>
      <c r="H29" s="168">
        <f>IFERROR(__xludf.DUMMYFUNCTION("""COMPUTED_VALUE"""),8.40353925212E11)</f>
        <v>840353925212</v>
      </c>
      <c r="I29" s="185" t="str">
        <f>IFERROR(__xludf.DUMMYFUNCTION("""COMPUTED_VALUE"""),"0840353925212")</f>
        <v>0840353925212</v>
      </c>
      <c r="J29" s="182" t="str">
        <f>IFERROR(__xludf.DUMMYFUNCTION("""COMPUTED_VALUE"""),"#N/A")</f>
        <v>#N/A</v>
      </c>
      <c r="K29" s="182" t="str">
        <f>IFERROR(__xludf.DUMMYFUNCTION("""COMPUTED_VALUE"""),"G4QUR")</f>
        <v>G4QUR</v>
      </c>
      <c r="L29" s="182" t="str">
        <f>IFERROR(__xludf.DUMMYFUNCTION("""COMPUTED_VALUE"""),"TMO")</f>
        <v>TMO</v>
      </c>
    </row>
    <row r="30">
      <c r="A30" s="182" t="str">
        <f>IFERROR(__xludf.DUMMYFUNCTION("""COMPUTED_VALUE"""),"GA10293-US")</f>
        <v>GA10293-US</v>
      </c>
      <c r="B30" s="182" t="str">
        <f>IFERROR(__xludf.DUMMYFUNCTION("""COMPUTED_VALUE"""),"SKU,CLR2, GOOD, MMWAVE, TMO, US, BZ5")</f>
        <v>SKU,CLR2, GOOD, MMWAVE, TMO, US, BZ5</v>
      </c>
      <c r="C30" s="182" t="str">
        <f>IFERROR(__xludf.DUMMYFUNCTION("""COMPUTED_VALUE"""),"GOOD")</f>
        <v>GOOD</v>
      </c>
      <c r="D30" s="182" t="str">
        <f>IFERROR(__xludf.DUMMYFUNCTION("""COMPUTED_VALUE"""),"CLR2")</f>
        <v>CLR2</v>
      </c>
      <c r="E30" s="182" t="str">
        <f>IFERROR(__xludf.DUMMYFUNCTION("""COMPUTED_VALUE"""),"Light Porcelain")</f>
        <v>Light Porcelain</v>
      </c>
      <c r="F30" s="182" t="str">
        <f>IFERROR(__xludf.DUMMYFUNCTION("""COMPUTED_VALUE"""),"128GB")</f>
        <v>128GB</v>
      </c>
      <c r="G30" s="182" t="str">
        <f>IFERROR(__xludf.DUMMYFUNCTION("""COMPUTED_VALUE"""),"US - Tmobile")</f>
        <v>US - Tmobile</v>
      </c>
      <c r="H30" s="168">
        <f>IFERROR(__xludf.DUMMYFUNCTION("""COMPUTED_VALUE"""),8.40353925236E11)</f>
        <v>840353925236</v>
      </c>
      <c r="I30" s="185" t="str">
        <f>IFERROR(__xludf.DUMMYFUNCTION("""COMPUTED_VALUE"""),"0840353925236")</f>
        <v>0840353925236</v>
      </c>
      <c r="J30" s="182" t="str">
        <f>IFERROR(__xludf.DUMMYFUNCTION("""COMPUTED_VALUE"""),"#N/A")</f>
        <v>#N/A</v>
      </c>
      <c r="K30" s="182" t="str">
        <f>IFERROR(__xludf.DUMMYFUNCTION("""COMPUTED_VALUE"""),"G4QUR")</f>
        <v>G4QUR</v>
      </c>
      <c r="L30" s="182" t="str">
        <f>IFERROR(__xludf.DUMMYFUNCTION("""COMPUTED_VALUE"""),"TMO")</f>
        <v>TMO</v>
      </c>
    </row>
    <row r="31">
      <c r="A31" s="182" t="str">
        <f>IFERROR(__xludf.DUMMYFUNCTION("""COMPUTED_VALUE"""),"GA10294-US")</f>
        <v>GA10294-US</v>
      </c>
      <c r="B31" s="182" t="str">
        <f>IFERROR(__xludf.DUMMYFUNCTION("""COMPUTED_VALUE"""),"SKU,CLR3, GOOD, MMWAVE, TMO, US, BZ5")</f>
        <v>SKU,CLR3, GOOD, MMWAVE, TMO, US, BZ5</v>
      </c>
      <c r="C31" s="182" t="str">
        <f>IFERROR(__xludf.DUMMYFUNCTION("""COMPUTED_VALUE"""),"GOOD")</f>
        <v>GOOD</v>
      </c>
      <c r="D31" s="182" t="str">
        <f>IFERROR(__xludf.DUMMYFUNCTION("""COMPUTED_VALUE"""),"CLR3")</f>
        <v>CLR3</v>
      </c>
      <c r="E31" s="182" t="str">
        <f>IFERROR(__xludf.DUMMYFUNCTION("""COMPUTED_VALUE"""),"Sterling")</f>
        <v>Sterling</v>
      </c>
      <c r="F31" s="182" t="str">
        <f>IFERROR(__xludf.DUMMYFUNCTION("""COMPUTED_VALUE"""),"128GB")</f>
        <v>128GB</v>
      </c>
      <c r="G31" s="182" t="str">
        <f>IFERROR(__xludf.DUMMYFUNCTION("""COMPUTED_VALUE"""),"US - Tmobile")</f>
        <v>US - Tmobile</v>
      </c>
      <c r="H31" s="168">
        <f>IFERROR(__xludf.DUMMYFUNCTION("""COMPUTED_VALUE"""),8.40353925229E11)</f>
        <v>840353925229</v>
      </c>
      <c r="I31" s="185" t="str">
        <f>IFERROR(__xludf.DUMMYFUNCTION("""COMPUTED_VALUE"""),"0840353925229")</f>
        <v>0840353925229</v>
      </c>
      <c r="J31" s="182" t="str">
        <f>IFERROR(__xludf.DUMMYFUNCTION("""COMPUTED_VALUE"""),"#N/A")</f>
        <v>#N/A</v>
      </c>
      <c r="K31" s="182" t="str">
        <f>IFERROR(__xludf.DUMMYFUNCTION("""COMPUTED_VALUE"""),"G4QUR")</f>
        <v>G4QUR</v>
      </c>
      <c r="L31" s="182" t="str">
        <f>IFERROR(__xludf.DUMMYFUNCTION("""COMPUTED_VALUE"""),"TMO")</f>
        <v>TMO</v>
      </c>
    </row>
    <row r="32">
      <c r="A32" s="182" t="str">
        <f>IFERROR(__xludf.DUMMYFUNCTION("""COMPUTED_VALUE"""),"GA09898-US")</f>
        <v>GA09898-US</v>
      </c>
      <c r="B32" s="182" t="str">
        <f>IFERROR(__xludf.DUMMYFUNCTION("""COMPUTED_VALUE"""),"SKU,CLR1, BETTER, MMWAVE, TMO, BZ5")</f>
        <v>SKU,CLR1, BETTER, MMWAVE, TMO, BZ5</v>
      </c>
      <c r="C32" s="182" t="str">
        <f>IFERROR(__xludf.DUMMYFUNCTION("""COMPUTED_VALUE"""),"BETTER")</f>
        <v>BETTER</v>
      </c>
      <c r="D32" s="182" t="str">
        <f>IFERROR(__xludf.DUMMYFUNCTION("""COMPUTED_VALUE"""),"CLR1")</f>
        <v>CLR1</v>
      </c>
      <c r="E32" s="182" t="str">
        <f>IFERROR(__xludf.DUMMYFUNCTION("""COMPUTED_VALUE"""),"Midnight")</f>
        <v>Midnight</v>
      </c>
      <c r="F32" s="182" t="str">
        <f>IFERROR(__xludf.DUMMYFUNCTION("""COMPUTED_VALUE"""),"256GB")</f>
        <v>256GB</v>
      </c>
      <c r="G32" s="182" t="str">
        <f>IFERROR(__xludf.DUMMYFUNCTION("""COMPUTED_VALUE"""),"US - Tmobile")</f>
        <v>US - Tmobile</v>
      </c>
      <c r="H32" s="168">
        <f>IFERROR(__xludf.DUMMYFUNCTION("""COMPUTED_VALUE"""),8.40353925243E11)</f>
        <v>840353925243</v>
      </c>
      <c r="I32" s="185" t="str">
        <f>IFERROR(__xludf.DUMMYFUNCTION("""COMPUTED_VALUE"""),"0840353925243")</f>
        <v>0840353925243</v>
      </c>
      <c r="J32" s="182" t="str">
        <f>IFERROR(__xludf.DUMMYFUNCTION("""COMPUTED_VALUE"""),"#N/A")</f>
        <v>#N/A</v>
      </c>
      <c r="K32" s="182" t="str">
        <f>IFERROR(__xludf.DUMMYFUNCTION("""COMPUTED_VALUE"""),"G4QUR")</f>
        <v>G4QUR</v>
      </c>
      <c r="L32" s="182" t="str">
        <f>IFERROR(__xludf.DUMMYFUNCTION("""COMPUTED_VALUE"""),"TMO")</f>
        <v>TMO</v>
      </c>
    </row>
    <row r="33">
      <c r="A33" s="182" t="str">
        <f>IFERROR(__xludf.DUMMYFUNCTION("""COMPUTED_VALUE"""),"GA10295-US")</f>
        <v>GA10295-US</v>
      </c>
      <c r="B33" s="182" t="str">
        <f>IFERROR(__xludf.DUMMYFUNCTION("""COMPUTED_VALUE"""),"SKU,CLR2, BETTER, MMWAVE, TMO, US, BZ5")</f>
        <v>SKU,CLR2, BETTER, MMWAVE, TMO, US, BZ5</v>
      </c>
      <c r="C33" s="182" t="str">
        <f>IFERROR(__xludf.DUMMYFUNCTION("""COMPUTED_VALUE"""),"BETTER")</f>
        <v>BETTER</v>
      </c>
      <c r="D33" s="182" t="str">
        <f>IFERROR(__xludf.DUMMYFUNCTION("""COMPUTED_VALUE"""),"CLR2")</f>
        <v>CLR2</v>
      </c>
      <c r="E33" s="182" t="str">
        <f>IFERROR(__xludf.DUMMYFUNCTION("""COMPUTED_VALUE"""),"Light Porcelain")</f>
        <v>Light Porcelain</v>
      </c>
      <c r="F33" s="182" t="str">
        <f>IFERROR(__xludf.DUMMYFUNCTION("""COMPUTED_VALUE"""),"256GB")</f>
        <v>256GB</v>
      </c>
      <c r="G33" s="182" t="str">
        <f>IFERROR(__xludf.DUMMYFUNCTION("""COMPUTED_VALUE"""),"US - Tmobile")</f>
        <v>US - Tmobile</v>
      </c>
      <c r="H33" s="168">
        <f>IFERROR(__xludf.DUMMYFUNCTION("""COMPUTED_VALUE"""),8.4035392525E11)</f>
        <v>840353925250</v>
      </c>
      <c r="I33" s="185" t="str">
        <f>IFERROR(__xludf.DUMMYFUNCTION("""COMPUTED_VALUE"""),"0840353925250")</f>
        <v>0840353925250</v>
      </c>
      <c r="J33" s="182" t="str">
        <f>IFERROR(__xludf.DUMMYFUNCTION("""COMPUTED_VALUE"""),"#N/A")</f>
        <v>#N/A</v>
      </c>
      <c r="K33" s="182" t="str">
        <f>IFERROR(__xludf.DUMMYFUNCTION("""COMPUTED_VALUE"""),"G4QUR")</f>
        <v>G4QUR</v>
      </c>
      <c r="L33" s="182" t="str">
        <f>IFERROR(__xludf.DUMMYFUNCTION("""COMPUTED_VALUE"""),"TMO")</f>
        <v>TMO</v>
      </c>
    </row>
    <row r="34">
      <c r="A34" s="182" t="str">
        <f>IFERROR(__xludf.DUMMYFUNCTION("""COMPUTED_VALUE"""),"GA10296-US")</f>
        <v>GA10296-US</v>
      </c>
      <c r="B34" s="182" t="str">
        <f>IFERROR(__xludf.DUMMYFUNCTION("""COMPUTED_VALUE"""),"SKU,CLR3, BETTER, MMWAVE, TMO, US, BZ5")</f>
        <v>SKU,CLR3, BETTER, MMWAVE, TMO, US, BZ5</v>
      </c>
      <c r="C34" s="182" t="str">
        <f>IFERROR(__xludf.DUMMYFUNCTION("""COMPUTED_VALUE"""),"BETTER")</f>
        <v>BETTER</v>
      </c>
      <c r="D34" s="182" t="str">
        <f>IFERROR(__xludf.DUMMYFUNCTION("""COMPUTED_VALUE"""),"CLR3")</f>
        <v>CLR3</v>
      </c>
      <c r="E34" s="182" t="str">
        <f>IFERROR(__xludf.DUMMYFUNCTION("""COMPUTED_VALUE"""),"Sterling")</f>
        <v>Sterling</v>
      </c>
      <c r="F34" s="182" t="str">
        <f>IFERROR(__xludf.DUMMYFUNCTION("""COMPUTED_VALUE"""),"256GB")</f>
        <v>256GB</v>
      </c>
      <c r="G34" s="182" t="str">
        <f>IFERROR(__xludf.DUMMYFUNCTION("""COMPUTED_VALUE"""),"US - Tmobile")</f>
        <v>US - Tmobile</v>
      </c>
      <c r="H34" s="168">
        <f>IFERROR(__xludf.DUMMYFUNCTION("""COMPUTED_VALUE"""),8.40353925267E11)</f>
        <v>840353925267</v>
      </c>
      <c r="I34" s="185" t="str">
        <f>IFERROR(__xludf.DUMMYFUNCTION("""COMPUTED_VALUE"""),"0840353925267")</f>
        <v>0840353925267</v>
      </c>
      <c r="J34" s="182" t="str">
        <f>IFERROR(__xludf.DUMMYFUNCTION("""COMPUTED_VALUE"""),"#N/A")</f>
        <v>#N/A</v>
      </c>
      <c r="K34" s="182" t="str">
        <f>IFERROR(__xludf.DUMMYFUNCTION("""COMPUTED_VALUE"""),"G4QUR")</f>
        <v>G4QUR</v>
      </c>
      <c r="L34" s="182" t="str">
        <f>IFERROR(__xludf.DUMMYFUNCTION("""COMPUTED_VALUE"""),"TMO")</f>
        <v>TMO</v>
      </c>
    </row>
    <row r="35">
      <c r="A35" s="182" t="str">
        <f>IFERROR(__xludf.DUMMYFUNCTION("""COMPUTED_VALUE"""),"GA10297-US")</f>
        <v>GA10297-US</v>
      </c>
      <c r="B35" s="182" t="str">
        <f>IFERROR(__xludf.DUMMYFUNCTION("""COMPUTED_VALUE"""),"SKU,CLR4, BETTER, MMWAVE, TMO, US, BZ5")</f>
        <v>SKU,CLR4, BETTER, MMWAVE, TMO, US, BZ5</v>
      </c>
      <c r="C35" s="182" t="str">
        <f>IFERROR(__xludf.DUMMYFUNCTION("""COMPUTED_VALUE"""),"BETTER")</f>
        <v>BETTER</v>
      </c>
      <c r="D35" s="182" t="str">
        <f>IFERROR(__xludf.DUMMYFUNCTION("""COMPUTED_VALUE"""),"CLR4")</f>
        <v>CLR4</v>
      </c>
      <c r="E35" s="182" t="str">
        <f>IFERROR(__xludf.DUMMYFUNCTION("""COMPUTED_VALUE"""),"Smokey Green")</f>
        <v>Smokey Green</v>
      </c>
      <c r="F35" s="182" t="str">
        <f>IFERROR(__xludf.DUMMYFUNCTION("""COMPUTED_VALUE"""),"256GB")</f>
        <v>256GB</v>
      </c>
      <c r="G35" s="182" t="str">
        <f>IFERROR(__xludf.DUMMYFUNCTION("""COMPUTED_VALUE"""),"US - Tmobile")</f>
        <v>US - Tmobile</v>
      </c>
      <c r="H35" s="168">
        <f>IFERROR(__xludf.DUMMYFUNCTION("""COMPUTED_VALUE"""),8.40353925274E11)</f>
        <v>840353925274</v>
      </c>
      <c r="I35" s="185" t="str">
        <f>IFERROR(__xludf.DUMMYFUNCTION("""COMPUTED_VALUE"""),"0840353925274")</f>
        <v>0840353925274</v>
      </c>
      <c r="J35" s="182" t="str">
        <f>IFERROR(__xludf.DUMMYFUNCTION("""COMPUTED_VALUE"""),"#N/A")</f>
        <v>#N/A</v>
      </c>
      <c r="K35" s="182" t="str">
        <f>IFERROR(__xludf.DUMMYFUNCTION("""COMPUTED_VALUE"""),"G4QUR")</f>
        <v>G4QUR</v>
      </c>
      <c r="L35" s="182" t="str">
        <f>IFERROR(__xludf.DUMMYFUNCTION("""COMPUTED_VALUE"""),"TMO")</f>
        <v>TMO</v>
      </c>
    </row>
    <row r="36">
      <c r="A36" s="182" t="str">
        <f>IFERROR(__xludf.DUMMYFUNCTION("""COMPUTED_VALUE"""),"GA09907-US")</f>
        <v>GA09907-US</v>
      </c>
      <c r="B36" s="182" t="str">
        <f>IFERROR(__xludf.DUMMYFUNCTION("""COMPUTED_VALUE"""),"SKU,CLR1, BEST, MMWAVE, TMO, BZ5")</f>
        <v>SKU,CLR1, BEST, MMWAVE, TMO, BZ5</v>
      </c>
      <c r="C36" s="182" t="str">
        <f>IFERROR(__xludf.DUMMYFUNCTION("""COMPUTED_VALUE"""),"BEST")</f>
        <v>BEST</v>
      </c>
      <c r="D36" s="182" t="str">
        <f>IFERROR(__xludf.DUMMYFUNCTION("""COMPUTED_VALUE"""),"CLR1")</f>
        <v>CLR1</v>
      </c>
      <c r="E36" s="182" t="str">
        <f>IFERROR(__xludf.DUMMYFUNCTION("""COMPUTED_VALUE"""),"Midnight")</f>
        <v>Midnight</v>
      </c>
      <c r="F36" s="182" t="str">
        <f>IFERROR(__xludf.DUMMYFUNCTION("""COMPUTED_VALUE"""),"512GB")</f>
        <v>512GB</v>
      </c>
      <c r="G36" s="182" t="str">
        <f>IFERROR(__xludf.DUMMYFUNCTION("""COMPUTED_VALUE"""),"US - Tmobile")</f>
        <v>US - Tmobile</v>
      </c>
      <c r="H36" s="168">
        <f>IFERROR(__xludf.DUMMYFUNCTION("""COMPUTED_VALUE"""),8.4035392509E11)</f>
        <v>840353925090</v>
      </c>
      <c r="I36" s="185" t="str">
        <f>IFERROR(__xludf.DUMMYFUNCTION("""COMPUTED_VALUE"""),"0840353925090")</f>
        <v>0840353925090</v>
      </c>
      <c r="J36" s="182" t="str">
        <f>IFERROR(__xludf.DUMMYFUNCTION("""COMPUTED_VALUE"""),"#N/A")</f>
        <v>#N/A</v>
      </c>
      <c r="K36" s="182" t="str">
        <f>IFERROR(__xludf.DUMMYFUNCTION("""COMPUTED_VALUE"""),"G4QUR")</f>
        <v>G4QUR</v>
      </c>
      <c r="L36" s="182" t="str">
        <f>IFERROR(__xludf.DUMMYFUNCTION("""COMPUTED_VALUE"""),"TMO")</f>
        <v>TMO</v>
      </c>
    </row>
    <row r="37">
      <c r="A37" s="182" t="str">
        <f>IFERROR(__xludf.DUMMYFUNCTION("""COMPUTED_VALUE"""),"GA10298-US")</f>
        <v>GA10298-US</v>
      </c>
      <c r="B37" s="182" t="str">
        <f>IFERROR(__xludf.DUMMYFUNCTION("""COMPUTED_VALUE"""),"SKU,CLR2, BEST, MMWAVE, TMO, US, BZ5")</f>
        <v>SKU,CLR2, BEST, MMWAVE, TMO, US, BZ5</v>
      </c>
      <c r="C37" s="182" t="str">
        <f>IFERROR(__xludf.DUMMYFUNCTION("""COMPUTED_VALUE"""),"BEST")</f>
        <v>BEST</v>
      </c>
      <c r="D37" s="182" t="str">
        <f>IFERROR(__xludf.DUMMYFUNCTION("""COMPUTED_VALUE"""),"CLR2")</f>
        <v>CLR2</v>
      </c>
      <c r="E37" s="182" t="str">
        <f>IFERROR(__xludf.DUMMYFUNCTION("""COMPUTED_VALUE"""),"Light Porcelain")</f>
        <v>Light Porcelain</v>
      </c>
      <c r="F37" s="182" t="str">
        <f>IFERROR(__xludf.DUMMYFUNCTION("""COMPUTED_VALUE"""),"512GB")</f>
        <v>512GB</v>
      </c>
      <c r="G37" s="182" t="str">
        <f>IFERROR(__xludf.DUMMYFUNCTION("""COMPUTED_VALUE"""),"US - Tmobile")</f>
        <v>US - Tmobile</v>
      </c>
      <c r="H37" s="168">
        <f>IFERROR(__xludf.DUMMYFUNCTION("""COMPUTED_VALUE"""),8.40353925106E11)</f>
        <v>840353925106</v>
      </c>
      <c r="I37" s="185" t="str">
        <f>IFERROR(__xludf.DUMMYFUNCTION("""COMPUTED_VALUE"""),"0840353925106")</f>
        <v>0840353925106</v>
      </c>
      <c r="J37" s="182" t="str">
        <f>IFERROR(__xludf.DUMMYFUNCTION("""COMPUTED_VALUE"""),"#N/A")</f>
        <v>#N/A</v>
      </c>
      <c r="K37" s="182" t="str">
        <f>IFERROR(__xludf.DUMMYFUNCTION("""COMPUTED_VALUE"""),"G4QUR")</f>
        <v>G4QUR</v>
      </c>
      <c r="L37" s="182" t="str">
        <f>IFERROR(__xludf.DUMMYFUNCTION("""COMPUTED_VALUE"""),"TMO")</f>
        <v>TMO</v>
      </c>
    </row>
    <row r="38">
      <c r="A38" s="182" t="str">
        <f>IFERROR(__xludf.DUMMYFUNCTION("""COMPUTED_VALUE"""),"GA10299-US")</f>
        <v>GA10299-US</v>
      </c>
      <c r="B38" s="182" t="str">
        <f>IFERROR(__xludf.DUMMYFUNCTION("""COMPUTED_VALUE"""),"SKU,CLR3, BEST, MMWAVE, TMO, US, BZ5")</f>
        <v>SKU,CLR3, BEST, MMWAVE, TMO, US, BZ5</v>
      </c>
      <c r="C38" s="182" t="str">
        <f>IFERROR(__xludf.DUMMYFUNCTION("""COMPUTED_VALUE"""),"BEST")</f>
        <v>BEST</v>
      </c>
      <c r="D38" s="182" t="str">
        <f>IFERROR(__xludf.DUMMYFUNCTION("""COMPUTED_VALUE"""),"CLR3")</f>
        <v>CLR3</v>
      </c>
      <c r="E38" s="182" t="str">
        <f>IFERROR(__xludf.DUMMYFUNCTION("""COMPUTED_VALUE"""),"Sterling")</f>
        <v>Sterling</v>
      </c>
      <c r="F38" s="182" t="str">
        <f>IFERROR(__xludf.DUMMYFUNCTION("""COMPUTED_VALUE"""),"512GB")</f>
        <v>512GB</v>
      </c>
      <c r="G38" s="182" t="str">
        <f>IFERROR(__xludf.DUMMYFUNCTION("""COMPUTED_VALUE"""),"US - Tmobile")</f>
        <v>US - Tmobile</v>
      </c>
      <c r="H38" s="168">
        <f>IFERROR(__xludf.DUMMYFUNCTION("""COMPUTED_VALUE"""),8.40353925113E11)</f>
        <v>840353925113</v>
      </c>
      <c r="I38" s="185" t="str">
        <f>IFERROR(__xludf.DUMMYFUNCTION("""COMPUTED_VALUE"""),"0840353925113")</f>
        <v>0840353925113</v>
      </c>
      <c r="J38" s="182" t="str">
        <f>IFERROR(__xludf.DUMMYFUNCTION("""COMPUTED_VALUE"""),"#N/A")</f>
        <v>#N/A</v>
      </c>
      <c r="K38" s="182" t="str">
        <f>IFERROR(__xludf.DUMMYFUNCTION("""COMPUTED_VALUE"""),"G4QUR")</f>
        <v>G4QUR</v>
      </c>
      <c r="L38" s="182" t="str">
        <f>IFERROR(__xludf.DUMMYFUNCTION("""COMPUTED_VALUE"""),"TMO")</f>
        <v>TMO</v>
      </c>
    </row>
    <row r="39">
      <c r="A39" s="182" t="str">
        <f>IFERROR(__xludf.DUMMYFUNCTION("""COMPUTED_VALUE"""),"GA10300-US")</f>
        <v>GA10300-US</v>
      </c>
      <c r="B39" s="182" t="str">
        <f>IFERROR(__xludf.DUMMYFUNCTION("""COMPUTED_VALUE"""),"SKU,CLR4, BEST, MMWAVE, TMO, US, BZ5")</f>
        <v>SKU,CLR4, BEST, MMWAVE, TMO, US, BZ5</v>
      </c>
      <c r="C39" s="182" t="str">
        <f>IFERROR(__xludf.DUMMYFUNCTION("""COMPUTED_VALUE"""),"BEST")</f>
        <v>BEST</v>
      </c>
      <c r="D39" s="182" t="str">
        <f>IFERROR(__xludf.DUMMYFUNCTION("""COMPUTED_VALUE"""),"CLR4")</f>
        <v>CLR4</v>
      </c>
      <c r="E39" s="182" t="str">
        <f>IFERROR(__xludf.DUMMYFUNCTION("""COMPUTED_VALUE"""),"Smokey Green")</f>
        <v>Smokey Green</v>
      </c>
      <c r="F39" s="182" t="str">
        <f>IFERROR(__xludf.DUMMYFUNCTION("""COMPUTED_VALUE"""),"512GB")</f>
        <v>512GB</v>
      </c>
      <c r="G39" s="182" t="str">
        <f>IFERROR(__xludf.DUMMYFUNCTION("""COMPUTED_VALUE"""),"US - Tmobile")</f>
        <v>US - Tmobile</v>
      </c>
      <c r="H39" s="168">
        <f>IFERROR(__xludf.DUMMYFUNCTION("""COMPUTED_VALUE"""),8.4035392512E11)</f>
        <v>840353925120</v>
      </c>
      <c r="I39" s="185" t="str">
        <f>IFERROR(__xludf.DUMMYFUNCTION("""COMPUTED_VALUE"""),"0840353925120")</f>
        <v>0840353925120</v>
      </c>
      <c r="J39" s="182" t="str">
        <f>IFERROR(__xludf.DUMMYFUNCTION("""COMPUTED_VALUE"""),"#N/A")</f>
        <v>#N/A</v>
      </c>
      <c r="K39" s="182" t="str">
        <f>IFERROR(__xludf.DUMMYFUNCTION("""COMPUTED_VALUE"""),"G4QUR")</f>
        <v>G4QUR</v>
      </c>
      <c r="L39" s="182" t="str">
        <f>IFERROR(__xludf.DUMMYFUNCTION("""COMPUTED_VALUE"""),"TMO")</f>
        <v>TMO</v>
      </c>
    </row>
    <row r="40">
      <c r="A40" s="182" t="str">
        <f>IFERROR(__xludf.DUMMYFUNCTION("""COMPUTED_VALUE"""),"GA09932-US")</f>
        <v>GA09932-US</v>
      </c>
      <c r="B40" s="182" t="str">
        <f>IFERROR(__xludf.DUMMYFUNCTION("""COMPUTED_VALUE"""),"SKU,CLR1, ULTRA, MMWAVE, TMO, BZ5")</f>
        <v>SKU,CLR1, ULTRA, MMWAVE, TMO, BZ5</v>
      </c>
      <c r="C40" s="182" t="str">
        <f>IFERROR(__xludf.DUMMYFUNCTION("""COMPUTED_VALUE"""),"ULTRA")</f>
        <v>ULTRA</v>
      </c>
      <c r="D40" s="182" t="str">
        <f>IFERROR(__xludf.DUMMYFUNCTION("""COMPUTED_VALUE"""),"CLR1")</f>
        <v>CLR1</v>
      </c>
      <c r="E40" s="182" t="str">
        <f>IFERROR(__xludf.DUMMYFUNCTION("""COMPUTED_VALUE"""),"Midnight")</f>
        <v>Midnight</v>
      </c>
      <c r="F40" s="182" t="str">
        <f>IFERROR(__xludf.DUMMYFUNCTION("""COMPUTED_VALUE"""),"1TB")</f>
        <v>1TB</v>
      </c>
      <c r="G40" s="182" t="str">
        <f>IFERROR(__xludf.DUMMYFUNCTION("""COMPUTED_VALUE"""),"US - Tmobile")</f>
        <v>US - Tmobile</v>
      </c>
      <c r="H40" s="168">
        <f>IFERROR(__xludf.DUMMYFUNCTION("""COMPUTED_VALUE"""),8.40353925304E11)</f>
        <v>840353925304</v>
      </c>
      <c r="I40" s="185" t="str">
        <f>IFERROR(__xludf.DUMMYFUNCTION("""COMPUTED_VALUE"""),"0840353925304")</f>
        <v>0840353925304</v>
      </c>
      <c r="J40" s="182" t="str">
        <f>IFERROR(__xludf.DUMMYFUNCTION("""COMPUTED_VALUE"""),"#N/A")</f>
        <v>#N/A</v>
      </c>
      <c r="K40" s="182" t="str">
        <f>IFERROR(__xludf.DUMMYFUNCTION("""COMPUTED_VALUE"""),"G4QUR")</f>
        <v>G4QUR</v>
      </c>
      <c r="L40" s="182" t="str">
        <f>IFERROR(__xludf.DUMMYFUNCTION("""COMPUTED_VALUE"""),"TMO")</f>
        <v>TMO</v>
      </c>
    </row>
    <row r="41">
      <c r="A41" s="182" t="str">
        <f>IFERROR(__xludf.DUMMYFUNCTION("""COMPUTED_VALUE"""),"GA10301-US")</f>
        <v>GA10301-US</v>
      </c>
      <c r="B41" s="182" t="str">
        <f>IFERROR(__xludf.DUMMYFUNCTION("""COMPUTED_VALUE"""),"SKU,CLR3, ULTRA, MMWAVE, TMO, US, BZ5")</f>
        <v>SKU,CLR3, ULTRA, MMWAVE, TMO, US, BZ5</v>
      </c>
      <c r="C41" s="182" t="str">
        <f>IFERROR(__xludf.DUMMYFUNCTION("""COMPUTED_VALUE"""),"ULTRA")</f>
        <v>ULTRA</v>
      </c>
      <c r="D41" s="182" t="str">
        <f>IFERROR(__xludf.DUMMYFUNCTION("""COMPUTED_VALUE"""),"CLR3")</f>
        <v>CLR3</v>
      </c>
      <c r="E41" s="182" t="str">
        <f>IFERROR(__xludf.DUMMYFUNCTION("""COMPUTED_VALUE"""),"Sterling")</f>
        <v>Sterling</v>
      </c>
      <c r="F41" s="182" t="str">
        <f>IFERROR(__xludf.DUMMYFUNCTION("""COMPUTED_VALUE"""),"1TB")</f>
        <v>1TB</v>
      </c>
      <c r="G41" s="182" t="str">
        <f>IFERROR(__xludf.DUMMYFUNCTION("""COMPUTED_VALUE"""),"US - Tmobile")</f>
        <v>US - Tmobile</v>
      </c>
      <c r="H41" s="168">
        <f>IFERROR(__xludf.DUMMYFUNCTION("""COMPUTED_VALUE"""),8.40353925311E11)</f>
        <v>840353925311</v>
      </c>
      <c r="I41" s="185" t="str">
        <f>IFERROR(__xludf.DUMMYFUNCTION("""COMPUTED_VALUE"""),"0840353925311")</f>
        <v>0840353925311</v>
      </c>
      <c r="J41" s="182" t="str">
        <f>IFERROR(__xludf.DUMMYFUNCTION("""COMPUTED_VALUE"""),"#N/A")</f>
        <v>#N/A</v>
      </c>
      <c r="K41" s="182" t="str">
        <f>IFERROR(__xludf.DUMMYFUNCTION("""COMPUTED_VALUE"""),"G4QUR")</f>
        <v>G4QUR</v>
      </c>
      <c r="L41" s="182" t="str">
        <f>IFERROR(__xludf.DUMMYFUNCTION("""COMPUTED_VALUE"""),"TMO")</f>
        <v>TMO</v>
      </c>
    </row>
    <row r="42">
      <c r="A42" s="182" t="str">
        <f>IFERROR(__xludf.DUMMYFUNCTION("""COMPUTED_VALUE"""),"IQGA09187-US")</f>
        <v>IQGA09187-US</v>
      </c>
      <c r="B42" s="182" t="str">
        <f>IFERROR(__xludf.DUMMYFUNCTION("""COMPUTED_VALUE"""),"SKU,CLR1, GOOD, MMWAVE, VZW, IQ, US, BZ5")</f>
        <v>SKU,CLR1, GOOD, MMWAVE, VZW, IQ, US, BZ5</v>
      </c>
      <c r="C42" s="182" t="str">
        <f>IFERROR(__xludf.DUMMYFUNCTION("""COMPUTED_VALUE"""),"GOOD")</f>
        <v>GOOD</v>
      </c>
      <c r="D42" s="182" t="str">
        <f>IFERROR(__xludf.DUMMYFUNCTION("""COMPUTED_VALUE"""),"CLR1")</f>
        <v>CLR1</v>
      </c>
      <c r="E42" s="182" t="str">
        <f>IFERROR(__xludf.DUMMYFUNCTION("""COMPUTED_VALUE"""),"Midnight")</f>
        <v>Midnight</v>
      </c>
      <c r="F42" s="182" t="str">
        <f>IFERROR(__xludf.DUMMYFUNCTION("""COMPUTED_VALUE"""),"128GB")</f>
        <v>128GB</v>
      </c>
      <c r="G42" s="182" t="str">
        <f>IFERROR(__xludf.DUMMYFUNCTION("""COMPUTED_VALUE"""),"US-VZW")</f>
        <v>US-VZW</v>
      </c>
      <c r="H42" s="168">
        <f>IFERROR(__xludf.DUMMYFUNCTION("""COMPUTED_VALUE"""),8.40353936584E11)</f>
        <v>840353936584</v>
      </c>
      <c r="I42" s="185" t="str">
        <f>IFERROR(__xludf.DUMMYFUNCTION("""COMPUTED_VALUE"""),"0840353936584")</f>
        <v>0840353936584</v>
      </c>
      <c r="J42" s="182" t="str">
        <f>IFERROR(__xludf.DUMMYFUNCTION("""COMPUTED_VALUE"""),"#N/A")</f>
        <v>#N/A</v>
      </c>
      <c r="K42" s="182" t="str">
        <f>IFERROR(__xludf.DUMMYFUNCTION("""COMPUTED_VALUE"""),"G4QUR")</f>
        <v>G4QUR</v>
      </c>
      <c r="L42" s="182" t="str">
        <f>IFERROR(__xludf.DUMMYFUNCTION("""COMPUTED_VALUE"""),"VZW")</f>
        <v>VZW</v>
      </c>
    </row>
    <row r="43">
      <c r="A43" s="182" t="str">
        <f>IFERROR(__xludf.DUMMYFUNCTION("""COMPUTED_VALUE"""),"IQGA10275-US")</f>
        <v>IQGA10275-US</v>
      </c>
      <c r="B43" s="182" t="str">
        <f>IFERROR(__xludf.DUMMYFUNCTION("""COMPUTED_VALUE"""),"SKU,CLR2, GOOD, MMWAVE, VZW, IQ, US, BZ5")</f>
        <v>SKU,CLR2, GOOD, MMWAVE, VZW, IQ, US, BZ5</v>
      </c>
      <c r="C43" s="182" t="str">
        <f>IFERROR(__xludf.DUMMYFUNCTION("""COMPUTED_VALUE"""),"GOOD")</f>
        <v>GOOD</v>
      </c>
      <c r="D43" s="182" t="str">
        <f>IFERROR(__xludf.DUMMYFUNCTION("""COMPUTED_VALUE"""),"CLR2")</f>
        <v>CLR2</v>
      </c>
      <c r="E43" s="182" t="str">
        <f>IFERROR(__xludf.DUMMYFUNCTION("""COMPUTED_VALUE"""),"Light Porcelain")</f>
        <v>Light Porcelain</v>
      </c>
      <c r="F43" s="182" t="str">
        <f>IFERROR(__xludf.DUMMYFUNCTION("""COMPUTED_VALUE"""),"128GB")</f>
        <v>128GB</v>
      </c>
      <c r="G43" s="182" t="str">
        <f>IFERROR(__xludf.DUMMYFUNCTION("""COMPUTED_VALUE"""),"US-VZW")</f>
        <v>US-VZW</v>
      </c>
      <c r="H43" s="168">
        <f>IFERROR(__xludf.DUMMYFUNCTION("""COMPUTED_VALUE"""),8.40353936591E11)</f>
        <v>840353936591</v>
      </c>
      <c r="I43" s="185" t="str">
        <f>IFERROR(__xludf.DUMMYFUNCTION("""COMPUTED_VALUE"""),"0840353936591")</f>
        <v>0840353936591</v>
      </c>
      <c r="J43" s="182" t="str">
        <f>IFERROR(__xludf.DUMMYFUNCTION("""COMPUTED_VALUE"""),"#N/A")</f>
        <v>#N/A</v>
      </c>
      <c r="K43" s="182" t="str">
        <f>IFERROR(__xludf.DUMMYFUNCTION("""COMPUTED_VALUE"""),"G4QUR")</f>
        <v>G4QUR</v>
      </c>
      <c r="L43" s="182" t="str">
        <f>IFERROR(__xludf.DUMMYFUNCTION("""COMPUTED_VALUE"""),"VZW")</f>
        <v>VZW</v>
      </c>
    </row>
    <row r="44">
      <c r="A44" s="182" t="str">
        <f>IFERROR(__xludf.DUMMYFUNCTION("""COMPUTED_VALUE"""),"IQGA10276-US")</f>
        <v>IQGA10276-US</v>
      </c>
      <c r="B44" s="182" t="str">
        <f>IFERROR(__xludf.DUMMYFUNCTION("""COMPUTED_VALUE"""),"SKU,CLR3, GOOD, MMWAVE, VZW, IQ, US, BZ5")</f>
        <v>SKU,CLR3, GOOD, MMWAVE, VZW, IQ, US, BZ5</v>
      </c>
      <c r="C44" s="182" t="str">
        <f>IFERROR(__xludf.DUMMYFUNCTION("""COMPUTED_VALUE"""),"GOOD")</f>
        <v>GOOD</v>
      </c>
      <c r="D44" s="182" t="str">
        <f>IFERROR(__xludf.DUMMYFUNCTION("""COMPUTED_VALUE"""),"CLR3")</f>
        <v>CLR3</v>
      </c>
      <c r="E44" s="182" t="str">
        <f>IFERROR(__xludf.DUMMYFUNCTION("""COMPUTED_VALUE"""),"Sterling")</f>
        <v>Sterling</v>
      </c>
      <c r="F44" s="182" t="str">
        <f>IFERROR(__xludf.DUMMYFUNCTION("""COMPUTED_VALUE"""),"128GB")</f>
        <v>128GB</v>
      </c>
      <c r="G44" s="182" t="str">
        <f>IFERROR(__xludf.DUMMYFUNCTION("""COMPUTED_VALUE"""),"US-VZW")</f>
        <v>US-VZW</v>
      </c>
      <c r="H44" s="168">
        <f>IFERROR(__xludf.DUMMYFUNCTION("""COMPUTED_VALUE"""),8.40353936607E11)</f>
        <v>840353936607</v>
      </c>
      <c r="I44" s="185" t="str">
        <f>IFERROR(__xludf.DUMMYFUNCTION("""COMPUTED_VALUE"""),"0840353936607")</f>
        <v>0840353936607</v>
      </c>
      <c r="J44" s="182" t="str">
        <f>IFERROR(__xludf.DUMMYFUNCTION("""COMPUTED_VALUE"""),"#N/A")</f>
        <v>#N/A</v>
      </c>
      <c r="K44" s="182" t="str">
        <f>IFERROR(__xludf.DUMMYFUNCTION("""COMPUTED_VALUE"""),"G4QUR")</f>
        <v>G4QUR</v>
      </c>
      <c r="L44" s="182" t="str">
        <f>IFERROR(__xludf.DUMMYFUNCTION("""COMPUTED_VALUE"""),"VZW")</f>
        <v>VZW</v>
      </c>
    </row>
    <row r="45">
      <c r="A45" s="182" t="str">
        <f>IFERROR(__xludf.DUMMYFUNCTION("""COMPUTED_VALUE"""),"IQGA09896-US")</f>
        <v>IQGA09896-US</v>
      </c>
      <c r="B45" s="182" t="str">
        <f>IFERROR(__xludf.DUMMYFUNCTION("""COMPUTED_VALUE"""),"SKU,CLR1, BETTER, MMWAVE, VZW, IQ, US, BZ5")</f>
        <v>SKU,CLR1, BETTER, MMWAVE, VZW, IQ, US, BZ5</v>
      </c>
      <c r="C45" s="182" t="str">
        <f>IFERROR(__xludf.DUMMYFUNCTION("""COMPUTED_VALUE"""),"BETTER")</f>
        <v>BETTER</v>
      </c>
      <c r="D45" s="182" t="str">
        <f>IFERROR(__xludf.DUMMYFUNCTION("""COMPUTED_VALUE"""),"CLR1")</f>
        <v>CLR1</v>
      </c>
      <c r="E45" s="182" t="str">
        <f>IFERROR(__xludf.DUMMYFUNCTION("""COMPUTED_VALUE"""),"Midnight")</f>
        <v>Midnight</v>
      </c>
      <c r="F45" s="182" t="str">
        <f>IFERROR(__xludf.DUMMYFUNCTION("""COMPUTED_VALUE"""),"256GB")</f>
        <v>256GB</v>
      </c>
      <c r="G45" s="182" t="str">
        <f>IFERROR(__xludf.DUMMYFUNCTION("""COMPUTED_VALUE"""),"US-VZW")</f>
        <v>US-VZW</v>
      </c>
      <c r="H45" s="168">
        <f>IFERROR(__xludf.DUMMYFUNCTION("""COMPUTED_VALUE"""),8.40353936614E11)</f>
        <v>840353936614</v>
      </c>
      <c r="I45" s="185" t="str">
        <f>IFERROR(__xludf.DUMMYFUNCTION("""COMPUTED_VALUE"""),"0840353936614")</f>
        <v>0840353936614</v>
      </c>
      <c r="J45" s="182" t="str">
        <f>IFERROR(__xludf.DUMMYFUNCTION("""COMPUTED_VALUE"""),"#N/A")</f>
        <v>#N/A</v>
      </c>
      <c r="K45" s="182" t="str">
        <f>IFERROR(__xludf.DUMMYFUNCTION("""COMPUTED_VALUE"""),"G4QUR")</f>
        <v>G4QUR</v>
      </c>
      <c r="L45" s="182" t="str">
        <f>IFERROR(__xludf.DUMMYFUNCTION("""COMPUTED_VALUE"""),"VZW")</f>
        <v>VZW</v>
      </c>
    </row>
    <row r="46">
      <c r="A46" s="182" t="str">
        <f>IFERROR(__xludf.DUMMYFUNCTION("""COMPUTED_VALUE"""),"IQGA10277-US")</f>
        <v>IQGA10277-US</v>
      </c>
      <c r="B46" s="182" t="str">
        <f>IFERROR(__xludf.DUMMYFUNCTION("""COMPUTED_VALUE"""),"SKU,CLR2, BETTER, MMWAVE, VZW, IQ, US, BZ5")</f>
        <v>SKU,CLR2, BETTER, MMWAVE, VZW, IQ, US, BZ5</v>
      </c>
      <c r="C46" s="182" t="str">
        <f>IFERROR(__xludf.DUMMYFUNCTION("""COMPUTED_VALUE"""),"BETTER")</f>
        <v>BETTER</v>
      </c>
      <c r="D46" s="182" t="str">
        <f>IFERROR(__xludf.DUMMYFUNCTION("""COMPUTED_VALUE"""),"CLR2")</f>
        <v>CLR2</v>
      </c>
      <c r="E46" s="182" t="str">
        <f>IFERROR(__xludf.DUMMYFUNCTION("""COMPUTED_VALUE"""),"Light Porcelain")</f>
        <v>Light Porcelain</v>
      </c>
      <c r="F46" s="182" t="str">
        <f>IFERROR(__xludf.DUMMYFUNCTION("""COMPUTED_VALUE"""),"256GB")</f>
        <v>256GB</v>
      </c>
      <c r="G46" s="182" t="str">
        <f>IFERROR(__xludf.DUMMYFUNCTION("""COMPUTED_VALUE"""),"US-VZW")</f>
        <v>US-VZW</v>
      </c>
      <c r="H46" s="168">
        <f>IFERROR(__xludf.DUMMYFUNCTION("""COMPUTED_VALUE"""),8.40353936621E11)</f>
        <v>840353936621</v>
      </c>
      <c r="I46" s="185" t="str">
        <f>IFERROR(__xludf.DUMMYFUNCTION("""COMPUTED_VALUE"""),"0840353936621")</f>
        <v>0840353936621</v>
      </c>
      <c r="J46" s="182" t="str">
        <f>IFERROR(__xludf.DUMMYFUNCTION("""COMPUTED_VALUE"""),"#N/A")</f>
        <v>#N/A</v>
      </c>
      <c r="K46" s="182" t="str">
        <f>IFERROR(__xludf.DUMMYFUNCTION("""COMPUTED_VALUE"""),"G4QUR")</f>
        <v>G4QUR</v>
      </c>
      <c r="L46" s="182" t="str">
        <f>IFERROR(__xludf.DUMMYFUNCTION("""COMPUTED_VALUE"""),"VZW")</f>
        <v>VZW</v>
      </c>
    </row>
    <row r="47">
      <c r="A47" s="182" t="str">
        <f>IFERROR(__xludf.DUMMYFUNCTION("""COMPUTED_VALUE"""),"IQGA10278-US")</f>
        <v>IQGA10278-US</v>
      </c>
      <c r="B47" s="182" t="str">
        <f>IFERROR(__xludf.DUMMYFUNCTION("""COMPUTED_VALUE"""),"SKU,CLR3, BETTER, MMWAVE, VZW, IQ, US, BZ5")</f>
        <v>SKU,CLR3, BETTER, MMWAVE, VZW, IQ, US, BZ5</v>
      </c>
      <c r="C47" s="182" t="str">
        <f>IFERROR(__xludf.DUMMYFUNCTION("""COMPUTED_VALUE"""),"BETTER")</f>
        <v>BETTER</v>
      </c>
      <c r="D47" s="182" t="str">
        <f>IFERROR(__xludf.DUMMYFUNCTION("""COMPUTED_VALUE"""),"CLR3")</f>
        <v>CLR3</v>
      </c>
      <c r="E47" s="182" t="str">
        <f>IFERROR(__xludf.DUMMYFUNCTION("""COMPUTED_VALUE"""),"Sterling")</f>
        <v>Sterling</v>
      </c>
      <c r="F47" s="182" t="str">
        <f>IFERROR(__xludf.DUMMYFUNCTION("""COMPUTED_VALUE"""),"256GB")</f>
        <v>256GB</v>
      </c>
      <c r="G47" s="182" t="str">
        <f>IFERROR(__xludf.DUMMYFUNCTION("""COMPUTED_VALUE"""),"US-VZW")</f>
        <v>US-VZW</v>
      </c>
      <c r="H47" s="168">
        <f>IFERROR(__xludf.DUMMYFUNCTION("""COMPUTED_VALUE"""),8.40353936638E11)</f>
        <v>840353936638</v>
      </c>
      <c r="I47" s="185" t="str">
        <f>IFERROR(__xludf.DUMMYFUNCTION("""COMPUTED_VALUE"""),"0840353936638")</f>
        <v>0840353936638</v>
      </c>
      <c r="J47" s="182" t="str">
        <f>IFERROR(__xludf.DUMMYFUNCTION("""COMPUTED_VALUE"""),"#N/A")</f>
        <v>#N/A</v>
      </c>
      <c r="K47" s="182" t="str">
        <f>IFERROR(__xludf.DUMMYFUNCTION("""COMPUTED_VALUE"""),"G4QUR")</f>
        <v>G4QUR</v>
      </c>
      <c r="L47" s="182" t="str">
        <f>IFERROR(__xludf.DUMMYFUNCTION("""COMPUTED_VALUE"""),"VZW")</f>
        <v>VZW</v>
      </c>
    </row>
    <row r="48">
      <c r="A48" s="182" t="str">
        <f>IFERROR(__xludf.DUMMYFUNCTION("""COMPUTED_VALUE"""),"IQGA10279-US")</f>
        <v>IQGA10279-US</v>
      </c>
      <c r="B48" s="182" t="str">
        <f>IFERROR(__xludf.DUMMYFUNCTION("""COMPUTED_VALUE"""),"SKU,CLR4, BETTER, MMWAVE, VZW, IQ, US, BZ5")</f>
        <v>SKU,CLR4, BETTER, MMWAVE, VZW, IQ, US, BZ5</v>
      </c>
      <c r="C48" s="182" t="str">
        <f>IFERROR(__xludf.DUMMYFUNCTION("""COMPUTED_VALUE"""),"BETTER")</f>
        <v>BETTER</v>
      </c>
      <c r="D48" s="182" t="str">
        <f>IFERROR(__xludf.DUMMYFUNCTION("""COMPUTED_VALUE"""),"CLR4")</f>
        <v>CLR4</v>
      </c>
      <c r="E48" s="182" t="str">
        <f>IFERROR(__xludf.DUMMYFUNCTION("""COMPUTED_VALUE"""),"Smokey Green")</f>
        <v>Smokey Green</v>
      </c>
      <c r="F48" s="182" t="str">
        <f>IFERROR(__xludf.DUMMYFUNCTION("""COMPUTED_VALUE"""),"256GB")</f>
        <v>256GB</v>
      </c>
      <c r="G48" s="182" t="str">
        <f>IFERROR(__xludf.DUMMYFUNCTION("""COMPUTED_VALUE"""),"US-VZW")</f>
        <v>US-VZW</v>
      </c>
      <c r="H48" s="168">
        <f>IFERROR(__xludf.DUMMYFUNCTION("""COMPUTED_VALUE"""),8.40353936645E11)</f>
        <v>840353936645</v>
      </c>
      <c r="I48" s="185" t="str">
        <f>IFERROR(__xludf.DUMMYFUNCTION("""COMPUTED_VALUE"""),"0840353936645")</f>
        <v>0840353936645</v>
      </c>
      <c r="J48" s="182" t="str">
        <f>IFERROR(__xludf.DUMMYFUNCTION("""COMPUTED_VALUE"""),"#N/A")</f>
        <v>#N/A</v>
      </c>
      <c r="K48" s="182" t="str">
        <f>IFERROR(__xludf.DUMMYFUNCTION("""COMPUTED_VALUE"""),"G4QUR")</f>
        <v>G4QUR</v>
      </c>
      <c r="L48" s="182" t="str">
        <f>IFERROR(__xludf.DUMMYFUNCTION("""COMPUTED_VALUE"""),"VZW")</f>
        <v>VZW</v>
      </c>
    </row>
    <row r="49">
      <c r="A49" s="182" t="str">
        <f>IFERROR(__xludf.DUMMYFUNCTION("""COMPUTED_VALUE"""),"IQGA09905-US")</f>
        <v>IQGA09905-US</v>
      </c>
      <c r="B49" s="182" t="str">
        <f>IFERROR(__xludf.DUMMYFUNCTION("""COMPUTED_VALUE"""),"SKU,CLR1, BEST, MMWAVE, VZW, IQ, US, BZ5")</f>
        <v>SKU,CLR1, BEST, MMWAVE, VZW, IQ, US, BZ5</v>
      </c>
      <c r="C49" s="182" t="str">
        <f>IFERROR(__xludf.DUMMYFUNCTION("""COMPUTED_VALUE"""),"BEST")</f>
        <v>BEST</v>
      </c>
      <c r="D49" s="182" t="str">
        <f>IFERROR(__xludf.DUMMYFUNCTION("""COMPUTED_VALUE"""),"CLR1")</f>
        <v>CLR1</v>
      </c>
      <c r="E49" s="182" t="str">
        <f>IFERROR(__xludf.DUMMYFUNCTION("""COMPUTED_VALUE"""),"Midnight")</f>
        <v>Midnight</v>
      </c>
      <c r="F49" s="182" t="str">
        <f>IFERROR(__xludf.DUMMYFUNCTION("""COMPUTED_VALUE"""),"512GB")</f>
        <v>512GB</v>
      </c>
      <c r="G49" s="182" t="str">
        <f>IFERROR(__xludf.DUMMYFUNCTION("""COMPUTED_VALUE"""),"US-VZW")</f>
        <v>US-VZW</v>
      </c>
      <c r="H49" s="168">
        <f>IFERROR(__xludf.DUMMYFUNCTION("""COMPUTED_VALUE"""),8.40353936652E11)</f>
        <v>840353936652</v>
      </c>
      <c r="I49" s="185" t="str">
        <f>IFERROR(__xludf.DUMMYFUNCTION("""COMPUTED_VALUE"""),"0840353936652")</f>
        <v>0840353936652</v>
      </c>
      <c r="J49" s="182" t="str">
        <f>IFERROR(__xludf.DUMMYFUNCTION("""COMPUTED_VALUE"""),"#N/A")</f>
        <v>#N/A</v>
      </c>
      <c r="K49" s="182" t="str">
        <f>IFERROR(__xludf.DUMMYFUNCTION("""COMPUTED_VALUE"""),"G4QUR")</f>
        <v>G4QUR</v>
      </c>
      <c r="L49" s="182" t="str">
        <f>IFERROR(__xludf.DUMMYFUNCTION("""COMPUTED_VALUE"""),"VZW")</f>
        <v>VZW</v>
      </c>
    </row>
    <row r="50">
      <c r="A50" s="182" t="str">
        <f>IFERROR(__xludf.DUMMYFUNCTION("""COMPUTED_VALUE"""),"IQGA10280-US")</f>
        <v>IQGA10280-US</v>
      </c>
      <c r="B50" s="182" t="str">
        <f>IFERROR(__xludf.DUMMYFUNCTION("""COMPUTED_VALUE"""),"SKU,CLR2, BEST, MMWAVE, VZW, IQ, US, BZ5")</f>
        <v>SKU,CLR2, BEST, MMWAVE, VZW, IQ, US, BZ5</v>
      </c>
      <c r="C50" s="182" t="str">
        <f>IFERROR(__xludf.DUMMYFUNCTION("""COMPUTED_VALUE"""),"BEST")</f>
        <v>BEST</v>
      </c>
      <c r="D50" s="182" t="str">
        <f>IFERROR(__xludf.DUMMYFUNCTION("""COMPUTED_VALUE"""),"CLR2")</f>
        <v>CLR2</v>
      </c>
      <c r="E50" s="182" t="str">
        <f>IFERROR(__xludf.DUMMYFUNCTION("""COMPUTED_VALUE"""),"Light Porcelain")</f>
        <v>Light Porcelain</v>
      </c>
      <c r="F50" s="182" t="str">
        <f>IFERROR(__xludf.DUMMYFUNCTION("""COMPUTED_VALUE"""),"512GB")</f>
        <v>512GB</v>
      </c>
      <c r="G50" s="182" t="str">
        <f>IFERROR(__xludf.DUMMYFUNCTION("""COMPUTED_VALUE"""),"US-VZW")</f>
        <v>US-VZW</v>
      </c>
      <c r="H50" s="168">
        <f>IFERROR(__xludf.DUMMYFUNCTION("""COMPUTED_VALUE"""),8.40353936669E11)</f>
        <v>840353936669</v>
      </c>
      <c r="I50" s="185" t="str">
        <f>IFERROR(__xludf.DUMMYFUNCTION("""COMPUTED_VALUE"""),"0840353936669")</f>
        <v>0840353936669</v>
      </c>
      <c r="J50" s="182" t="str">
        <f>IFERROR(__xludf.DUMMYFUNCTION("""COMPUTED_VALUE"""),"#N/A")</f>
        <v>#N/A</v>
      </c>
      <c r="K50" s="182" t="str">
        <f>IFERROR(__xludf.DUMMYFUNCTION("""COMPUTED_VALUE"""),"G4QUR")</f>
        <v>G4QUR</v>
      </c>
      <c r="L50" s="182" t="str">
        <f>IFERROR(__xludf.DUMMYFUNCTION("""COMPUTED_VALUE"""),"VZW")</f>
        <v>VZW</v>
      </c>
    </row>
    <row r="51">
      <c r="A51" s="182" t="str">
        <f>IFERROR(__xludf.DUMMYFUNCTION("""COMPUTED_VALUE"""),"IQGA10281-US")</f>
        <v>IQGA10281-US</v>
      </c>
      <c r="B51" s="182" t="str">
        <f>IFERROR(__xludf.DUMMYFUNCTION("""COMPUTED_VALUE"""),"SKU,CLR3, BEST, MMWAVE, VZW, IQ, US, BZ5")</f>
        <v>SKU,CLR3, BEST, MMWAVE, VZW, IQ, US, BZ5</v>
      </c>
      <c r="C51" s="182" t="str">
        <f>IFERROR(__xludf.DUMMYFUNCTION("""COMPUTED_VALUE"""),"BEST")</f>
        <v>BEST</v>
      </c>
      <c r="D51" s="182" t="str">
        <f>IFERROR(__xludf.DUMMYFUNCTION("""COMPUTED_VALUE"""),"CLR3")</f>
        <v>CLR3</v>
      </c>
      <c r="E51" s="182" t="str">
        <f>IFERROR(__xludf.DUMMYFUNCTION("""COMPUTED_VALUE"""),"Sterling")</f>
        <v>Sterling</v>
      </c>
      <c r="F51" s="182" t="str">
        <f>IFERROR(__xludf.DUMMYFUNCTION("""COMPUTED_VALUE"""),"512GB")</f>
        <v>512GB</v>
      </c>
      <c r="G51" s="182" t="str">
        <f>IFERROR(__xludf.DUMMYFUNCTION("""COMPUTED_VALUE"""),"US-VZW")</f>
        <v>US-VZW</v>
      </c>
      <c r="H51" s="168">
        <f>IFERROR(__xludf.DUMMYFUNCTION("""COMPUTED_VALUE"""),8.40353936676E11)</f>
        <v>840353936676</v>
      </c>
      <c r="I51" s="185" t="str">
        <f>IFERROR(__xludf.DUMMYFUNCTION("""COMPUTED_VALUE"""),"0840353936676")</f>
        <v>0840353936676</v>
      </c>
      <c r="J51" s="182" t="str">
        <f>IFERROR(__xludf.DUMMYFUNCTION("""COMPUTED_VALUE"""),"#N/A")</f>
        <v>#N/A</v>
      </c>
      <c r="K51" s="182" t="str">
        <f>IFERROR(__xludf.DUMMYFUNCTION("""COMPUTED_VALUE"""),"G4QUR")</f>
        <v>G4QUR</v>
      </c>
      <c r="L51" s="182" t="str">
        <f>IFERROR(__xludf.DUMMYFUNCTION("""COMPUTED_VALUE"""),"VZW")</f>
        <v>VZW</v>
      </c>
    </row>
    <row r="52">
      <c r="A52" s="182" t="str">
        <f>IFERROR(__xludf.DUMMYFUNCTION("""COMPUTED_VALUE"""),"IQGA10282-US")</f>
        <v>IQGA10282-US</v>
      </c>
      <c r="B52" s="182" t="str">
        <f>IFERROR(__xludf.DUMMYFUNCTION("""COMPUTED_VALUE"""),"SKU,CLR4, BEST, MMWAVE, VZW, IQ, US, BZ5")</f>
        <v>SKU,CLR4, BEST, MMWAVE, VZW, IQ, US, BZ5</v>
      </c>
      <c r="C52" s="182" t="str">
        <f>IFERROR(__xludf.DUMMYFUNCTION("""COMPUTED_VALUE"""),"BEST")</f>
        <v>BEST</v>
      </c>
      <c r="D52" s="182" t="str">
        <f>IFERROR(__xludf.DUMMYFUNCTION("""COMPUTED_VALUE"""),"CLR4")</f>
        <v>CLR4</v>
      </c>
      <c r="E52" s="182" t="str">
        <f>IFERROR(__xludf.DUMMYFUNCTION("""COMPUTED_VALUE"""),"Smokey Green")</f>
        <v>Smokey Green</v>
      </c>
      <c r="F52" s="182" t="str">
        <f>IFERROR(__xludf.DUMMYFUNCTION("""COMPUTED_VALUE"""),"512GB")</f>
        <v>512GB</v>
      </c>
      <c r="G52" s="182" t="str">
        <f>IFERROR(__xludf.DUMMYFUNCTION("""COMPUTED_VALUE"""),"US-VZW")</f>
        <v>US-VZW</v>
      </c>
      <c r="H52" s="168">
        <f>IFERROR(__xludf.DUMMYFUNCTION("""COMPUTED_VALUE"""),8.40353936683E11)</f>
        <v>840353936683</v>
      </c>
      <c r="I52" s="185" t="str">
        <f>IFERROR(__xludf.DUMMYFUNCTION("""COMPUTED_VALUE"""),"0840353936683")</f>
        <v>0840353936683</v>
      </c>
      <c r="J52" s="182" t="str">
        <f>IFERROR(__xludf.DUMMYFUNCTION("""COMPUTED_VALUE"""),"#N/A")</f>
        <v>#N/A</v>
      </c>
      <c r="K52" s="182" t="str">
        <f>IFERROR(__xludf.DUMMYFUNCTION("""COMPUTED_VALUE"""),"G4QUR")</f>
        <v>G4QUR</v>
      </c>
      <c r="L52" s="182" t="str">
        <f>IFERROR(__xludf.DUMMYFUNCTION("""COMPUTED_VALUE"""),"VZW")</f>
        <v>VZW</v>
      </c>
    </row>
    <row r="53">
      <c r="A53" s="182" t="str">
        <f>IFERROR(__xludf.DUMMYFUNCTION("""COMPUTED_VALUE"""),"IQGA09930-US")</f>
        <v>IQGA09930-US</v>
      </c>
      <c r="B53" s="182" t="str">
        <f>IFERROR(__xludf.DUMMYFUNCTION("""COMPUTED_VALUE"""),"SKU,CLR1, ULTRA, MMWAVE, VZW, IQ, US, BZ5")</f>
        <v>SKU,CLR1, ULTRA, MMWAVE, VZW, IQ, US, BZ5</v>
      </c>
      <c r="C53" s="182" t="str">
        <f>IFERROR(__xludf.DUMMYFUNCTION("""COMPUTED_VALUE"""),"ULTRA")</f>
        <v>ULTRA</v>
      </c>
      <c r="D53" s="182" t="str">
        <f>IFERROR(__xludf.DUMMYFUNCTION("""COMPUTED_VALUE"""),"CLR1")</f>
        <v>CLR1</v>
      </c>
      <c r="E53" s="182" t="str">
        <f>IFERROR(__xludf.DUMMYFUNCTION("""COMPUTED_VALUE"""),"Midnight")</f>
        <v>Midnight</v>
      </c>
      <c r="F53" s="182" t="str">
        <f>IFERROR(__xludf.DUMMYFUNCTION("""COMPUTED_VALUE"""),"1TB")</f>
        <v>1TB</v>
      </c>
      <c r="G53" s="182" t="str">
        <f>IFERROR(__xludf.DUMMYFUNCTION("""COMPUTED_VALUE"""),"US-VZW")</f>
        <v>US-VZW</v>
      </c>
      <c r="H53" s="168">
        <f>IFERROR(__xludf.DUMMYFUNCTION("""COMPUTED_VALUE"""),8.4035393669E11)</f>
        <v>840353936690</v>
      </c>
      <c r="I53" s="185" t="str">
        <f>IFERROR(__xludf.DUMMYFUNCTION("""COMPUTED_VALUE"""),"0840353936690")</f>
        <v>0840353936690</v>
      </c>
      <c r="J53" s="182" t="str">
        <f>IFERROR(__xludf.DUMMYFUNCTION("""COMPUTED_VALUE"""),"#N/A")</f>
        <v>#N/A</v>
      </c>
      <c r="K53" s="182" t="str">
        <f>IFERROR(__xludf.DUMMYFUNCTION("""COMPUTED_VALUE"""),"G4QUR")</f>
        <v>G4QUR</v>
      </c>
      <c r="L53" s="182" t="str">
        <f>IFERROR(__xludf.DUMMYFUNCTION("""COMPUTED_VALUE"""),"VZW")</f>
        <v>VZW</v>
      </c>
    </row>
    <row r="54">
      <c r="A54" s="182" t="str">
        <f>IFERROR(__xludf.DUMMYFUNCTION("""COMPUTED_VALUE"""),"IQGA10283-US")</f>
        <v>IQGA10283-US</v>
      </c>
      <c r="B54" s="182" t="str">
        <f>IFERROR(__xludf.DUMMYFUNCTION("""COMPUTED_VALUE"""),"SKU,CLR3, ULTRA, MMWAVE, VZW, IQ, US, BZ5")</f>
        <v>SKU,CLR3, ULTRA, MMWAVE, VZW, IQ, US, BZ5</v>
      </c>
      <c r="C54" s="182" t="str">
        <f>IFERROR(__xludf.DUMMYFUNCTION("""COMPUTED_VALUE"""),"ULTRA")</f>
        <v>ULTRA</v>
      </c>
      <c r="D54" s="182" t="str">
        <f>IFERROR(__xludf.DUMMYFUNCTION("""COMPUTED_VALUE"""),"CLR3")</f>
        <v>CLR3</v>
      </c>
      <c r="E54" s="182" t="str">
        <f>IFERROR(__xludf.DUMMYFUNCTION("""COMPUTED_VALUE"""),"Sterling")</f>
        <v>Sterling</v>
      </c>
      <c r="F54" s="182" t="str">
        <f>IFERROR(__xludf.DUMMYFUNCTION("""COMPUTED_VALUE"""),"1TB")</f>
        <v>1TB</v>
      </c>
      <c r="G54" s="182" t="str">
        <f>IFERROR(__xludf.DUMMYFUNCTION("""COMPUTED_VALUE"""),"US-VZW")</f>
        <v>US-VZW</v>
      </c>
      <c r="H54" s="168">
        <f>IFERROR(__xludf.DUMMYFUNCTION("""COMPUTED_VALUE"""),8.40353936706E11)</f>
        <v>840353936706</v>
      </c>
      <c r="I54" s="185" t="str">
        <f>IFERROR(__xludf.DUMMYFUNCTION("""COMPUTED_VALUE"""),"0840353936706")</f>
        <v>0840353936706</v>
      </c>
      <c r="J54" s="182" t="str">
        <f>IFERROR(__xludf.DUMMYFUNCTION("""COMPUTED_VALUE"""),"#N/A")</f>
        <v>#N/A</v>
      </c>
      <c r="K54" s="182" t="str">
        <f>IFERROR(__xludf.DUMMYFUNCTION("""COMPUTED_VALUE"""),"G4QUR")</f>
        <v>G4QUR</v>
      </c>
      <c r="L54" s="182" t="str">
        <f>IFERROR(__xludf.DUMMYFUNCTION("""COMPUTED_VALUE"""),"VZW")</f>
        <v>VZW</v>
      </c>
    </row>
    <row r="55">
      <c r="A55" s="182" t="str">
        <f>IFERROR(__xludf.DUMMYFUNCTION("""COMPUTED_VALUE"""),"GA10780-US")</f>
        <v>GA10780-US</v>
      </c>
      <c r="B55" s="182" t="str">
        <f>IFERROR(__xludf.DUMMYFUNCTION("""COMPUTED_VALUE"""),"SKU,CLR1, GOOD, MMWAVE, ATT, DEMO, BZ5")</f>
        <v>SKU,CLR1, GOOD, MMWAVE, ATT, DEMO, BZ5</v>
      </c>
      <c r="C55" s="182" t="str">
        <f>IFERROR(__xludf.DUMMYFUNCTION("""COMPUTED_VALUE"""),"GOOD")</f>
        <v>GOOD</v>
      </c>
      <c r="D55" s="182" t="str">
        <f>IFERROR(__xludf.DUMMYFUNCTION("""COMPUTED_VALUE"""),"CLR1")</f>
        <v>CLR1</v>
      </c>
      <c r="E55" s="182" t="str">
        <f>IFERROR(__xludf.DUMMYFUNCTION("""COMPUTED_VALUE"""),"Midnight")</f>
        <v>Midnight</v>
      </c>
      <c r="F55" s="182" t="str">
        <f>IFERROR(__xludf.DUMMYFUNCTION("""COMPUTED_VALUE"""),"128GB")</f>
        <v>128GB</v>
      </c>
      <c r="G55" s="182" t="str">
        <f>IFERROR(__xludf.DUMMYFUNCTION("""COMPUTED_VALUE"""),"US - AT&amp;T")</f>
        <v>US - AT&amp;T</v>
      </c>
      <c r="H55" s="168">
        <f>IFERROR(__xludf.DUMMYFUNCTION("""COMPUTED_VALUE"""),8.40353937918E11)</f>
        <v>840353937918</v>
      </c>
      <c r="I55" s="185" t="str">
        <f>IFERROR(__xludf.DUMMYFUNCTION("""COMPUTED_VALUE"""),"0840353937918")</f>
        <v>0840353937918</v>
      </c>
      <c r="J55" s="182" t="str">
        <f>IFERROR(__xludf.DUMMYFUNCTION("""COMPUTED_VALUE"""),"#N/A")</f>
        <v>#N/A</v>
      </c>
      <c r="K55" s="182" t="str">
        <f>IFERROR(__xludf.DUMMYFUNCTION("""COMPUTED_VALUE"""),"G4QUR")</f>
        <v>G4QUR</v>
      </c>
      <c r="L55" s="182" t="str">
        <f>IFERROR(__xludf.DUMMYFUNCTION("""COMPUTED_VALUE"""),"ATT")</f>
        <v>ATT</v>
      </c>
    </row>
    <row r="56">
      <c r="A56" s="182" t="str">
        <f>IFERROR(__xludf.DUMMYFUNCTION("""COMPUTED_VALUE"""),"GA10783-US")</f>
        <v>GA10783-US</v>
      </c>
      <c r="B56" s="182" t="str">
        <f>IFERROR(__xludf.DUMMYFUNCTION("""COMPUTED_VALUE"""),"SKU,CLR2, GOOD, MMWAVE, ATT, DEMO, BZ5")</f>
        <v>SKU,CLR2, GOOD, MMWAVE, ATT, DEMO, BZ5</v>
      </c>
      <c r="C56" s="182" t="str">
        <f>IFERROR(__xludf.DUMMYFUNCTION("""COMPUTED_VALUE"""),"GOOD")</f>
        <v>GOOD</v>
      </c>
      <c r="D56" s="182" t="str">
        <f>IFERROR(__xludf.DUMMYFUNCTION("""COMPUTED_VALUE"""),"CLR2")</f>
        <v>CLR2</v>
      </c>
      <c r="E56" s="182" t="str">
        <f>IFERROR(__xludf.DUMMYFUNCTION("""COMPUTED_VALUE"""),"Light Porcelain")</f>
        <v>Light Porcelain</v>
      </c>
      <c r="F56" s="182" t="str">
        <f>IFERROR(__xludf.DUMMYFUNCTION("""COMPUTED_VALUE"""),"128GB")</f>
        <v>128GB</v>
      </c>
      <c r="G56" s="182" t="str">
        <f>IFERROR(__xludf.DUMMYFUNCTION("""COMPUTED_VALUE"""),"US - AT&amp;T")</f>
        <v>US - AT&amp;T</v>
      </c>
      <c r="H56" s="168">
        <f>IFERROR(__xludf.DUMMYFUNCTION("""COMPUTED_VALUE"""),8.40353938014E11)</f>
        <v>840353938014</v>
      </c>
      <c r="I56" s="185" t="str">
        <f>IFERROR(__xludf.DUMMYFUNCTION("""COMPUTED_VALUE"""),"0840353938014")</f>
        <v>0840353938014</v>
      </c>
      <c r="J56" s="182" t="str">
        <f>IFERROR(__xludf.DUMMYFUNCTION("""COMPUTED_VALUE"""),"#N/A")</f>
        <v>#N/A</v>
      </c>
      <c r="K56" s="182" t="str">
        <f>IFERROR(__xludf.DUMMYFUNCTION("""COMPUTED_VALUE"""),"G4QUR")</f>
        <v>G4QUR</v>
      </c>
      <c r="L56" s="182" t="str">
        <f>IFERROR(__xludf.DUMMYFUNCTION("""COMPUTED_VALUE"""),"ATT")</f>
        <v>ATT</v>
      </c>
    </row>
    <row r="57">
      <c r="A57" s="182" t="str">
        <f>IFERROR(__xludf.DUMMYFUNCTION("""COMPUTED_VALUE"""),"GA10786-US")</f>
        <v>GA10786-US</v>
      </c>
      <c r="B57" s="182" t="str">
        <f>IFERROR(__xludf.DUMMYFUNCTION("""COMPUTED_VALUE"""),"SKU,CLR3, GOOD, MMWAVE, ATT, DEMO, BZ5")</f>
        <v>SKU,CLR3, GOOD, MMWAVE, ATT, DEMO, BZ5</v>
      </c>
      <c r="C57" s="182" t="str">
        <f>IFERROR(__xludf.DUMMYFUNCTION("""COMPUTED_VALUE"""),"GOOD")</f>
        <v>GOOD</v>
      </c>
      <c r="D57" s="182" t="str">
        <f>IFERROR(__xludf.DUMMYFUNCTION("""COMPUTED_VALUE"""),"CLR3")</f>
        <v>CLR3</v>
      </c>
      <c r="E57" s="182" t="str">
        <f>IFERROR(__xludf.DUMMYFUNCTION("""COMPUTED_VALUE"""),"Sterling")</f>
        <v>Sterling</v>
      </c>
      <c r="F57" s="182" t="str">
        <f>IFERROR(__xludf.DUMMYFUNCTION("""COMPUTED_VALUE"""),"128GB")</f>
        <v>128GB</v>
      </c>
      <c r="G57" s="182" t="str">
        <f>IFERROR(__xludf.DUMMYFUNCTION("""COMPUTED_VALUE"""),"US - AT&amp;T")</f>
        <v>US - AT&amp;T</v>
      </c>
      <c r="H57" s="168">
        <f>IFERROR(__xludf.DUMMYFUNCTION("""COMPUTED_VALUE"""),8.40353938076E11)</f>
        <v>840353938076</v>
      </c>
      <c r="I57" s="185" t="str">
        <f>IFERROR(__xludf.DUMMYFUNCTION("""COMPUTED_VALUE"""),"0840353938076")</f>
        <v>0840353938076</v>
      </c>
      <c r="J57" s="182" t="str">
        <f>IFERROR(__xludf.DUMMYFUNCTION("""COMPUTED_VALUE"""),"D992E")</f>
        <v>D992E</v>
      </c>
      <c r="K57" s="182" t="str">
        <f>IFERROR(__xludf.DUMMYFUNCTION("""COMPUTED_VALUE"""),"G4QUR")</f>
        <v>G4QUR</v>
      </c>
      <c r="L57" s="182" t="str">
        <f>IFERROR(__xludf.DUMMYFUNCTION("""COMPUTED_VALUE"""),"ATT")</f>
        <v>ATT</v>
      </c>
    </row>
    <row r="58">
      <c r="A58" s="182" t="str">
        <f>IFERROR(__xludf.DUMMYFUNCTION("""COMPUTED_VALUE"""),"GA10789-US")</f>
        <v>GA10789-US</v>
      </c>
      <c r="B58" s="182" t="str">
        <f>IFERROR(__xludf.DUMMYFUNCTION("""COMPUTED_VALUE"""),"SKU,CLR4, BETTER, MMWAVE, ATT, DEMO, BZ5")</f>
        <v>SKU,CLR4, BETTER, MMWAVE, ATT, DEMO, BZ5</v>
      </c>
      <c r="C58" s="182" t="str">
        <f>IFERROR(__xludf.DUMMYFUNCTION("""COMPUTED_VALUE"""),"BETTER")</f>
        <v>BETTER</v>
      </c>
      <c r="D58" s="182" t="str">
        <f>IFERROR(__xludf.DUMMYFUNCTION("""COMPUTED_VALUE"""),"CLR4")</f>
        <v>CLR4</v>
      </c>
      <c r="E58" s="182" t="str">
        <f>IFERROR(__xludf.DUMMYFUNCTION("""COMPUTED_VALUE"""),"Smokey Green")</f>
        <v>Smokey Green</v>
      </c>
      <c r="F58" s="182" t="str">
        <f>IFERROR(__xludf.DUMMYFUNCTION("""COMPUTED_VALUE"""),"256GB")</f>
        <v>256GB</v>
      </c>
      <c r="G58" s="182" t="str">
        <f>IFERROR(__xludf.DUMMYFUNCTION("""COMPUTED_VALUE"""),"US - AT&amp;T")</f>
        <v>US - AT&amp;T</v>
      </c>
      <c r="H58" s="168">
        <f>IFERROR(__xludf.DUMMYFUNCTION("""COMPUTED_VALUE"""),8.40353938137E11)</f>
        <v>840353938137</v>
      </c>
      <c r="I58" s="185" t="str">
        <f>IFERROR(__xludf.DUMMYFUNCTION("""COMPUTED_VALUE"""),"0840353938137")</f>
        <v>0840353938137</v>
      </c>
      <c r="J58" s="182" t="str">
        <f>IFERROR(__xludf.DUMMYFUNCTION("""COMPUTED_VALUE"""),"#N/A")</f>
        <v>#N/A</v>
      </c>
      <c r="K58" s="182" t="str">
        <f>IFERROR(__xludf.DUMMYFUNCTION("""COMPUTED_VALUE"""),"G4QUR")</f>
        <v>G4QUR</v>
      </c>
      <c r="L58" s="182" t="str">
        <f>IFERROR(__xludf.DUMMYFUNCTION("""COMPUTED_VALUE"""),"ATT")</f>
        <v>ATT</v>
      </c>
    </row>
    <row r="59">
      <c r="A59" s="182" t="str">
        <f>IFERROR(__xludf.DUMMYFUNCTION("""COMPUTED_VALUE"""),"GA10781-US")</f>
        <v>GA10781-US</v>
      </c>
      <c r="B59" s="182" t="str">
        <f>IFERROR(__xludf.DUMMYFUNCTION("""COMPUTED_VALUE"""),"SKU,CLR1, GOOD, MMWAVE, TMO, DEMO, BZ5")</f>
        <v>SKU,CLR1, GOOD, MMWAVE, TMO, DEMO, BZ5</v>
      </c>
      <c r="C59" s="182" t="str">
        <f>IFERROR(__xludf.DUMMYFUNCTION("""COMPUTED_VALUE"""),"GOOD")</f>
        <v>GOOD</v>
      </c>
      <c r="D59" s="182" t="str">
        <f>IFERROR(__xludf.DUMMYFUNCTION("""COMPUTED_VALUE"""),"CLR1")</f>
        <v>CLR1</v>
      </c>
      <c r="E59" s="182" t="str">
        <f>IFERROR(__xludf.DUMMYFUNCTION("""COMPUTED_VALUE"""),"Midnight")</f>
        <v>Midnight</v>
      </c>
      <c r="F59" s="182" t="str">
        <f>IFERROR(__xludf.DUMMYFUNCTION("""COMPUTED_VALUE"""),"128GB")</f>
        <v>128GB</v>
      </c>
      <c r="G59" s="182" t="str">
        <f>IFERROR(__xludf.DUMMYFUNCTION("""COMPUTED_VALUE"""),"US - Tmobile")</f>
        <v>US - Tmobile</v>
      </c>
      <c r="H59" s="168">
        <f>IFERROR(__xludf.DUMMYFUNCTION("""COMPUTED_VALUE"""),8.40353937925E11)</f>
        <v>840353937925</v>
      </c>
      <c r="I59" s="185" t="str">
        <f>IFERROR(__xludf.DUMMYFUNCTION("""COMPUTED_VALUE"""),"0840353937925")</f>
        <v>0840353937925</v>
      </c>
      <c r="J59" s="182" t="str">
        <f>IFERROR(__xludf.DUMMYFUNCTION("""COMPUTED_VALUE"""),"#N/A")</f>
        <v>#N/A</v>
      </c>
      <c r="K59" s="182" t="str">
        <f>IFERROR(__xludf.DUMMYFUNCTION("""COMPUTED_VALUE"""),"G4QUR")</f>
        <v>G4QUR</v>
      </c>
      <c r="L59" s="182" t="str">
        <f>IFERROR(__xludf.DUMMYFUNCTION("""COMPUTED_VALUE"""),"TMO")</f>
        <v>TMO</v>
      </c>
    </row>
    <row r="60">
      <c r="A60" s="182" t="str">
        <f>IFERROR(__xludf.DUMMYFUNCTION("""COMPUTED_VALUE"""),"GA10784-US")</f>
        <v>GA10784-US</v>
      </c>
      <c r="B60" s="182" t="str">
        <f>IFERROR(__xludf.DUMMYFUNCTION("""COMPUTED_VALUE"""),"SKU,CLR2, GOOD, MMWAVE, TMO, DEMO, BZ5")</f>
        <v>SKU,CLR2, GOOD, MMWAVE, TMO, DEMO, BZ5</v>
      </c>
      <c r="C60" s="182" t="str">
        <f>IFERROR(__xludf.DUMMYFUNCTION("""COMPUTED_VALUE"""),"GOOD")</f>
        <v>GOOD</v>
      </c>
      <c r="D60" s="182" t="str">
        <f>IFERROR(__xludf.DUMMYFUNCTION("""COMPUTED_VALUE"""),"CLR2")</f>
        <v>CLR2</v>
      </c>
      <c r="E60" s="182" t="str">
        <f>IFERROR(__xludf.DUMMYFUNCTION("""COMPUTED_VALUE"""),"Light Porcelain")</f>
        <v>Light Porcelain</v>
      </c>
      <c r="F60" s="182" t="str">
        <f>IFERROR(__xludf.DUMMYFUNCTION("""COMPUTED_VALUE"""),"128GB")</f>
        <v>128GB</v>
      </c>
      <c r="G60" s="182" t="str">
        <f>IFERROR(__xludf.DUMMYFUNCTION("""COMPUTED_VALUE"""),"US - Tmobile")</f>
        <v>US - Tmobile</v>
      </c>
      <c r="H60" s="168">
        <f>IFERROR(__xludf.DUMMYFUNCTION("""COMPUTED_VALUE"""),8.40353938021E11)</f>
        <v>840353938021</v>
      </c>
      <c r="I60" s="185" t="str">
        <f>IFERROR(__xludf.DUMMYFUNCTION("""COMPUTED_VALUE"""),"0840353938021")</f>
        <v>0840353938021</v>
      </c>
      <c r="J60" s="182" t="str">
        <f>IFERROR(__xludf.DUMMYFUNCTION("""COMPUTED_VALUE"""),"#N/A")</f>
        <v>#N/A</v>
      </c>
      <c r="K60" s="182" t="str">
        <f>IFERROR(__xludf.DUMMYFUNCTION("""COMPUTED_VALUE"""),"G4QUR")</f>
        <v>G4QUR</v>
      </c>
      <c r="L60" s="182" t="str">
        <f>IFERROR(__xludf.DUMMYFUNCTION("""COMPUTED_VALUE"""),"TMO")</f>
        <v>TMO</v>
      </c>
    </row>
    <row r="61">
      <c r="A61" s="182" t="str">
        <f>IFERROR(__xludf.DUMMYFUNCTION("""COMPUTED_VALUE"""),"GA10787-US")</f>
        <v>GA10787-US</v>
      </c>
      <c r="B61" s="182" t="str">
        <f>IFERROR(__xludf.DUMMYFUNCTION("""COMPUTED_VALUE"""),"SKU,CLR3, GOOD, MMWAVE, TMO, DEMO, BZ5")</f>
        <v>SKU,CLR3, GOOD, MMWAVE, TMO, DEMO, BZ5</v>
      </c>
      <c r="C61" s="182" t="str">
        <f>IFERROR(__xludf.DUMMYFUNCTION("""COMPUTED_VALUE"""),"GOOD")</f>
        <v>GOOD</v>
      </c>
      <c r="D61" s="182" t="str">
        <f>IFERROR(__xludf.DUMMYFUNCTION("""COMPUTED_VALUE"""),"CLR3")</f>
        <v>CLR3</v>
      </c>
      <c r="E61" s="182" t="str">
        <f>IFERROR(__xludf.DUMMYFUNCTION("""COMPUTED_VALUE"""),"Sterling")</f>
        <v>Sterling</v>
      </c>
      <c r="F61" s="182" t="str">
        <f>IFERROR(__xludf.DUMMYFUNCTION("""COMPUTED_VALUE"""),"128GB")</f>
        <v>128GB</v>
      </c>
      <c r="G61" s="182" t="str">
        <f>IFERROR(__xludf.DUMMYFUNCTION("""COMPUTED_VALUE"""),"US - Tmobile")</f>
        <v>US - Tmobile</v>
      </c>
      <c r="H61" s="168">
        <f>IFERROR(__xludf.DUMMYFUNCTION("""COMPUTED_VALUE"""),8.40353938083E11)</f>
        <v>840353938083</v>
      </c>
      <c r="I61" s="185" t="str">
        <f>IFERROR(__xludf.DUMMYFUNCTION("""COMPUTED_VALUE"""),"0840353938083")</f>
        <v>0840353938083</v>
      </c>
      <c r="J61" s="182" t="str">
        <f>IFERROR(__xludf.DUMMYFUNCTION("""COMPUTED_VALUE"""),"#N/A")</f>
        <v>#N/A</v>
      </c>
      <c r="K61" s="182" t="str">
        <f>IFERROR(__xludf.DUMMYFUNCTION("""COMPUTED_VALUE"""),"G4QUR")</f>
        <v>G4QUR</v>
      </c>
      <c r="L61" s="182" t="str">
        <f>IFERROR(__xludf.DUMMYFUNCTION("""COMPUTED_VALUE"""),"TMO")</f>
        <v>TMO</v>
      </c>
    </row>
    <row r="62">
      <c r="A62" s="182" t="str">
        <f>IFERROR(__xludf.DUMMYFUNCTION("""COMPUTED_VALUE"""),"GA10790-US")</f>
        <v>GA10790-US</v>
      </c>
      <c r="B62" s="182" t="str">
        <f>IFERROR(__xludf.DUMMYFUNCTION("""COMPUTED_VALUE"""),"SKU,CLR4, BETTER, MMWAVE, TMO, DEMO, BZ5")</f>
        <v>SKU,CLR4, BETTER, MMWAVE, TMO, DEMO, BZ5</v>
      </c>
      <c r="C62" s="182" t="str">
        <f>IFERROR(__xludf.DUMMYFUNCTION("""COMPUTED_VALUE"""),"BETTER")</f>
        <v>BETTER</v>
      </c>
      <c r="D62" s="182" t="str">
        <f>IFERROR(__xludf.DUMMYFUNCTION("""COMPUTED_VALUE"""),"CLR4")</f>
        <v>CLR4</v>
      </c>
      <c r="E62" s="182" t="str">
        <f>IFERROR(__xludf.DUMMYFUNCTION("""COMPUTED_VALUE"""),"Smokey Green")</f>
        <v>Smokey Green</v>
      </c>
      <c r="F62" s="182" t="str">
        <f>IFERROR(__xludf.DUMMYFUNCTION("""COMPUTED_VALUE"""),"256GB")</f>
        <v>256GB</v>
      </c>
      <c r="G62" s="182" t="str">
        <f>IFERROR(__xludf.DUMMYFUNCTION("""COMPUTED_VALUE"""),"US - Tmobile")</f>
        <v>US - Tmobile</v>
      </c>
      <c r="H62" s="168">
        <f>IFERROR(__xludf.DUMMYFUNCTION("""COMPUTED_VALUE"""),8.40353938144E11)</f>
        <v>840353938144</v>
      </c>
      <c r="I62" s="185" t="str">
        <f>IFERROR(__xludf.DUMMYFUNCTION("""COMPUTED_VALUE"""),"0840353938144")</f>
        <v>0840353938144</v>
      </c>
      <c r="J62" s="182" t="str">
        <f>IFERROR(__xludf.DUMMYFUNCTION("""COMPUTED_VALUE"""),"#N/A")</f>
        <v>#N/A</v>
      </c>
      <c r="K62" s="182" t="str">
        <f>IFERROR(__xludf.DUMMYFUNCTION("""COMPUTED_VALUE"""),"G4QUR")</f>
        <v>G4QUR</v>
      </c>
      <c r="L62" s="182" t="str">
        <f>IFERROR(__xludf.DUMMYFUNCTION("""COMPUTED_VALUE"""),"TMO")</f>
        <v>TMO</v>
      </c>
    </row>
    <row r="63">
      <c r="A63" s="182" t="str">
        <f>IFERROR(__xludf.DUMMYFUNCTION("""COMPUTED_VALUE"""),"CLNRGOGA09187")</f>
        <v>CLNRGOGA09187</v>
      </c>
      <c r="B63" s="182" t="str">
        <f>IFERROR(__xludf.DUMMYFUNCTION("""COMPUTED_VALUE"""),"SKU,CLR1, GOOD, MMWAVE, VZW, BZ5, FRU")</f>
        <v>SKU,CLR1, GOOD, MMWAVE, VZW, BZ5, FRU</v>
      </c>
      <c r="C63" s="182" t="str">
        <f>IFERROR(__xludf.DUMMYFUNCTION("""COMPUTED_VALUE"""),"GOOD")</f>
        <v>GOOD</v>
      </c>
      <c r="D63" s="182" t="str">
        <f>IFERROR(__xludf.DUMMYFUNCTION("""COMPUTED_VALUE"""),"CLR1")</f>
        <v>CLR1</v>
      </c>
      <c r="E63" s="182" t="str">
        <f>IFERROR(__xludf.DUMMYFUNCTION("""COMPUTED_VALUE"""),"Midnight")</f>
        <v>Midnight</v>
      </c>
      <c r="F63" s="182" t="str">
        <f>IFERROR(__xludf.DUMMYFUNCTION("""COMPUTED_VALUE"""),"128GB")</f>
        <v>128GB</v>
      </c>
      <c r="G63" s="182" t="str">
        <f>IFERROR(__xludf.DUMMYFUNCTION("""COMPUTED_VALUE"""),"US-VZW")</f>
        <v>US-VZW</v>
      </c>
      <c r="H63" s="168">
        <f>IFERROR(__xludf.DUMMYFUNCTION("""COMPUTED_VALUE"""),8.40353936713E11)</f>
        <v>840353936713</v>
      </c>
      <c r="I63" s="185" t="str">
        <f>IFERROR(__xludf.DUMMYFUNCTION("""COMPUTED_VALUE"""),"0840353936713")</f>
        <v>0840353936713</v>
      </c>
      <c r="J63" s="182" t="str">
        <f>IFERROR(__xludf.DUMMYFUNCTION("""COMPUTED_VALUE"""),"#N/A")</f>
        <v>#N/A</v>
      </c>
      <c r="K63" s="182" t="str">
        <f>IFERROR(__xludf.DUMMYFUNCTION("""COMPUTED_VALUE"""),"G4QUR")</f>
        <v>G4QUR</v>
      </c>
      <c r="L63" s="182" t="str">
        <f>IFERROR(__xludf.DUMMYFUNCTION("""COMPUTED_VALUE"""),"VZW")</f>
        <v>VZW</v>
      </c>
    </row>
    <row r="64">
      <c r="A64" s="182" t="str">
        <f>IFERROR(__xludf.DUMMYFUNCTION("""COMPUTED_VALUE"""),"CLNRGOGA10275")</f>
        <v>CLNRGOGA10275</v>
      </c>
      <c r="B64" s="182" t="str">
        <f>IFERROR(__xludf.DUMMYFUNCTION("""COMPUTED_VALUE"""),"SKU,CLR2, GOOD, MMWAVE, VZW, BZ5, FRU")</f>
        <v>SKU,CLR2, GOOD, MMWAVE, VZW, BZ5, FRU</v>
      </c>
      <c r="C64" s="182" t="str">
        <f>IFERROR(__xludf.DUMMYFUNCTION("""COMPUTED_VALUE"""),"GOOD")</f>
        <v>GOOD</v>
      </c>
      <c r="D64" s="182" t="str">
        <f>IFERROR(__xludf.DUMMYFUNCTION("""COMPUTED_VALUE"""),"CLR2")</f>
        <v>CLR2</v>
      </c>
      <c r="E64" s="182" t="str">
        <f>IFERROR(__xludf.DUMMYFUNCTION("""COMPUTED_VALUE"""),"Light Porcelain")</f>
        <v>Light Porcelain</v>
      </c>
      <c r="F64" s="182" t="str">
        <f>IFERROR(__xludf.DUMMYFUNCTION("""COMPUTED_VALUE"""),"128GB")</f>
        <v>128GB</v>
      </c>
      <c r="G64" s="182" t="str">
        <f>IFERROR(__xludf.DUMMYFUNCTION("""COMPUTED_VALUE"""),"US-VZW")</f>
        <v>US-VZW</v>
      </c>
      <c r="H64" s="168">
        <f>IFERROR(__xludf.DUMMYFUNCTION("""COMPUTED_VALUE"""),8.40353936775E11)</f>
        <v>840353936775</v>
      </c>
      <c r="I64" s="185" t="str">
        <f>IFERROR(__xludf.DUMMYFUNCTION("""COMPUTED_VALUE"""),"0840353936775")</f>
        <v>0840353936775</v>
      </c>
      <c r="J64" s="182" t="str">
        <f>IFERROR(__xludf.DUMMYFUNCTION("""COMPUTED_VALUE"""),"#N/A")</f>
        <v>#N/A</v>
      </c>
      <c r="K64" s="182" t="str">
        <f>IFERROR(__xludf.DUMMYFUNCTION("""COMPUTED_VALUE"""),"G4QUR")</f>
        <v>G4QUR</v>
      </c>
      <c r="L64" s="182" t="str">
        <f>IFERROR(__xludf.DUMMYFUNCTION("""COMPUTED_VALUE"""),"VZW")</f>
        <v>VZW</v>
      </c>
    </row>
    <row r="65">
      <c r="A65" s="182" t="str">
        <f>IFERROR(__xludf.DUMMYFUNCTION("""COMPUTED_VALUE"""),"CLNRGOGA10276")</f>
        <v>CLNRGOGA10276</v>
      </c>
      <c r="B65" s="182" t="str">
        <f>IFERROR(__xludf.DUMMYFUNCTION("""COMPUTED_VALUE"""),"SKU,CLR3, GOOD, MMWAVE, VZW, BZ5, FRU")</f>
        <v>SKU,CLR3, GOOD, MMWAVE, VZW, BZ5, FRU</v>
      </c>
      <c r="C65" s="182" t="str">
        <f>IFERROR(__xludf.DUMMYFUNCTION("""COMPUTED_VALUE"""),"GOOD")</f>
        <v>GOOD</v>
      </c>
      <c r="D65" s="182" t="str">
        <f>IFERROR(__xludf.DUMMYFUNCTION("""COMPUTED_VALUE"""),"CLR3")</f>
        <v>CLR3</v>
      </c>
      <c r="E65" s="182" t="str">
        <f>IFERROR(__xludf.DUMMYFUNCTION("""COMPUTED_VALUE"""),"Sterling")</f>
        <v>Sterling</v>
      </c>
      <c r="F65" s="182" t="str">
        <f>IFERROR(__xludf.DUMMYFUNCTION("""COMPUTED_VALUE"""),"128GB")</f>
        <v>128GB</v>
      </c>
      <c r="G65" s="182" t="str">
        <f>IFERROR(__xludf.DUMMYFUNCTION("""COMPUTED_VALUE"""),"US-VZW")</f>
        <v>US-VZW</v>
      </c>
      <c r="H65" s="168">
        <f>IFERROR(__xludf.DUMMYFUNCTION("""COMPUTED_VALUE"""),8.40353936836E11)</f>
        <v>840353936836</v>
      </c>
      <c r="I65" s="185" t="str">
        <f>IFERROR(__xludf.DUMMYFUNCTION("""COMPUTED_VALUE"""),"0840353936836")</f>
        <v>0840353936836</v>
      </c>
      <c r="J65" s="182" t="str">
        <f>IFERROR(__xludf.DUMMYFUNCTION("""COMPUTED_VALUE"""),"#N/A")</f>
        <v>#N/A</v>
      </c>
      <c r="K65" s="182" t="str">
        <f>IFERROR(__xludf.DUMMYFUNCTION("""COMPUTED_VALUE"""),"G4QUR")</f>
        <v>G4QUR</v>
      </c>
      <c r="L65" s="182" t="str">
        <f>IFERROR(__xludf.DUMMYFUNCTION("""COMPUTED_VALUE"""),"VZW")</f>
        <v>VZW</v>
      </c>
    </row>
    <row r="66">
      <c r="A66" s="182" t="str">
        <f>IFERROR(__xludf.DUMMYFUNCTION("""COMPUTED_VALUE"""),"CLNRGOGA09896")</f>
        <v>CLNRGOGA09896</v>
      </c>
      <c r="B66" s="182" t="str">
        <f>IFERROR(__xludf.DUMMYFUNCTION("""COMPUTED_VALUE"""),"SKU,CLR1, BETTER, MMWAVE, VZW, BZ5, FRU")</f>
        <v>SKU,CLR1, BETTER, MMWAVE, VZW, BZ5, FRU</v>
      </c>
      <c r="C66" s="182" t="str">
        <f>IFERROR(__xludf.DUMMYFUNCTION("""COMPUTED_VALUE"""),"BETTER")</f>
        <v>BETTER</v>
      </c>
      <c r="D66" s="182" t="str">
        <f>IFERROR(__xludf.DUMMYFUNCTION("""COMPUTED_VALUE"""),"CLR1")</f>
        <v>CLR1</v>
      </c>
      <c r="E66" s="182" t="str">
        <f>IFERROR(__xludf.DUMMYFUNCTION("""COMPUTED_VALUE"""),"Midnight")</f>
        <v>Midnight</v>
      </c>
      <c r="F66" s="182" t="str">
        <f>IFERROR(__xludf.DUMMYFUNCTION("""COMPUTED_VALUE"""),"256GB")</f>
        <v>256GB</v>
      </c>
      <c r="G66" s="182" t="str">
        <f>IFERROR(__xludf.DUMMYFUNCTION("""COMPUTED_VALUE"""),"US-VZW")</f>
        <v>US-VZW</v>
      </c>
      <c r="H66" s="168">
        <f>IFERROR(__xludf.DUMMYFUNCTION("""COMPUTED_VALUE"""),8.40353936898E11)</f>
        <v>840353936898</v>
      </c>
      <c r="I66" s="185" t="str">
        <f>IFERROR(__xludf.DUMMYFUNCTION("""COMPUTED_VALUE"""),"0840353936898")</f>
        <v>0840353936898</v>
      </c>
      <c r="J66" s="182" t="str">
        <f>IFERROR(__xludf.DUMMYFUNCTION("""COMPUTED_VALUE"""),"#N/A")</f>
        <v>#N/A</v>
      </c>
      <c r="K66" s="182" t="str">
        <f>IFERROR(__xludf.DUMMYFUNCTION("""COMPUTED_VALUE"""),"G4QUR")</f>
        <v>G4QUR</v>
      </c>
      <c r="L66" s="182" t="str">
        <f>IFERROR(__xludf.DUMMYFUNCTION("""COMPUTED_VALUE"""),"VZW")</f>
        <v>VZW</v>
      </c>
    </row>
    <row r="67">
      <c r="A67" s="182" t="str">
        <f>IFERROR(__xludf.DUMMYFUNCTION("""COMPUTED_VALUE"""),"CLNRGOGA10277")</f>
        <v>CLNRGOGA10277</v>
      </c>
      <c r="B67" s="182" t="str">
        <f>IFERROR(__xludf.DUMMYFUNCTION("""COMPUTED_VALUE"""),"SKU,CLR2, BETTER, MMWAVE, VZW, BZ5, FRU")</f>
        <v>SKU,CLR2, BETTER, MMWAVE, VZW, BZ5, FRU</v>
      </c>
      <c r="C67" s="182" t="str">
        <f>IFERROR(__xludf.DUMMYFUNCTION("""COMPUTED_VALUE"""),"BETTER")</f>
        <v>BETTER</v>
      </c>
      <c r="D67" s="182" t="str">
        <f>IFERROR(__xludf.DUMMYFUNCTION("""COMPUTED_VALUE"""),"CLR2")</f>
        <v>CLR2</v>
      </c>
      <c r="E67" s="182" t="str">
        <f>IFERROR(__xludf.DUMMYFUNCTION("""COMPUTED_VALUE"""),"Light Porcelain")</f>
        <v>Light Porcelain</v>
      </c>
      <c r="F67" s="182" t="str">
        <f>IFERROR(__xludf.DUMMYFUNCTION("""COMPUTED_VALUE"""),"256GB")</f>
        <v>256GB</v>
      </c>
      <c r="G67" s="182" t="str">
        <f>IFERROR(__xludf.DUMMYFUNCTION("""COMPUTED_VALUE"""),"US-VZW")</f>
        <v>US-VZW</v>
      </c>
      <c r="H67" s="168">
        <f>IFERROR(__xludf.DUMMYFUNCTION("""COMPUTED_VALUE"""),8.40353936904E11)</f>
        <v>840353936904</v>
      </c>
      <c r="I67" s="185" t="str">
        <f>IFERROR(__xludf.DUMMYFUNCTION("""COMPUTED_VALUE"""),"0840353936904")</f>
        <v>0840353936904</v>
      </c>
      <c r="J67" s="182" t="str">
        <f>IFERROR(__xludf.DUMMYFUNCTION("""COMPUTED_VALUE"""),"#N/A")</f>
        <v>#N/A</v>
      </c>
      <c r="K67" s="182" t="str">
        <f>IFERROR(__xludf.DUMMYFUNCTION("""COMPUTED_VALUE"""),"G4QUR")</f>
        <v>G4QUR</v>
      </c>
      <c r="L67" s="182" t="str">
        <f>IFERROR(__xludf.DUMMYFUNCTION("""COMPUTED_VALUE"""),"VZW")</f>
        <v>VZW</v>
      </c>
    </row>
    <row r="68">
      <c r="A68" s="182" t="str">
        <f>IFERROR(__xludf.DUMMYFUNCTION("""COMPUTED_VALUE"""),"CLNRGOGA10278")</f>
        <v>CLNRGOGA10278</v>
      </c>
      <c r="B68" s="182" t="str">
        <f>IFERROR(__xludf.DUMMYFUNCTION("""COMPUTED_VALUE"""),"SKU,CLR3, BETTER, MMWAVE, VZW, BZ5, FRU")</f>
        <v>SKU,CLR3, BETTER, MMWAVE, VZW, BZ5, FRU</v>
      </c>
      <c r="C68" s="182" t="str">
        <f>IFERROR(__xludf.DUMMYFUNCTION("""COMPUTED_VALUE"""),"BETTER")</f>
        <v>BETTER</v>
      </c>
      <c r="D68" s="182" t="str">
        <f>IFERROR(__xludf.DUMMYFUNCTION("""COMPUTED_VALUE"""),"CLR3")</f>
        <v>CLR3</v>
      </c>
      <c r="E68" s="182" t="str">
        <f>IFERROR(__xludf.DUMMYFUNCTION("""COMPUTED_VALUE"""),"Sterling")</f>
        <v>Sterling</v>
      </c>
      <c r="F68" s="182" t="str">
        <f>IFERROR(__xludf.DUMMYFUNCTION("""COMPUTED_VALUE"""),"256GB")</f>
        <v>256GB</v>
      </c>
      <c r="G68" s="182" t="str">
        <f>IFERROR(__xludf.DUMMYFUNCTION("""COMPUTED_VALUE"""),"US-VZW")</f>
        <v>US-VZW</v>
      </c>
      <c r="H68" s="168">
        <f>IFERROR(__xludf.DUMMYFUNCTION("""COMPUTED_VALUE"""),8.40353936911E11)</f>
        <v>840353936911</v>
      </c>
      <c r="I68" s="185" t="str">
        <f>IFERROR(__xludf.DUMMYFUNCTION("""COMPUTED_VALUE"""),"0840353936911")</f>
        <v>0840353936911</v>
      </c>
      <c r="J68" s="182" t="str">
        <f>IFERROR(__xludf.DUMMYFUNCTION("""COMPUTED_VALUE"""),"#N/A")</f>
        <v>#N/A</v>
      </c>
      <c r="K68" s="182" t="str">
        <f>IFERROR(__xludf.DUMMYFUNCTION("""COMPUTED_VALUE"""),"G4QUR")</f>
        <v>G4QUR</v>
      </c>
      <c r="L68" s="182" t="str">
        <f>IFERROR(__xludf.DUMMYFUNCTION("""COMPUTED_VALUE"""),"VZW")</f>
        <v>VZW</v>
      </c>
    </row>
    <row r="69">
      <c r="A69" s="182" t="str">
        <f>IFERROR(__xludf.DUMMYFUNCTION("""COMPUTED_VALUE"""),"CLNRGOGA10279")</f>
        <v>CLNRGOGA10279</v>
      </c>
      <c r="B69" s="182" t="str">
        <f>IFERROR(__xludf.DUMMYFUNCTION("""COMPUTED_VALUE"""),"SKU,CLR4, BETTER, MMWAVE, VZW, BZ5, FRU")</f>
        <v>SKU,CLR4, BETTER, MMWAVE, VZW, BZ5, FRU</v>
      </c>
      <c r="C69" s="182" t="str">
        <f>IFERROR(__xludf.DUMMYFUNCTION("""COMPUTED_VALUE"""),"BETTER")</f>
        <v>BETTER</v>
      </c>
      <c r="D69" s="182" t="str">
        <f>IFERROR(__xludf.DUMMYFUNCTION("""COMPUTED_VALUE"""),"CLR4")</f>
        <v>CLR4</v>
      </c>
      <c r="E69" s="182" t="str">
        <f>IFERROR(__xludf.DUMMYFUNCTION("""COMPUTED_VALUE"""),"Smokey Green")</f>
        <v>Smokey Green</v>
      </c>
      <c r="F69" s="182" t="str">
        <f>IFERROR(__xludf.DUMMYFUNCTION("""COMPUTED_VALUE"""),"256GB")</f>
        <v>256GB</v>
      </c>
      <c r="G69" s="182" t="str">
        <f>IFERROR(__xludf.DUMMYFUNCTION("""COMPUTED_VALUE"""),"US-VZW")</f>
        <v>US-VZW</v>
      </c>
      <c r="H69" s="168">
        <f>IFERROR(__xludf.DUMMYFUNCTION("""COMPUTED_VALUE"""),8.40353936928E11)</f>
        <v>840353936928</v>
      </c>
      <c r="I69" s="185" t="str">
        <f>IFERROR(__xludf.DUMMYFUNCTION("""COMPUTED_VALUE"""),"0840353936928")</f>
        <v>0840353936928</v>
      </c>
      <c r="J69" s="182" t="str">
        <f>IFERROR(__xludf.DUMMYFUNCTION("""COMPUTED_VALUE"""),"#N/A")</f>
        <v>#N/A</v>
      </c>
      <c r="K69" s="182" t="str">
        <f>IFERROR(__xludf.DUMMYFUNCTION("""COMPUTED_VALUE"""),"G4QUR")</f>
        <v>G4QUR</v>
      </c>
      <c r="L69" s="182" t="str">
        <f>IFERROR(__xludf.DUMMYFUNCTION("""COMPUTED_VALUE"""),"VZW")</f>
        <v>VZW</v>
      </c>
    </row>
    <row r="70">
      <c r="A70" s="182" t="str">
        <f>IFERROR(__xludf.DUMMYFUNCTION("""COMPUTED_VALUE"""),"CLNRGOGA09905")</f>
        <v>CLNRGOGA09905</v>
      </c>
      <c r="B70" s="182" t="str">
        <f>IFERROR(__xludf.DUMMYFUNCTION("""COMPUTED_VALUE"""),"SKU,CLR1, BEST, MMWAVE, VZW, BZ5, FRU")</f>
        <v>SKU,CLR1, BEST, MMWAVE, VZW, BZ5, FRU</v>
      </c>
      <c r="C70" s="182" t="str">
        <f>IFERROR(__xludf.DUMMYFUNCTION("""COMPUTED_VALUE"""),"BEST")</f>
        <v>BEST</v>
      </c>
      <c r="D70" s="182" t="str">
        <f>IFERROR(__xludf.DUMMYFUNCTION("""COMPUTED_VALUE"""),"CLR1")</f>
        <v>CLR1</v>
      </c>
      <c r="E70" s="182" t="str">
        <f>IFERROR(__xludf.DUMMYFUNCTION("""COMPUTED_VALUE"""),"Midnight")</f>
        <v>Midnight</v>
      </c>
      <c r="F70" s="182" t="str">
        <f>IFERROR(__xludf.DUMMYFUNCTION("""COMPUTED_VALUE"""),"512GB")</f>
        <v>512GB</v>
      </c>
      <c r="G70" s="182" t="str">
        <f>IFERROR(__xludf.DUMMYFUNCTION("""COMPUTED_VALUE"""),"US-VZW")</f>
        <v>US-VZW</v>
      </c>
      <c r="H70" s="168">
        <f>IFERROR(__xludf.DUMMYFUNCTION("""COMPUTED_VALUE"""),8.40353936935E11)</f>
        <v>840353936935</v>
      </c>
      <c r="I70" s="185" t="str">
        <f>IFERROR(__xludf.DUMMYFUNCTION("""COMPUTED_VALUE"""),"0840353936935")</f>
        <v>0840353936935</v>
      </c>
      <c r="J70" s="182" t="str">
        <f>IFERROR(__xludf.DUMMYFUNCTION("""COMPUTED_VALUE"""),"#N/A")</f>
        <v>#N/A</v>
      </c>
      <c r="K70" s="182" t="str">
        <f>IFERROR(__xludf.DUMMYFUNCTION("""COMPUTED_VALUE"""),"G4QUR")</f>
        <v>G4QUR</v>
      </c>
      <c r="L70" s="182" t="str">
        <f>IFERROR(__xludf.DUMMYFUNCTION("""COMPUTED_VALUE"""),"VZW")</f>
        <v>VZW</v>
      </c>
    </row>
    <row r="71">
      <c r="A71" s="182" t="str">
        <f>IFERROR(__xludf.DUMMYFUNCTION("""COMPUTED_VALUE"""),"CLNRGOGA10280")</f>
        <v>CLNRGOGA10280</v>
      </c>
      <c r="B71" s="182" t="str">
        <f>IFERROR(__xludf.DUMMYFUNCTION("""COMPUTED_VALUE"""),"SKU,CLR2, BEST, MMWAVE, VZW, BZ5, FRU")</f>
        <v>SKU,CLR2, BEST, MMWAVE, VZW, BZ5, FRU</v>
      </c>
      <c r="C71" s="182" t="str">
        <f>IFERROR(__xludf.DUMMYFUNCTION("""COMPUTED_VALUE"""),"BEST")</f>
        <v>BEST</v>
      </c>
      <c r="D71" s="182" t="str">
        <f>IFERROR(__xludf.DUMMYFUNCTION("""COMPUTED_VALUE"""),"CLR2")</f>
        <v>CLR2</v>
      </c>
      <c r="E71" s="182" t="str">
        <f>IFERROR(__xludf.DUMMYFUNCTION("""COMPUTED_VALUE"""),"Light Porcelain")</f>
        <v>Light Porcelain</v>
      </c>
      <c r="F71" s="182" t="str">
        <f>IFERROR(__xludf.DUMMYFUNCTION("""COMPUTED_VALUE"""),"512GB")</f>
        <v>512GB</v>
      </c>
      <c r="G71" s="182" t="str">
        <f>IFERROR(__xludf.DUMMYFUNCTION("""COMPUTED_VALUE"""),"US-VZW")</f>
        <v>US-VZW</v>
      </c>
      <c r="H71" s="168">
        <f>IFERROR(__xludf.DUMMYFUNCTION("""COMPUTED_VALUE"""),8.40353936942E11)</f>
        <v>840353936942</v>
      </c>
      <c r="I71" s="185" t="str">
        <f>IFERROR(__xludf.DUMMYFUNCTION("""COMPUTED_VALUE"""),"0840353936942")</f>
        <v>0840353936942</v>
      </c>
      <c r="J71" s="182" t="str">
        <f>IFERROR(__xludf.DUMMYFUNCTION("""COMPUTED_VALUE"""),"#N/A")</f>
        <v>#N/A</v>
      </c>
      <c r="K71" s="182" t="str">
        <f>IFERROR(__xludf.DUMMYFUNCTION("""COMPUTED_VALUE"""),"G4QUR")</f>
        <v>G4QUR</v>
      </c>
      <c r="L71" s="182" t="str">
        <f>IFERROR(__xludf.DUMMYFUNCTION("""COMPUTED_VALUE"""),"VZW")</f>
        <v>VZW</v>
      </c>
    </row>
    <row r="72">
      <c r="A72" s="182" t="str">
        <f>IFERROR(__xludf.DUMMYFUNCTION("""COMPUTED_VALUE"""),"CLNRGOGA10281")</f>
        <v>CLNRGOGA10281</v>
      </c>
      <c r="B72" s="182" t="str">
        <f>IFERROR(__xludf.DUMMYFUNCTION("""COMPUTED_VALUE"""),"SKU,CLR3, BEST, MMWAVE, VZW, BZ5, FRU")</f>
        <v>SKU,CLR3, BEST, MMWAVE, VZW, BZ5, FRU</v>
      </c>
      <c r="C72" s="182" t="str">
        <f>IFERROR(__xludf.DUMMYFUNCTION("""COMPUTED_VALUE"""),"BEST")</f>
        <v>BEST</v>
      </c>
      <c r="D72" s="182" t="str">
        <f>IFERROR(__xludf.DUMMYFUNCTION("""COMPUTED_VALUE"""),"CLR3")</f>
        <v>CLR3</v>
      </c>
      <c r="E72" s="182" t="str">
        <f>IFERROR(__xludf.DUMMYFUNCTION("""COMPUTED_VALUE"""),"Sterling")</f>
        <v>Sterling</v>
      </c>
      <c r="F72" s="182" t="str">
        <f>IFERROR(__xludf.DUMMYFUNCTION("""COMPUTED_VALUE"""),"512GB")</f>
        <v>512GB</v>
      </c>
      <c r="G72" s="182" t="str">
        <f>IFERROR(__xludf.DUMMYFUNCTION("""COMPUTED_VALUE"""),"US-VZW")</f>
        <v>US-VZW</v>
      </c>
      <c r="H72" s="168">
        <f>IFERROR(__xludf.DUMMYFUNCTION("""COMPUTED_VALUE"""),8.40353936959E11)</f>
        <v>840353936959</v>
      </c>
      <c r="I72" s="185" t="str">
        <f>IFERROR(__xludf.DUMMYFUNCTION("""COMPUTED_VALUE"""),"0840353936959")</f>
        <v>0840353936959</v>
      </c>
      <c r="J72" s="182" t="str">
        <f>IFERROR(__xludf.DUMMYFUNCTION("""COMPUTED_VALUE"""),"#N/A")</f>
        <v>#N/A</v>
      </c>
      <c r="K72" s="182" t="str">
        <f>IFERROR(__xludf.DUMMYFUNCTION("""COMPUTED_VALUE"""),"G4QUR")</f>
        <v>G4QUR</v>
      </c>
      <c r="L72" s="182" t="str">
        <f>IFERROR(__xludf.DUMMYFUNCTION("""COMPUTED_VALUE"""),"VZW")</f>
        <v>VZW</v>
      </c>
    </row>
    <row r="73">
      <c r="A73" s="182" t="str">
        <f>IFERROR(__xludf.DUMMYFUNCTION("""COMPUTED_VALUE"""),"CLNRGOGA10282")</f>
        <v>CLNRGOGA10282</v>
      </c>
      <c r="B73" s="182" t="str">
        <f>IFERROR(__xludf.DUMMYFUNCTION("""COMPUTED_VALUE"""),"SKU,CLR4, BEST, MMWAVE, VZW, BZ5, FRU")</f>
        <v>SKU,CLR4, BEST, MMWAVE, VZW, BZ5, FRU</v>
      </c>
      <c r="C73" s="182" t="str">
        <f>IFERROR(__xludf.DUMMYFUNCTION("""COMPUTED_VALUE"""),"BEST")</f>
        <v>BEST</v>
      </c>
      <c r="D73" s="182" t="str">
        <f>IFERROR(__xludf.DUMMYFUNCTION("""COMPUTED_VALUE"""),"CLR4")</f>
        <v>CLR4</v>
      </c>
      <c r="E73" s="182" t="str">
        <f>IFERROR(__xludf.DUMMYFUNCTION("""COMPUTED_VALUE"""),"Smokey Green")</f>
        <v>Smokey Green</v>
      </c>
      <c r="F73" s="182" t="str">
        <f>IFERROR(__xludf.DUMMYFUNCTION("""COMPUTED_VALUE"""),"512GB")</f>
        <v>512GB</v>
      </c>
      <c r="G73" s="182" t="str">
        <f>IFERROR(__xludf.DUMMYFUNCTION("""COMPUTED_VALUE"""),"US-VZW")</f>
        <v>US-VZW</v>
      </c>
      <c r="H73" s="168">
        <f>IFERROR(__xludf.DUMMYFUNCTION("""COMPUTED_VALUE"""),8.40353936966E11)</f>
        <v>840353936966</v>
      </c>
      <c r="I73" s="185" t="str">
        <f>IFERROR(__xludf.DUMMYFUNCTION("""COMPUTED_VALUE"""),"0840353936966")</f>
        <v>0840353936966</v>
      </c>
      <c r="J73" s="182" t="str">
        <f>IFERROR(__xludf.DUMMYFUNCTION("""COMPUTED_VALUE"""),"#N/A")</f>
        <v>#N/A</v>
      </c>
      <c r="K73" s="182" t="str">
        <f>IFERROR(__xludf.DUMMYFUNCTION("""COMPUTED_VALUE"""),"G4QUR")</f>
        <v>G4QUR</v>
      </c>
      <c r="L73" s="182" t="str">
        <f>IFERROR(__xludf.DUMMYFUNCTION("""COMPUTED_VALUE"""),"VZW")</f>
        <v>VZW</v>
      </c>
    </row>
    <row r="74">
      <c r="A74" s="182" t="str">
        <f>IFERROR(__xludf.DUMMYFUNCTION("""COMPUTED_VALUE"""),"CLNRGOGA09930")</f>
        <v>CLNRGOGA09930</v>
      </c>
      <c r="B74" s="182" t="str">
        <f>IFERROR(__xludf.DUMMYFUNCTION("""COMPUTED_VALUE"""),"SKU,CLR1, ULTRA, MMWAVE, VZW, BZ5, FRU")</f>
        <v>SKU,CLR1, ULTRA, MMWAVE, VZW, BZ5, FRU</v>
      </c>
      <c r="C74" s="182" t="str">
        <f>IFERROR(__xludf.DUMMYFUNCTION("""COMPUTED_VALUE"""),"ULTRA")</f>
        <v>ULTRA</v>
      </c>
      <c r="D74" s="182" t="str">
        <f>IFERROR(__xludf.DUMMYFUNCTION("""COMPUTED_VALUE"""),"CLR1")</f>
        <v>CLR1</v>
      </c>
      <c r="E74" s="182" t="str">
        <f>IFERROR(__xludf.DUMMYFUNCTION("""COMPUTED_VALUE"""),"Midnight")</f>
        <v>Midnight</v>
      </c>
      <c r="F74" s="182" t="str">
        <f>IFERROR(__xludf.DUMMYFUNCTION("""COMPUTED_VALUE"""),"1TB")</f>
        <v>1TB</v>
      </c>
      <c r="G74" s="182" t="str">
        <f>IFERROR(__xludf.DUMMYFUNCTION("""COMPUTED_VALUE"""),"US-VZW")</f>
        <v>US-VZW</v>
      </c>
      <c r="H74" s="168">
        <f>IFERROR(__xludf.DUMMYFUNCTION("""COMPUTED_VALUE"""),8.40353936973E11)</f>
        <v>840353936973</v>
      </c>
      <c r="I74" s="185" t="str">
        <f>IFERROR(__xludf.DUMMYFUNCTION("""COMPUTED_VALUE"""),"0840353936973")</f>
        <v>0840353936973</v>
      </c>
      <c r="J74" s="182" t="str">
        <f>IFERROR(__xludf.DUMMYFUNCTION("""COMPUTED_VALUE"""),"#N/A")</f>
        <v>#N/A</v>
      </c>
      <c r="K74" s="182" t="str">
        <f>IFERROR(__xludf.DUMMYFUNCTION("""COMPUTED_VALUE"""),"G4QUR")</f>
        <v>G4QUR</v>
      </c>
      <c r="L74" s="182" t="str">
        <f>IFERROR(__xludf.DUMMYFUNCTION("""COMPUTED_VALUE"""),"VZW")</f>
        <v>VZW</v>
      </c>
    </row>
    <row r="75">
      <c r="A75" s="182" t="str">
        <f>IFERROR(__xludf.DUMMYFUNCTION("""COMPUTED_VALUE"""),"CLNRGOGA10283")</f>
        <v>CLNRGOGA10283</v>
      </c>
      <c r="B75" s="182" t="str">
        <f>IFERROR(__xludf.DUMMYFUNCTION("""COMPUTED_VALUE"""),"SKU,CLR3, ULTRA, MMWAVE, VZW, BZ5, FRU")</f>
        <v>SKU,CLR3, ULTRA, MMWAVE, VZW, BZ5, FRU</v>
      </c>
      <c r="C75" s="182" t="str">
        <f>IFERROR(__xludf.DUMMYFUNCTION("""COMPUTED_VALUE"""),"ULTRA")</f>
        <v>ULTRA</v>
      </c>
      <c r="D75" s="182" t="str">
        <f>IFERROR(__xludf.DUMMYFUNCTION("""COMPUTED_VALUE"""),"CLR3")</f>
        <v>CLR3</v>
      </c>
      <c r="E75" s="182" t="str">
        <f>IFERROR(__xludf.DUMMYFUNCTION("""COMPUTED_VALUE"""),"Sterling")</f>
        <v>Sterling</v>
      </c>
      <c r="F75" s="182" t="str">
        <f>IFERROR(__xludf.DUMMYFUNCTION("""COMPUTED_VALUE"""),"1TB")</f>
        <v>1TB</v>
      </c>
      <c r="G75" s="182" t="str">
        <f>IFERROR(__xludf.DUMMYFUNCTION("""COMPUTED_VALUE"""),"US-VZW")</f>
        <v>US-VZW</v>
      </c>
      <c r="H75" s="168">
        <f>IFERROR(__xludf.DUMMYFUNCTION("""COMPUTED_VALUE"""),8.4035393698E11)</f>
        <v>840353936980</v>
      </c>
      <c r="I75" s="185" t="str">
        <f>IFERROR(__xludf.DUMMYFUNCTION("""COMPUTED_VALUE"""),"0840353936980")</f>
        <v>0840353936980</v>
      </c>
      <c r="J75" s="182" t="str">
        <f>IFERROR(__xludf.DUMMYFUNCTION("""COMPUTED_VALUE"""),"#N/A")</f>
        <v>#N/A</v>
      </c>
      <c r="K75" s="182" t="str">
        <f>IFERROR(__xludf.DUMMYFUNCTION("""COMPUTED_VALUE"""),"G4QUR")</f>
        <v>G4QUR</v>
      </c>
      <c r="L75" s="182" t="str">
        <f>IFERROR(__xludf.DUMMYFUNCTION("""COMPUTED_VALUE"""),"VZW")</f>
        <v>VZW</v>
      </c>
    </row>
    <row r="76">
      <c r="A76" s="182" t="str">
        <f>IFERROR(__xludf.DUMMYFUNCTION("""COMPUTED_VALUE"""),"CLNRGA09886")</f>
        <v>CLNRGA09886</v>
      </c>
      <c r="B76" s="182" t="str">
        <f>IFERROR(__xludf.DUMMYFUNCTION("""COMPUTED_VALUE"""),"SKU,CLR1, GOOD, MMWAVE, TMO, BZ5, FRU")</f>
        <v>SKU,CLR1, GOOD, MMWAVE, TMO, BZ5, FRU</v>
      </c>
      <c r="C76" s="182" t="str">
        <f>IFERROR(__xludf.DUMMYFUNCTION("""COMPUTED_VALUE"""),"GOOD")</f>
        <v>GOOD</v>
      </c>
      <c r="D76" s="182" t="str">
        <f>IFERROR(__xludf.DUMMYFUNCTION("""COMPUTED_VALUE"""),"CLR1")</f>
        <v>CLR1</v>
      </c>
      <c r="E76" s="182" t="str">
        <f>IFERROR(__xludf.DUMMYFUNCTION("""COMPUTED_VALUE"""),"Midnight")</f>
        <v>Midnight</v>
      </c>
      <c r="F76" s="182" t="str">
        <f>IFERROR(__xludf.DUMMYFUNCTION("""COMPUTED_VALUE"""),"128GB")</f>
        <v>128GB</v>
      </c>
      <c r="G76" s="182" t="str">
        <f>IFERROR(__xludf.DUMMYFUNCTION("""COMPUTED_VALUE"""),"US - Tmobile")</f>
        <v>US - Tmobile</v>
      </c>
      <c r="H76" s="168">
        <f>IFERROR(__xludf.DUMMYFUNCTION("""COMPUTED_VALUE"""),8.4035393672E11)</f>
        <v>840353936720</v>
      </c>
      <c r="I76" s="185" t="str">
        <f>IFERROR(__xludf.DUMMYFUNCTION("""COMPUTED_VALUE"""),"0840353936720")</f>
        <v>0840353936720</v>
      </c>
      <c r="J76" s="182" t="str">
        <f>IFERROR(__xludf.DUMMYFUNCTION("""COMPUTED_VALUE"""),"#N/A")</f>
        <v>#N/A</v>
      </c>
      <c r="K76" s="182" t="str">
        <f>IFERROR(__xludf.DUMMYFUNCTION("""COMPUTED_VALUE"""),"G4QUR")</f>
        <v>G4QUR</v>
      </c>
      <c r="L76" s="182" t="str">
        <f>IFERROR(__xludf.DUMMYFUNCTION("""COMPUTED_VALUE"""),"TMO")</f>
        <v>TMO</v>
      </c>
    </row>
    <row r="77">
      <c r="A77" s="182" t="str">
        <f>IFERROR(__xludf.DUMMYFUNCTION("""COMPUTED_VALUE"""),"CLNRGA10293")</f>
        <v>CLNRGA10293</v>
      </c>
      <c r="B77" s="182" t="str">
        <f>IFERROR(__xludf.DUMMYFUNCTION("""COMPUTED_VALUE"""),"SKU,CLR2, GOOD, MMWAVE, TMO, BZ5, FRU")</f>
        <v>SKU,CLR2, GOOD, MMWAVE, TMO, BZ5, FRU</v>
      </c>
      <c r="C77" s="182" t="str">
        <f>IFERROR(__xludf.DUMMYFUNCTION("""COMPUTED_VALUE"""),"GOOD")</f>
        <v>GOOD</v>
      </c>
      <c r="D77" s="182" t="str">
        <f>IFERROR(__xludf.DUMMYFUNCTION("""COMPUTED_VALUE"""),"CLR2")</f>
        <v>CLR2</v>
      </c>
      <c r="E77" s="182" t="str">
        <f>IFERROR(__xludf.DUMMYFUNCTION("""COMPUTED_VALUE"""),"Light Porcelain")</f>
        <v>Light Porcelain</v>
      </c>
      <c r="F77" s="182" t="str">
        <f>IFERROR(__xludf.DUMMYFUNCTION("""COMPUTED_VALUE"""),"128GB")</f>
        <v>128GB</v>
      </c>
      <c r="G77" s="182" t="str">
        <f>IFERROR(__xludf.DUMMYFUNCTION("""COMPUTED_VALUE"""),"US - Tmobile")</f>
        <v>US - Tmobile</v>
      </c>
      <c r="H77" s="168">
        <f>IFERROR(__xludf.DUMMYFUNCTION("""COMPUTED_VALUE"""),8.40353936782E11)</f>
        <v>840353936782</v>
      </c>
      <c r="I77" s="185" t="str">
        <f>IFERROR(__xludf.DUMMYFUNCTION("""COMPUTED_VALUE"""),"0840353936782")</f>
        <v>0840353936782</v>
      </c>
      <c r="J77" s="182" t="str">
        <f>IFERROR(__xludf.DUMMYFUNCTION("""COMPUTED_VALUE"""),"#N/A")</f>
        <v>#N/A</v>
      </c>
      <c r="K77" s="182" t="str">
        <f>IFERROR(__xludf.DUMMYFUNCTION("""COMPUTED_VALUE"""),"G4QUR")</f>
        <v>G4QUR</v>
      </c>
      <c r="L77" s="182" t="str">
        <f>IFERROR(__xludf.DUMMYFUNCTION("""COMPUTED_VALUE"""),"TMO")</f>
        <v>TMO</v>
      </c>
    </row>
    <row r="78">
      <c r="A78" s="182" t="str">
        <f>IFERROR(__xludf.DUMMYFUNCTION("""COMPUTED_VALUE"""),"CLNRGA10294")</f>
        <v>CLNRGA10294</v>
      </c>
      <c r="B78" s="182" t="str">
        <f>IFERROR(__xludf.DUMMYFUNCTION("""COMPUTED_VALUE"""),"SKU,CLR3, GOOD, MMWAVE, TMO, BZ5, FRU")</f>
        <v>SKU,CLR3, GOOD, MMWAVE, TMO, BZ5, FRU</v>
      </c>
      <c r="C78" s="182" t="str">
        <f>IFERROR(__xludf.DUMMYFUNCTION("""COMPUTED_VALUE"""),"GOOD")</f>
        <v>GOOD</v>
      </c>
      <c r="D78" s="182" t="str">
        <f>IFERROR(__xludf.DUMMYFUNCTION("""COMPUTED_VALUE"""),"CLR3")</f>
        <v>CLR3</v>
      </c>
      <c r="E78" s="182" t="str">
        <f>IFERROR(__xludf.DUMMYFUNCTION("""COMPUTED_VALUE"""),"Sterling")</f>
        <v>Sterling</v>
      </c>
      <c r="F78" s="182" t="str">
        <f>IFERROR(__xludf.DUMMYFUNCTION("""COMPUTED_VALUE"""),"128GB")</f>
        <v>128GB</v>
      </c>
      <c r="G78" s="182" t="str">
        <f>IFERROR(__xludf.DUMMYFUNCTION("""COMPUTED_VALUE"""),"US - Tmobile")</f>
        <v>US - Tmobile</v>
      </c>
      <c r="H78" s="168">
        <f>IFERROR(__xludf.DUMMYFUNCTION("""COMPUTED_VALUE"""),8.40353936843E11)</f>
        <v>840353936843</v>
      </c>
      <c r="I78" s="185" t="str">
        <f>IFERROR(__xludf.DUMMYFUNCTION("""COMPUTED_VALUE"""),"0840353936843")</f>
        <v>0840353936843</v>
      </c>
      <c r="J78" s="182" t="str">
        <f>IFERROR(__xludf.DUMMYFUNCTION("""COMPUTED_VALUE"""),"#N/A")</f>
        <v>#N/A</v>
      </c>
      <c r="K78" s="182" t="str">
        <f>IFERROR(__xludf.DUMMYFUNCTION("""COMPUTED_VALUE"""),"G4QUR")</f>
        <v>G4QUR</v>
      </c>
      <c r="L78" s="182" t="str">
        <f>IFERROR(__xludf.DUMMYFUNCTION("""COMPUTED_VALUE"""),"TMO")</f>
        <v>TMO</v>
      </c>
    </row>
    <row r="79">
      <c r="A79" s="182" t="str">
        <f>IFERROR(__xludf.DUMMYFUNCTION("""COMPUTED_VALUE"""),"CLNRGA09898")</f>
        <v>CLNRGA09898</v>
      </c>
      <c r="B79" s="182" t="str">
        <f>IFERROR(__xludf.DUMMYFUNCTION("""COMPUTED_VALUE"""),"SKU,CLR1, BETTER, MMWAVE, TMO, BZ5, FRU")</f>
        <v>SKU,CLR1, BETTER, MMWAVE, TMO, BZ5, FRU</v>
      </c>
      <c r="C79" s="182" t="str">
        <f>IFERROR(__xludf.DUMMYFUNCTION("""COMPUTED_VALUE"""),"BETTER")</f>
        <v>BETTER</v>
      </c>
      <c r="D79" s="182" t="str">
        <f>IFERROR(__xludf.DUMMYFUNCTION("""COMPUTED_VALUE"""),"CLR1")</f>
        <v>CLR1</v>
      </c>
      <c r="E79" s="182" t="str">
        <f>IFERROR(__xludf.DUMMYFUNCTION("""COMPUTED_VALUE"""),"Midnight")</f>
        <v>Midnight</v>
      </c>
      <c r="F79" s="182" t="str">
        <f>IFERROR(__xludf.DUMMYFUNCTION("""COMPUTED_VALUE"""),"256GB")</f>
        <v>256GB</v>
      </c>
      <c r="G79" s="182" t="str">
        <f>IFERROR(__xludf.DUMMYFUNCTION("""COMPUTED_VALUE"""),"US - Tmobile")</f>
        <v>US - Tmobile</v>
      </c>
      <c r="H79" s="168">
        <f>IFERROR(__xludf.DUMMYFUNCTION("""COMPUTED_VALUE"""),8.40353936997E11)</f>
        <v>840353936997</v>
      </c>
      <c r="I79" s="185" t="str">
        <f>IFERROR(__xludf.DUMMYFUNCTION("""COMPUTED_VALUE"""),"0840353936997")</f>
        <v>0840353936997</v>
      </c>
      <c r="J79" s="182" t="str">
        <f>IFERROR(__xludf.DUMMYFUNCTION("""COMPUTED_VALUE"""),"#N/A")</f>
        <v>#N/A</v>
      </c>
      <c r="K79" s="182" t="str">
        <f>IFERROR(__xludf.DUMMYFUNCTION("""COMPUTED_VALUE"""),"G4QUR")</f>
        <v>G4QUR</v>
      </c>
      <c r="L79" s="182" t="str">
        <f>IFERROR(__xludf.DUMMYFUNCTION("""COMPUTED_VALUE"""),"TMO")</f>
        <v>TMO</v>
      </c>
    </row>
    <row r="80">
      <c r="A80" s="182" t="str">
        <f>IFERROR(__xludf.DUMMYFUNCTION("""COMPUTED_VALUE"""),"CLNRGA10295")</f>
        <v>CLNRGA10295</v>
      </c>
      <c r="B80" s="182" t="str">
        <f>IFERROR(__xludf.DUMMYFUNCTION("""COMPUTED_VALUE"""),"SKU,CLR2, BETTER, MMWAVE, TMO, BZ5, FRU")</f>
        <v>SKU,CLR2, BETTER, MMWAVE, TMO, BZ5, FRU</v>
      </c>
      <c r="C80" s="182" t="str">
        <f>IFERROR(__xludf.DUMMYFUNCTION("""COMPUTED_VALUE"""),"BETTER")</f>
        <v>BETTER</v>
      </c>
      <c r="D80" s="182" t="str">
        <f>IFERROR(__xludf.DUMMYFUNCTION("""COMPUTED_VALUE"""),"CLR2")</f>
        <v>CLR2</v>
      </c>
      <c r="E80" s="182" t="str">
        <f>IFERROR(__xludf.DUMMYFUNCTION("""COMPUTED_VALUE"""),"Light Porcelain")</f>
        <v>Light Porcelain</v>
      </c>
      <c r="F80" s="182" t="str">
        <f>IFERROR(__xludf.DUMMYFUNCTION("""COMPUTED_VALUE"""),"256GB")</f>
        <v>256GB</v>
      </c>
      <c r="G80" s="182" t="str">
        <f>IFERROR(__xludf.DUMMYFUNCTION("""COMPUTED_VALUE"""),"US - Tmobile")</f>
        <v>US - Tmobile</v>
      </c>
      <c r="H80" s="168">
        <f>IFERROR(__xludf.DUMMYFUNCTION("""COMPUTED_VALUE"""),8.40353937E11)</f>
        <v>840353937000</v>
      </c>
      <c r="I80" s="185" t="str">
        <f>IFERROR(__xludf.DUMMYFUNCTION("""COMPUTED_VALUE"""),"0840353937000")</f>
        <v>0840353937000</v>
      </c>
      <c r="J80" s="182" t="str">
        <f>IFERROR(__xludf.DUMMYFUNCTION("""COMPUTED_VALUE"""),"#N/A")</f>
        <v>#N/A</v>
      </c>
      <c r="K80" s="182" t="str">
        <f>IFERROR(__xludf.DUMMYFUNCTION("""COMPUTED_VALUE"""),"G4QUR")</f>
        <v>G4QUR</v>
      </c>
      <c r="L80" s="182" t="str">
        <f>IFERROR(__xludf.DUMMYFUNCTION("""COMPUTED_VALUE"""),"TMO")</f>
        <v>TMO</v>
      </c>
    </row>
    <row r="81">
      <c r="A81" s="182" t="str">
        <f>IFERROR(__xludf.DUMMYFUNCTION("""COMPUTED_VALUE"""),"CLNRGA10296")</f>
        <v>CLNRGA10296</v>
      </c>
      <c r="B81" s="182" t="str">
        <f>IFERROR(__xludf.DUMMYFUNCTION("""COMPUTED_VALUE"""),"SKU,CLR3, BETTER, MMWAVE, TMO, BZ5, FRU")</f>
        <v>SKU,CLR3, BETTER, MMWAVE, TMO, BZ5, FRU</v>
      </c>
      <c r="C81" s="182" t="str">
        <f>IFERROR(__xludf.DUMMYFUNCTION("""COMPUTED_VALUE"""),"BETTER")</f>
        <v>BETTER</v>
      </c>
      <c r="D81" s="182" t="str">
        <f>IFERROR(__xludf.DUMMYFUNCTION("""COMPUTED_VALUE"""),"CLR3")</f>
        <v>CLR3</v>
      </c>
      <c r="E81" s="182" t="str">
        <f>IFERROR(__xludf.DUMMYFUNCTION("""COMPUTED_VALUE"""),"Sterling")</f>
        <v>Sterling</v>
      </c>
      <c r="F81" s="182" t="str">
        <f>IFERROR(__xludf.DUMMYFUNCTION("""COMPUTED_VALUE"""),"256GB")</f>
        <v>256GB</v>
      </c>
      <c r="G81" s="182" t="str">
        <f>IFERROR(__xludf.DUMMYFUNCTION("""COMPUTED_VALUE"""),"US - Tmobile")</f>
        <v>US - Tmobile</v>
      </c>
      <c r="H81" s="168">
        <f>IFERROR(__xludf.DUMMYFUNCTION("""COMPUTED_VALUE"""),8.40353937017E11)</f>
        <v>840353937017</v>
      </c>
      <c r="I81" s="185" t="str">
        <f>IFERROR(__xludf.DUMMYFUNCTION("""COMPUTED_VALUE"""),"0840353937017")</f>
        <v>0840353937017</v>
      </c>
      <c r="J81" s="182" t="str">
        <f>IFERROR(__xludf.DUMMYFUNCTION("""COMPUTED_VALUE"""),"#N/A")</f>
        <v>#N/A</v>
      </c>
      <c r="K81" s="182" t="str">
        <f>IFERROR(__xludf.DUMMYFUNCTION("""COMPUTED_VALUE"""),"G4QUR")</f>
        <v>G4QUR</v>
      </c>
      <c r="L81" s="182" t="str">
        <f>IFERROR(__xludf.DUMMYFUNCTION("""COMPUTED_VALUE"""),"TMO")</f>
        <v>TMO</v>
      </c>
    </row>
    <row r="82">
      <c r="A82" s="182" t="str">
        <f>IFERROR(__xludf.DUMMYFUNCTION("""COMPUTED_VALUE"""),"CLNRGA10297")</f>
        <v>CLNRGA10297</v>
      </c>
      <c r="B82" s="182" t="str">
        <f>IFERROR(__xludf.DUMMYFUNCTION("""COMPUTED_VALUE"""),"SKU,CLR4, BETTER, MMWAVE, TMO, BZ5, FRU")</f>
        <v>SKU,CLR4, BETTER, MMWAVE, TMO, BZ5, FRU</v>
      </c>
      <c r="C82" s="182" t="str">
        <f>IFERROR(__xludf.DUMMYFUNCTION("""COMPUTED_VALUE"""),"BETTER")</f>
        <v>BETTER</v>
      </c>
      <c r="D82" s="182" t="str">
        <f>IFERROR(__xludf.DUMMYFUNCTION("""COMPUTED_VALUE"""),"CLR4")</f>
        <v>CLR4</v>
      </c>
      <c r="E82" s="182" t="str">
        <f>IFERROR(__xludf.DUMMYFUNCTION("""COMPUTED_VALUE"""),"Smokey Green")</f>
        <v>Smokey Green</v>
      </c>
      <c r="F82" s="182" t="str">
        <f>IFERROR(__xludf.DUMMYFUNCTION("""COMPUTED_VALUE"""),"256GB")</f>
        <v>256GB</v>
      </c>
      <c r="G82" s="182" t="str">
        <f>IFERROR(__xludf.DUMMYFUNCTION("""COMPUTED_VALUE"""),"US - Tmobile")</f>
        <v>US - Tmobile</v>
      </c>
      <c r="H82" s="168">
        <f>IFERROR(__xludf.DUMMYFUNCTION("""COMPUTED_VALUE"""),8.40353937024E11)</f>
        <v>840353937024</v>
      </c>
      <c r="I82" s="185" t="str">
        <f>IFERROR(__xludf.DUMMYFUNCTION("""COMPUTED_VALUE"""),"0840353937024")</f>
        <v>0840353937024</v>
      </c>
      <c r="J82" s="182" t="str">
        <f>IFERROR(__xludf.DUMMYFUNCTION("""COMPUTED_VALUE"""),"#N/A")</f>
        <v>#N/A</v>
      </c>
      <c r="K82" s="182" t="str">
        <f>IFERROR(__xludf.DUMMYFUNCTION("""COMPUTED_VALUE"""),"G4QUR")</f>
        <v>G4QUR</v>
      </c>
      <c r="L82" s="182" t="str">
        <f>IFERROR(__xludf.DUMMYFUNCTION("""COMPUTED_VALUE"""),"TMO")</f>
        <v>TMO</v>
      </c>
    </row>
    <row r="83">
      <c r="A83" s="182" t="str">
        <f>IFERROR(__xludf.DUMMYFUNCTION("""COMPUTED_VALUE"""),"CLNRGA09907")</f>
        <v>CLNRGA09907</v>
      </c>
      <c r="B83" s="182" t="str">
        <f>IFERROR(__xludf.DUMMYFUNCTION("""COMPUTED_VALUE"""),"SKU,CLR1, BEST, MMWAVE, TMO, BZ5, FRU")</f>
        <v>SKU,CLR1, BEST, MMWAVE, TMO, BZ5, FRU</v>
      </c>
      <c r="C83" s="182" t="str">
        <f>IFERROR(__xludf.DUMMYFUNCTION("""COMPUTED_VALUE"""),"BEST")</f>
        <v>BEST</v>
      </c>
      <c r="D83" s="182" t="str">
        <f>IFERROR(__xludf.DUMMYFUNCTION("""COMPUTED_VALUE"""),"CLR1")</f>
        <v>CLR1</v>
      </c>
      <c r="E83" s="182" t="str">
        <f>IFERROR(__xludf.DUMMYFUNCTION("""COMPUTED_VALUE"""),"Midnight")</f>
        <v>Midnight</v>
      </c>
      <c r="F83" s="182" t="str">
        <f>IFERROR(__xludf.DUMMYFUNCTION("""COMPUTED_VALUE"""),"512GB")</f>
        <v>512GB</v>
      </c>
      <c r="G83" s="182" t="str">
        <f>IFERROR(__xludf.DUMMYFUNCTION("""COMPUTED_VALUE"""),"US - Tmobile")</f>
        <v>US - Tmobile</v>
      </c>
      <c r="H83" s="168">
        <f>IFERROR(__xludf.DUMMYFUNCTION("""COMPUTED_VALUE"""),8.40353937031E11)</f>
        <v>840353937031</v>
      </c>
      <c r="I83" s="185" t="str">
        <f>IFERROR(__xludf.DUMMYFUNCTION("""COMPUTED_VALUE"""),"0840353937031")</f>
        <v>0840353937031</v>
      </c>
      <c r="J83" s="182" t="str">
        <f>IFERROR(__xludf.DUMMYFUNCTION("""COMPUTED_VALUE"""),"#N/A")</f>
        <v>#N/A</v>
      </c>
      <c r="K83" s="182" t="str">
        <f>IFERROR(__xludf.DUMMYFUNCTION("""COMPUTED_VALUE"""),"G4QUR")</f>
        <v>G4QUR</v>
      </c>
      <c r="L83" s="182" t="str">
        <f>IFERROR(__xludf.DUMMYFUNCTION("""COMPUTED_VALUE"""),"TMO")</f>
        <v>TMO</v>
      </c>
    </row>
    <row r="84">
      <c r="A84" s="182" t="str">
        <f>IFERROR(__xludf.DUMMYFUNCTION("""COMPUTED_VALUE"""),"CLNRGA10298")</f>
        <v>CLNRGA10298</v>
      </c>
      <c r="B84" s="182" t="str">
        <f>IFERROR(__xludf.DUMMYFUNCTION("""COMPUTED_VALUE"""),"SKU,CLR2, BEST, MMWAVE, TMO, BZ5, FRU")</f>
        <v>SKU,CLR2, BEST, MMWAVE, TMO, BZ5, FRU</v>
      </c>
      <c r="C84" s="182" t="str">
        <f>IFERROR(__xludf.DUMMYFUNCTION("""COMPUTED_VALUE"""),"BEST")</f>
        <v>BEST</v>
      </c>
      <c r="D84" s="182" t="str">
        <f>IFERROR(__xludf.DUMMYFUNCTION("""COMPUTED_VALUE"""),"CLR2")</f>
        <v>CLR2</v>
      </c>
      <c r="E84" s="182" t="str">
        <f>IFERROR(__xludf.DUMMYFUNCTION("""COMPUTED_VALUE"""),"Light Porcelain")</f>
        <v>Light Porcelain</v>
      </c>
      <c r="F84" s="182" t="str">
        <f>IFERROR(__xludf.DUMMYFUNCTION("""COMPUTED_VALUE"""),"512GB")</f>
        <v>512GB</v>
      </c>
      <c r="G84" s="182" t="str">
        <f>IFERROR(__xludf.DUMMYFUNCTION("""COMPUTED_VALUE"""),"US - Tmobile")</f>
        <v>US - Tmobile</v>
      </c>
      <c r="H84" s="168">
        <f>IFERROR(__xludf.DUMMYFUNCTION("""COMPUTED_VALUE"""),8.40353937048E11)</f>
        <v>840353937048</v>
      </c>
      <c r="I84" s="185" t="str">
        <f>IFERROR(__xludf.DUMMYFUNCTION("""COMPUTED_VALUE"""),"0840353937048")</f>
        <v>0840353937048</v>
      </c>
      <c r="J84" s="182" t="str">
        <f>IFERROR(__xludf.DUMMYFUNCTION("""COMPUTED_VALUE"""),"#N/A")</f>
        <v>#N/A</v>
      </c>
      <c r="K84" s="182" t="str">
        <f>IFERROR(__xludf.DUMMYFUNCTION("""COMPUTED_VALUE"""),"G4QUR")</f>
        <v>G4QUR</v>
      </c>
      <c r="L84" s="182" t="str">
        <f>IFERROR(__xludf.DUMMYFUNCTION("""COMPUTED_VALUE"""),"TMO")</f>
        <v>TMO</v>
      </c>
    </row>
    <row r="85">
      <c r="A85" s="182" t="str">
        <f>IFERROR(__xludf.DUMMYFUNCTION("""COMPUTED_VALUE"""),"CLNRGA10299")</f>
        <v>CLNRGA10299</v>
      </c>
      <c r="B85" s="182" t="str">
        <f>IFERROR(__xludf.DUMMYFUNCTION("""COMPUTED_VALUE"""),"SKU,CLR3, BEST, MMWAVE, TMO, BZ5, FRU")</f>
        <v>SKU,CLR3, BEST, MMWAVE, TMO, BZ5, FRU</v>
      </c>
      <c r="C85" s="182" t="str">
        <f>IFERROR(__xludf.DUMMYFUNCTION("""COMPUTED_VALUE"""),"BEST")</f>
        <v>BEST</v>
      </c>
      <c r="D85" s="182" t="str">
        <f>IFERROR(__xludf.DUMMYFUNCTION("""COMPUTED_VALUE"""),"CLR3")</f>
        <v>CLR3</v>
      </c>
      <c r="E85" s="182" t="str">
        <f>IFERROR(__xludf.DUMMYFUNCTION("""COMPUTED_VALUE"""),"Sterling")</f>
        <v>Sterling</v>
      </c>
      <c r="F85" s="182" t="str">
        <f>IFERROR(__xludf.DUMMYFUNCTION("""COMPUTED_VALUE"""),"512GB")</f>
        <v>512GB</v>
      </c>
      <c r="G85" s="182" t="str">
        <f>IFERROR(__xludf.DUMMYFUNCTION("""COMPUTED_VALUE"""),"US - Tmobile")</f>
        <v>US - Tmobile</v>
      </c>
      <c r="H85" s="168">
        <f>IFERROR(__xludf.DUMMYFUNCTION("""COMPUTED_VALUE"""),8.40353937055E11)</f>
        <v>840353937055</v>
      </c>
      <c r="I85" s="185" t="str">
        <f>IFERROR(__xludf.DUMMYFUNCTION("""COMPUTED_VALUE"""),"0840353937055")</f>
        <v>0840353937055</v>
      </c>
      <c r="J85" s="182" t="str">
        <f>IFERROR(__xludf.DUMMYFUNCTION("""COMPUTED_VALUE"""),"#N/A")</f>
        <v>#N/A</v>
      </c>
      <c r="K85" s="182" t="str">
        <f>IFERROR(__xludf.DUMMYFUNCTION("""COMPUTED_VALUE"""),"G4QUR")</f>
        <v>G4QUR</v>
      </c>
      <c r="L85" s="182" t="str">
        <f>IFERROR(__xludf.DUMMYFUNCTION("""COMPUTED_VALUE"""),"TMO")</f>
        <v>TMO</v>
      </c>
    </row>
    <row r="86">
      <c r="A86" s="182" t="str">
        <f>IFERROR(__xludf.DUMMYFUNCTION("""COMPUTED_VALUE"""),"CLNRGA10300")</f>
        <v>CLNRGA10300</v>
      </c>
      <c r="B86" s="182" t="str">
        <f>IFERROR(__xludf.DUMMYFUNCTION("""COMPUTED_VALUE"""),"SKU,CLR4, BEST, MMWAVE, TMO, BZ5, FRU")</f>
        <v>SKU,CLR4, BEST, MMWAVE, TMO, BZ5, FRU</v>
      </c>
      <c r="C86" s="182" t="str">
        <f>IFERROR(__xludf.DUMMYFUNCTION("""COMPUTED_VALUE"""),"BEST")</f>
        <v>BEST</v>
      </c>
      <c r="D86" s="182" t="str">
        <f>IFERROR(__xludf.DUMMYFUNCTION("""COMPUTED_VALUE"""),"CLR4")</f>
        <v>CLR4</v>
      </c>
      <c r="E86" s="182" t="str">
        <f>IFERROR(__xludf.DUMMYFUNCTION("""COMPUTED_VALUE"""),"Smokey Green")</f>
        <v>Smokey Green</v>
      </c>
      <c r="F86" s="182" t="str">
        <f>IFERROR(__xludf.DUMMYFUNCTION("""COMPUTED_VALUE"""),"512GB")</f>
        <v>512GB</v>
      </c>
      <c r="G86" s="182" t="str">
        <f>IFERROR(__xludf.DUMMYFUNCTION("""COMPUTED_VALUE"""),"US - Tmobile")</f>
        <v>US - Tmobile</v>
      </c>
      <c r="H86" s="168">
        <f>IFERROR(__xludf.DUMMYFUNCTION("""COMPUTED_VALUE"""),8.40353937062E11)</f>
        <v>840353937062</v>
      </c>
      <c r="I86" s="185" t="str">
        <f>IFERROR(__xludf.DUMMYFUNCTION("""COMPUTED_VALUE"""),"0840353937062")</f>
        <v>0840353937062</v>
      </c>
      <c r="J86" s="182" t="str">
        <f>IFERROR(__xludf.DUMMYFUNCTION("""COMPUTED_VALUE"""),"#N/A")</f>
        <v>#N/A</v>
      </c>
      <c r="K86" s="182" t="str">
        <f>IFERROR(__xludf.DUMMYFUNCTION("""COMPUTED_VALUE"""),"G4QUR")</f>
        <v>G4QUR</v>
      </c>
      <c r="L86" s="182" t="str">
        <f>IFERROR(__xludf.DUMMYFUNCTION("""COMPUTED_VALUE"""),"TMO")</f>
        <v>TMO</v>
      </c>
    </row>
    <row r="87">
      <c r="A87" s="182" t="str">
        <f>IFERROR(__xludf.DUMMYFUNCTION("""COMPUTED_VALUE"""),"CLNRGA09932")</f>
        <v>CLNRGA09932</v>
      </c>
      <c r="B87" s="182" t="str">
        <f>IFERROR(__xludf.DUMMYFUNCTION("""COMPUTED_VALUE"""),"SKU,CLR1, ULTRA, MMWAVE, TMO, BZ5, FRU")</f>
        <v>SKU,CLR1, ULTRA, MMWAVE, TMO, BZ5, FRU</v>
      </c>
      <c r="C87" s="182" t="str">
        <f>IFERROR(__xludf.DUMMYFUNCTION("""COMPUTED_VALUE"""),"ULTRA")</f>
        <v>ULTRA</v>
      </c>
      <c r="D87" s="182" t="str">
        <f>IFERROR(__xludf.DUMMYFUNCTION("""COMPUTED_VALUE"""),"CLR1")</f>
        <v>CLR1</v>
      </c>
      <c r="E87" s="182" t="str">
        <f>IFERROR(__xludf.DUMMYFUNCTION("""COMPUTED_VALUE"""),"Midnight")</f>
        <v>Midnight</v>
      </c>
      <c r="F87" s="182" t="str">
        <f>IFERROR(__xludf.DUMMYFUNCTION("""COMPUTED_VALUE"""),"1TB")</f>
        <v>1TB</v>
      </c>
      <c r="G87" s="182" t="str">
        <f>IFERROR(__xludf.DUMMYFUNCTION("""COMPUTED_VALUE"""),"US - Tmobile")</f>
        <v>US - Tmobile</v>
      </c>
      <c r="H87" s="168">
        <f>IFERROR(__xludf.DUMMYFUNCTION("""COMPUTED_VALUE"""),8.40353937079E11)</f>
        <v>840353937079</v>
      </c>
      <c r="I87" s="185" t="str">
        <f>IFERROR(__xludf.DUMMYFUNCTION("""COMPUTED_VALUE"""),"0840353937079")</f>
        <v>0840353937079</v>
      </c>
      <c r="J87" s="182" t="str">
        <f>IFERROR(__xludf.DUMMYFUNCTION("""COMPUTED_VALUE"""),"#N/A")</f>
        <v>#N/A</v>
      </c>
      <c r="K87" s="182" t="str">
        <f>IFERROR(__xludf.DUMMYFUNCTION("""COMPUTED_VALUE"""),"G4QUR")</f>
        <v>G4QUR</v>
      </c>
      <c r="L87" s="182" t="str">
        <f>IFERROR(__xludf.DUMMYFUNCTION("""COMPUTED_VALUE"""),"TMO")</f>
        <v>TMO</v>
      </c>
    </row>
    <row r="88">
      <c r="A88" s="182" t="str">
        <f>IFERROR(__xludf.DUMMYFUNCTION("""COMPUTED_VALUE"""),"CLNRGA10301")</f>
        <v>CLNRGA10301</v>
      </c>
      <c r="B88" s="182" t="str">
        <f>IFERROR(__xludf.DUMMYFUNCTION("""COMPUTED_VALUE"""),"SKU,CLR3, ULTRA, MMWAVE, TMO, BZ5, FRU")</f>
        <v>SKU,CLR3, ULTRA, MMWAVE, TMO, BZ5, FRU</v>
      </c>
      <c r="C88" s="182" t="str">
        <f>IFERROR(__xludf.DUMMYFUNCTION("""COMPUTED_VALUE"""),"ULTRA")</f>
        <v>ULTRA</v>
      </c>
      <c r="D88" s="182" t="str">
        <f>IFERROR(__xludf.DUMMYFUNCTION("""COMPUTED_VALUE"""),"CLR3")</f>
        <v>CLR3</v>
      </c>
      <c r="E88" s="182" t="str">
        <f>IFERROR(__xludf.DUMMYFUNCTION("""COMPUTED_VALUE"""),"Sterling")</f>
        <v>Sterling</v>
      </c>
      <c r="F88" s="182" t="str">
        <f>IFERROR(__xludf.DUMMYFUNCTION("""COMPUTED_VALUE"""),"1TB")</f>
        <v>1TB</v>
      </c>
      <c r="G88" s="182" t="str">
        <f>IFERROR(__xludf.DUMMYFUNCTION("""COMPUTED_VALUE"""),"US - Tmobile")</f>
        <v>US - Tmobile</v>
      </c>
      <c r="H88" s="168">
        <f>IFERROR(__xludf.DUMMYFUNCTION("""COMPUTED_VALUE"""),8.40353937086E11)</f>
        <v>840353937086</v>
      </c>
      <c r="I88" s="185" t="str">
        <f>IFERROR(__xludf.DUMMYFUNCTION("""COMPUTED_VALUE"""),"0840353937086")</f>
        <v>0840353937086</v>
      </c>
      <c r="J88" s="182" t="str">
        <f>IFERROR(__xludf.DUMMYFUNCTION("""COMPUTED_VALUE"""),"#N/A")</f>
        <v>#N/A</v>
      </c>
      <c r="K88" s="182" t="str">
        <f>IFERROR(__xludf.DUMMYFUNCTION("""COMPUTED_VALUE"""),"G4QUR")</f>
        <v>G4QUR</v>
      </c>
      <c r="L88" s="182" t="str">
        <f>IFERROR(__xludf.DUMMYFUNCTION("""COMPUTED_VALUE"""),"TMO")</f>
        <v>TMO</v>
      </c>
    </row>
    <row r="89">
      <c r="A89" s="182" t="str">
        <f>IFERROR(__xludf.DUMMYFUNCTION("""COMPUTED_VALUE"""),"GA11018-US")</f>
        <v>GA11018-US</v>
      </c>
      <c r="B89" s="182" t="str">
        <f>IFERROR(__xludf.DUMMYFUNCTION("""COMPUTED_VALUE"""),"SKU,CLR3, GOOD, MMWAVE, TMO, IQ, US, BZ5")</f>
        <v>SKU,CLR3, GOOD, MMWAVE, TMO, IQ, US, BZ5</v>
      </c>
      <c r="C89" s="182" t="str">
        <f>IFERROR(__xludf.DUMMYFUNCTION("""COMPUTED_VALUE"""),"GOOD")</f>
        <v>GOOD</v>
      </c>
      <c r="D89" s="182" t="str">
        <f>IFERROR(__xludf.DUMMYFUNCTION("""COMPUTED_VALUE"""),"CLR3")</f>
        <v>CLR3</v>
      </c>
      <c r="E89" s="182" t="str">
        <f>IFERROR(__xludf.DUMMYFUNCTION("""COMPUTED_VALUE"""),"Sterling")</f>
        <v>Sterling</v>
      </c>
      <c r="F89" s="182" t="str">
        <f>IFERROR(__xludf.DUMMYFUNCTION("""COMPUTED_VALUE"""),"128GB")</f>
        <v>128GB</v>
      </c>
      <c r="G89" s="182" t="str">
        <f>IFERROR(__xludf.DUMMYFUNCTION("""COMPUTED_VALUE"""),"US - Tmobile")</f>
        <v>US - Tmobile</v>
      </c>
      <c r="H89" s="168">
        <f>IFERROR(__xludf.DUMMYFUNCTION("""COMPUTED_VALUE"""),8.40353948297E11)</f>
        <v>840353948297</v>
      </c>
      <c r="I89" s="185" t="str">
        <f>IFERROR(__xludf.DUMMYFUNCTION("""COMPUTED_VALUE"""),"0840353948297")</f>
        <v>0840353948297</v>
      </c>
      <c r="J89" s="182" t="str">
        <f>IFERROR(__xludf.DUMMYFUNCTION("""COMPUTED_VALUE"""),"#N/A")</f>
        <v>#N/A</v>
      </c>
      <c r="K89" s="182" t="str">
        <f>IFERROR(__xludf.DUMMYFUNCTION("""COMPUTED_VALUE"""),"G4QUR")</f>
        <v>G4QUR</v>
      </c>
      <c r="L89" s="182" t="str">
        <f>IFERROR(__xludf.DUMMYFUNCTION("""COMPUTED_VALUE"""),"TMO")</f>
        <v>TMO</v>
      </c>
    </row>
    <row r="90">
      <c r="A90" s="182" t="str">
        <f>IFERROR(__xludf.DUMMYFUNCTION("""COMPUTED_VALUE"""),"GA09887-US")</f>
        <v>GA09887-US</v>
      </c>
      <c r="B90" s="182" t="str">
        <f>IFERROR(__xludf.DUMMYFUNCTION("""COMPUTED_VALUE"""),"SKU,CLR1, GOOD, MMWAVE, US GSTORE, BZ5")</f>
        <v>SKU,CLR1, GOOD, MMWAVE, US GSTORE, BZ5</v>
      </c>
      <c r="C90" s="182" t="str">
        <f>IFERROR(__xludf.DUMMYFUNCTION("""COMPUTED_VALUE"""),"GOOD")</f>
        <v>GOOD</v>
      </c>
      <c r="D90" s="182" t="str">
        <f>IFERROR(__xludf.DUMMYFUNCTION("""COMPUTED_VALUE"""),"CLR1")</f>
        <v>CLR1</v>
      </c>
      <c r="E90" s="182" t="str">
        <f>IFERROR(__xludf.DUMMYFUNCTION("""COMPUTED_VALUE"""),"Midnight")</f>
        <v>Midnight</v>
      </c>
      <c r="F90" s="182" t="str">
        <f>IFERROR(__xludf.DUMMYFUNCTION("""COMPUTED_VALUE"""),"128GB")</f>
        <v>128GB</v>
      </c>
      <c r="G90" s="182" t="str">
        <f>IFERROR(__xludf.DUMMYFUNCTION("""COMPUTED_VALUE"""),"US GStore")</f>
        <v>US GStore</v>
      </c>
      <c r="H90" s="168">
        <f>IFERROR(__xludf.DUMMYFUNCTION("""COMPUTED_VALUE"""),8.40353925823E11)</f>
        <v>840353925823</v>
      </c>
      <c r="I90" s="185" t="str">
        <f>IFERROR(__xludf.DUMMYFUNCTION("""COMPUTED_VALUE"""),"0840353925823")</f>
        <v>0840353925823</v>
      </c>
      <c r="J90" s="182" t="str">
        <f>IFERROR(__xludf.DUMMYFUNCTION("""COMPUTED_VALUE"""),"#N/A")</f>
        <v>#N/A</v>
      </c>
      <c r="K90" s="182" t="str">
        <f>IFERROR(__xludf.DUMMYFUNCTION("""COMPUTED_VALUE"""),"G4QUR")</f>
        <v>G4QUR</v>
      </c>
      <c r="L90" s="182" t="str">
        <f>IFERROR(__xludf.DUMMYFUNCTION("""COMPUTED_VALUE"""),"NA")</f>
        <v>NA</v>
      </c>
    </row>
    <row r="91">
      <c r="A91" s="182" t="str">
        <f>IFERROR(__xludf.DUMMYFUNCTION("""COMPUTED_VALUE"""),"GA10302-US")</f>
        <v>GA10302-US</v>
      </c>
      <c r="B91" s="182" t="str">
        <f>IFERROR(__xludf.DUMMYFUNCTION("""COMPUTED_VALUE"""),"SKU,CLR2, GOOD, MMWAVE, GSTORE, US, BZ5")</f>
        <v>SKU,CLR2, GOOD, MMWAVE, GSTORE, US, BZ5</v>
      </c>
      <c r="C91" s="182" t="str">
        <f>IFERROR(__xludf.DUMMYFUNCTION("""COMPUTED_VALUE"""),"GOOD")</f>
        <v>GOOD</v>
      </c>
      <c r="D91" s="182" t="str">
        <f>IFERROR(__xludf.DUMMYFUNCTION("""COMPUTED_VALUE"""),"CLR2")</f>
        <v>CLR2</v>
      </c>
      <c r="E91" s="182" t="str">
        <f>IFERROR(__xludf.DUMMYFUNCTION("""COMPUTED_VALUE"""),"Light Porcelain")</f>
        <v>Light Porcelain</v>
      </c>
      <c r="F91" s="182" t="str">
        <f>IFERROR(__xludf.DUMMYFUNCTION("""COMPUTED_VALUE"""),"128GB")</f>
        <v>128GB</v>
      </c>
      <c r="G91" s="182" t="str">
        <f>IFERROR(__xludf.DUMMYFUNCTION("""COMPUTED_VALUE"""),"US GStore")</f>
        <v>US GStore</v>
      </c>
      <c r="H91" s="168">
        <f>IFERROR(__xludf.DUMMYFUNCTION("""COMPUTED_VALUE"""),8.4035392583E11)</f>
        <v>840353925830</v>
      </c>
      <c r="I91" s="185" t="str">
        <f>IFERROR(__xludf.DUMMYFUNCTION("""COMPUTED_VALUE"""),"0840353925830")</f>
        <v>0840353925830</v>
      </c>
      <c r="J91" s="182" t="str">
        <f>IFERROR(__xludf.DUMMYFUNCTION("""COMPUTED_VALUE"""),"#N/A")</f>
        <v>#N/A</v>
      </c>
      <c r="K91" s="182" t="str">
        <f>IFERROR(__xludf.DUMMYFUNCTION("""COMPUTED_VALUE"""),"G4QUR")</f>
        <v>G4QUR</v>
      </c>
      <c r="L91" s="182" t="str">
        <f>IFERROR(__xludf.DUMMYFUNCTION("""COMPUTED_VALUE"""),"NA")</f>
        <v>NA</v>
      </c>
    </row>
    <row r="92">
      <c r="A92" s="182" t="str">
        <f>IFERROR(__xludf.DUMMYFUNCTION("""COMPUTED_VALUE"""),"GA10303-US")</f>
        <v>GA10303-US</v>
      </c>
      <c r="B92" s="182" t="str">
        <f>IFERROR(__xludf.DUMMYFUNCTION("""COMPUTED_VALUE"""),"SKU,CLR3, GOOD, MMWAVE, GSTORE, US, BZ5")</f>
        <v>SKU,CLR3, GOOD, MMWAVE, GSTORE, US, BZ5</v>
      </c>
      <c r="C92" s="182" t="str">
        <f>IFERROR(__xludf.DUMMYFUNCTION("""COMPUTED_VALUE"""),"GOOD")</f>
        <v>GOOD</v>
      </c>
      <c r="D92" s="182" t="str">
        <f>IFERROR(__xludf.DUMMYFUNCTION("""COMPUTED_VALUE"""),"CLR3")</f>
        <v>CLR3</v>
      </c>
      <c r="E92" s="182" t="str">
        <f>IFERROR(__xludf.DUMMYFUNCTION("""COMPUTED_VALUE"""),"Sterling")</f>
        <v>Sterling</v>
      </c>
      <c r="F92" s="182" t="str">
        <f>IFERROR(__xludf.DUMMYFUNCTION("""COMPUTED_VALUE"""),"128GB")</f>
        <v>128GB</v>
      </c>
      <c r="G92" s="182" t="str">
        <f>IFERROR(__xludf.DUMMYFUNCTION("""COMPUTED_VALUE"""),"US GStore")</f>
        <v>US GStore</v>
      </c>
      <c r="H92" s="168">
        <f>IFERROR(__xludf.DUMMYFUNCTION("""COMPUTED_VALUE"""),8.40353925847E11)</f>
        <v>840353925847</v>
      </c>
      <c r="I92" s="185" t="str">
        <f>IFERROR(__xludf.DUMMYFUNCTION("""COMPUTED_VALUE"""),"0840353925847")</f>
        <v>0840353925847</v>
      </c>
      <c r="J92" s="182" t="str">
        <f>IFERROR(__xludf.DUMMYFUNCTION("""COMPUTED_VALUE"""),"#N/A")</f>
        <v>#N/A</v>
      </c>
      <c r="K92" s="182" t="str">
        <f>IFERROR(__xludf.DUMMYFUNCTION("""COMPUTED_VALUE"""),"G4QUR")</f>
        <v>G4QUR</v>
      </c>
      <c r="L92" s="182" t="str">
        <f>IFERROR(__xludf.DUMMYFUNCTION("""COMPUTED_VALUE"""),"NA")</f>
        <v>NA</v>
      </c>
    </row>
    <row r="93">
      <c r="A93" s="182" t="str">
        <f>IFERROR(__xludf.DUMMYFUNCTION("""COMPUTED_VALUE"""),"GA09899-US")</f>
        <v>GA09899-US</v>
      </c>
      <c r="B93" s="182" t="str">
        <f>IFERROR(__xludf.DUMMYFUNCTION("""COMPUTED_VALUE"""),"SKU,CLR1, BETTER, MMWAVE, US GSTORE, BZ5")</f>
        <v>SKU,CLR1, BETTER, MMWAVE, US GSTORE, BZ5</v>
      </c>
      <c r="C93" s="182" t="str">
        <f>IFERROR(__xludf.DUMMYFUNCTION("""COMPUTED_VALUE"""),"BETTER")</f>
        <v>BETTER</v>
      </c>
      <c r="D93" s="182" t="str">
        <f>IFERROR(__xludf.DUMMYFUNCTION("""COMPUTED_VALUE"""),"CLR1")</f>
        <v>CLR1</v>
      </c>
      <c r="E93" s="182" t="str">
        <f>IFERROR(__xludf.DUMMYFUNCTION("""COMPUTED_VALUE"""),"Midnight")</f>
        <v>Midnight</v>
      </c>
      <c r="F93" s="182" t="str">
        <f>IFERROR(__xludf.DUMMYFUNCTION("""COMPUTED_VALUE"""),"256GB")</f>
        <v>256GB</v>
      </c>
      <c r="G93" s="182" t="str">
        <f>IFERROR(__xludf.DUMMYFUNCTION("""COMPUTED_VALUE"""),"US GStore")</f>
        <v>US GStore</v>
      </c>
      <c r="H93" s="168">
        <f>IFERROR(__xludf.DUMMYFUNCTION("""COMPUTED_VALUE"""),8.40353925854E11)</f>
        <v>840353925854</v>
      </c>
      <c r="I93" s="185" t="str">
        <f>IFERROR(__xludf.DUMMYFUNCTION("""COMPUTED_VALUE"""),"0840353925854")</f>
        <v>0840353925854</v>
      </c>
      <c r="J93" s="182" t="str">
        <f>IFERROR(__xludf.DUMMYFUNCTION("""COMPUTED_VALUE"""),"#N/A")</f>
        <v>#N/A</v>
      </c>
      <c r="K93" s="182" t="str">
        <f>IFERROR(__xludf.DUMMYFUNCTION("""COMPUTED_VALUE"""),"G4QUR")</f>
        <v>G4QUR</v>
      </c>
      <c r="L93" s="182" t="str">
        <f>IFERROR(__xludf.DUMMYFUNCTION("""COMPUTED_VALUE"""),"NA")</f>
        <v>NA</v>
      </c>
    </row>
    <row r="94">
      <c r="A94" s="182" t="str">
        <f>IFERROR(__xludf.DUMMYFUNCTION("""COMPUTED_VALUE"""),"GA10304-US")</f>
        <v>GA10304-US</v>
      </c>
      <c r="B94" s="182" t="str">
        <f>IFERROR(__xludf.DUMMYFUNCTION("""COMPUTED_VALUE"""),"SKU,CLR2, BETTER, MMWAVE, GSTORE, US, BZ5")</f>
        <v>SKU,CLR2, BETTER, MMWAVE, GSTORE, US, BZ5</v>
      </c>
      <c r="C94" s="182" t="str">
        <f>IFERROR(__xludf.DUMMYFUNCTION("""COMPUTED_VALUE"""),"BETTER")</f>
        <v>BETTER</v>
      </c>
      <c r="D94" s="182" t="str">
        <f>IFERROR(__xludf.DUMMYFUNCTION("""COMPUTED_VALUE"""),"CLR2")</f>
        <v>CLR2</v>
      </c>
      <c r="E94" s="182" t="str">
        <f>IFERROR(__xludf.DUMMYFUNCTION("""COMPUTED_VALUE"""),"Light Porcelain")</f>
        <v>Light Porcelain</v>
      </c>
      <c r="F94" s="182" t="str">
        <f>IFERROR(__xludf.DUMMYFUNCTION("""COMPUTED_VALUE"""),"256GB")</f>
        <v>256GB</v>
      </c>
      <c r="G94" s="182" t="str">
        <f>IFERROR(__xludf.DUMMYFUNCTION("""COMPUTED_VALUE"""),"US GStore")</f>
        <v>US GStore</v>
      </c>
      <c r="H94" s="168">
        <f>IFERROR(__xludf.DUMMYFUNCTION("""COMPUTED_VALUE"""),8.40353925878E11)</f>
        <v>840353925878</v>
      </c>
      <c r="I94" s="185" t="str">
        <f>IFERROR(__xludf.DUMMYFUNCTION("""COMPUTED_VALUE"""),"0840353925878")</f>
        <v>0840353925878</v>
      </c>
      <c r="J94" s="182" t="str">
        <f>IFERROR(__xludf.DUMMYFUNCTION("""COMPUTED_VALUE"""),"#N/A")</f>
        <v>#N/A</v>
      </c>
      <c r="K94" s="182" t="str">
        <f>IFERROR(__xludf.DUMMYFUNCTION("""COMPUTED_VALUE"""),"G4QUR")</f>
        <v>G4QUR</v>
      </c>
      <c r="L94" s="182" t="str">
        <f>IFERROR(__xludf.DUMMYFUNCTION("""COMPUTED_VALUE"""),"NA")</f>
        <v>NA</v>
      </c>
    </row>
    <row r="95">
      <c r="A95" s="182" t="str">
        <f>IFERROR(__xludf.DUMMYFUNCTION("""COMPUTED_VALUE"""),"GA10305-US")</f>
        <v>GA10305-US</v>
      </c>
      <c r="B95" s="182" t="str">
        <f>IFERROR(__xludf.DUMMYFUNCTION("""COMPUTED_VALUE"""),"SKU,CLR3, BETTER, MMWAVE, GSTORE, US, BZ5")</f>
        <v>SKU,CLR3, BETTER, MMWAVE, GSTORE, US, BZ5</v>
      </c>
      <c r="C95" s="182" t="str">
        <f>IFERROR(__xludf.DUMMYFUNCTION("""COMPUTED_VALUE"""),"BETTER")</f>
        <v>BETTER</v>
      </c>
      <c r="D95" s="182" t="str">
        <f>IFERROR(__xludf.DUMMYFUNCTION("""COMPUTED_VALUE"""),"CLR3")</f>
        <v>CLR3</v>
      </c>
      <c r="E95" s="182" t="str">
        <f>IFERROR(__xludf.DUMMYFUNCTION("""COMPUTED_VALUE"""),"Sterling")</f>
        <v>Sterling</v>
      </c>
      <c r="F95" s="182" t="str">
        <f>IFERROR(__xludf.DUMMYFUNCTION("""COMPUTED_VALUE"""),"256GB")</f>
        <v>256GB</v>
      </c>
      <c r="G95" s="182" t="str">
        <f>IFERROR(__xludf.DUMMYFUNCTION("""COMPUTED_VALUE"""),"US GStore")</f>
        <v>US GStore</v>
      </c>
      <c r="H95" s="168">
        <f>IFERROR(__xludf.DUMMYFUNCTION("""COMPUTED_VALUE"""),8.40353925861E11)</f>
        <v>840353925861</v>
      </c>
      <c r="I95" s="185" t="str">
        <f>IFERROR(__xludf.DUMMYFUNCTION("""COMPUTED_VALUE"""),"0840353925861")</f>
        <v>0840353925861</v>
      </c>
      <c r="J95" s="182" t="str">
        <f>IFERROR(__xludf.DUMMYFUNCTION("""COMPUTED_VALUE"""),"#N/A")</f>
        <v>#N/A</v>
      </c>
      <c r="K95" s="182" t="str">
        <f>IFERROR(__xludf.DUMMYFUNCTION("""COMPUTED_VALUE"""),"G4QUR")</f>
        <v>G4QUR</v>
      </c>
      <c r="L95" s="182" t="str">
        <f>IFERROR(__xludf.DUMMYFUNCTION("""COMPUTED_VALUE"""),"NA")</f>
        <v>NA</v>
      </c>
    </row>
    <row r="96">
      <c r="A96" s="182" t="str">
        <f>IFERROR(__xludf.DUMMYFUNCTION("""COMPUTED_VALUE"""),"GA10306-US")</f>
        <v>GA10306-US</v>
      </c>
      <c r="B96" s="182" t="str">
        <f>IFERROR(__xludf.DUMMYFUNCTION("""COMPUTED_VALUE"""),"SKU,CLR4, BETTER, MMWAVE, GSTORE, US, BZ5")</f>
        <v>SKU,CLR4, BETTER, MMWAVE, GSTORE, US, BZ5</v>
      </c>
      <c r="C96" s="182" t="str">
        <f>IFERROR(__xludf.DUMMYFUNCTION("""COMPUTED_VALUE"""),"BETTER")</f>
        <v>BETTER</v>
      </c>
      <c r="D96" s="182" t="str">
        <f>IFERROR(__xludf.DUMMYFUNCTION("""COMPUTED_VALUE"""),"CLR4")</f>
        <v>CLR4</v>
      </c>
      <c r="E96" s="182" t="str">
        <f>IFERROR(__xludf.DUMMYFUNCTION("""COMPUTED_VALUE"""),"Smokey Green")</f>
        <v>Smokey Green</v>
      </c>
      <c r="F96" s="182" t="str">
        <f>IFERROR(__xludf.DUMMYFUNCTION("""COMPUTED_VALUE"""),"256GB")</f>
        <v>256GB</v>
      </c>
      <c r="G96" s="182" t="str">
        <f>IFERROR(__xludf.DUMMYFUNCTION("""COMPUTED_VALUE"""),"US GStore")</f>
        <v>US GStore</v>
      </c>
      <c r="H96" s="168">
        <f>IFERROR(__xludf.DUMMYFUNCTION("""COMPUTED_VALUE"""),8.40353925885E11)</f>
        <v>840353925885</v>
      </c>
      <c r="I96" s="185" t="str">
        <f>IFERROR(__xludf.DUMMYFUNCTION("""COMPUTED_VALUE"""),"0840353925885")</f>
        <v>0840353925885</v>
      </c>
      <c r="J96" s="182" t="str">
        <f>IFERROR(__xludf.DUMMYFUNCTION("""COMPUTED_VALUE"""),"#N/A")</f>
        <v>#N/A</v>
      </c>
      <c r="K96" s="182" t="str">
        <f>IFERROR(__xludf.DUMMYFUNCTION("""COMPUTED_VALUE"""),"G4QUR")</f>
        <v>G4QUR</v>
      </c>
      <c r="L96" s="182" t="str">
        <f>IFERROR(__xludf.DUMMYFUNCTION("""COMPUTED_VALUE"""),"NA")</f>
        <v>NA</v>
      </c>
    </row>
    <row r="97">
      <c r="A97" s="182" t="str">
        <f>IFERROR(__xludf.DUMMYFUNCTION("""COMPUTED_VALUE"""),"GA09908-US")</f>
        <v>GA09908-US</v>
      </c>
      <c r="B97" s="182" t="str">
        <f>IFERROR(__xludf.DUMMYFUNCTION("""COMPUTED_VALUE"""),"SKU,CLR1, BEST, MMWAVE, US GSTORE, BZ5")</f>
        <v>SKU,CLR1, BEST, MMWAVE, US GSTORE, BZ5</v>
      </c>
      <c r="C97" s="182" t="str">
        <f>IFERROR(__xludf.DUMMYFUNCTION("""COMPUTED_VALUE"""),"BEST")</f>
        <v>BEST</v>
      </c>
      <c r="D97" s="182" t="str">
        <f>IFERROR(__xludf.DUMMYFUNCTION("""COMPUTED_VALUE"""),"CLR1")</f>
        <v>CLR1</v>
      </c>
      <c r="E97" s="182" t="str">
        <f>IFERROR(__xludf.DUMMYFUNCTION("""COMPUTED_VALUE"""),"Midnight")</f>
        <v>Midnight</v>
      </c>
      <c r="F97" s="182" t="str">
        <f>IFERROR(__xludf.DUMMYFUNCTION("""COMPUTED_VALUE"""),"512GB")</f>
        <v>512GB</v>
      </c>
      <c r="G97" s="182" t="str">
        <f>IFERROR(__xludf.DUMMYFUNCTION("""COMPUTED_VALUE"""),"US GStore")</f>
        <v>US GStore</v>
      </c>
      <c r="H97" s="168">
        <f>IFERROR(__xludf.DUMMYFUNCTION("""COMPUTED_VALUE"""),8.40353925892E11)</f>
        <v>840353925892</v>
      </c>
      <c r="I97" s="185" t="str">
        <f>IFERROR(__xludf.DUMMYFUNCTION("""COMPUTED_VALUE"""),"0840353925892")</f>
        <v>0840353925892</v>
      </c>
      <c r="J97" s="182" t="str">
        <f>IFERROR(__xludf.DUMMYFUNCTION("""COMPUTED_VALUE"""),"#N/A")</f>
        <v>#N/A</v>
      </c>
      <c r="K97" s="182" t="str">
        <f>IFERROR(__xludf.DUMMYFUNCTION("""COMPUTED_VALUE"""),"G4QUR")</f>
        <v>G4QUR</v>
      </c>
      <c r="L97" s="182" t="str">
        <f>IFERROR(__xludf.DUMMYFUNCTION("""COMPUTED_VALUE"""),"NA")</f>
        <v>NA</v>
      </c>
    </row>
    <row r="98">
      <c r="A98" s="182" t="str">
        <f>IFERROR(__xludf.DUMMYFUNCTION("""COMPUTED_VALUE"""),"GA10307-US")</f>
        <v>GA10307-US</v>
      </c>
      <c r="B98" s="182" t="str">
        <f>IFERROR(__xludf.DUMMYFUNCTION("""COMPUTED_VALUE"""),"SKU,CLR2, BEST, MMWAVE, GSTORE, US, BZ5")</f>
        <v>SKU,CLR2, BEST, MMWAVE, GSTORE, US, BZ5</v>
      </c>
      <c r="C98" s="182" t="str">
        <f>IFERROR(__xludf.DUMMYFUNCTION("""COMPUTED_VALUE"""),"BEST")</f>
        <v>BEST</v>
      </c>
      <c r="D98" s="182" t="str">
        <f>IFERROR(__xludf.DUMMYFUNCTION("""COMPUTED_VALUE"""),"CLR2")</f>
        <v>CLR2</v>
      </c>
      <c r="E98" s="182" t="str">
        <f>IFERROR(__xludf.DUMMYFUNCTION("""COMPUTED_VALUE"""),"Light Porcelain")</f>
        <v>Light Porcelain</v>
      </c>
      <c r="F98" s="182" t="str">
        <f>IFERROR(__xludf.DUMMYFUNCTION("""COMPUTED_VALUE"""),"512GB")</f>
        <v>512GB</v>
      </c>
      <c r="G98" s="182" t="str">
        <f>IFERROR(__xludf.DUMMYFUNCTION("""COMPUTED_VALUE"""),"US GStore")</f>
        <v>US GStore</v>
      </c>
      <c r="H98" s="168">
        <f>IFERROR(__xludf.DUMMYFUNCTION("""COMPUTED_VALUE"""),8.40353925922E11)</f>
        <v>840353925922</v>
      </c>
      <c r="I98" s="185" t="str">
        <f>IFERROR(__xludf.DUMMYFUNCTION("""COMPUTED_VALUE"""),"0840353925922")</f>
        <v>0840353925922</v>
      </c>
      <c r="J98" s="182" t="str">
        <f>IFERROR(__xludf.DUMMYFUNCTION("""COMPUTED_VALUE"""),"#N/A")</f>
        <v>#N/A</v>
      </c>
      <c r="K98" s="182" t="str">
        <f>IFERROR(__xludf.DUMMYFUNCTION("""COMPUTED_VALUE"""),"G4QUR")</f>
        <v>G4QUR</v>
      </c>
      <c r="L98" s="182" t="str">
        <f>IFERROR(__xludf.DUMMYFUNCTION("""COMPUTED_VALUE"""),"NA")</f>
        <v>NA</v>
      </c>
    </row>
    <row r="99">
      <c r="A99" s="182" t="str">
        <f>IFERROR(__xludf.DUMMYFUNCTION("""COMPUTED_VALUE"""),"GA10308-US")</f>
        <v>GA10308-US</v>
      </c>
      <c r="B99" s="182" t="str">
        <f>IFERROR(__xludf.DUMMYFUNCTION("""COMPUTED_VALUE"""),"SKU,CLR3, BEST, MMWAVE, GSTORE, US, BZ5")</f>
        <v>SKU,CLR3, BEST, MMWAVE, GSTORE, US, BZ5</v>
      </c>
      <c r="C99" s="182" t="str">
        <f>IFERROR(__xludf.DUMMYFUNCTION("""COMPUTED_VALUE"""),"BEST")</f>
        <v>BEST</v>
      </c>
      <c r="D99" s="182" t="str">
        <f>IFERROR(__xludf.DUMMYFUNCTION("""COMPUTED_VALUE"""),"CLR3")</f>
        <v>CLR3</v>
      </c>
      <c r="E99" s="182" t="str">
        <f>IFERROR(__xludf.DUMMYFUNCTION("""COMPUTED_VALUE"""),"Sterling")</f>
        <v>Sterling</v>
      </c>
      <c r="F99" s="182" t="str">
        <f>IFERROR(__xludf.DUMMYFUNCTION("""COMPUTED_VALUE"""),"512GB")</f>
        <v>512GB</v>
      </c>
      <c r="G99" s="182" t="str">
        <f>IFERROR(__xludf.DUMMYFUNCTION("""COMPUTED_VALUE"""),"US GStore")</f>
        <v>US GStore</v>
      </c>
      <c r="H99" s="168">
        <f>IFERROR(__xludf.DUMMYFUNCTION("""COMPUTED_VALUE"""),8.40353925908E11)</f>
        <v>840353925908</v>
      </c>
      <c r="I99" s="185" t="str">
        <f>IFERROR(__xludf.DUMMYFUNCTION("""COMPUTED_VALUE"""),"0840353925908")</f>
        <v>0840353925908</v>
      </c>
      <c r="J99" s="182" t="str">
        <f>IFERROR(__xludf.DUMMYFUNCTION("""COMPUTED_VALUE"""),"#N/A")</f>
        <v>#N/A</v>
      </c>
      <c r="K99" s="182" t="str">
        <f>IFERROR(__xludf.DUMMYFUNCTION("""COMPUTED_VALUE"""),"G4QUR")</f>
        <v>G4QUR</v>
      </c>
      <c r="L99" s="182" t="str">
        <f>IFERROR(__xludf.DUMMYFUNCTION("""COMPUTED_VALUE"""),"NA")</f>
        <v>NA</v>
      </c>
    </row>
    <row r="100">
      <c r="A100" s="182" t="str">
        <f>IFERROR(__xludf.DUMMYFUNCTION("""COMPUTED_VALUE"""),"GA10309-US")</f>
        <v>GA10309-US</v>
      </c>
      <c r="B100" s="182" t="str">
        <f>IFERROR(__xludf.DUMMYFUNCTION("""COMPUTED_VALUE"""),"SKU,CLR4, BEST, MMWAVE, GSTORE, US, BZ5")</f>
        <v>SKU,CLR4, BEST, MMWAVE, GSTORE, US, BZ5</v>
      </c>
      <c r="C100" s="182" t="str">
        <f>IFERROR(__xludf.DUMMYFUNCTION("""COMPUTED_VALUE"""),"BEST")</f>
        <v>BEST</v>
      </c>
      <c r="D100" s="182" t="str">
        <f>IFERROR(__xludf.DUMMYFUNCTION("""COMPUTED_VALUE"""),"CLR4")</f>
        <v>CLR4</v>
      </c>
      <c r="E100" s="182" t="str">
        <f>IFERROR(__xludf.DUMMYFUNCTION("""COMPUTED_VALUE"""),"Smokey Green")</f>
        <v>Smokey Green</v>
      </c>
      <c r="F100" s="182" t="str">
        <f>IFERROR(__xludf.DUMMYFUNCTION("""COMPUTED_VALUE"""),"512GB")</f>
        <v>512GB</v>
      </c>
      <c r="G100" s="182" t="str">
        <f>IFERROR(__xludf.DUMMYFUNCTION("""COMPUTED_VALUE"""),"US GStore")</f>
        <v>US GStore</v>
      </c>
      <c r="H100" s="168">
        <f>IFERROR(__xludf.DUMMYFUNCTION("""COMPUTED_VALUE"""),8.40353925915E11)</f>
        <v>840353925915</v>
      </c>
      <c r="I100" s="185" t="str">
        <f>IFERROR(__xludf.DUMMYFUNCTION("""COMPUTED_VALUE"""),"0840353925915")</f>
        <v>0840353925915</v>
      </c>
      <c r="J100" s="182" t="str">
        <f>IFERROR(__xludf.DUMMYFUNCTION("""COMPUTED_VALUE"""),"#N/A")</f>
        <v>#N/A</v>
      </c>
      <c r="K100" s="182" t="str">
        <f>IFERROR(__xludf.DUMMYFUNCTION("""COMPUTED_VALUE"""),"G4QUR")</f>
        <v>G4QUR</v>
      </c>
      <c r="L100" s="182" t="str">
        <f>IFERROR(__xludf.DUMMYFUNCTION("""COMPUTED_VALUE"""),"NA")</f>
        <v>NA</v>
      </c>
    </row>
    <row r="101">
      <c r="A101" s="182" t="str">
        <f>IFERROR(__xludf.DUMMYFUNCTION("""COMPUTED_VALUE"""),"GA09933-US")</f>
        <v>GA09933-US</v>
      </c>
      <c r="B101" s="182" t="str">
        <f>IFERROR(__xludf.DUMMYFUNCTION("""COMPUTED_VALUE"""),"SKU,CLR1, ULTRA, MMWAVE, US GSTORE, BZ5")</f>
        <v>SKU,CLR1, ULTRA, MMWAVE, US GSTORE, BZ5</v>
      </c>
      <c r="C101" s="182" t="str">
        <f>IFERROR(__xludf.DUMMYFUNCTION("""COMPUTED_VALUE"""),"ULTRA")</f>
        <v>ULTRA</v>
      </c>
      <c r="D101" s="182" t="str">
        <f>IFERROR(__xludf.DUMMYFUNCTION("""COMPUTED_VALUE"""),"CLR1")</f>
        <v>CLR1</v>
      </c>
      <c r="E101" s="182" t="str">
        <f>IFERROR(__xludf.DUMMYFUNCTION("""COMPUTED_VALUE"""),"Midnight")</f>
        <v>Midnight</v>
      </c>
      <c r="F101" s="182" t="str">
        <f>IFERROR(__xludf.DUMMYFUNCTION("""COMPUTED_VALUE"""),"1TB")</f>
        <v>1TB</v>
      </c>
      <c r="G101" s="182" t="str">
        <f>IFERROR(__xludf.DUMMYFUNCTION("""COMPUTED_VALUE"""),"US GStore")</f>
        <v>US GStore</v>
      </c>
      <c r="H101" s="168">
        <f>IFERROR(__xludf.DUMMYFUNCTION("""COMPUTED_VALUE"""),8.40353925939E11)</f>
        <v>840353925939</v>
      </c>
      <c r="I101" s="185" t="str">
        <f>IFERROR(__xludf.DUMMYFUNCTION("""COMPUTED_VALUE"""),"0840353925939")</f>
        <v>0840353925939</v>
      </c>
      <c r="J101" s="182" t="str">
        <f>IFERROR(__xludf.DUMMYFUNCTION("""COMPUTED_VALUE"""),"#N/A")</f>
        <v>#N/A</v>
      </c>
      <c r="K101" s="182" t="str">
        <f>IFERROR(__xludf.DUMMYFUNCTION("""COMPUTED_VALUE"""),"G4QUR")</f>
        <v>G4QUR</v>
      </c>
      <c r="L101" s="182" t="str">
        <f>IFERROR(__xludf.DUMMYFUNCTION("""COMPUTED_VALUE"""),"NA")</f>
        <v>NA</v>
      </c>
    </row>
    <row r="102">
      <c r="A102" s="182" t="str">
        <f>IFERROR(__xludf.DUMMYFUNCTION("""COMPUTED_VALUE"""),"GA10310-US")</f>
        <v>GA10310-US</v>
      </c>
      <c r="B102" s="182" t="str">
        <f>IFERROR(__xludf.DUMMYFUNCTION("""COMPUTED_VALUE"""),"SKU,CLR3, ULTRA, MMWAVE, GSTORE, US, BZ5")</f>
        <v>SKU,CLR3, ULTRA, MMWAVE, GSTORE, US, BZ5</v>
      </c>
      <c r="C102" s="182" t="str">
        <f>IFERROR(__xludf.DUMMYFUNCTION("""COMPUTED_VALUE"""),"ULTRA")</f>
        <v>ULTRA</v>
      </c>
      <c r="D102" s="182" t="str">
        <f>IFERROR(__xludf.DUMMYFUNCTION("""COMPUTED_VALUE"""),"CLR3")</f>
        <v>CLR3</v>
      </c>
      <c r="E102" s="182" t="str">
        <f>IFERROR(__xludf.DUMMYFUNCTION("""COMPUTED_VALUE"""),"Sterling")</f>
        <v>Sterling</v>
      </c>
      <c r="F102" s="182" t="str">
        <f>IFERROR(__xludf.DUMMYFUNCTION("""COMPUTED_VALUE"""),"1TB")</f>
        <v>1TB</v>
      </c>
      <c r="G102" s="182" t="str">
        <f>IFERROR(__xludf.DUMMYFUNCTION("""COMPUTED_VALUE"""),"US GStore")</f>
        <v>US GStore</v>
      </c>
      <c r="H102" s="168">
        <f>IFERROR(__xludf.DUMMYFUNCTION("""COMPUTED_VALUE"""),8.40353925946E11)</f>
        <v>840353925946</v>
      </c>
      <c r="I102" s="185" t="str">
        <f>IFERROR(__xludf.DUMMYFUNCTION("""COMPUTED_VALUE"""),"0840353925946")</f>
        <v>0840353925946</v>
      </c>
      <c r="J102" s="182" t="str">
        <f>IFERROR(__xludf.DUMMYFUNCTION("""COMPUTED_VALUE"""),"#N/A")</f>
        <v>#N/A</v>
      </c>
      <c r="K102" s="182" t="str">
        <f>IFERROR(__xludf.DUMMYFUNCTION("""COMPUTED_VALUE"""),"G4QUR")</f>
        <v>G4QUR</v>
      </c>
      <c r="L102" s="182" t="str">
        <f>IFERROR(__xludf.DUMMYFUNCTION("""COMPUTED_VALUE"""),"NA")</f>
        <v>NA</v>
      </c>
    </row>
    <row r="103">
      <c r="A103" s="182" t="str">
        <f>IFERROR(__xludf.DUMMYFUNCTION("""COMPUTED_VALUE"""),"GA09601-JP")</f>
        <v>GA09601-JP</v>
      </c>
      <c r="B103" s="182" t="str">
        <f>IFERROR(__xludf.DUMMYFUNCTION("""COMPUTED_VALUE"""),"SKU,CLR1, GOOD, SUB6, JP, BZ5")</f>
        <v>SKU,CLR1, GOOD, SUB6, JP, BZ5</v>
      </c>
      <c r="C103" s="182" t="str">
        <f>IFERROR(__xludf.DUMMYFUNCTION("""COMPUTED_VALUE"""),"GOOD")</f>
        <v>GOOD</v>
      </c>
      <c r="D103" s="182" t="str">
        <f>IFERROR(__xludf.DUMMYFUNCTION("""COMPUTED_VALUE"""),"CLR1")</f>
        <v>CLR1</v>
      </c>
      <c r="E103" s="182" t="str">
        <f>IFERROR(__xludf.DUMMYFUNCTION("""COMPUTED_VALUE"""),"Midnight")</f>
        <v>Midnight</v>
      </c>
      <c r="F103" s="182" t="str">
        <f>IFERROR(__xludf.DUMMYFUNCTION("""COMPUTED_VALUE"""),"128GB")</f>
        <v>128GB</v>
      </c>
      <c r="G103" s="182" t="str">
        <f>IFERROR(__xludf.DUMMYFUNCTION("""COMPUTED_VALUE"""),"JP")</f>
        <v>JP</v>
      </c>
      <c r="H103" s="168">
        <f>IFERROR(__xludf.DUMMYFUNCTION("""COMPUTED_VALUE"""),8.4035392596E11)</f>
        <v>840353925960</v>
      </c>
      <c r="I103" s="185" t="str">
        <f>IFERROR(__xludf.DUMMYFUNCTION("""COMPUTED_VALUE"""),"0840353925960")</f>
        <v>0840353925960</v>
      </c>
      <c r="J103" s="182" t="str">
        <f>IFERROR(__xludf.DUMMYFUNCTION("""COMPUTED_VALUE"""),"#N/A")</f>
        <v>#N/A</v>
      </c>
      <c r="K103" s="182" t="str">
        <f>IFERROR(__xludf.DUMMYFUNCTION("""COMPUTED_VALUE"""),"GN4F5")</f>
        <v>GN4F5</v>
      </c>
      <c r="L103" s="182" t="str">
        <f>IFERROR(__xludf.DUMMYFUNCTION("""COMPUTED_VALUE"""),"JP")</f>
        <v>JP</v>
      </c>
    </row>
    <row r="104">
      <c r="A104" s="182" t="str">
        <f>IFERROR(__xludf.DUMMYFUNCTION("""COMPUTED_VALUE"""),"GA10312-JP")</f>
        <v>GA10312-JP</v>
      </c>
      <c r="B104" s="182" t="str">
        <f>IFERROR(__xludf.DUMMYFUNCTION("""COMPUTED_VALUE"""),"SKU,CLR2, GOOD, SUB6, JP, BZ5")</f>
        <v>SKU,CLR2, GOOD, SUB6, JP, BZ5</v>
      </c>
      <c r="C104" s="182" t="str">
        <f>IFERROR(__xludf.DUMMYFUNCTION("""COMPUTED_VALUE"""),"GOOD")</f>
        <v>GOOD</v>
      </c>
      <c r="D104" s="182" t="str">
        <f>IFERROR(__xludf.DUMMYFUNCTION("""COMPUTED_VALUE"""),"CLR2")</f>
        <v>CLR2</v>
      </c>
      <c r="E104" s="182" t="str">
        <f>IFERROR(__xludf.DUMMYFUNCTION("""COMPUTED_VALUE"""),"Light Porcelain")</f>
        <v>Light Porcelain</v>
      </c>
      <c r="F104" s="182" t="str">
        <f>IFERROR(__xludf.DUMMYFUNCTION("""COMPUTED_VALUE"""),"128GB")</f>
        <v>128GB</v>
      </c>
      <c r="G104" s="182" t="str">
        <f>IFERROR(__xludf.DUMMYFUNCTION("""COMPUTED_VALUE"""),"JP")</f>
        <v>JP</v>
      </c>
      <c r="H104" s="168">
        <f>IFERROR(__xludf.DUMMYFUNCTION("""COMPUTED_VALUE"""),8.40353925984E11)</f>
        <v>840353925984</v>
      </c>
      <c r="I104" s="185" t="str">
        <f>IFERROR(__xludf.DUMMYFUNCTION("""COMPUTED_VALUE"""),"0840353925984")</f>
        <v>0840353925984</v>
      </c>
      <c r="J104" s="182" t="str">
        <f>IFERROR(__xludf.DUMMYFUNCTION("""COMPUTED_VALUE"""),"#N/A")</f>
        <v>#N/A</v>
      </c>
      <c r="K104" s="182" t="str">
        <f>IFERROR(__xludf.DUMMYFUNCTION("""COMPUTED_VALUE"""),"GN4F5")</f>
        <v>GN4F5</v>
      </c>
      <c r="L104" s="182" t="str">
        <f>IFERROR(__xludf.DUMMYFUNCTION("""COMPUTED_VALUE"""),"JP")</f>
        <v>JP</v>
      </c>
    </row>
    <row r="105">
      <c r="A105" s="182" t="str">
        <f>IFERROR(__xludf.DUMMYFUNCTION("""COMPUTED_VALUE"""),"GA10313-JP")</f>
        <v>GA10313-JP</v>
      </c>
      <c r="B105" s="182" t="str">
        <f>IFERROR(__xludf.DUMMYFUNCTION("""COMPUTED_VALUE"""),"SKU,CLR3, GOOD, SUB6, JP, BZ5")</f>
        <v>SKU,CLR3, GOOD, SUB6, JP, BZ5</v>
      </c>
      <c r="C105" s="182" t="str">
        <f>IFERROR(__xludf.DUMMYFUNCTION("""COMPUTED_VALUE"""),"GOOD")</f>
        <v>GOOD</v>
      </c>
      <c r="D105" s="182" t="str">
        <f>IFERROR(__xludf.DUMMYFUNCTION("""COMPUTED_VALUE"""),"CLR3")</f>
        <v>CLR3</v>
      </c>
      <c r="E105" s="182" t="str">
        <f>IFERROR(__xludf.DUMMYFUNCTION("""COMPUTED_VALUE"""),"Sterling")</f>
        <v>Sterling</v>
      </c>
      <c r="F105" s="182" t="str">
        <f>IFERROR(__xludf.DUMMYFUNCTION("""COMPUTED_VALUE"""),"128GB")</f>
        <v>128GB</v>
      </c>
      <c r="G105" s="182" t="str">
        <f>IFERROR(__xludf.DUMMYFUNCTION("""COMPUTED_VALUE"""),"JP")</f>
        <v>JP</v>
      </c>
      <c r="H105" s="168">
        <f>IFERROR(__xludf.DUMMYFUNCTION("""COMPUTED_VALUE"""),8.40353926004E11)</f>
        <v>840353926004</v>
      </c>
      <c r="I105" s="185" t="str">
        <f>IFERROR(__xludf.DUMMYFUNCTION("""COMPUTED_VALUE"""),"0840353926004")</f>
        <v>0840353926004</v>
      </c>
      <c r="J105" s="182" t="str">
        <f>IFERROR(__xludf.DUMMYFUNCTION("""COMPUTED_VALUE"""),"#N/A")</f>
        <v>#N/A</v>
      </c>
      <c r="K105" s="182" t="str">
        <f>IFERROR(__xludf.DUMMYFUNCTION("""COMPUTED_VALUE"""),"GN4F5")</f>
        <v>GN4F5</v>
      </c>
      <c r="L105" s="182" t="str">
        <f>IFERROR(__xludf.DUMMYFUNCTION("""COMPUTED_VALUE"""),"JP")</f>
        <v>JP</v>
      </c>
    </row>
    <row r="106">
      <c r="A106" s="182" t="str">
        <f>IFERROR(__xludf.DUMMYFUNCTION("""COMPUTED_VALUE"""),"GA09900-JP")</f>
        <v>GA09900-JP</v>
      </c>
      <c r="B106" s="182" t="str">
        <f>IFERROR(__xludf.DUMMYFUNCTION("""COMPUTED_VALUE"""),"SKU,CLR1, BETTER, SUB6, JP, BZ5")</f>
        <v>SKU,CLR1, BETTER, SUB6, JP, BZ5</v>
      </c>
      <c r="C106" s="182" t="str">
        <f>IFERROR(__xludf.DUMMYFUNCTION("""COMPUTED_VALUE"""),"BETTER")</f>
        <v>BETTER</v>
      </c>
      <c r="D106" s="182" t="str">
        <f>IFERROR(__xludf.DUMMYFUNCTION("""COMPUTED_VALUE"""),"CLR1")</f>
        <v>CLR1</v>
      </c>
      <c r="E106" s="182" t="str">
        <f>IFERROR(__xludf.DUMMYFUNCTION("""COMPUTED_VALUE"""),"Midnight")</f>
        <v>Midnight</v>
      </c>
      <c r="F106" s="182" t="str">
        <f>IFERROR(__xludf.DUMMYFUNCTION("""COMPUTED_VALUE"""),"256GB")</f>
        <v>256GB</v>
      </c>
      <c r="G106" s="182" t="str">
        <f>IFERROR(__xludf.DUMMYFUNCTION("""COMPUTED_VALUE"""),"JP")</f>
        <v>JP</v>
      </c>
      <c r="H106" s="168">
        <f>IFERROR(__xludf.DUMMYFUNCTION("""COMPUTED_VALUE"""),8.4035392541E11)</f>
        <v>840353925410</v>
      </c>
      <c r="I106" s="185" t="str">
        <f>IFERROR(__xludf.DUMMYFUNCTION("""COMPUTED_VALUE"""),"0840353925410")</f>
        <v>0840353925410</v>
      </c>
      <c r="J106" s="182" t="str">
        <f>IFERROR(__xludf.DUMMYFUNCTION("""COMPUTED_VALUE"""),"#N/A")</f>
        <v>#N/A</v>
      </c>
      <c r="K106" s="182" t="str">
        <f>IFERROR(__xludf.DUMMYFUNCTION("""COMPUTED_VALUE"""),"GN4F5")</f>
        <v>GN4F5</v>
      </c>
      <c r="L106" s="182" t="str">
        <f>IFERROR(__xludf.DUMMYFUNCTION("""COMPUTED_VALUE"""),"JP")</f>
        <v>JP</v>
      </c>
    </row>
    <row r="107">
      <c r="A107" s="182" t="str">
        <f>IFERROR(__xludf.DUMMYFUNCTION("""COMPUTED_VALUE"""),"GA10314-JP")</f>
        <v>GA10314-JP</v>
      </c>
      <c r="B107" s="182" t="str">
        <f>IFERROR(__xludf.DUMMYFUNCTION("""COMPUTED_VALUE"""),"SKU,CLR2, BETTER, SUB6, JP, BZ5")</f>
        <v>SKU,CLR2, BETTER, SUB6, JP, BZ5</v>
      </c>
      <c r="C107" s="182" t="str">
        <f>IFERROR(__xludf.DUMMYFUNCTION("""COMPUTED_VALUE"""),"BETTER")</f>
        <v>BETTER</v>
      </c>
      <c r="D107" s="182" t="str">
        <f>IFERROR(__xludf.DUMMYFUNCTION("""COMPUTED_VALUE"""),"CLR2")</f>
        <v>CLR2</v>
      </c>
      <c r="E107" s="182" t="str">
        <f>IFERROR(__xludf.DUMMYFUNCTION("""COMPUTED_VALUE"""),"Light Porcelain")</f>
        <v>Light Porcelain</v>
      </c>
      <c r="F107" s="182" t="str">
        <f>IFERROR(__xludf.DUMMYFUNCTION("""COMPUTED_VALUE"""),"256GB")</f>
        <v>256GB</v>
      </c>
      <c r="G107" s="182" t="str">
        <f>IFERROR(__xludf.DUMMYFUNCTION("""COMPUTED_VALUE"""),"JP")</f>
        <v>JP</v>
      </c>
      <c r="H107" s="168">
        <f>IFERROR(__xludf.DUMMYFUNCTION("""COMPUTED_VALUE"""),8.40353925489E11)</f>
        <v>840353925489</v>
      </c>
      <c r="I107" s="185" t="str">
        <f>IFERROR(__xludf.DUMMYFUNCTION("""COMPUTED_VALUE"""),"0840353925489")</f>
        <v>0840353925489</v>
      </c>
      <c r="J107" s="182" t="str">
        <f>IFERROR(__xludf.DUMMYFUNCTION("""COMPUTED_VALUE"""),"#N/A")</f>
        <v>#N/A</v>
      </c>
      <c r="K107" s="182" t="str">
        <f>IFERROR(__xludf.DUMMYFUNCTION("""COMPUTED_VALUE"""),"GN4F5")</f>
        <v>GN4F5</v>
      </c>
      <c r="L107" s="182" t="str">
        <f>IFERROR(__xludf.DUMMYFUNCTION("""COMPUTED_VALUE"""),"JP")</f>
        <v>JP</v>
      </c>
    </row>
    <row r="108">
      <c r="A108" s="182" t="str">
        <f>IFERROR(__xludf.DUMMYFUNCTION("""COMPUTED_VALUE"""),"GA10315-JP")</f>
        <v>GA10315-JP</v>
      </c>
      <c r="B108" s="182" t="str">
        <f>IFERROR(__xludf.DUMMYFUNCTION("""COMPUTED_VALUE"""),"SKU,CLR3, BETTER, SUB6, JP, BZ5")</f>
        <v>SKU,CLR3, BETTER, SUB6, JP, BZ5</v>
      </c>
      <c r="C108" s="182" t="str">
        <f>IFERROR(__xludf.DUMMYFUNCTION("""COMPUTED_VALUE"""),"BETTER")</f>
        <v>BETTER</v>
      </c>
      <c r="D108" s="182" t="str">
        <f>IFERROR(__xludf.DUMMYFUNCTION("""COMPUTED_VALUE"""),"CLR3")</f>
        <v>CLR3</v>
      </c>
      <c r="E108" s="182" t="str">
        <f>IFERROR(__xludf.DUMMYFUNCTION("""COMPUTED_VALUE"""),"Sterling")</f>
        <v>Sterling</v>
      </c>
      <c r="F108" s="182" t="str">
        <f>IFERROR(__xludf.DUMMYFUNCTION("""COMPUTED_VALUE"""),"256GB")</f>
        <v>256GB</v>
      </c>
      <c r="G108" s="182" t="str">
        <f>IFERROR(__xludf.DUMMYFUNCTION("""COMPUTED_VALUE"""),"JP")</f>
        <v>JP</v>
      </c>
      <c r="H108" s="168">
        <f>IFERROR(__xludf.DUMMYFUNCTION("""COMPUTED_VALUE"""),8.40353925519E11)</f>
        <v>840353925519</v>
      </c>
      <c r="I108" s="185" t="str">
        <f>IFERROR(__xludf.DUMMYFUNCTION("""COMPUTED_VALUE"""),"0840353925519")</f>
        <v>0840353925519</v>
      </c>
      <c r="J108" s="182" t="str">
        <f>IFERROR(__xludf.DUMMYFUNCTION("""COMPUTED_VALUE"""),"#N/A")</f>
        <v>#N/A</v>
      </c>
      <c r="K108" s="182" t="str">
        <f>IFERROR(__xludf.DUMMYFUNCTION("""COMPUTED_VALUE"""),"GN4F5")</f>
        <v>GN4F5</v>
      </c>
      <c r="L108" s="182" t="str">
        <f>IFERROR(__xludf.DUMMYFUNCTION("""COMPUTED_VALUE"""),"JP")</f>
        <v>JP</v>
      </c>
    </row>
    <row r="109">
      <c r="A109" s="182" t="str">
        <f>IFERROR(__xludf.DUMMYFUNCTION("""COMPUTED_VALUE"""),"GA10316-JP")</f>
        <v>GA10316-JP</v>
      </c>
      <c r="B109" s="182" t="str">
        <f>IFERROR(__xludf.DUMMYFUNCTION("""COMPUTED_VALUE"""),"SKU,CLR4, BETTER, SUB6, JP, BZ5")</f>
        <v>SKU,CLR4, BETTER, SUB6, JP, BZ5</v>
      </c>
      <c r="C109" s="182" t="str">
        <f>IFERROR(__xludf.DUMMYFUNCTION("""COMPUTED_VALUE"""),"BETTER")</f>
        <v>BETTER</v>
      </c>
      <c r="D109" s="182" t="str">
        <f>IFERROR(__xludf.DUMMYFUNCTION("""COMPUTED_VALUE"""),"CLR4")</f>
        <v>CLR4</v>
      </c>
      <c r="E109" s="182" t="str">
        <f>IFERROR(__xludf.DUMMYFUNCTION("""COMPUTED_VALUE"""),"Smokey Green")</f>
        <v>Smokey Green</v>
      </c>
      <c r="F109" s="182" t="str">
        <f>IFERROR(__xludf.DUMMYFUNCTION("""COMPUTED_VALUE"""),"256GB")</f>
        <v>256GB</v>
      </c>
      <c r="G109" s="182" t="str">
        <f>IFERROR(__xludf.DUMMYFUNCTION("""COMPUTED_VALUE"""),"JP")</f>
        <v>JP</v>
      </c>
      <c r="H109" s="168">
        <f>IFERROR(__xludf.DUMMYFUNCTION("""COMPUTED_VALUE"""),8.40353925465E11)</f>
        <v>840353925465</v>
      </c>
      <c r="I109" s="185" t="str">
        <f>IFERROR(__xludf.DUMMYFUNCTION("""COMPUTED_VALUE"""),"0840353925465")</f>
        <v>0840353925465</v>
      </c>
      <c r="J109" s="182" t="str">
        <f>IFERROR(__xludf.DUMMYFUNCTION("""COMPUTED_VALUE"""),"#N/A")</f>
        <v>#N/A</v>
      </c>
      <c r="K109" s="182" t="str">
        <f>IFERROR(__xludf.DUMMYFUNCTION("""COMPUTED_VALUE"""),"GN4F5")</f>
        <v>GN4F5</v>
      </c>
      <c r="L109" s="182" t="str">
        <f>IFERROR(__xludf.DUMMYFUNCTION("""COMPUTED_VALUE"""),"JP")</f>
        <v>JP</v>
      </c>
    </row>
    <row r="110">
      <c r="A110" s="182" t="str">
        <f>IFERROR(__xludf.DUMMYFUNCTION("""COMPUTED_VALUE"""),"GA09909-JP")</f>
        <v>GA09909-JP</v>
      </c>
      <c r="B110" s="182" t="str">
        <f>IFERROR(__xludf.DUMMYFUNCTION("""COMPUTED_VALUE"""),"SKU,CLR1, BEST, SUB6, JP, BZ5")</f>
        <v>SKU,CLR1, BEST, SUB6, JP, BZ5</v>
      </c>
      <c r="C110" s="182" t="str">
        <f>IFERROR(__xludf.DUMMYFUNCTION("""COMPUTED_VALUE"""),"BEST")</f>
        <v>BEST</v>
      </c>
      <c r="D110" s="182" t="str">
        <f>IFERROR(__xludf.DUMMYFUNCTION("""COMPUTED_VALUE"""),"CLR1")</f>
        <v>CLR1</v>
      </c>
      <c r="E110" s="182" t="str">
        <f>IFERROR(__xludf.DUMMYFUNCTION("""COMPUTED_VALUE"""),"Midnight")</f>
        <v>Midnight</v>
      </c>
      <c r="F110" s="182" t="str">
        <f>IFERROR(__xludf.DUMMYFUNCTION("""COMPUTED_VALUE"""),"512GB")</f>
        <v>512GB</v>
      </c>
      <c r="G110" s="182" t="str">
        <f>IFERROR(__xludf.DUMMYFUNCTION("""COMPUTED_VALUE"""),"JP")</f>
        <v>JP</v>
      </c>
      <c r="H110" s="168">
        <f>IFERROR(__xludf.DUMMYFUNCTION("""COMPUTED_VALUE"""),8.40353925557E11)</f>
        <v>840353925557</v>
      </c>
      <c r="I110" s="185" t="str">
        <f>IFERROR(__xludf.DUMMYFUNCTION("""COMPUTED_VALUE"""),"0840353925557")</f>
        <v>0840353925557</v>
      </c>
      <c r="J110" s="182" t="str">
        <f>IFERROR(__xludf.DUMMYFUNCTION("""COMPUTED_VALUE"""),"#N/A")</f>
        <v>#N/A</v>
      </c>
      <c r="K110" s="182" t="str">
        <f>IFERROR(__xludf.DUMMYFUNCTION("""COMPUTED_VALUE"""),"GN4F5")</f>
        <v>GN4F5</v>
      </c>
      <c r="L110" s="182" t="str">
        <f>IFERROR(__xludf.DUMMYFUNCTION("""COMPUTED_VALUE"""),"JP")</f>
        <v>JP</v>
      </c>
    </row>
    <row r="111">
      <c r="A111" s="182" t="str">
        <f>IFERROR(__xludf.DUMMYFUNCTION("""COMPUTED_VALUE"""),"GA10317-JP")</f>
        <v>GA10317-JP</v>
      </c>
      <c r="B111" s="182" t="str">
        <f>IFERROR(__xludf.DUMMYFUNCTION("""COMPUTED_VALUE"""),"SKU,CLR2, BEST, SUB6, JP, BZ5")</f>
        <v>SKU,CLR2, BEST, SUB6, JP, BZ5</v>
      </c>
      <c r="C111" s="182" t="str">
        <f>IFERROR(__xludf.DUMMYFUNCTION("""COMPUTED_VALUE"""),"BEST")</f>
        <v>BEST</v>
      </c>
      <c r="D111" s="182" t="str">
        <f>IFERROR(__xludf.DUMMYFUNCTION("""COMPUTED_VALUE"""),"CLR2")</f>
        <v>CLR2</v>
      </c>
      <c r="E111" s="182" t="str">
        <f>IFERROR(__xludf.DUMMYFUNCTION("""COMPUTED_VALUE"""),"Light Porcelain")</f>
        <v>Light Porcelain</v>
      </c>
      <c r="F111" s="182" t="str">
        <f>IFERROR(__xludf.DUMMYFUNCTION("""COMPUTED_VALUE"""),"512GB")</f>
        <v>512GB</v>
      </c>
      <c r="G111" s="182" t="str">
        <f>IFERROR(__xludf.DUMMYFUNCTION("""COMPUTED_VALUE"""),"JP")</f>
        <v>JP</v>
      </c>
      <c r="H111" s="168">
        <f>IFERROR(__xludf.DUMMYFUNCTION("""COMPUTED_VALUE"""),8.40353925649E11)</f>
        <v>840353925649</v>
      </c>
      <c r="I111" s="185" t="str">
        <f>IFERROR(__xludf.DUMMYFUNCTION("""COMPUTED_VALUE"""),"0840353925649")</f>
        <v>0840353925649</v>
      </c>
      <c r="J111" s="182" t="str">
        <f>IFERROR(__xludf.DUMMYFUNCTION("""COMPUTED_VALUE"""),"#N/A")</f>
        <v>#N/A</v>
      </c>
      <c r="K111" s="182" t="str">
        <f>IFERROR(__xludf.DUMMYFUNCTION("""COMPUTED_VALUE"""),"GN4F5")</f>
        <v>GN4F5</v>
      </c>
      <c r="L111" s="182" t="str">
        <f>IFERROR(__xludf.DUMMYFUNCTION("""COMPUTED_VALUE"""),"JP")</f>
        <v>JP</v>
      </c>
    </row>
    <row r="112">
      <c r="A112" s="182" t="str">
        <f>IFERROR(__xludf.DUMMYFUNCTION("""COMPUTED_VALUE"""),"GA10318-JP")</f>
        <v>GA10318-JP</v>
      </c>
      <c r="B112" s="182" t="str">
        <f>IFERROR(__xludf.DUMMYFUNCTION("""COMPUTED_VALUE"""),"SKU,CLR3, BEST, SUB6, JP, BZ5")</f>
        <v>SKU,CLR3, BEST, SUB6, JP, BZ5</v>
      </c>
      <c r="C112" s="182" t="str">
        <f>IFERROR(__xludf.DUMMYFUNCTION("""COMPUTED_VALUE"""),"BEST")</f>
        <v>BEST</v>
      </c>
      <c r="D112" s="182" t="str">
        <f>IFERROR(__xludf.DUMMYFUNCTION("""COMPUTED_VALUE"""),"CLR3")</f>
        <v>CLR3</v>
      </c>
      <c r="E112" s="182" t="str">
        <f>IFERROR(__xludf.DUMMYFUNCTION("""COMPUTED_VALUE"""),"Sterling")</f>
        <v>Sterling</v>
      </c>
      <c r="F112" s="182" t="str">
        <f>IFERROR(__xludf.DUMMYFUNCTION("""COMPUTED_VALUE"""),"512GB")</f>
        <v>512GB</v>
      </c>
      <c r="G112" s="182" t="str">
        <f>IFERROR(__xludf.DUMMYFUNCTION("""COMPUTED_VALUE"""),"JP")</f>
        <v>JP</v>
      </c>
      <c r="H112" s="168">
        <f>IFERROR(__xludf.DUMMYFUNCTION("""COMPUTED_VALUE"""),8.40353925632E11)</f>
        <v>840353925632</v>
      </c>
      <c r="I112" s="185" t="str">
        <f>IFERROR(__xludf.DUMMYFUNCTION("""COMPUTED_VALUE"""),"0840353925632")</f>
        <v>0840353925632</v>
      </c>
      <c r="J112" s="182" t="str">
        <f>IFERROR(__xludf.DUMMYFUNCTION("""COMPUTED_VALUE"""),"#N/A")</f>
        <v>#N/A</v>
      </c>
      <c r="K112" s="182" t="str">
        <f>IFERROR(__xludf.DUMMYFUNCTION("""COMPUTED_VALUE"""),"GN4F5")</f>
        <v>GN4F5</v>
      </c>
      <c r="L112" s="182" t="str">
        <f>IFERROR(__xludf.DUMMYFUNCTION("""COMPUTED_VALUE"""),"JP")</f>
        <v>JP</v>
      </c>
    </row>
    <row r="113">
      <c r="A113" s="182" t="str">
        <f>IFERROR(__xludf.DUMMYFUNCTION("""COMPUTED_VALUE"""),"GA10319-JP")</f>
        <v>GA10319-JP</v>
      </c>
      <c r="B113" s="182" t="str">
        <f>IFERROR(__xludf.DUMMYFUNCTION("""COMPUTED_VALUE"""),"SKU,CLR4, BEST, SUB6, JP, BZ5")</f>
        <v>SKU,CLR4, BEST, SUB6, JP, BZ5</v>
      </c>
      <c r="C113" s="182" t="str">
        <f>IFERROR(__xludf.DUMMYFUNCTION("""COMPUTED_VALUE"""),"BEST")</f>
        <v>BEST</v>
      </c>
      <c r="D113" s="182" t="str">
        <f>IFERROR(__xludf.DUMMYFUNCTION("""COMPUTED_VALUE"""),"CLR4")</f>
        <v>CLR4</v>
      </c>
      <c r="E113" s="182" t="str">
        <f>IFERROR(__xludf.DUMMYFUNCTION("""COMPUTED_VALUE"""),"Smokey Green")</f>
        <v>Smokey Green</v>
      </c>
      <c r="F113" s="182" t="str">
        <f>IFERROR(__xludf.DUMMYFUNCTION("""COMPUTED_VALUE"""),"512GB")</f>
        <v>512GB</v>
      </c>
      <c r="G113" s="182" t="str">
        <f>IFERROR(__xludf.DUMMYFUNCTION("""COMPUTED_VALUE"""),"JP")</f>
        <v>JP</v>
      </c>
      <c r="H113" s="168">
        <f>IFERROR(__xludf.DUMMYFUNCTION("""COMPUTED_VALUE"""),8.40353925687E11)</f>
        <v>840353925687</v>
      </c>
      <c r="I113" s="185" t="str">
        <f>IFERROR(__xludf.DUMMYFUNCTION("""COMPUTED_VALUE"""),"0840353925687")</f>
        <v>0840353925687</v>
      </c>
      <c r="J113" s="182" t="str">
        <f>IFERROR(__xludf.DUMMYFUNCTION("""COMPUTED_VALUE"""),"#N/A")</f>
        <v>#N/A</v>
      </c>
      <c r="K113" s="182" t="str">
        <f>IFERROR(__xludf.DUMMYFUNCTION("""COMPUTED_VALUE"""),"GN4F5")</f>
        <v>GN4F5</v>
      </c>
      <c r="L113" s="182" t="str">
        <f>IFERROR(__xludf.DUMMYFUNCTION("""COMPUTED_VALUE"""),"JP")</f>
        <v>JP</v>
      </c>
    </row>
    <row r="114">
      <c r="A114" s="182" t="str">
        <f>IFERROR(__xludf.DUMMYFUNCTION("""COMPUTED_VALUE"""),"GA09934-JP")</f>
        <v>GA09934-JP</v>
      </c>
      <c r="B114" s="182" t="str">
        <f>IFERROR(__xludf.DUMMYFUNCTION("""COMPUTED_VALUE"""),"SKU,CLR1, ULTRA, SUB6, JP, BZ5")</f>
        <v>SKU,CLR1, ULTRA, SUB6, JP, BZ5</v>
      </c>
      <c r="C114" s="182" t="str">
        <f>IFERROR(__xludf.DUMMYFUNCTION("""COMPUTED_VALUE"""),"ULTRA")</f>
        <v>ULTRA</v>
      </c>
      <c r="D114" s="182" t="str">
        <f>IFERROR(__xludf.DUMMYFUNCTION("""COMPUTED_VALUE"""),"CLR1")</f>
        <v>CLR1</v>
      </c>
      <c r="E114" s="182" t="str">
        <f>IFERROR(__xludf.DUMMYFUNCTION("""COMPUTED_VALUE"""),"Midnight")</f>
        <v>Midnight</v>
      </c>
      <c r="F114" s="182" t="str">
        <f>IFERROR(__xludf.DUMMYFUNCTION("""COMPUTED_VALUE"""),"1TB")</f>
        <v>1TB</v>
      </c>
      <c r="G114" s="182" t="str">
        <f>IFERROR(__xludf.DUMMYFUNCTION("""COMPUTED_VALUE"""),"JP")</f>
        <v>JP</v>
      </c>
      <c r="H114" s="168">
        <f>IFERROR(__xludf.DUMMYFUNCTION("""COMPUTED_VALUE"""),8.40353925748E11)</f>
        <v>840353925748</v>
      </c>
      <c r="I114" s="185" t="str">
        <f>IFERROR(__xludf.DUMMYFUNCTION("""COMPUTED_VALUE"""),"0840353925748")</f>
        <v>0840353925748</v>
      </c>
      <c r="J114" s="182" t="str">
        <f>IFERROR(__xludf.DUMMYFUNCTION("""COMPUTED_VALUE"""),"#N/A")</f>
        <v>#N/A</v>
      </c>
      <c r="K114" s="182" t="str">
        <f>IFERROR(__xludf.DUMMYFUNCTION("""COMPUTED_VALUE"""),"GN4F5")</f>
        <v>GN4F5</v>
      </c>
      <c r="L114" s="182" t="str">
        <f>IFERROR(__xludf.DUMMYFUNCTION("""COMPUTED_VALUE"""),"JP")</f>
        <v>JP</v>
      </c>
    </row>
    <row r="115">
      <c r="A115" s="182" t="str">
        <f>IFERROR(__xludf.DUMMYFUNCTION("""COMPUTED_VALUE"""),"GA10320-JP")</f>
        <v>GA10320-JP</v>
      </c>
      <c r="B115" s="182" t="str">
        <f>IFERROR(__xludf.DUMMYFUNCTION("""COMPUTED_VALUE"""),"SKU,CLR3, ULTRA, SUB6, JP, BZ5")</f>
        <v>SKU,CLR3, ULTRA, SUB6, JP, BZ5</v>
      </c>
      <c r="C115" s="182" t="str">
        <f>IFERROR(__xludf.DUMMYFUNCTION("""COMPUTED_VALUE"""),"ULTRA")</f>
        <v>ULTRA</v>
      </c>
      <c r="D115" s="182" t="str">
        <f>IFERROR(__xludf.DUMMYFUNCTION("""COMPUTED_VALUE"""),"CLR3")</f>
        <v>CLR3</v>
      </c>
      <c r="E115" s="182" t="str">
        <f>IFERROR(__xludf.DUMMYFUNCTION("""COMPUTED_VALUE"""),"Sterling")</f>
        <v>Sterling</v>
      </c>
      <c r="F115" s="182" t="str">
        <f>IFERROR(__xludf.DUMMYFUNCTION("""COMPUTED_VALUE"""),"1TB")</f>
        <v>1TB</v>
      </c>
      <c r="G115" s="182" t="str">
        <f>IFERROR(__xludf.DUMMYFUNCTION("""COMPUTED_VALUE"""),"JP")</f>
        <v>JP</v>
      </c>
      <c r="H115" s="168">
        <f>IFERROR(__xludf.DUMMYFUNCTION("""COMPUTED_VALUE"""),8.40353925793E11)</f>
        <v>840353925793</v>
      </c>
      <c r="I115" s="185" t="str">
        <f>IFERROR(__xludf.DUMMYFUNCTION("""COMPUTED_VALUE"""),"0840353925793")</f>
        <v>0840353925793</v>
      </c>
      <c r="J115" s="182" t="str">
        <f>IFERROR(__xludf.DUMMYFUNCTION("""COMPUTED_VALUE"""),"#N/A")</f>
        <v>#N/A</v>
      </c>
      <c r="K115" s="182" t="str">
        <f>IFERROR(__xludf.DUMMYFUNCTION("""COMPUTED_VALUE"""),"GN4F5")</f>
        <v>GN4F5</v>
      </c>
      <c r="L115" s="182" t="str">
        <f>IFERROR(__xludf.DUMMYFUNCTION("""COMPUTED_VALUE"""),"JP")</f>
        <v>JP</v>
      </c>
    </row>
    <row r="116">
      <c r="A116" s="182" t="str">
        <f>IFERROR(__xludf.DUMMYFUNCTION("""COMPUTED_VALUE"""),"GA09601-CA")</f>
        <v>GA09601-CA</v>
      </c>
      <c r="B116" s="182" t="str">
        <f>IFERROR(__xludf.DUMMYFUNCTION("""COMPUTED_VALUE"""),"SKU,CLR1, GOOD, SUB6, CA/TW/SG/AU/MY/MX, BZ5")</f>
        <v>SKU,CLR1, GOOD, SUB6, CA/TW/SG/AU/MY/MX, BZ5</v>
      </c>
      <c r="C116" s="182" t="str">
        <f>IFERROR(__xludf.DUMMYFUNCTION("""COMPUTED_VALUE"""),"GOOD")</f>
        <v>GOOD</v>
      </c>
      <c r="D116" s="182" t="str">
        <f>IFERROR(__xludf.DUMMYFUNCTION("""COMPUTED_VALUE"""),"CLR1")</f>
        <v>CLR1</v>
      </c>
      <c r="E116" s="182" t="str">
        <f>IFERROR(__xludf.DUMMYFUNCTION("""COMPUTED_VALUE"""),"Midnight")</f>
        <v>Midnight</v>
      </c>
      <c r="F116" s="182" t="str">
        <f>IFERROR(__xludf.DUMMYFUNCTION("""COMPUTED_VALUE"""),"128GB")</f>
        <v>128GB</v>
      </c>
      <c r="G116" s="182" t="str">
        <f>IFERROR(__xludf.DUMMYFUNCTION("""COMPUTED_VALUE"""),"CA/TW/SG/AU/MY/MX")</f>
        <v>CA/TW/SG/AU/MY/MX</v>
      </c>
      <c r="H116" s="168">
        <f>IFERROR(__xludf.DUMMYFUNCTION("""COMPUTED_VALUE"""),8.40353925953E11)</f>
        <v>840353925953</v>
      </c>
      <c r="I116" s="185" t="str">
        <f>IFERROR(__xludf.DUMMYFUNCTION("""COMPUTED_VALUE"""),"0840353925953")</f>
        <v>0840353925953</v>
      </c>
      <c r="J116" s="182" t="str">
        <f>IFERROR(__xludf.DUMMYFUNCTION("""COMPUTED_VALUE"""),"#N/A")</f>
        <v>#N/A</v>
      </c>
      <c r="K116" s="182" t="str">
        <f>IFERROR(__xludf.DUMMYFUNCTION("""COMPUTED_VALUE"""),"GEHN3")</f>
        <v>GEHN3</v>
      </c>
      <c r="L116" s="182" t="str">
        <f>IFERROR(__xludf.DUMMYFUNCTION("""COMPUTED_VALUE"""),"ROW")</f>
        <v>ROW</v>
      </c>
    </row>
    <row r="117">
      <c r="A117" s="182" t="str">
        <f>IFERROR(__xludf.DUMMYFUNCTION("""COMPUTED_VALUE"""),"GA10312-CA")</f>
        <v>GA10312-CA</v>
      </c>
      <c r="B117" s="182" t="str">
        <f>IFERROR(__xludf.DUMMYFUNCTION("""COMPUTED_VALUE"""),"SKU,CLR2, GOOD, SUB6, CA/TW/SG/AU/MY/MX, BZ5")</f>
        <v>SKU,CLR2, GOOD, SUB6, CA/TW/SG/AU/MY/MX, BZ5</v>
      </c>
      <c r="C117" s="182" t="str">
        <f>IFERROR(__xludf.DUMMYFUNCTION("""COMPUTED_VALUE"""),"GOOD")</f>
        <v>GOOD</v>
      </c>
      <c r="D117" s="182" t="str">
        <f>IFERROR(__xludf.DUMMYFUNCTION("""COMPUTED_VALUE"""),"CLR2")</f>
        <v>CLR2</v>
      </c>
      <c r="E117" s="182" t="str">
        <f>IFERROR(__xludf.DUMMYFUNCTION("""COMPUTED_VALUE"""),"Light Porcelain")</f>
        <v>Light Porcelain</v>
      </c>
      <c r="F117" s="182" t="str">
        <f>IFERROR(__xludf.DUMMYFUNCTION("""COMPUTED_VALUE"""),"128GB")</f>
        <v>128GB</v>
      </c>
      <c r="G117" s="182" t="str">
        <f>IFERROR(__xludf.DUMMYFUNCTION("""COMPUTED_VALUE"""),"CA/TW/SG/AU/MY/MX")</f>
        <v>CA/TW/SG/AU/MY/MX</v>
      </c>
      <c r="H117" s="168">
        <f>IFERROR(__xludf.DUMMYFUNCTION("""COMPUTED_VALUE"""),8.40353926028E11)</f>
        <v>840353926028</v>
      </c>
      <c r="I117" s="185" t="str">
        <f>IFERROR(__xludf.DUMMYFUNCTION("""COMPUTED_VALUE"""),"0840353926028")</f>
        <v>0840353926028</v>
      </c>
      <c r="J117" s="182" t="str">
        <f>IFERROR(__xludf.DUMMYFUNCTION("""COMPUTED_VALUE"""),"#N/A")</f>
        <v>#N/A</v>
      </c>
      <c r="K117" s="182" t="str">
        <f>IFERROR(__xludf.DUMMYFUNCTION("""COMPUTED_VALUE"""),"GEHN3")</f>
        <v>GEHN3</v>
      </c>
      <c r="L117" s="182" t="str">
        <f>IFERROR(__xludf.DUMMYFUNCTION("""COMPUTED_VALUE"""),"ROW")</f>
        <v>ROW</v>
      </c>
    </row>
    <row r="118">
      <c r="A118" s="182" t="str">
        <f>IFERROR(__xludf.DUMMYFUNCTION("""COMPUTED_VALUE"""),"GA10313-CA")</f>
        <v>GA10313-CA</v>
      </c>
      <c r="B118" s="182" t="str">
        <f>IFERROR(__xludf.DUMMYFUNCTION("""COMPUTED_VALUE"""),"SKU,CLR3, GOOD, SUB6, CA/TW/SG/AU/MY/MX, BZ5")</f>
        <v>SKU,CLR3, GOOD, SUB6, CA/TW/SG/AU/MY/MX, BZ5</v>
      </c>
      <c r="C118" s="182" t="str">
        <f>IFERROR(__xludf.DUMMYFUNCTION("""COMPUTED_VALUE"""),"GOOD")</f>
        <v>GOOD</v>
      </c>
      <c r="D118" s="182" t="str">
        <f>IFERROR(__xludf.DUMMYFUNCTION("""COMPUTED_VALUE"""),"CLR3")</f>
        <v>CLR3</v>
      </c>
      <c r="E118" s="182" t="str">
        <f>IFERROR(__xludf.DUMMYFUNCTION("""COMPUTED_VALUE"""),"Sterling")</f>
        <v>Sterling</v>
      </c>
      <c r="F118" s="182" t="str">
        <f>IFERROR(__xludf.DUMMYFUNCTION("""COMPUTED_VALUE"""),"128GB")</f>
        <v>128GB</v>
      </c>
      <c r="G118" s="182" t="str">
        <f>IFERROR(__xludf.DUMMYFUNCTION("""COMPUTED_VALUE"""),"CA/TW/SG/AU/MY/MX")</f>
        <v>CA/TW/SG/AU/MY/MX</v>
      </c>
      <c r="H118" s="168">
        <f>IFERROR(__xludf.DUMMYFUNCTION("""COMPUTED_VALUE"""),8.40353925991E11)</f>
        <v>840353925991</v>
      </c>
      <c r="I118" s="185" t="str">
        <f>IFERROR(__xludf.DUMMYFUNCTION("""COMPUTED_VALUE"""),"0840353925991")</f>
        <v>0840353925991</v>
      </c>
      <c r="J118" s="182" t="str">
        <f>IFERROR(__xludf.DUMMYFUNCTION("""COMPUTED_VALUE"""),"#N/A")</f>
        <v>#N/A</v>
      </c>
      <c r="K118" s="182" t="str">
        <f>IFERROR(__xludf.DUMMYFUNCTION("""COMPUTED_VALUE"""),"GEHN3")</f>
        <v>GEHN3</v>
      </c>
      <c r="L118" s="182" t="str">
        <f>IFERROR(__xludf.DUMMYFUNCTION("""COMPUTED_VALUE"""),"ROW")</f>
        <v>ROW</v>
      </c>
    </row>
    <row r="119">
      <c r="A119" s="182" t="str">
        <f>IFERROR(__xludf.DUMMYFUNCTION("""COMPUTED_VALUE"""),"GA09900-CA")</f>
        <v>GA09900-CA</v>
      </c>
      <c r="B119" s="182" t="str">
        <f>IFERROR(__xludf.DUMMYFUNCTION("""COMPUTED_VALUE"""),"SKU,CLR1, BETTER, SUB6, CA/TW/SG/AU/MY/MX, BZ5")</f>
        <v>SKU,CLR1, BETTER, SUB6, CA/TW/SG/AU/MY/MX, BZ5</v>
      </c>
      <c r="C119" s="182" t="str">
        <f>IFERROR(__xludf.DUMMYFUNCTION("""COMPUTED_VALUE"""),"BETTER")</f>
        <v>BETTER</v>
      </c>
      <c r="D119" s="182" t="str">
        <f>IFERROR(__xludf.DUMMYFUNCTION("""COMPUTED_VALUE"""),"CLR1")</f>
        <v>CLR1</v>
      </c>
      <c r="E119" s="182" t="str">
        <f>IFERROR(__xludf.DUMMYFUNCTION("""COMPUTED_VALUE"""),"Midnight")</f>
        <v>Midnight</v>
      </c>
      <c r="F119" s="182" t="str">
        <f>IFERROR(__xludf.DUMMYFUNCTION("""COMPUTED_VALUE"""),"256GB")</f>
        <v>256GB</v>
      </c>
      <c r="G119" s="182" t="str">
        <f>IFERROR(__xludf.DUMMYFUNCTION("""COMPUTED_VALUE"""),"CA/TW/SG/AU/MY/MX")</f>
        <v>CA/TW/SG/AU/MY/MX</v>
      </c>
      <c r="H119" s="168">
        <f>IFERROR(__xludf.DUMMYFUNCTION("""COMPUTED_VALUE"""),8.40353925397E11)</f>
        <v>840353925397</v>
      </c>
      <c r="I119" s="185" t="str">
        <f>IFERROR(__xludf.DUMMYFUNCTION("""COMPUTED_VALUE"""),"0840353925397")</f>
        <v>0840353925397</v>
      </c>
      <c r="J119" s="182" t="str">
        <f>IFERROR(__xludf.DUMMYFUNCTION("""COMPUTED_VALUE"""),"#N/A")</f>
        <v>#N/A</v>
      </c>
      <c r="K119" s="182" t="str">
        <f>IFERROR(__xludf.DUMMYFUNCTION("""COMPUTED_VALUE"""),"GEHN3")</f>
        <v>GEHN3</v>
      </c>
      <c r="L119" s="182" t="str">
        <f>IFERROR(__xludf.DUMMYFUNCTION("""COMPUTED_VALUE"""),"ROW")</f>
        <v>ROW</v>
      </c>
    </row>
    <row r="120">
      <c r="A120" s="182" t="str">
        <f>IFERROR(__xludf.DUMMYFUNCTION("""COMPUTED_VALUE"""),"GA10314-CA")</f>
        <v>GA10314-CA</v>
      </c>
      <c r="B120" s="182" t="str">
        <f>IFERROR(__xludf.DUMMYFUNCTION("""COMPUTED_VALUE"""),"SKU,CLR2, BETTER, SUB6, CA/TW/SG/AU/MY/MX, BZ5")</f>
        <v>SKU,CLR2, BETTER, SUB6, CA/TW/SG/AU/MY/MX, BZ5</v>
      </c>
      <c r="C120" s="182" t="str">
        <f>IFERROR(__xludf.DUMMYFUNCTION("""COMPUTED_VALUE"""),"BETTER")</f>
        <v>BETTER</v>
      </c>
      <c r="D120" s="182" t="str">
        <f>IFERROR(__xludf.DUMMYFUNCTION("""COMPUTED_VALUE"""),"CLR2")</f>
        <v>CLR2</v>
      </c>
      <c r="E120" s="182" t="str">
        <f>IFERROR(__xludf.DUMMYFUNCTION("""COMPUTED_VALUE"""),"Light Porcelain")</f>
        <v>Light Porcelain</v>
      </c>
      <c r="F120" s="182" t="str">
        <f>IFERROR(__xludf.DUMMYFUNCTION("""COMPUTED_VALUE"""),"256GB")</f>
        <v>256GB</v>
      </c>
      <c r="G120" s="182" t="str">
        <f>IFERROR(__xludf.DUMMYFUNCTION("""COMPUTED_VALUE"""),"CA/TW/SG/AU/MY/MX")</f>
        <v>CA/TW/SG/AU/MY/MX</v>
      </c>
      <c r="H120" s="168">
        <f>IFERROR(__xludf.DUMMYFUNCTION("""COMPUTED_VALUE"""),8.40353925427E11)</f>
        <v>840353925427</v>
      </c>
      <c r="I120" s="185" t="str">
        <f>IFERROR(__xludf.DUMMYFUNCTION("""COMPUTED_VALUE"""),"0840353925427")</f>
        <v>0840353925427</v>
      </c>
      <c r="J120" s="182" t="str">
        <f>IFERROR(__xludf.DUMMYFUNCTION("""COMPUTED_VALUE"""),"#N/A")</f>
        <v>#N/A</v>
      </c>
      <c r="K120" s="182" t="str">
        <f>IFERROR(__xludf.DUMMYFUNCTION("""COMPUTED_VALUE"""),"GEHN3")</f>
        <v>GEHN3</v>
      </c>
      <c r="L120" s="182" t="str">
        <f>IFERROR(__xludf.DUMMYFUNCTION("""COMPUTED_VALUE"""),"ROW")</f>
        <v>ROW</v>
      </c>
    </row>
    <row r="121">
      <c r="A121" s="182" t="str">
        <f>IFERROR(__xludf.DUMMYFUNCTION("""COMPUTED_VALUE"""),"GA10315-CA")</f>
        <v>GA10315-CA</v>
      </c>
      <c r="B121" s="182" t="str">
        <f>IFERROR(__xludf.DUMMYFUNCTION("""COMPUTED_VALUE"""),"SKU,CLR3, BETTER, SUB6, CA/TW/SG/AU/MY/MX, BZ5")</f>
        <v>SKU,CLR3, BETTER, SUB6, CA/TW/SG/AU/MY/MX, BZ5</v>
      </c>
      <c r="C121" s="182" t="str">
        <f>IFERROR(__xludf.DUMMYFUNCTION("""COMPUTED_VALUE"""),"BETTER")</f>
        <v>BETTER</v>
      </c>
      <c r="D121" s="182" t="str">
        <f>IFERROR(__xludf.DUMMYFUNCTION("""COMPUTED_VALUE"""),"CLR3")</f>
        <v>CLR3</v>
      </c>
      <c r="E121" s="182" t="str">
        <f>IFERROR(__xludf.DUMMYFUNCTION("""COMPUTED_VALUE"""),"Sterling")</f>
        <v>Sterling</v>
      </c>
      <c r="F121" s="182" t="str">
        <f>IFERROR(__xludf.DUMMYFUNCTION("""COMPUTED_VALUE"""),"256GB")</f>
        <v>256GB</v>
      </c>
      <c r="G121" s="182" t="str">
        <f>IFERROR(__xludf.DUMMYFUNCTION("""COMPUTED_VALUE"""),"CA/TW/SG/AU/MY/MX")</f>
        <v>CA/TW/SG/AU/MY/MX</v>
      </c>
      <c r="H121" s="168">
        <f>IFERROR(__xludf.DUMMYFUNCTION("""COMPUTED_VALUE"""),8.40353925458E11)</f>
        <v>840353925458</v>
      </c>
      <c r="I121" s="185" t="str">
        <f>IFERROR(__xludf.DUMMYFUNCTION("""COMPUTED_VALUE"""),"0840353925458")</f>
        <v>0840353925458</v>
      </c>
      <c r="J121" s="182" t="str">
        <f>IFERROR(__xludf.DUMMYFUNCTION("""COMPUTED_VALUE"""),"#N/A")</f>
        <v>#N/A</v>
      </c>
      <c r="K121" s="182" t="str">
        <f>IFERROR(__xludf.DUMMYFUNCTION("""COMPUTED_VALUE"""),"GEHN3")</f>
        <v>GEHN3</v>
      </c>
      <c r="L121" s="182" t="str">
        <f>IFERROR(__xludf.DUMMYFUNCTION("""COMPUTED_VALUE"""),"ROW")</f>
        <v>ROW</v>
      </c>
    </row>
    <row r="122">
      <c r="A122" s="182" t="str">
        <f>IFERROR(__xludf.DUMMYFUNCTION("""COMPUTED_VALUE"""),"GA10316-CA")</f>
        <v>GA10316-CA</v>
      </c>
      <c r="B122" s="182" t="str">
        <f>IFERROR(__xludf.DUMMYFUNCTION("""COMPUTED_VALUE"""),"SKU,CLR4, BETTER, SUB6, CA/TW/SG/AU/MY/MX, BZ5")</f>
        <v>SKU,CLR4, BETTER, SUB6, CA/TW/SG/AU/MY/MX, BZ5</v>
      </c>
      <c r="C122" s="182" t="str">
        <f>IFERROR(__xludf.DUMMYFUNCTION("""COMPUTED_VALUE"""),"BETTER")</f>
        <v>BETTER</v>
      </c>
      <c r="D122" s="182" t="str">
        <f>IFERROR(__xludf.DUMMYFUNCTION("""COMPUTED_VALUE"""),"CLR4")</f>
        <v>CLR4</v>
      </c>
      <c r="E122" s="182" t="str">
        <f>IFERROR(__xludf.DUMMYFUNCTION("""COMPUTED_VALUE"""),"Smokey Green")</f>
        <v>Smokey Green</v>
      </c>
      <c r="F122" s="182" t="str">
        <f>IFERROR(__xludf.DUMMYFUNCTION("""COMPUTED_VALUE"""),"256GB")</f>
        <v>256GB</v>
      </c>
      <c r="G122" s="182" t="str">
        <f>IFERROR(__xludf.DUMMYFUNCTION("""COMPUTED_VALUE"""),"CA/TW/SG/AU/MY/MX")</f>
        <v>CA/TW/SG/AU/MY/MX</v>
      </c>
      <c r="H122" s="168">
        <f>IFERROR(__xludf.DUMMYFUNCTION("""COMPUTED_VALUE"""),8.40353925496E11)</f>
        <v>840353925496</v>
      </c>
      <c r="I122" s="185" t="str">
        <f>IFERROR(__xludf.DUMMYFUNCTION("""COMPUTED_VALUE"""),"0840353925496")</f>
        <v>0840353925496</v>
      </c>
      <c r="J122" s="182" t="str">
        <f>IFERROR(__xludf.DUMMYFUNCTION("""COMPUTED_VALUE"""),"#N/A")</f>
        <v>#N/A</v>
      </c>
      <c r="K122" s="182" t="str">
        <f>IFERROR(__xludf.DUMMYFUNCTION("""COMPUTED_VALUE"""),"GEHN3")</f>
        <v>GEHN3</v>
      </c>
      <c r="L122" s="182" t="str">
        <f>IFERROR(__xludf.DUMMYFUNCTION("""COMPUTED_VALUE"""),"ROW")</f>
        <v>ROW</v>
      </c>
    </row>
    <row r="123">
      <c r="A123" s="182" t="str">
        <f>IFERROR(__xludf.DUMMYFUNCTION("""COMPUTED_VALUE"""),"GA09909-CA")</f>
        <v>GA09909-CA</v>
      </c>
      <c r="B123" s="182" t="str">
        <f>IFERROR(__xludf.DUMMYFUNCTION("""COMPUTED_VALUE"""),"SKU,CLR1, BEST, SUB6, CA/TW/SG/AU/MY/MX, BZ5")</f>
        <v>SKU,CLR1, BEST, SUB6, CA/TW/SG/AU/MY/MX, BZ5</v>
      </c>
      <c r="C123" s="182" t="str">
        <f>IFERROR(__xludf.DUMMYFUNCTION("""COMPUTED_VALUE"""),"BEST")</f>
        <v>BEST</v>
      </c>
      <c r="D123" s="182" t="str">
        <f>IFERROR(__xludf.DUMMYFUNCTION("""COMPUTED_VALUE"""),"CLR1")</f>
        <v>CLR1</v>
      </c>
      <c r="E123" s="182" t="str">
        <f>IFERROR(__xludf.DUMMYFUNCTION("""COMPUTED_VALUE"""),"Midnight")</f>
        <v>Midnight</v>
      </c>
      <c r="F123" s="182" t="str">
        <f>IFERROR(__xludf.DUMMYFUNCTION("""COMPUTED_VALUE"""),"512GB")</f>
        <v>512GB</v>
      </c>
      <c r="G123" s="182" t="str">
        <f>IFERROR(__xludf.DUMMYFUNCTION("""COMPUTED_VALUE"""),"CA/TW/SG/AU/MY/MX")</f>
        <v>CA/TW/SG/AU/MY/MX</v>
      </c>
      <c r="H123" s="168">
        <f>IFERROR(__xludf.DUMMYFUNCTION("""COMPUTED_VALUE"""),8.40353925564E11)</f>
        <v>840353925564</v>
      </c>
      <c r="I123" s="185" t="str">
        <f>IFERROR(__xludf.DUMMYFUNCTION("""COMPUTED_VALUE"""),"0840353925564")</f>
        <v>0840353925564</v>
      </c>
      <c r="J123" s="182" t="str">
        <f>IFERROR(__xludf.DUMMYFUNCTION("""COMPUTED_VALUE"""),"#N/A")</f>
        <v>#N/A</v>
      </c>
      <c r="K123" s="182" t="str">
        <f>IFERROR(__xludf.DUMMYFUNCTION("""COMPUTED_VALUE"""),"GEHN3")</f>
        <v>GEHN3</v>
      </c>
      <c r="L123" s="182" t="str">
        <f>IFERROR(__xludf.DUMMYFUNCTION("""COMPUTED_VALUE"""),"ROW")</f>
        <v>ROW</v>
      </c>
    </row>
    <row r="124">
      <c r="A124" s="182" t="str">
        <f>IFERROR(__xludf.DUMMYFUNCTION("""COMPUTED_VALUE"""),"GA10317-CA")</f>
        <v>GA10317-CA</v>
      </c>
      <c r="B124" s="182" t="str">
        <f>IFERROR(__xludf.DUMMYFUNCTION("""COMPUTED_VALUE"""),"SKU,CLR2, BEST, SUB6, CA/TW/SG/AU/MY/MX, BZ5")</f>
        <v>SKU,CLR2, BEST, SUB6, CA/TW/SG/AU/MY/MX, BZ5</v>
      </c>
      <c r="C124" s="182" t="str">
        <f>IFERROR(__xludf.DUMMYFUNCTION("""COMPUTED_VALUE"""),"BEST")</f>
        <v>BEST</v>
      </c>
      <c r="D124" s="182" t="str">
        <f>IFERROR(__xludf.DUMMYFUNCTION("""COMPUTED_VALUE"""),"CLR2")</f>
        <v>CLR2</v>
      </c>
      <c r="E124" s="182" t="str">
        <f>IFERROR(__xludf.DUMMYFUNCTION("""COMPUTED_VALUE"""),"Light Porcelain")</f>
        <v>Light Porcelain</v>
      </c>
      <c r="F124" s="182" t="str">
        <f>IFERROR(__xludf.DUMMYFUNCTION("""COMPUTED_VALUE"""),"512GB")</f>
        <v>512GB</v>
      </c>
      <c r="G124" s="182" t="str">
        <f>IFERROR(__xludf.DUMMYFUNCTION("""COMPUTED_VALUE"""),"CA/TW/SG/AU/MY/MX")</f>
        <v>CA/TW/SG/AU/MY/MX</v>
      </c>
      <c r="H124" s="168">
        <f>IFERROR(__xludf.DUMMYFUNCTION("""COMPUTED_VALUE"""),8.40353925595E11)</f>
        <v>840353925595</v>
      </c>
      <c r="I124" s="185" t="str">
        <f>IFERROR(__xludf.DUMMYFUNCTION("""COMPUTED_VALUE"""),"0840353925595")</f>
        <v>0840353925595</v>
      </c>
      <c r="J124" s="182" t="str">
        <f>IFERROR(__xludf.DUMMYFUNCTION("""COMPUTED_VALUE"""),"#N/A")</f>
        <v>#N/A</v>
      </c>
      <c r="K124" s="182" t="str">
        <f>IFERROR(__xludf.DUMMYFUNCTION("""COMPUTED_VALUE"""),"GEHN3")</f>
        <v>GEHN3</v>
      </c>
      <c r="L124" s="182" t="str">
        <f>IFERROR(__xludf.DUMMYFUNCTION("""COMPUTED_VALUE"""),"ROW")</f>
        <v>ROW</v>
      </c>
    </row>
    <row r="125">
      <c r="A125" s="182" t="str">
        <f>IFERROR(__xludf.DUMMYFUNCTION("""COMPUTED_VALUE"""),"GA10318-CA")</f>
        <v>GA10318-CA</v>
      </c>
      <c r="B125" s="182" t="str">
        <f>IFERROR(__xludf.DUMMYFUNCTION("""COMPUTED_VALUE"""),"SKU,CLR3, BEST, SUB6, CA/TW/SG/AU/MY/MX, BZ5")</f>
        <v>SKU,CLR3, BEST, SUB6, CA/TW/SG/AU/MY/MX, BZ5</v>
      </c>
      <c r="C125" s="182" t="str">
        <f>IFERROR(__xludf.DUMMYFUNCTION("""COMPUTED_VALUE"""),"BEST")</f>
        <v>BEST</v>
      </c>
      <c r="D125" s="182" t="str">
        <f>IFERROR(__xludf.DUMMYFUNCTION("""COMPUTED_VALUE"""),"CLR3")</f>
        <v>CLR3</v>
      </c>
      <c r="E125" s="182" t="str">
        <f>IFERROR(__xludf.DUMMYFUNCTION("""COMPUTED_VALUE"""),"Sterling")</f>
        <v>Sterling</v>
      </c>
      <c r="F125" s="182" t="str">
        <f>IFERROR(__xludf.DUMMYFUNCTION("""COMPUTED_VALUE"""),"512GB")</f>
        <v>512GB</v>
      </c>
      <c r="G125" s="182" t="str">
        <f>IFERROR(__xludf.DUMMYFUNCTION("""COMPUTED_VALUE"""),"CA/TW/SG/AU/MY/MX")</f>
        <v>CA/TW/SG/AU/MY/MX</v>
      </c>
      <c r="H125" s="168">
        <f>IFERROR(__xludf.DUMMYFUNCTION("""COMPUTED_VALUE"""),8.40353925663E11)</f>
        <v>840353925663</v>
      </c>
      <c r="I125" s="185" t="str">
        <f>IFERROR(__xludf.DUMMYFUNCTION("""COMPUTED_VALUE"""),"0840353925663")</f>
        <v>0840353925663</v>
      </c>
      <c r="J125" s="182" t="str">
        <f>IFERROR(__xludf.DUMMYFUNCTION("""COMPUTED_VALUE"""),"#N/A")</f>
        <v>#N/A</v>
      </c>
      <c r="K125" s="182" t="str">
        <f>IFERROR(__xludf.DUMMYFUNCTION("""COMPUTED_VALUE"""),"GEHN3")</f>
        <v>GEHN3</v>
      </c>
      <c r="L125" s="182" t="str">
        <f>IFERROR(__xludf.DUMMYFUNCTION("""COMPUTED_VALUE"""),"ROW")</f>
        <v>ROW</v>
      </c>
    </row>
    <row r="126">
      <c r="A126" s="182" t="str">
        <f>IFERROR(__xludf.DUMMYFUNCTION("""COMPUTED_VALUE"""),"GA10319-CA")</f>
        <v>GA10319-CA</v>
      </c>
      <c r="B126" s="182" t="str">
        <f>IFERROR(__xludf.DUMMYFUNCTION("""COMPUTED_VALUE"""),"SKU,CLR4, BEST, SUB6, CA/TW/SG/AU/MY/MX, BZ5")</f>
        <v>SKU,CLR4, BEST, SUB6, CA/TW/SG/AU/MY/MX, BZ5</v>
      </c>
      <c r="C126" s="182" t="str">
        <f>IFERROR(__xludf.DUMMYFUNCTION("""COMPUTED_VALUE"""),"BEST")</f>
        <v>BEST</v>
      </c>
      <c r="D126" s="182" t="str">
        <f>IFERROR(__xludf.DUMMYFUNCTION("""COMPUTED_VALUE"""),"CLR4")</f>
        <v>CLR4</v>
      </c>
      <c r="E126" s="182" t="str">
        <f>IFERROR(__xludf.DUMMYFUNCTION("""COMPUTED_VALUE"""),"Smokey Green")</f>
        <v>Smokey Green</v>
      </c>
      <c r="F126" s="182" t="str">
        <f>IFERROR(__xludf.DUMMYFUNCTION("""COMPUTED_VALUE"""),"512GB")</f>
        <v>512GB</v>
      </c>
      <c r="G126" s="182" t="str">
        <f>IFERROR(__xludf.DUMMYFUNCTION("""COMPUTED_VALUE"""),"CA/TW/SG/AU/MY/MX")</f>
        <v>CA/TW/SG/AU/MY/MX</v>
      </c>
      <c r="H126" s="168">
        <f>IFERROR(__xludf.DUMMYFUNCTION("""COMPUTED_VALUE"""),8.40353925656E11)</f>
        <v>840353925656</v>
      </c>
      <c r="I126" s="185" t="str">
        <f>IFERROR(__xludf.DUMMYFUNCTION("""COMPUTED_VALUE"""),"0840353925656")</f>
        <v>0840353925656</v>
      </c>
      <c r="J126" s="182" t="str">
        <f>IFERROR(__xludf.DUMMYFUNCTION("""COMPUTED_VALUE"""),"#N/A")</f>
        <v>#N/A</v>
      </c>
      <c r="K126" s="182" t="str">
        <f>IFERROR(__xludf.DUMMYFUNCTION("""COMPUTED_VALUE"""),"GEHN3")</f>
        <v>GEHN3</v>
      </c>
      <c r="L126" s="182" t="str">
        <f>IFERROR(__xludf.DUMMYFUNCTION("""COMPUTED_VALUE"""),"ROW")</f>
        <v>ROW</v>
      </c>
    </row>
    <row r="127">
      <c r="A127" s="182" t="str">
        <f>IFERROR(__xludf.DUMMYFUNCTION("""COMPUTED_VALUE"""),"GA09934-CA")</f>
        <v>GA09934-CA</v>
      </c>
      <c r="B127" s="182" t="str">
        <f>IFERROR(__xludf.DUMMYFUNCTION("""COMPUTED_VALUE"""),"SKU,CLR1, ULTRA, SUB6, CA/TW/SG/AU/MY/MX, BZ5")</f>
        <v>SKU,CLR1, ULTRA, SUB6, CA/TW/SG/AU/MY/MX, BZ5</v>
      </c>
      <c r="C127" s="182" t="str">
        <f>IFERROR(__xludf.DUMMYFUNCTION("""COMPUTED_VALUE"""),"ULTRA")</f>
        <v>ULTRA</v>
      </c>
      <c r="D127" s="182" t="str">
        <f>IFERROR(__xludf.DUMMYFUNCTION("""COMPUTED_VALUE"""),"CLR1")</f>
        <v>CLR1</v>
      </c>
      <c r="E127" s="182" t="str">
        <f>IFERROR(__xludf.DUMMYFUNCTION("""COMPUTED_VALUE"""),"Midnight")</f>
        <v>Midnight</v>
      </c>
      <c r="F127" s="182" t="str">
        <f>IFERROR(__xludf.DUMMYFUNCTION("""COMPUTED_VALUE"""),"1TB")</f>
        <v>1TB</v>
      </c>
      <c r="G127" s="182" t="str">
        <f>IFERROR(__xludf.DUMMYFUNCTION("""COMPUTED_VALUE"""),"CA/TW/SG/AU/MY/MX")</f>
        <v>CA/TW/SG/AU/MY/MX</v>
      </c>
      <c r="H127" s="168">
        <f>IFERROR(__xludf.DUMMYFUNCTION("""COMPUTED_VALUE"""),8.40353925779E11)</f>
        <v>840353925779</v>
      </c>
      <c r="I127" s="185" t="str">
        <f>IFERROR(__xludf.DUMMYFUNCTION("""COMPUTED_VALUE"""),"0840353925779")</f>
        <v>0840353925779</v>
      </c>
      <c r="J127" s="182" t="str">
        <f>IFERROR(__xludf.DUMMYFUNCTION("""COMPUTED_VALUE"""),"#N/A")</f>
        <v>#N/A</v>
      </c>
      <c r="K127" s="182" t="str">
        <f>IFERROR(__xludf.DUMMYFUNCTION("""COMPUTED_VALUE"""),"GEHN3")</f>
        <v>GEHN3</v>
      </c>
      <c r="L127" s="182" t="str">
        <f>IFERROR(__xludf.DUMMYFUNCTION("""COMPUTED_VALUE"""),"ROW")</f>
        <v>ROW</v>
      </c>
    </row>
    <row r="128">
      <c r="A128" s="182" t="str">
        <f>IFERROR(__xludf.DUMMYFUNCTION("""COMPUTED_VALUE"""),"GA10320-CA")</f>
        <v>GA10320-CA</v>
      </c>
      <c r="B128" s="182" t="str">
        <f>IFERROR(__xludf.DUMMYFUNCTION("""COMPUTED_VALUE"""),"SKU,CLR3, ULTRA, SUB6, CA/TW/SG/AU/MY/MX, BZ5")</f>
        <v>SKU,CLR3, ULTRA, SUB6, CA/TW/SG/AU/MY/MX, BZ5</v>
      </c>
      <c r="C128" s="182" t="str">
        <f>IFERROR(__xludf.DUMMYFUNCTION("""COMPUTED_VALUE"""),"ULTRA")</f>
        <v>ULTRA</v>
      </c>
      <c r="D128" s="182" t="str">
        <f>IFERROR(__xludf.DUMMYFUNCTION("""COMPUTED_VALUE"""),"CLR3")</f>
        <v>CLR3</v>
      </c>
      <c r="E128" s="182" t="str">
        <f>IFERROR(__xludf.DUMMYFUNCTION("""COMPUTED_VALUE"""),"Sterling")</f>
        <v>Sterling</v>
      </c>
      <c r="F128" s="182" t="str">
        <f>IFERROR(__xludf.DUMMYFUNCTION("""COMPUTED_VALUE"""),"1TB")</f>
        <v>1TB</v>
      </c>
      <c r="G128" s="182" t="str">
        <f>IFERROR(__xludf.DUMMYFUNCTION("""COMPUTED_VALUE"""),"CA/TW/SG/AU/MY/MX")</f>
        <v>CA/TW/SG/AU/MY/MX</v>
      </c>
      <c r="H128" s="168">
        <f>IFERROR(__xludf.DUMMYFUNCTION("""COMPUTED_VALUE"""),8.40353925786E11)</f>
        <v>840353925786</v>
      </c>
      <c r="I128" s="185" t="str">
        <f>IFERROR(__xludf.DUMMYFUNCTION("""COMPUTED_VALUE"""),"0840353925786")</f>
        <v>0840353925786</v>
      </c>
      <c r="J128" s="182" t="str">
        <f>IFERROR(__xludf.DUMMYFUNCTION("""COMPUTED_VALUE"""),"#N/A")</f>
        <v>#N/A</v>
      </c>
      <c r="K128" s="182" t="str">
        <f>IFERROR(__xludf.DUMMYFUNCTION("""COMPUTED_VALUE"""),"GEHN3")</f>
        <v>GEHN3</v>
      </c>
      <c r="L128" s="182" t="str">
        <f>IFERROR(__xludf.DUMMYFUNCTION("""COMPUTED_VALUE"""),"ROW")</f>
        <v>ROW</v>
      </c>
    </row>
    <row r="129">
      <c r="A129" s="182" t="str">
        <f>IFERROR(__xludf.DUMMYFUNCTION("""COMPUTED_VALUE"""),"GA09601-GB")</f>
        <v>GA09601-GB</v>
      </c>
      <c r="B129" s="182" t="str">
        <f>IFERROR(__xludf.DUMMYFUNCTION("""COMPUTED_VALUE"""),"SKU,CLR1, GOOD, SUB6, EU/UK, BZ5")</f>
        <v>SKU,CLR1, GOOD, SUB6, EU/UK, BZ5</v>
      </c>
      <c r="C129" s="182" t="str">
        <f>IFERROR(__xludf.DUMMYFUNCTION("""COMPUTED_VALUE"""),"GOOD")</f>
        <v>GOOD</v>
      </c>
      <c r="D129" s="182" t="str">
        <f>IFERROR(__xludf.DUMMYFUNCTION("""COMPUTED_VALUE"""),"CLR1")</f>
        <v>CLR1</v>
      </c>
      <c r="E129" s="182" t="str">
        <f>IFERROR(__xludf.DUMMYFUNCTION("""COMPUTED_VALUE"""),"Midnight")</f>
        <v>Midnight</v>
      </c>
      <c r="F129" s="182" t="str">
        <f>IFERROR(__xludf.DUMMYFUNCTION("""COMPUTED_VALUE"""),"128GB")</f>
        <v>128GB</v>
      </c>
      <c r="G129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29" s="168">
        <f>IFERROR(__xludf.DUMMYFUNCTION("""COMPUTED_VALUE"""),8.40353925977E11)</f>
        <v>840353925977</v>
      </c>
      <c r="I129" s="185" t="str">
        <f>IFERROR(__xludf.DUMMYFUNCTION("""COMPUTED_VALUE"""),"0840353925977")</f>
        <v>0840353925977</v>
      </c>
      <c r="J129" s="182" t="str">
        <f>IFERROR(__xludf.DUMMYFUNCTION("""COMPUTED_VALUE"""),"#N/A")</f>
        <v>#N/A</v>
      </c>
      <c r="K129" s="182" t="str">
        <f>IFERROR(__xludf.DUMMYFUNCTION("""COMPUTED_VALUE"""),"GEHN3")</f>
        <v>GEHN3</v>
      </c>
      <c r="L129" s="182" t="str">
        <f>IFERROR(__xludf.DUMMYFUNCTION("""COMPUTED_VALUE"""),"ROW")</f>
        <v>ROW</v>
      </c>
    </row>
    <row r="130">
      <c r="A130" s="182" t="str">
        <f>IFERROR(__xludf.DUMMYFUNCTION("""COMPUTED_VALUE"""),"GA10312-GB")</f>
        <v>GA10312-GB</v>
      </c>
      <c r="B130" s="182" t="str">
        <f>IFERROR(__xludf.DUMMYFUNCTION("""COMPUTED_VALUE"""),"SKU,CLR2, GOOD, SUB6, EU/UK, BZ5")</f>
        <v>SKU,CLR2, GOOD, SUB6, EU/UK, BZ5</v>
      </c>
      <c r="C130" s="182" t="str">
        <f>IFERROR(__xludf.DUMMYFUNCTION("""COMPUTED_VALUE"""),"GOOD")</f>
        <v>GOOD</v>
      </c>
      <c r="D130" s="182" t="str">
        <f>IFERROR(__xludf.DUMMYFUNCTION("""COMPUTED_VALUE"""),"CLR2")</f>
        <v>CLR2</v>
      </c>
      <c r="E130" s="182" t="str">
        <f>IFERROR(__xludf.DUMMYFUNCTION("""COMPUTED_VALUE"""),"Light Porcelain")</f>
        <v>Light Porcelain</v>
      </c>
      <c r="F130" s="182" t="str">
        <f>IFERROR(__xludf.DUMMYFUNCTION("""COMPUTED_VALUE"""),"128GB")</f>
        <v>128GB</v>
      </c>
      <c r="G130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30" s="168">
        <f>IFERROR(__xludf.DUMMYFUNCTION("""COMPUTED_VALUE"""),8.40353926011E11)</f>
        <v>840353926011</v>
      </c>
      <c r="I130" s="185" t="str">
        <f>IFERROR(__xludf.DUMMYFUNCTION("""COMPUTED_VALUE"""),"0840353926011")</f>
        <v>0840353926011</v>
      </c>
      <c r="J130" s="182" t="str">
        <f>IFERROR(__xludf.DUMMYFUNCTION("""COMPUTED_VALUE"""),"#N/A")</f>
        <v>#N/A</v>
      </c>
      <c r="K130" s="182" t="str">
        <f>IFERROR(__xludf.DUMMYFUNCTION("""COMPUTED_VALUE"""),"GEHN3")</f>
        <v>GEHN3</v>
      </c>
      <c r="L130" s="182" t="str">
        <f>IFERROR(__xludf.DUMMYFUNCTION("""COMPUTED_VALUE"""),"ROW")</f>
        <v>ROW</v>
      </c>
    </row>
    <row r="131">
      <c r="A131" s="182" t="str">
        <f>IFERROR(__xludf.DUMMYFUNCTION("""COMPUTED_VALUE"""),"GA10313-GB")</f>
        <v>GA10313-GB</v>
      </c>
      <c r="B131" s="182" t="str">
        <f>IFERROR(__xludf.DUMMYFUNCTION("""COMPUTED_VALUE"""),"SKU,CLR3, GOOD, SUB6, EU/UK, BZ5")</f>
        <v>SKU,CLR3, GOOD, SUB6, EU/UK, BZ5</v>
      </c>
      <c r="C131" s="182" t="str">
        <f>IFERROR(__xludf.DUMMYFUNCTION("""COMPUTED_VALUE"""),"GOOD")</f>
        <v>GOOD</v>
      </c>
      <c r="D131" s="182" t="str">
        <f>IFERROR(__xludf.DUMMYFUNCTION("""COMPUTED_VALUE"""),"CLR3")</f>
        <v>CLR3</v>
      </c>
      <c r="E131" s="182" t="str">
        <f>IFERROR(__xludf.DUMMYFUNCTION("""COMPUTED_VALUE"""),"Sterling")</f>
        <v>Sterling</v>
      </c>
      <c r="F131" s="182" t="str">
        <f>IFERROR(__xludf.DUMMYFUNCTION("""COMPUTED_VALUE"""),"128GB")</f>
        <v>128GB</v>
      </c>
      <c r="G131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31" s="168">
        <f>IFERROR(__xludf.DUMMYFUNCTION("""COMPUTED_VALUE"""),8.40353926035E11)</f>
        <v>840353926035</v>
      </c>
      <c r="I131" s="185" t="str">
        <f>IFERROR(__xludf.DUMMYFUNCTION("""COMPUTED_VALUE"""),"0840353926035")</f>
        <v>0840353926035</v>
      </c>
      <c r="J131" s="182" t="str">
        <f>IFERROR(__xludf.DUMMYFUNCTION("""COMPUTED_VALUE"""),"#N/A")</f>
        <v>#N/A</v>
      </c>
      <c r="K131" s="182" t="str">
        <f>IFERROR(__xludf.DUMMYFUNCTION("""COMPUTED_VALUE"""),"GEHN3")</f>
        <v>GEHN3</v>
      </c>
      <c r="L131" s="182" t="str">
        <f>IFERROR(__xludf.DUMMYFUNCTION("""COMPUTED_VALUE"""),"ROW")</f>
        <v>ROW</v>
      </c>
    </row>
    <row r="132">
      <c r="A132" s="182" t="str">
        <f>IFERROR(__xludf.DUMMYFUNCTION("""COMPUTED_VALUE"""),"GA09900-GB")</f>
        <v>GA09900-GB</v>
      </c>
      <c r="B132" s="182" t="str">
        <f>IFERROR(__xludf.DUMMYFUNCTION("""COMPUTED_VALUE"""),"SKU,CLR1, BETTER, SUB6, EU/UK, BZ5")</f>
        <v>SKU,CLR1, BETTER, SUB6, EU/UK, BZ5</v>
      </c>
      <c r="C132" s="182" t="str">
        <f>IFERROR(__xludf.DUMMYFUNCTION("""COMPUTED_VALUE"""),"BETTER")</f>
        <v>BETTER</v>
      </c>
      <c r="D132" s="182" t="str">
        <f>IFERROR(__xludf.DUMMYFUNCTION("""COMPUTED_VALUE"""),"CLR1")</f>
        <v>CLR1</v>
      </c>
      <c r="E132" s="182" t="str">
        <f>IFERROR(__xludf.DUMMYFUNCTION("""COMPUTED_VALUE"""),"Midnight")</f>
        <v>Midnight</v>
      </c>
      <c r="F132" s="182" t="str">
        <f>IFERROR(__xludf.DUMMYFUNCTION("""COMPUTED_VALUE"""),"256GB")</f>
        <v>256GB</v>
      </c>
      <c r="G132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32" s="168">
        <f>IFERROR(__xludf.DUMMYFUNCTION("""COMPUTED_VALUE"""),8.4035392538E11)</f>
        <v>840353925380</v>
      </c>
      <c r="I132" s="185" t="str">
        <f>IFERROR(__xludf.DUMMYFUNCTION("""COMPUTED_VALUE"""),"0840353925380")</f>
        <v>0840353925380</v>
      </c>
      <c r="J132" s="182" t="str">
        <f>IFERROR(__xludf.DUMMYFUNCTION("""COMPUTED_VALUE"""),"#N/A")</f>
        <v>#N/A</v>
      </c>
      <c r="K132" s="182" t="str">
        <f>IFERROR(__xludf.DUMMYFUNCTION("""COMPUTED_VALUE"""),"GEHN3")</f>
        <v>GEHN3</v>
      </c>
      <c r="L132" s="182" t="str">
        <f>IFERROR(__xludf.DUMMYFUNCTION("""COMPUTED_VALUE"""),"ROW")</f>
        <v>ROW</v>
      </c>
    </row>
    <row r="133">
      <c r="A133" s="182" t="str">
        <f>IFERROR(__xludf.DUMMYFUNCTION("""COMPUTED_VALUE"""),"GA10314-GB")</f>
        <v>GA10314-GB</v>
      </c>
      <c r="B133" s="182" t="str">
        <f>IFERROR(__xludf.DUMMYFUNCTION("""COMPUTED_VALUE"""),"SKU,CLR2, BETTER, SUB6, EU/UK, BZ5")</f>
        <v>SKU,CLR2, BETTER, SUB6, EU/UK, BZ5</v>
      </c>
      <c r="C133" s="182" t="str">
        <f>IFERROR(__xludf.DUMMYFUNCTION("""COMPUTED_VALUE"""),"BETTER")</f>
        <v>BETTER</v>
      </c>
      <c r="D133" s="182" t="str">
        <f>IFERROR(__xludf.DUMMYFUNCTION("""COMPUTED_VALUE"""),"CLR2")</f>
        <v>CLR2</v>
      </c>
      <c r="E133" s="182" t="str">
        <f>IFERROR(__xludf.DUMMYFUNCTION("""COMPUTED_VALUE"""),"Light Porcelain")</f>
        <v>Light Porcelain</v>
      </c>
      <c r="F133" s="182" t="str">
        <f>IFERROR(__xludf.DUMMYFUNCTION("""COMPUTED_VALUE"""),"256GB")</f>
        <v>256GB</v>
      </c>
      <c r="G133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33" s="168">
        <f>IFERROR(__xludf.DUMMYFUNCTION("""COMPUTED_VALUE"""),8.40353925533E11)</f>
        <v>840353925533</v>
      </c>
      <c r="I133" s="185" t="str">
        <f>IFERROR(__xludf.DUMMYFUNCTION("""COMPUTED_VALUE"""),"0840353925533")</f>
        <v>0840353925533</v>
      </c>
      <c r="J133" s="182" t="str">
        <f>IFERROR(__xludf.DUMMYFUNCTION("""COMPUTED_VALUE"""),"#N/A")</f>
        <v>#N/A</v>
      </c>
      <c r="K133" s="182" t="str">
        <f>IFERROR(__xludf.DUMMYFUNCTION("""COMPUTED_VALUE"""),"GEHN3")</f>
        <v>GEHN3</v>
      </c>
      <c r="L133" s="182" t="str">
        <f>IFERROR(__xludf.DUMMYFUNCTION("""COMPUTED_VALUE"""),"ROW")</f>
        <v>ROW</v>
      </c>
    </row>
    <row r="134">
      <c r="A134" s="182" t="str">
        <f>IFERROR(__xludf.DUMMYFUNCTION("""COMPUTED_VALUE"""),"GA10315-GB")</f>
        <v>GA10315-GB</v>
      </c>
      <c r="B134" s="182" t="str">
        <f>IFERROR(__xludf.DUMMYFUNCTION("""COMPUTED_VALUE"""),"SKU,CLR3, BETTER, SUB6, EU/UK, BZ5")</f>
        <v>SKU,CLR3, BETTER, SUB6, EU/UK, BZ5</v>
      </c>
      <c r="C134" s="182" t="str">
        <f>IFERROR(__xludf.DUMMYFUNCTION("""COMPUTED_VALUE"""),"BETTER")</f>
        <v>BETTER</v>
      </c>
      <c r="D134" s="182" t="str">
        <f>IFERROR(__xludf.DUMMYFUNCTION("""COMPUTED_VALUE"""),"CLR3")</f>
        <v>CLR3</v>
      </c>
      <c r="E134" s="182" t="str">
        <f>IFERROR(__xludf.DUMMYFUNCTION("""COMPUTED_VALUE"""),"Sterling")</f>
        <v>Sterling</v>
      </c>
      <c r="F134" s="182" t="str">
        <f>IFERROR(__xludf.DUMMYFUNCTION("""COMPUTED_VALUE"""),"256GB")</f>
        <v>256GB</v>
      </c>
      <c r="G134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34" s="168">
        <f>IFERROR(__xludf.DUMMYFUNCTION("""COMPUTED_VALUE"""),8.40353925441E11)</f>
        <v>840353925441</v>
      </c>
      <c r="I134" s="185" t="str">
        <f>IFERROR(__xludf.DUMMYFUNCTION("""COMPUTED_VALUE"""),"0840353925441")</f>
        <v>0840353925441</v>
      </c>
      <c r="J134" s="182" t="str">
        <f>IFERROR(__xludf.DUMMYFUNCTION("""COMPUTED_VALUE"""),"#N/A")</f>
        <v>#N/A</v>
      </c>
      <c r="K134" s="182" t="str">
        <f>IFERROR(__xludf.DUMMYFUNCTION("""COMPUTED_VALUE"""),"GEHN3")</f>
        <v>GEHN3</v>
      </c>
      <c r="L134" s="182" t="str">
        <f>IFERROR(__xludf.DUMMYFUNCTION("""COMPUTED_VALUE"""),"ROW")</f>
        <v>ROW</v>
      </c>
    </row>
    <row r="135">
      <c r="A135" s="182" t="str">
        <f>IFERROR(__xludf.DUMMYFUNCTION("""COMPUTED_VALUE"""),"GA10316-GB")</f>
        <v>GA10316-GB</v>
      </c>
      <c r="B135" s="182" t="str">
        <f>IFERROR(__xludf.DUMMYFUNCTION("""COMPUTED_VALUE"""),"SKU,CLR4, BETTER, SUB6, EU/UK, BZ5")</f>
        <v>SKU,CLR4, BETTER, SUB6, EU/UK, BZ5</v>
      </c>
      <c r="C135" s="182" t="str">
        <f>IFERROR(__xludf.DUMMYFUNCTION("""COMPUTED_VALUE"""),"BETTER")</f>
        <v>BETTER</v>
      </c>
      <c r="D135" s="182" t="str">
        <f>IFERROR(__xludf.DUMMYFUNCTION("""COMPUTED_VALUE"""),"CLR4")</f>
        <v>CLR4</v>
      </c>
      <c r="E135" s="182" t="str">
        <f>IFERROR(__xludf.DUMMYFUNCTION("""COMPUTED_VALUE"""),"Smokey Green")</f>
        <v>Smokey Green</v>
      </c>
      <c r="F135" s="182" t="str">
        <f>IFERROR(__xludf.DUMMYFUNCTION("""COMPUTED_VALUE"""),"256GB")</f>
        <v>256GB</v>
      </c>
      <c r="G135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35" s="168">
        <f>IFERROR(__xludf.DUMMYFUNCTION("""COMPUTED_VALUE"""),8.40353925526E11)</f>
        <v>840353925526</v>
      </c>
      <c r="I135" s="185" t="str">
        <f>IFERROR(__xludf.DUMMYFUNCTION("""COMPUTED_VALUE"""),"0840353925526")</f>
        <v>0840353925526</v>
      </c>
      <c r="J135" s="182" t="str">
        <f>IFERROR(__xludf.DUMMYFUNCTION("""COMPUTED_VALUE"""),"#N/A")</f>
        <v>#N/A</v>
      </c>
      <c r="K135" s="182" t="str">
        <f>IFERROR(__xludf.DUMMYFUNCTION("""COMPUTED_VALUE"""),"GEHN3")</f>
        <v>GEHN3</v>
      </c>
      <c r="L135" s="182" t="str">
        <f>IFERROR(__xludf.DUMMYFUNCTION("""COMPUTED_VALUE"""),"ROW")</f>
        <v>ROW</v>
      </c>
    </row>
    <row r="136">
      <c r="A136" s="182" t="str">
        <f>IFERROR(__xludf.DUMMYFUNCTION("""COMPUTED_VALUE"""),"GA09909-GB")</f>
        <v>GA09909-GB</v>
      </c>
      <c r="B136" s="182" t="str">
        <f>IFERROR(__xludf.DUMMYFUNCTION("""COMPUTED_VALUE"""),"SKU,CLR1, BEST, SUB6, EU/UK, BZ5")</f>
        <v>SKU,CLR1, BEST, SUB6, EU/UK, BZ5</v>
      </c>
      <c r="C136" s="182" t="str">
        <f>IFERROR(__xludf.DUMMYFUNCTION("""COMPUTED_VALUE"""),"BEST")</f>
        <v>BEST</v>
      </c>
      <c r="D136" s="182" t="str">
        <f>IFERROR(__xludf.DUMMYFUNCTION("""COMPUTED_VALUE"""),"CLR1")</f>
        <v>CLR1</v>
      </c>
      <c r="E136" s="182" t="str">
        <f>IFERROR(__xludf.DUMMYFUNCTION("""COMPUTED_VALUE"""),"Midnight")</f>
        <v>Midnight</v>
      </c>
      <c r="F136" s="182" t="str">
        <f>IFERROR(__xludf.DUMMYFUNCTION("""COMPUTED_VALUE"""),"512GB")</f>
        <v>512GB</v>
      </c>
      <c r="G136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36" s="168">
        <f>IFERROR(__xludf.DUMMYFUNCTION("""COMPUTED_VALUE"""),8.4035392554E11)</f>
        <v>840353925540</v>
      </c>
      <c r="I136" s="185" t="str">
        <f>IFERROR(__xludf.DUMMYFUNCTION("""COMPUTED_VALUE"""),"0840353925540")</f>
        <v>0840353925540</v>
      </c>
      <c r="J136" s="182" t="str">
        <f>IFERROR(__xludf.DUMMYFUNCTION("""COMPUTED_VALUE"""),"#N/A")</f>
        <v>#N/A</v>
      </c>
      <c r="K136" s="182" t="str">
        <f>IFERROR(__xludf.DUMMYFUNCTION("""COMPUTED_VALUE"""),"GEHN3")</f>
        <v>GEHN3</v>
      </c>
      <c r="L136" s="182" t="str">
        <f>IFERROR(__xludf.DUMMYFUNCTION("""COMPUTED_VALUE"""),"ROW")</f>
        <v>ROW</v>
      </c>
    </row>
    <row r="137">
      <c r="A137" s="182" t="str">
        <f>IFERROR(__xludf.DUMMYFUNCTION("""COMPUTED_VALUE"""),"GA10317-GB")</f>
        <v>GA10317-GB</v>
      </c>
      <c r="B137" s="182" t="str">
        <f>IFERROR(__xludf.DUMMYFUNCTION("""COMPUTED_VALUE"""),"SKU,CLR2, BEST, SUB6, EU/UK, BZ5")</f>
        <v>SKU,CLR2, BEST, SUB6, EU/UK, BZ5</v>
      </c>
      <c r="C137" s="182" t="str">
        <f>IFERROR(__xludf.DUMMYFUNCTION("""COMPUTED_VALUE"""),"BEST")</f>
        <v>BEST</v>
      </c>
      <c r="D137" s="182" t="str">
        <f>IFERROR(__xludf.DUMMYFUNCTION("""COMPUTED_VALUE"""),"CLR2")</f>
        <v>CLR2</v>
      </c>
      <c r="E137" s="182" t="str">
        <f>IFERROR(__xludf.DUMMYFUNCTION("""COMPUTED_VALUE"""),"Light Porcelain")</f>
        <v>Light Porcelain</v>
      </c>
      <c r="F137" s="182" t="str">
        <f>IFERROR(__xludf.DUMMYFUNCTION("""COMPUTED_VALUE"""),"512GB")</f>
        <v>512GB</v>
      </c>
      <c r="G137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37" s="168">
        <f>IFERROR(__xludf.DUMMYFUNCTION("""COMPUTED_VALUE"""),8.4035392567E11)</f>
        <v>840353925670</v>
      </c>
      <c r="I137" s="185" t="str">
        <f>IFERROR(__xludf.DUMMYFUNCTION("""COMPUTED_VALUE"""),"0840353925670")</f>
        <v>0840353925670</v>
      </c>
      <c r="J137" s="182" t="str">
        <f>IFERROR(__xludf.DUMMYFUNCTION("""COMPUTED_VALUE"""),"#N/A")</f>
        <v>#N/A</v>
      </c>
      <c r="K137" s="182" t="str">
        <f>IFERROR(__xludf.DUMMYFUNCTION("""COMPUTED_VALUE"""),"GEHN3")</f>
        <v>GEHN3</v>
      </c>
      <c r="L137" s="182" t="str">
        <f>IFERROR(__xludf.DUMMYFUNCTION("""COMPUTED_VALUE"""),"ROW")</f>
        <v>ROW</v>
      </c>
    </row>
    <row r="138">
      <c r="A138" s="182" t="str">
        <f>IFERROR(__xludf.DUMMYFUNCTION("""COMPUTED_VALUE"""),"GA10318-GB")</f>
        <v>GA10318-GB</v>
      </c>
      <c r="B138" s="182" t="str">
        <f>IFERROR(__xludf.DUMMYFUNCTION("""COMPUTED_VALUE"""),"SKU,CLR3, BEST, SUB6, EU/UK, BZ5")</f>
        <v>SKU,CLR3, BEST, SUB6, EU/UK, BZ5</v>
      </c>
      <c r="C138" s="182" t="str">
        <f>IFERROR(__xludf.DUMMYFUNCTION("""COMPUTED_VALUE"""),"BEST")</f>
        <v>BEST</v>
      </c>
      <c r="D138" s="182" t="str">
        <f>IFERROR(__xludf.DUMMYFUNCTION("""COMPUTED_VALUE"""),"CLR3")</f>
        <v>CLR3</v>
      </c>
      <c r="E138" s="182" t="str">
        <f>IFERROR(__xludf.DUMMYFUNCTION("""COMPUTED_VALUE"""),"Sterling")</f>
        <v>Sterling</v>
      </c>
      <c r="F138" s="182" t="str">
        <f>IFERROR(__xludf.DUMMYFUNCTION("""COMPUTED_VALUE"""),"512GB")</f>
        <v>512GB</v>
      </c>
      <c r="G138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38" s="168">
        <f>IFERROR(__xludf.DUMMYFUNCTION("""COMPUTED_VALUE"""),8.40353925694E11)</f>
        <v>840353925694</v>
      </c>
      <c r="I138" s="185" t="str">
        <f>IFERROR(__xludf.DUMMYFUNCTION("""COMPUTED_VALUE"""),"0840353925694")</f>
        <v>0840353925694</v>
      </c>
      <c r="J138" s="182" t="str">
        <f>IFERROR(__xludf.DUMMYFUNCTION("""COMPUTED_VALUE"""),"#N/A")</f>
        <v>#N/A</v>
      </c>
      <c r="K138" s="182" t="str">
        <f>IFERROR(__xludf.DUMMYFUNCTION("""COMPUTED_VALUE"""),"GEHN3")</f>
        <v>GEHN3</v>
      </c>
      <c r="L138" s="182" t="str">
        <f>IFERROR(__xludf.DUMMYFUNCTION("""COMPUTED_VALUE"""),"ROW")</f>
        <v>ROW</v>
      </c>
    </row>
    <row r="139">
      <c r="A139" s="182" t="str">
        <f>IFERROR(__xludf.DUMMYFUNCTION("""COMPUTED_VALUE"""),"GA10319-GB")</f>
        <v>GA10319-GB</v>
      </c>
      <c r="B139" s="182" t="str">
        <f>IFERROR(__xludf.DUMMYFUNCTION("""COMPUTED_VALUE"""),"SKU,CLR4, BEST, SUB6, EU/UK, BZ5")</f>
        <v>SKU,CLR4, BEST, SUB6, EU/UK, BZ5</v>
      </c>
      <c r="C139" s="182" t="str">
        <f>IFERROR(__xludf.DUMMYFUNCTION("""COMPUTED_VALUE"""),"BEST")</f>
        <v>BEST</v>
      </c>
      <c r="D139" s="182" t="str">
        <f>IFERROR(__xludf.DUMMYFUNCTION("""COMPUTED_VALUE"""),"CLR4")</f>
        <v>CLR4</v>
      </c>
      <c r="E139" s="182" t="str">
        <f>IFERROR(__xludf.DUMMYFUNCTION("""COMPUTED_VALUE"""),"Smokey Green")</f>
        <v>Smokey Green</v>
      </c>
      <c r="F139" s="182" t="str">
        <f>IFERROR(__xludf.DUMMYFUNCTION("""COMPUTED_VALUE"""),"512GB")</f>
        <v>512GB</v>
      </c>
      <c r="G139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39" s="168">
        <f>IFERROR(__xludf.DUMMYFUNCTION("""COMPUTED_VALUE"""),8.40353925588E11)</f>
        <v>840353925588</v>
      </c>
      <c r="I139" s="185" t="str">
        <f>IFERROR(__xludf.DUMMYFUNCTION("""COMPUTED_VALUE"""),"0840353925588")</f>
        <v>0840353925588</v>
      </c>
      <c r="J139" s="182" t="str">
        <f>IFERROR(__xludf.DUMMYFUNCTION("""COMPUTED_VALUE"""),"#N/A")</f>
        <v>#N/A</v>
      </c>
      <c r="K139" s="182" t="str">
        <f>IFERROR(__xludf.DUMMYFUNCTION("""COMPUTED_VALUE"""),"GEHN3")</f>
        <v>GEHN3</v>
      </c>
      <c r="L139" s="182" t="str">
        <f>IFERROR(__xludf.DUMMYFUNCTION("""COMPUTED_VALUE"""),"ROW")</f>
        <v>ROW</v>
      </c>
    </row>
    <row r="140">
      <c r="A140" s="182" t="str">
        <f>IFERROR(__xludf.DUMMYFUNCTION("""COMPUTED_VALUE"""),"GA09934-GB")</f>
        <v>GA09934-GB</v>
      </c>
      <c r="B140" s="182" t="str">
        <f>IFERROR(__xludf.DUMMYFUNCTION("""COMPUTED_VALUE"""),"SKU,CLR1, ULTRA, SUB6, EU/UK, BZ5")</f>
        <v>SKU,CLR1, ULTRA, SUB6, EU/UK, BZ5</v>
      </c>
      <c r="C140" s="182" t="str">
        <f>IFERROR(__xludf.DUMMYFUNCTION("""COMPUTED_VALUE"""),"ULTRA")</f>
        <v>ULTRA</v>
      </c>
      <c r="D140" s="182" t="str">
        <f>IFERROR(__xludf.DUMMYFUNCTION("""COMPUTED_VALUE"""),"CLR1")</f>
        <v>CLR1</v>
      </c>
      <c r="E140" s="182" t="str">
        <f>IFERROR(__xludf.DUMMYFUNCTION("""COMPUTED_VALUE"""),"Midnight")</f>
        <v>Midnight</v>
      </c>
      <c r="F140" s="182" t="str">
        <f>IFERROR(__xludf.DUMMYFUNCTION("""COMPUTED_VALUE"""),"1TB")</f>
        <v>1TB</v>
      </c>
      <c r="G140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40" s="168">
        <f>IFERROR(__xludf.DUMMYFUNCTION("""COMPUTED_VALUE"""),8.40353925755E11)</f>
        <v>840353925755</v>
      </c>
      <c r="I140" s="185" t="str">
        <f>IFERROR(__xludf.DUMMYFUNCTION("""COMPUTED_VALUE"""),"0840353925755")</f>
        <v>0840353925755</v>
      </c>
      <c r="J140" s="182" t="str">
        <f>IFERROR(__xludf.DUMMYFUNCTION("""COMPUTED_VALUE"""),"#N/A")</f>
        <v>#N/A</v>
      </c>
      <c r="K140" s="182" t="str">
        <f>IFERROR(__xludf.DUMMYFUNCTION("""COMPUTED_VALUE"""),"GEHN3")</f>
        <v>GEHN3</v>
      </c>
      <c r="L140" s="182" t="str">
        <f>IFERROR(__xludf.DUMMYFUNCTION("""COMPUTED_VALUE"""),"ROW")</f>
        <v>ROW</v>
      </c>
    </row>
    <row r="141">
      <c r="A141" s="182" t="str">
        <f>IFERROR(__xludf.DUMMYFUNCTION("""COMPUTED_VALUE"""),"GA10320-GB")</f>
        <v>GA10320-GB</v>
      </c>
      <c r="B141" s="182" t="str">
        <f>IFERROR(__xludf.DUMMYFUNCTION("""COMPUTED_VALUE"""),"SKU,CLR3, ULTRA, SUB6, EU/UK, BZ5")</f>
        <v>SKU,CLR3, ULTRA, SUB6, EU/UK, BZ5</v>
      </c>
      <c r="C141" s="182" t="str">
        <f>IFERROR(__xludf.DUMMYFUNCTION("""COMPUTED_VALUE"""),"ULTRA")</f>
        <v>ULTRA</v>
      </c>
      <c r="D141" s="182" t="str">
        <f>IFERROR(__xludf.DUMMYFUNCTION("""COMPUTED_VALUE"""),"CLR3")</f>
        <v>CLR3</v>
      </c>
      <c r="E141" s="182" t="str">
        <f>IFERROR(__xludf.DUMMYFUNCTION("""COMPUTED_VALUE"""),"Sterling")</f>
        <v>Sterling</v>
      </c>
      <c r="F141" s="182" t="str">
        <f>IFERROR(__xludf.DUMMYFUNCTION("""COMPUTED_VALUE"""),"1TB")</f>
        <v>1TB</v>
      </c>
      <c r="G141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41" s="168">
        <f>IFERROR(__xludf.DUMMYFUNCTION("""COMPUTED_VALUE"""),8.40353925816E11)</f>
        <v>840353925816</v>
      </c>
      <c r="I141" s="185" t="str">
        <f>IFERROR(__xludf.DUMMYFUNCTION("""COMPUTED_VALUE"""),"0840353925816")</f>
        <v>0840353925816</v>
      </c>
      <c r="J141" s="182" t="str">
        <f>IFERROR(__xludf.DUMMYFUNCTION("""COMPUTED_VALUE"""),"#N/A")</f>
        <v>#N/A</v>
      </c>
      <c r="K141" s="182" t="str">
        <f>IFERROR(__xludf.DUMMYFUNCTION("""COMPUTED_VALUE"""),"GEHN3")</f>
        <v>GEHN3</v>
      </c>
      <c r="L141" s="182" t="str">
        <f>IFERROR(__xludf.DUMMYFUNCTION("""COMPUTED_VALUE"""),"ROW")</f>
        <v>ROW</v>
      </c>
    </row>
    <row r="142">
      <c r="A142" s="182" t="str">
        <f>IFERROR(__xludf.DUMMYFUNCTION("""COMPUTED_VALUE"""),"GA09900-IN")</f>
        <v>GA09900-IN</v>
      </c>
      <c r="B142" s="182" t="str">
        <f>IFERROR(__xludf.DUMMYFUNCTION("""COMPUTED_VALUE"""),"SKU,CLR1, BETTER, SUB6, IN, BZ5")</f>
        <v>SKU,CLR1, BETTER, SUB6, IN, BZ5</v>
      </c>
      <c r="C142" s="182" t="str">
        <f>IFERROR(__xludf.DUMMYFUNCTION("""COMPUTED_VALUE"""),"BETTER")</f>
        <v>BETTER</v>
      </c>
      <c r="D142" s="182" t="str">
        <f>IFERROR(__xludf.DUMMYFUNCTION("""COMPUTED_VALUE"""),"CLR1")</f>
        <v>CLR1</v>
      </c>
      <c r="E142" s="182" t="str">
        <f>IFERROR(__xludf.DUMMYFUNCTION("""COMPUTED_VALUE"""),"Midnight")</f>
        <v>Midnight</v>
      </c>
      <c r="F142" s="182" t="str">
        <f>IFERROR(__xludf.DUMMYFUNCTION("""COMPUTED_VALUE"""),"256GB")</f>
        <v>256GB</v>
      </c>
      <c r="G142" s="182" t="str">
        <f>IFERROR(__xludf.DUMMYFUNCTION("""COMPUTED_VALUE"""),"IN")</f>
        <v>IN</v>
      </c>
      <c r="H142" s="168">
        <f>IFERROR(__xludf.DUMMYFUNCTION("""COMPUTED_VALUE"""),8.40353925403E11)</f>
        <v>840353925403</v>
      </c>
      <c r="I142" s="185" t="str">
        <f>IFERROR(__xludf.DUMMYFUNCTION("""COMPUTED_VALUE"""),"0840353925403")</f>
        <v>0840353925403</v>
      </c>
      <c r="J142" s="182" t="str">
        <f>IFERROR(__xludf.DUMMYFUNCTION("""COMPUTED_VALUE"""),"#N/A")</f>
        <v>#N/A</v>
      </c>
      <c r="K142" s="182" t="str">
        <f>IFERROR(__xludf.DUMMYFUNCTION("""COMPUTED_VALUE"""),"GEHN3")</f>
        <v>GEHN3</v>
      </c>
      <c r="L142" s="182" t="str">
        <f>IFERROR(__xludf.DUMMYFUNCTION("""COMPUTED_VALUE"""),"ROW")</f>
        <v>ROW</v>
      </c>
    </row>
    <row r="143">
      <c r="A143" s="182" t="str">
        <f>IFERROR(__xludf.DUMMYFUNCTION("""COMPUTED_VALUE"""),"GA10314-IN")</f>
        <v>GA10314-IN</v>
      </c>
      <c r="B143" s="182" t="str">
        <f>IFERROR(__xludf.DUMMYFUNCTION("""COMPUTED_VALUE"""),"SKU,CLR2, BETTER, SUB6, IN, BZ5")</f>
        <v>SKU,CLR2, BETTER, SUB6, IN, BZ5</v>
      </c>
      <c r="C143" s="182" t="str">
        <f>IFERROR(__xludf.DUMMYFUNCTION("""COMPUTED_VALUE"""),"BETTER")</f>
        <v>BETTER</v>
      </c>
      <c r="D143" s="182" t="str">
        <f>IFERROR(__xludf.DUMMYFUNCTION("""COMPUTED_VALUE"""),"CLR2")</f>
        <v>CLR2</v>
      </c>
      <c r="E143" s="182" t="str">
        <f>IFERROR(__xludf.DUMMYFUNCTION("""COMPUTED_VALUE"""),"Light Porcelain")</f>
        <v>Light Porcelain</v>
      </c>
      <c r="F143" s="182" t="str">
        <f>IFERROR(__xludf.DUMMYFUNCTION("""COMPUTED_VALUE"""),"256GB")</f>
        <v>256GB</v>
      </c>
      <c r="G143" s="182" t="str">
        <f>IFERROR(__xludf.DUMMYFUNCTION("""COMPUTED_VALUE"""),"IN")</f>
        <v>IN</v>
      </c>
      <c r="H143" s="168">
        <f>IFERROR(__xludf.DUMMYFUNCTION("""COMPUTED_VALUE"""),8.40353925502E11)</f>
        <v>840353925502</v>
      </c>
      <c r="I143" s="185" t="str">
        <f>IFERROR(__xludf.DUMMYFUNCTION("""COMPUTED_VALUE"""),"0840353925502")</f>
        <v>0840353925502</v>
      </c>
      <c r="J143" s="182" t="str">
        <f>IFERROR(__xludf.DUMMYFUNCTION("""COMPUTED_VALUE"""),"#N/A")</f>
        <v>#N/A</v>
      </c>
      <c r="K143" s="182" t="str">
        <f>IFERROR(__xludf.DUMMYFUNCTION("""COMPUTED_VALUE"""),"GEHN3")</f>
        <v>GEHN3</v>
      </c>
      <c r="L143" s="182" t="str">
        <f>IFERROR(__xludf.DUMMYFUNCTION("""COMPUTED_VALUE"""),"ROW")</f>
        <v>ROW</v>
      </c>
    </row>
    <row r="144">
      <c r="A144" s="182" t="str">
        <f>IFERROR(__xludf.DUMMYFUNCTION("""COMPUTED_VALUE"""),"GA10315-IN")</f>
        <v>GA10315-IN</v>
      </c>
      <c r="B144" s="182" t="str">
        <f>IFERROR(__xludf.DUMMYFUNCTION("""COMPUTED_VALUE"""),"SKU,CLR3, BETTER, SUB6, IN, BZ5")</f>
        <v>SKU,CLR3, BETTER, SUB6, IN, BZ5</v>
      </c>
      <c r="C144" s="182" t="str">
        <f>IFERROR(__xludf.DUMMYFUNCTION("""COMPUTED_VALUE"""),"BETTER")</f>
        <v>BETTER</v>
      </c>
      <c r="D144" s="182" t="str">
        <f>IFERROR(__xludf.DUMMYFUNCTION("""COMPUTED_VALUE"""),"CLR3")</f>
        <v>CLR3</v>
      </c>
      <c r="E144" s="182" t="str">
        <f>IFERROR(__xludf.DUMMYFUNCTION("""COMPUTED_VALUE"""),"Sterling")</f>
        <v>Sterling</v>
      </c>
      <c r="F144" s="182" t="str">
        <f>IFERROR(__xludf.DUMMYFUNCTION("""COMPUTED_VALUE"""),"256GB")</f>
        <v>256GB</v>
      </c>
      <c r="G144" s="182" t="str">
        <f>IFERROR(__xludf.DUMMYFUNCTION("""COMPUTED_VALUE"""),"IN")</f>
        <v>IN</v>
      </c>
      <c r="H144" s="168">
        <f>IFERROR(__xludf.DUMMYFUNCTION("""COMPUTED_VALUE"""),8.40353925434E11)</f>
        <v>840353925434</v>
      </c>
      <c r="I144" s="185" t="str">
        <f>IFERROR(__xludf.DUMMYFUNCTION("""COMPUTED_VALUE"""),"0840353925434")</f>
        <v>0840353925434</v>
      </c>
      <c r="J144" s="182" t="str">
        <f>IFERROR(__xludf.DUMMYFUNCTION("""COMPUTED_VALUE"""),"#N/A")</f>
        <v>#N/A</v>
      </c>
      <c r="K144" s="182" t="str">
        <f>IFERROR(__xludf.DUMMYFUNCTION("""COMPUTED_VALUE"""),"GEHN3")</f>
        <v>GEHN3</v>
      </c>
      <c r="L144" s="182" t="str">
        <f>IFERROR(__xludf.DUMMYFUNCTION("""COMPUTED_VALUE"""),"ROW")</f>
        <v>ROW</v>
      </c>
    </row>
    <row r="145">
      <c r="A145" s="182" t="str">
        <f>IFERROR(__xludf.DUMMYFUNCTION("""COMPUTED_VALUE"""),"GA10316-IN")</f>
        <v>GA10316-IN</v>
      </c>
      <c r="B145" s="182" t="str">
        <f>IFERROR(__xludf.DUMMYFUNCTION("""COMPUTED_VALUE"""),"SKU,CLR4, BETTER, SUB6, IN, BZ5")</f>
        <v>SKU,CLR4, BETTER, SUB6, IN, BZ5</v>
      </c>
      <c r="C145" s="182" t="str">
        <f>IFERROR(__xludf.DUMMYFUNCTION("""COMPUTED_VALUE"""),"BETTER")</f>
        <v>BETTER</v>
      </c>
      <c r="D145" s="182" t="str">
        <f>IFERROR(__xludf.DUMMYFUNCTION("""COMPUTED_VALUE"""),"CLR4")</f>
        <v>CLR4</v>
      </c>
      <c r="E145" s="182" t="str">
        <f>IFERROR(__xludf.DUMMYFUNCTION("""COMPUTED_VALUE"""),"Smokey Green")</f>
        <v>Smokey Green</v>
      </c>
      <c r="F145" s="182" t="str">
        <f>IFERROR(__xludf.DUMMYFUNCTION("""COMPUTED_VALUE"""),"256GB")</f>
        <v>256GB</v>
      </c>
      <c r="G145" s="182" t="str">
        <f>IFERROR(__xludf.DUMMYFUNCTION("""COMPUTED_VALUE"""),"IN")</f>
        <v>IN</v>
      </c>
      <c r="H145" s="168">
        <f>IFERROR(__xludf.DUMMYFUNCTION("""COMPUTED_VALUE"""),8.40353925472E11)</f>
        <v>840353925472</v>
      </c>
      <c r="I145" s="185" t="str">
        <f>IFERROR(__xludf.DUMMYFUNCTION("""COMPUTED_VALUE"""),"0840353925472")</f>
        <v>0840353925472</v>
      </c>
      <c r="J145" s="182" t="str">
        <f>IFERROR(__xludf.DUMMYFUNCTION("""COMPUTED_VALUE"""),"#N/A")</f>
        <v>#N/A</v>
      </c>
      <c r="K145" s="182" t="str">
        <f>IFERROR(__xludf.DUMMYFUNCTION("""COMPUTED_VALUE"""),"GEHN3")</f>
        <v>GEHN3</v>
      </c>
      <c r="L145" s="182" t="str">
        <f>IFERROR(__xludf.DUMMYFUNCTION("""COMPUTED_VALUE"""),"ROW")</f>
        <v>ROW</v>
      </c>
    </row>
    <row r="146">
      <c r="A146" s="182" t="str">
        <f>IFERROR(__xludf.DUMMYFUNCTION("""COMPUTED_VALUE"""),"GA09909-IN")</f>
        <v>GA09909-IN</v>
      </c>
      <c r="B146" s="182" t="str">
        <f>IFERROR(__xludf.DUMMYFUNCTION("""COMPUTED_VALUE"""),"SKU,CLR1, BEST, SUB6, IN, BZ5")</f>
        <v>SKU,CLR1, BEST, SUB6, IN, BZ5</v>
      </c>
      <c r="C146" s="182" t="str">
        <f>IFERROR(__xludf.DUMMYFUNCTION("""COMPUTED_VALUE"""),"BEST")</f>
        <v>BEST</v>
      </c>
      <c r="D146" s="182" t="str">
        <f>IFERROR(__xludf.DUMMYFUNCTION("""COMPUTED_VALUE"""),"CLR1")</f>
        <v>CLR1</v>
      </c>
      <c r="E146" s="182" t="str">
        <f>IFERROR(__xludf.DUMMYFUNCTION("""COMPUTED_VALUE"""),"Midnight")</f>
        <v>Midnight</v>
      </c>
      <c r="F146" s="182" t="str">
        <f>IFERROR(__xludf.DUMMYFUNCTION("""COMPUTED_VALUE"""),"512GB")</f>
        <v>512GB</v>
      </c>
      <c r="G146" s="182" t="str">
        <f>IFERROR(__xludf.DUMMYFUNCTION("""COMPUTED_VALUE"""),"IN")</f>
        <v>IN</v>
      </c>
      <c r="H146" s="168">
        <f>IFERROR(__xludf.DUMMYFUNCTION("""COMPUTED_VALUE"""),8.40353925571E11)</f>
        <v>840353925571</v>
      </c>
      <c r="I146" s="185" t="str">
        <f>IFERROR(__xludf.DUMMYFUNCTION("""COMPUTED_VALUE"""),"0840353925571")</f>
        <v>0840353925571</v>
      </c>
      <c r="J146" s="182" t="str">
        <f>IFERROR(__xludf.DUMMYFUNCTION("""COMPUTED_VALUE"""),"#N/A")</f>
        <v>#N/A</v>
      </c>
      <c r="K146" s="182" t="str">
        <f>IFERROR(__xludf.DUMMYFUNCTION("""COMPUTED_VALUE"""),"GEHN3")</f>
        <v>GEHN3</v>
      </c>
      <c r="L146" s="182" t="str">
        <f>IFERROR(__xludf.DUMMYFUNCTION("""COMPUTED_VALUE"""),"ROW")</f>
        <v>ROW</v>
      </c>
    </row>
    <row r="147">
      <c r="A147" s="182" t="str">
        <f>IFERROR(__xludf.DUMMYFUNCTION("""COMPUTED_VALUE"""),"GA10317-IN")</f>
        <v>GA10317-IN</v>
      </c>
      <c r="B147" s="182" t="str">
        <f>IFERROR(__xludf.DUMMYFUNCTION("""COMPUTED_VALUE"""),"SKU,CLR2, BEST, SUB6, IN, BZ5")</f>
        <v>SKU,CLR2, BEST, SUB6, IN, BZ5</v>
      </c>
      <c r="C147" s="182" t="str">
        <f>IFERROR(__xludf.DUMMYFUNCTION("""COMPUTED_VALUE"""),"BEST")</f>
        <v>BEST</v>
      </c>
      <c r="D147" s="182" t="str">
        <f>IFERROR(__xludf.DUMMYFUNCTION("""COMPUTED_VALUE"""),"CLR2")</f>
        <v>CLR2</v>
      </c>
      <c r="E147" s="182" t="str">
        <f>IFERROR(__xludf.DUMMYFUNCTION("""COMPUTED_VALUE"""),"Light Porcelain")</f>
        <v>Light Porcelain</v>
      </c>
      <c r="F147" s="182" t="str">
        <f>IFERROR(__xludf.DUMMYFUNCTION("""COMPUTED_VALUE"""),"512GB")</f>
        <v>512GB</v>
      </c>
      <c r="G147" s="182" t="str">
        <f>IFERROR(__xludf.DUMMYFUNCTION("""COMPUTED_VALUE"""),"IN")</f>
        <v>IN</v>
      </c>
      <c r="H147" s="168">
        <f>IFERROR(__xludf.DUMMYFUNCTION("""COMPUTED_VALUE"""),8.40353925625E11)</f>
        <v>840353925625</v>
      </c>
      <c r="I147" s="185" t="str">
        <f>IFERROR(__xludf.DUMMYFUNCTION("""COMPUTED_VALUE"""),"0840353925625")</f>
        <v>0840353925625</v>
      </c>
      <c r="J147" s="182" t="str">
        <f>IFERROR(__xludf.DUMMYFUNCTION("""COMPUTED_VALUE"""),"#N/A")</f>
        <v>#N/A</v>
      </c>
      <c r="K147" s="182" t="str">
        <f>IFERROR(__xludf.DUMMYFUNCTION("""COMPUTED_VALUE"""),"GEHN3")</f>
        <v>GEHN3</v>
      </c>
      <c r="L147" s="182" t="str">
        <f>IFERROR(__xludf.DUMMYFUNCTION("""COMPUTED_VALUE"""),"ROW")</f>
        <v>ROW</v>
      </c>
    </row>
    <row r="148">
      <c r="A148" s="182" t="str">
        <f>IFERROR(__xludf.DUMMYFUNCTION("""COMPUTED_VALUE"""),"GA10318-IN")</f>
        <v>GA10318-IN</v>
      </c>
      <c r="B148" s="182" t="str">
        <f>IFERROR(__xludf.DUMMYFUNCTION("""COMPUTED_VALUE"""),"SKU,CLR3, BEST, SUB6, IN, BZ5")</f>
        <v>SKU,CLR3, BEST, SUB6, IN, BZ5</v>
      </c>
      <c r="C148" s="182" t="str">
        <f>IFERROR(__xludf.DUMMYFUNCTION("""COMPUTED_VALUE"""),"BEST")</f>
        <v>BEST</v>
      </c>
      <c r="D148" s="182" t="str">
        <f>IFERROR(__xludf.DUMMYFUNCTION("""COMPUTED_VALUE"""),"CLR3")</f>
        <v>CLR3</v>
      </c>
      <c r="E148" s="182" t="str">
        <f>IFERROR(__xludf.DUMMYFUNCTION("""COMPUTED_VALUE"""),"Sterling")</f>
        <v>Sterling</v>
      </c>
      <c r="F148" s="182" t="str">
        <f>IFERROR(__xludf.DUMMYFUNCTION("""COMPUTED_VALUE"""),"512GB")</f>
        <v>512GB</v>
      </c>
      <c r="G148" s="182" t="str">
        <f>IFERROR(__xludf.DUMMYFUNCTION("""COMPUTED_VALUE"""),"IN")</f>
        <v>IN</v>
      </c>
      <c r="H148" s="168">
        <f>IFERROR(__xludf.DUMMYFUNCTION("""COMPUTED_VALUE"""),8.40353925601E11)</f>
        <v>840353925601</v>
      </c>
      <c r="I148" s="185" t="str">
        <f>IFERROR(__xludf.DUMMYFUNCTION("""COMPUTED_VALUE"""),"0840353925601")</f>
        <v>0840353925601</v>
      </c>
      <c r="J148" s="182" t="str">
        <f>IFERROR(__xludf.DUMMYFUNCTION("""COMPUTED_VALUE"""),"#N/A")</f>
        <v>#N/A</v>
      </c>
      <c r="K148" s="182" t="str">
        <f>IFERROR(__xludf.DUMMYFUNCTION("""COMPUTED_VALUE"""),"GEHN3")</f>
        <v>GEHN3</v>
      </c>
      <c r="L148" s="182" t="str">
        <f>IFERROR(__xludf.DUMMYFUNCTION("""COMPUTED_VALUE"""),"ROW")</f>
        <v>ROW</v>
      </c>
    </row>
    <row r="149">
      <c r="A149" s="182" t="str">
        <f>IFERROR(__xludf.DUMMYFUNCTION("""COMPUTED_VALUE"""),"GA10319-IN")</f>
        <v>GA10319-IN</v>
      </c>
      <c r="B149" s="182" t="str">
        <f>IFERROR(__xludf.DUMMYFUNCTION("""COMPUTED_VALUE"""),"SKU,CLR4, BEST, SUB6, IN, BZ5")</f>
        <v>SKU,CLR4, BEST, SUB6, IN, BZ5</v>
      </c>
      <c r="C149" s="182" t="str">
        <f>IFERROR(__xludf.DUMMYFUNCTION("""COMPUTED_VALUE"""),"BEST")</f>
        <v>BEST</v>
      </c>
      <c r="D149" s="182" t="str">
        <f>IFERROR(__xludf.DUMMYFUNCTION("""COMPUTED_VALUE"""),"CLR4")</f>
        <v>CLR4</v>
      </c>
      <c r="E149" s="182" t="str">
        <f>IFERROR(__xludf.DUMMYFUNCTION("""COMPUTED_VALUE"""),"Smokey Green")</f>
        <v>Smokey Green</v>
      </c>
      <c r="F149" s="182" t="str">
        <f>IFERROR(__xludf.DUMMYFUNCTION("""COMPUTED_VALUE"""),"512GB")</f>
        <v>512GB</v>
      </c>
      <c r="G149" s="182" t="str">
        <f>IFERROR(__xludf.DUMMYFUNCTION("""COMPUTED_VALUE"""),"IN")</f>
        <v>IN</v>
      </c>
      <c r="H149" s="168">
        <f>IFERROR(__xludf.DUMMYFUNCTION("""COMPUTED_VALUE"""),8.40353925618E11)</f>
        <v>840353925618</v>
      </c>
      <c r="I149" s="185" t="str">
        <f>IFERROR(__xludf.DUMMYFUNCTION("""COMPUTED_VALUE"""),"0840353925618")</f>
        <v>0840353925618</v>
      </c>
      <c r="J149" s="182" t="str">
        <f>IFERROR(__xludf.DUMMYFUNCTION("""COMPUTED_VALUE"""),"#N/A")</f>
        <v>#N/A</v>
      </c>
      <c r="K149" s="182" t="str">
        <f>IFERROR(__xludf.DUMMYFUNCTION("""COMPUTED_VALUE"""),"GEHN3")</f>
        <v>GEHN3</v>
      </c>
      <c r="L149" s="182" t="str">
        <f>IFERROR(__xludf.DUMMYFUNCTION("""COMPUTED_VALUE"""),"ROW")</f>
        <v>ROW</v>
      </c>
    </row>
    <row r="150">
      <c r="A150" s="182" t="str">
        <f>IFERROR(__xludf.DUMMYFUNCTION("""COMPUTED_VALUE"""),"GA09934-IN")</f>
        <v>GA09934-IN</v>
      </c>
      <c r="B150" s="182" t="str">
        <f>IFERROR(__xludf.DUMMYFUNCTION("""COMPUTED_VALUE"""),"SKU,CLR1, ULTRA, SUB6, IN, BZ5")</f>
        <v>SKU,CLR1, ULTRA, SUB6, IN, BZ5</v>
      </c>
      <c r="C150" s="182" t="str">
        <f>IFERROR(__xludf.DUMMYFUNCTION("""COMPUTED_VALUE"""),"ULTRA")</f>
        <v>ULTRA</v>
      </c>
      <c r="D150" s="182" t="str">
        <f>IFERROR(__xludf.DUMMYFUNCTION("""COMPUTED_VALUE"""),"CLR1")</f>
        <v>CLR1</v>
      </c>
      <c r="E150" s="182" t="str">
        <f>IFERROR(__xludf.DUMMYFUNCTION("""COMPUTED_VALUE"""),"Midnight")</f>
        <v>Midnight</v>
      </c>
      <c r="F150" s="182" t="str">
        <f>IFERROR(__xludf.DUMMYFUNCTION("""COMPUTED_VALUE"""),"1TB")</f>
        <v>1TB</v>
      </c>
      <c r="G150" s="182" t="str">
        <f>IFERROR(__xludf.DUMMYFUNCTION("""COMPUTED_VALUE"""),"IN")</f>
        <v>IN</v>
      </c>
      <c r="H150" s="168">
        <f>IFERROR(__xludf.DUMMYFUNCTION("""COMPUTED_VALUE"""),8.40353925762E11)</f>
        <v>840353925762</v>
      </c>
      <c r="I150" s="185" t="str">
        <f>IFERROR(__xludf.DUMMYFUNCTION("""COMPUTED_VALUE"""),"0840353925762")</f>
        <v>0840353925762</v>
      </c>
      <c r="J150" s="182" t="str">
        <f>IFERROR(__xludf.DUMMYFUNCTION("""COMPUTED_VALUE"""),"#N/A")</f>
        <v>#N/A</v>
      </c>
      <c r="K150" s="182" t="str">
        <f>IFERROR(__xludf.DUMMYFUNCTION("""COMPUTED_VALUE"""),"GEHN3")</f>
        <v>GEHN3</v>
      </c>
      <c r="L150" s="182" t="str">
        <f>IFERROR(__xludf.DUMMYFUNCTION("""COMPUTED_VALUE"""),"ROW")</f>
        <v>ROW</v>
      </c>
    </row>
    <row r="151">
      <c r="A151" s="182" t="str">
        <f>IFERROR(__xludf.DUMMYFUNCTION("""COMPUTED_VALUE"""),"GA10320-IN")</f>
        <v>GA10320-IN</v>
      </c>
      <c r="B151" s="182" t="str">
        <f>IFERROR(__xludf.DUMMYFUNCTION("""COMPUTED_VALUE"""),"SKU,CLR3, ULTRA, SUB6, IN, BZ5")</f>
        <v>SKU,CLR3, ULTRA, SUB6, IN, BZ5</v>
      </c>
      <c r="C151" s="182" t="str">
        <f>IFERROR(__xludf.DUMMYFUNCTION("""COMPUTED_VALUE"""),"ULTRA")</f>
        <v>ULTRA</v>
      </c>
      <c r="D151" s="182" t="str">
        <f>IFERROR(__xludf.DUMMYFUNCTION("""COMPUTED_VALUE"""),"CLR3")</f>
        <v>CLR3</v>
      </c>
      <c r="E151" s="182" t="str">
        <f>IFERROR(__xludf.DUMMYFUNCTION("""COMPUTED_VALUE"""),"Sterling")</f>
        <v>Sterling</v>
      </c>
      <c r="F151" s="182" t="str">
        <f>IFERROR(__xludf.DUMMYFUNCTION("""COMPUTED_VALUE"""),"1TB")</f>
        <v>1TB</v>
      </c>
      <c r="G151" s="182" t="str">
        <f>IFERROR(__xludf.DUMMYFUNCTION("""COMPUTED_VALUE"""),"IN")</f>
        <v>IN</v>
      </c>
      <c r="H151" s="168">
        <f>IFERROR(__xludf.DUMMYFUNCTION("""COMPUTED_VALUE"""),8.40353925809E11)</f>
        <v>840353925809</v>
      </c>
      <c r="I151" s="185" t="str">
        <f>IFERROR(__xludf.DUMMYFUNCTION("""COMPUTED_VALUE"""),"0840353925809")</f>
        <v>0840353925809</v>
      </c>
      <c r="J151" s="182" t="str">
        <f>IFERROR(__xludf.DUMMYFUNCTION("""COMPUTED_VALUE"""),"#N/A")</f>
        <v>#N/A</v>
      </c>
      <c r="K151" s="182" t="str">
        <f>IFERROR(__xludf.DUMMYFUNCTION("""COMPUTED_VALUE"""),"GEHN3")</f>
        <v>GEHN3</v>
      </c>
      <c r="L151" s="182" t="str">
        <f>IFERROR(__xludf.DUMMYFUNCTION("""COMPUTED_VALUE"""),"ROW")</f>
        <v>ROW</v>
      </c>
    </row>
    <row r="152">
      <c r="A152" s="182" t="str">
        <f>IFERROR(__xludf.DUMMYFUNCTION("""COMPUTED_VALUE"""),"GA10796-US-N")</f>
        <v>GA10796-US-N</v>
      </c>
      <c r="B152" s="182" t="str">
        <f>IFERROR(__xludf.DUMMYFUNCTION("""COMPUTED_VALUE"""),"SKU,CLR1, GOOD, MMWAVE, US GSTORE, PRESS, BZ5")</f>
        <v>SKU,CLR1, GOOD, MMWAVE, US GSTORE, PRESS, BZ5</v>
      </c>
      <c r="C152" s="182" t="str">
        <f>IFERROR(__xludf.DUMMYFUNCTION("""COMPUTED_VALUE"""),"GOOD")</f>
        <v>GOOD</v>
      </c>
      <c r="D152" s="182" t="str">
        <f>IFERROR(__xludf.DUMMYFUNCTION("""COMPUTED_VALUE"""),"CLR1")</f>
        <v>CLR1</v>
      </c>
      <c r="E152" s="182" t="str">
        <f>IFERROR(__xludf.DUMMYFUNCTION("""COMPUTED_VALUE"""),"Midnight")</f>
        <v>Midnight</v>
      </c>
      <c r="F152" s="182" t="str">
        <f>IFERROR(__xludf.DUMMYFUNCTION("""COMPUTED_VALUE"""),"128GB")</f>
        <v>128GB</v>
      </c>
      <c r="G152" s="182" t="str">
        <f>IFERROR(__xludf.DUMMYFUNCTION("""COMPUTED_VALUE"""),"US GStore")</f>
        <v>US GStore</v>
      </c>
      <c r="H152" s="168">
        <f>IFERROR(__xludf.DUMMYFUNCTION("""COMPUTED_VALUE"""),8.40353937598E11)</f>
        <v>840353937598</v>
      </c>
      <c r="I152" s="185" t="str">
        <f>IFERROR(__xludf.DUMMYFUNCTION("""COMPUTED_VALUE"""),"0840353937598")</f>
        <v>0840353937598</v>
      </c>
      <c r="J152" s="182" t="str">
        <f>IFERROR(__xludf.DUMMYFUNCTION("""COMPUTED_VALUE"""),"#N/A")</f>
        <v>#N/A</v>
      </c>
      <c r="K152" s="182" t="str">
        <f>IFERROR(__xludf.DUMMYFUNCTION("""COMPUTED_VALUE"""),"G4QUR")</f>
        <v>G4QUR</v>
      </c>
      <c r="L152" s="182" t="str">
        <f>IFERROR(__xludf.DUMMYFUNCTION("""COMPUTED_VALUE"""),"NA")</f>
        <v>NA</v>
      </c>
    </row>
    <row r="153">
      <c r="A153" s="182" t="str">
        <f>IFERROR(__xludf.DUMMYFUNCTION("""COMPUTED_VALUE"""),"GA10797-US-N")</f>
        <v>GA10797-US-N</v>
      </c>
      <c r="B153" s="182" t="str">
        <f>IFERROR(__xludf.DUMMYFUNCTION("""COMPUTED_VALUE"""),"SKU,CLR2, GOOD, MMWAVE, US GSTORE, PRESS, BZ5")</f>
        <v>SKU,CLR2, GOOD, MMWAVE, US GSTORE, PRESS, BZ5</v>
      </c>
      <c r="C153" s="182" t="str">
        <f>IFERROR(__xludf.DUMMYFUNCTION("""COMPUTED_VALUE"""),"GOOD")</f>
        <v>GOOD</v>
      </c>
      <c r="D153" s="182" t="str">
        <f>IFERROR(__xludf.DUMMYFUNCTION("""COMPUTED_VALUE"""),"CLR2")</f>
        <v>CLR2</v>
      </c>
      <c r="E153" s="182" t="str">
        <f>IFERROR(__xludf.DUMMYFUNCTION("""COMPUTED_VALUE"""),"Light Porcelain")</f>
        <v>Light Porcelain</v>
      </c>
      <c r="F153" s="182" t="str">
        <f>IFERROR(__xludf.DUMMYFUNCTION("""COMPUTED_VALUE"""),"128GB")</f>
        <v>128GB</v>
      </c>
      <c r="G153" s="182" t="str">
        <f>IFERROR(__xludf.DUMMYFUNCTION("""COMPUTED_VALUE"""),"US GStore")</f>
        <v>US GStore</v>
      </c>
      <c r="H153" s="168">
        <f>IFERROR(__xludf.DUMMYFUNCTION("""COMPUTED_VALUE"""),8.40353937635E11)</f>
        <v>840353937635</v>
      </c>
      <c r="I153" s="185" t="str">
        <f>IFERROR(__xludf.DUMMYFUNCTION("""COMPUTED_VALUE"""),"0840353937635")</f>
        <v>0840353937635</v>
      </c>
      <c r="J153" s="182" t="str">
        <f>IFERROR(__xludf.DUMMYFUNCTION("""COMPUTED_VALUE"""),"#N/A")</f>
        <v>#N/A</v>
      </c>
      <c r="K153" s="182" t="str">
        <f>IFERROR(__xludf.DUMMYFUNCTION("""COMPUTED_VALUE"""),"G4QUR")</f>
        <v>G4QUR</v>
      </c>
      <c r="L153" s="182" t="str">
        <f>IFERROR(__xludf.DUMMYFUNCTION("""COMPUTED_VALUE"""),"NA")</f>
        <v>NA</v>
      </c>
    </row>
    <row r="154">
      <c r="A154" s="182" t="str">
        <f>IFERROR(__xludf.DUMMYFUNCTION("""COMPUTED_VALUE"""),"GA10798-US-N")</f>
        <v>GA10798-US-N</v>
      </c>
      <c r="B154" s="182" t="str">
        <f>IFERROR(__xludf.DUMMYFUNCTION("""COMPUTED_VALUE"""),"SKU,CLR3, GOOD, MMWAVE, US GSTORE, PRESS, BZ5")</f>
        <v>SKU,CLR3, GOOD, MMWAVE, US GSTORE, PRESS, BZ5</v>
      </c>
      <c r="C154" s="182" t="str">
        <f>IFERROR(__xludf.DUMMYFUNCTION("""COMPUTED_VALUE"""),"GOOD")</f>
        <v>GOOD</v>
      </c>
      <c r="D154" s="182" t="str">
        <f>IFERROR(__xludf.DUMMYFUNCTION("""COMPUTED_VALUE"""),"CLR3")</f>
        <v>CLR3</v>
      </c>
      <c r="E154" s="182" t="str">
        <f>IFERROR(__xludf.DUMMYFUNCTION("""COMPUTED_VALUE"""),"Sterling")</f>
        <v>Sterling</v>
      </c>
      <c r="F154" s="182" t="str">
        <f>IFERROR(__xludf.DUMMYFUNCTION("""COMPUTED_VALUE"""),"128GB")</f>
        <v>128GB</v>
      </c>
      <c r="G154" s="182" t="str">
        <f>IFERROR(__xludf.DUMMYFUNCTION("""COMPUTED_VALUE"""),"US GStore")</f>
        <v>US GStore</v>
      </c>
      <c r="H154" s="168">
        <f>IFERROR(__xludf.DUMMYFUNCTION("""COMPUTED_VALUE"""),8.40353937673E11)</f>
        <v>840353937673</v>
      </c>
      <c r="I154" s="185" t="str">
        <f>IFERROR(__xludf.DUMMYFUNCTION("""COMPUTED_VALUE"""),"0840353937673")</f>
        <v>0840353937673</v>
      </c>
      <c r="J154" s="182" t="str">
        <f>IFERROR(__xludf.DUMMYFUNCTION("""COMPUTED_VALUE"""),"#N/A")</f>
        <v>#N/A</v>
      </c>
      <c r="K154" s="182" t="str">
        <f>IFERROR(__xludf.DUMMYFUNCTION("""COMPUTED_VALUE"""),"G4QUR")</f>
        <v>G4QUR</v>
      </c>
      <c r="L154" s="182" t="str">
        <f>IFERROR(__xludf.DUMMYFUNCTION("""COMPUTED_VALUE"""),"NA")</f>
        <v>NA</v>
      </c>
    </row>
    <row r="155">
      <c r="A155" s="182" t="str">
        <f>IFERROR(__xludf.DUMMYFUNCTION("""COMPUTED_VALUE"""),"GA10799-US-N")</f>
        <v>GA10799-US-N</v>
      </c>
      <c r="B155" s="182" t="str">
        <f>IFERROR(__xludf.DUMMYFUNCTION("""COMPUTED_VALUE"""),"SKU,CLR4, GOOD, MMWAVE, US GSTORE, PRESS, BZ5")</f>
        <v>SKU,CLR4, GOOD, MMWAVE, US GSTORE, PRESS, BZ5</v>
      </c>
      <c r="C155" s="182" t="str">
        <f>IFERROR(__xludf.DUMMYFUNCTION("""COMPUTED_VALUE"""),"GOOD")</f>
        <v>GOOD</v>
      </c>
      <c r="D155" s="182" t="str">
        <f>IFERROR(__xludf.DUMMYFUNCTION("""COMPUTED_VALUE"""),"CLR4")</f>
        <v>CLR4</v>
      </c>
      <c r="E155" s="182" t="str">
        <f>IFERROR(__xludf.DUMMYFUNCTION("""COMPUTED_VALUE"""),"Smokey Green")</f>
        <v>Smokey Green</v>
      </c>
      <c r="F155" s="182" t="str">
        <f>IFERROR(__xludf.DUMMYFUNCTION("""COMPUTED_VALUE"""),"128GB")</f>
        <v>128GB</v>
      </c>
      <c r="G155" s="182" t="str">
        <f>IFERROR(__xludf.DUMMYFUNCTION("""COMPUTED_VALUE"""),"US GStore")</f>
        <v>US GStore</v>
      </c>
      <c r="H155" s="168">
        <f>IFERROR(__xludf.DUMMYFUNCTION("""COMPUTED_VALUE"""),8.4035393771E11)</f>
        <v>840353937710</v>
      </c>
      <c r="I155" s="185" t="str">
        <f>IFERROR(__xludf.DUMMYFUNCTION("""COMPUTED_VALUE"""),"0840353937710")</f>
        <v>0840353937710</v>
      </c>
      <c r="J155" s="182" t="str">
        <f>IFERROR(__xludf.DUMMYFUNCTION("""COMPUTED_VALUE"""),"#N/A")</f>
        <v>#N/A</v>
      </c>
      <c r="K155" s="182" t="str">
        <f>IFERROR(__xludf.DUMMYFUNCTION("""COMPUTED_VALUE"""),"G4QUR")</f>
        <v>G4QUR</v>
      </c>
      <c r="L155" s="182" t="str">
        <f>IFERROR(__xludf.DUMMYFUNCTION("""COMPUTED_VALUE"""),"NA")</f>
        <v>NA</v>
      </c>
    </row>
    <row r="156">
      <c r="A156" s="182" t="str">
        <f>IFERROR(__xludf.DUMMYFUNCTION("""COMPUTED_VALUE"""),"GA10800-US-N")</f>
        <v>GA10800-US-N</v>
      </c>
      <c r="B156" s="182" t="str">
        <f>IFERROR(__xludf.DUMMYFUNCTION("""COMPUTED_VALUE"""),"SKU,CLR1, BETTER, MMWAVE, US GSTORE, PRESS, BZ5")</f>
        <v>SKU,CLR1, BETTER, MMWAVE, US GSTORE, PRESS, BZ5</v>
      </c>
      <c r="C156" s="182" t="str">
        <f>IFERROR(__xludf.DUMMYFUNCTION("""COMPUTED_VALUE"""),"BETTER")</f>
        <v>BETTER</v>
      </c>
      <c r="D156" s="182" t="str">
        <f>IFERROR(__xludf.DUMMYFUNCTION("""COMPUTED_VALUE"""),"CLR1")</f>
        <v>CLR1</v>
      </c>
      <c r="E156" s="182" t="str">
        <f>IFERROR(__xludf.DUMMYFUNCTION("""COMPUTED_VALUE"""),"Midnight")</f>
        <v>Midnight</v>
      </c>
      <c r="F156" s="182" t="str">
        <f>IFERROR(__xludf.DUMMYFUNCTION("""COMPUTED_VALUE"""),"256GB")</f>
        <v>256GB</v>
      </c>
      <c r="G156" s="182" t="str">
        <f>IFERROR(__xludf.DUMMYFUNCTION("""COMPUTED_VALUE"""),"US GStore")</f>
        <v>US GStore</v>
      </c>
      <c r="H156" s="168">
        <f>IFERROR(__xludf.DUMMYFUNCTION("""COMPUTED_VALUE"""),8.40353937758E11)</f>
        <v>840353937758</v>
      </c>
      <c r="I156" s="185" t="str">
        <f>IFERROR(__xludf.DUMMYFUNCTION("""COMPUTED_VALUE"""),"0840353937758")</f>
        <v>0840353937758</v>
      </c>
      <c r="J156" s="182" t="str">
        <f>IFERROR(__xludf.DUMMYFUNCTION("""COMPUTED_VALUE"""),"#N/A")</f>
        <v>#N/A</v>
      </c>
      <c r="K156" s="182" t="str">
        <f>IFERROR(__xludf.DUMMYFUNCTION("""COMPUTED_VALUE"""),"G4QUR")</f>
        <v>G4QUR</v>
      </c>
      <c r="L156" s="182" t="str">
        <f>IFERROR(__xludf.DUMMYFUNCTION("""COMPUTED_VALUE"""),"NA")</f>
        <v>NA</v>
      </c>
    </row>
    <row r="157">
      <c r="A157" s="182" t="str">
        <f>IFERROR(__xludf.DUMMYFUNCTION("""COMPUTED_VALUE"""),"GA10801-US-N")</f>
        <v>GA10801-US-N</v>
      </c>
      <c r="B157" s="182" t="str">
        <f>IFERROR(__xludf.DUMMYFUNCTION("""COMPUTED_VALUE"""),"SKU,CLR2, BETTER, MMWAVE, US GSTORE, PRESS, BZ5")</f>
        <v>SKU,CLR2, BETTER, MMWAVE, US GSTORE, PRESS, BZ5</v>
      </c>
      <c r="C157" s="182" t="str">
        <f>IFERROR(__xludf.DUMMYFUNCTION("""COMPUTED_VALUE"""),"BETTER")</f>
        <v>BETTER</v>
      </c>
      <c r="D157" s="182" t="str">
        <f>IFERROR(__xludf.DUMMYFUNCTION("""COMPUTED_VALUE"""),"CLR2")</f>
        <v>CLR2</v>
      </c>
      <c r="E157" s="182" t="str">
        <f>IFERROR(__xludf.DUMMYFUNCTION("""COMPUTED_VALUE"""),"Light Porcelain")</f>
        <v>Light Porcelain</v>
      </c>
      <c r="F157" s="182" t="str">
        <f>IFERROR(__xludf.DUMMYFUNCTION("""COMPUTED_VALUE"""),"256GB")</f>
        <v>256GB</v>
      </c>
      <c r="G157" s="182" t="str">
        <f>IFERROR(__xludf.DUMMYFUNCTION("""COMPUTED_VALUE"""),"US GStore")</f>
        <v>US GStore</v>
      </c>
      <c r="H157" s="168">
        <f>IFERROR(__xludf.DUMMYFUNCTION("""COMPUTED_VALUE"""),8.40353937796E11)</f>
        <v>840353937796</v>
      </c>
      <c r="I157" s="185" t="str">
        <f>IFERROR(__xludf.DUMMYFUNCTION("""COMPUTED_VALUE"""),"0840353937796")</f>
        <v>0840353937796</v>
      </c>
      <c r="J157" s="182" t="str">
        <f>IFERROR(__xludf.DUMMYFUNCTION("""COMPUTED_VALUE"""),"#N/A")</f>
        <v>#N/A</v>
      </c>
      <c r="K157" s="182" t="str">
        <f>IFERROR(__xludf.DUMMYFUNCTION("""COMPUTED_VALUE"""),"G4QUR")</f>
        <v>G4QUR</v>
      </c>
      <c r="L157" s="182" t="str">
        <f>IFERROR(__xludf.DUMMYFUNCTION("""COMPUTED_VALUE"""),"NA")</f>
        <v>NA</v>
      </c>
    </row>
    <row r="158">
      <c r="A158" s="182" t="str">
        <f>IFERROR(__xludf.DUMMYFUNCTION("""COMPUTED_VALUE"""),"GA10802-US-N")</f>
        <v>GA10802-US-N</v>
      </c>
      <c r="B158" s="182" t="str">
        <f>IFERROR(__xludf.DUMMYFUNCTION("""COMPUTED_VALUE"""),"SKU,CLR3, BETTER, MMWAVE, US GSTORE, PRESS, BZ5")</f>
        <v>SKU,CLR3, BETTER, MMWAVE, US GSTORE, PRESS, BZ5</v>
      </c>
      <c r="C158" s="182" t="str">
        <f>IFERROR(__xludf.DUMMYFUNCTION("""COMPUTED_VALUE"""),"BETTER")</f>
        <v>BETTER</v>
      </c>
      <c r="D158" s="182" t="str">
        <f>IFERROR(__xludf.DUMMYFUNCTION("""COMPUTED_VALUE"""),"CLR3")</f>
        <v>CLR3</v>
      </c>
      <c r="E158" s="182" t="str">
        <f>IFERROR(__xludf.DUMMYFUNCTION("""COMPUTED_VALUE"""),"Sterling")</f>
        <v>Sterling</v>
      </c>
      <c r="F158" s="182" t="str">
        <f>IFERROR(__xludf.DUMMYFUNCTION("""COMPUTED_VALUE"""),"256GB")</f>
        <v>256GB</v>
      </c>
      <c r="G158" s="182" t="str">
        <f>IFERROR(__xludf.DUMMYFUNCTION("""COMPUTED_VALUE"""),"US GStore")</f>
        <v>US GStore</v>
      </c>
      <c r="H158" s="168">
        <f>IFERROR(__xludf.DUMMYFUNCTION("""COMPUTED_VALUE"""),8.40353937833E11)</f>
        <v>840353937833</v>
      </c>
      <c r="I158" s="185" t="str">
        <f>IFERROR(__xludf.DUMMYFUNCTION("""COMPUTED_VALUE"""),"0840353937833")</f>
        <v>0840353937833</v>
      </c>
      <c r="J158" s="182" t="str">
        <f>IFERROR(__xludf.DUMMYFUNCTION("""COMPUTED_VALUE"""),"#N/A")</f>
        <v>#N/A</v>
      </c>
      <c r="K158" s="182" t="str">
        <f>IFERROR(__xludf.DUMMYFUNCTION("""COMPUTED_VALUE"""),"G4QUR")</f>
        <v>G4QUR</v>
      </c>
      <c r="L158" s="182" t="str">
        <f>IFERROR(__xludf.DUMMYFUNCTION("""COMPUTED_VALUE"""),"NA")</f>
        <v>NA</v>
      </c>
    </row>
    <row r="159">
      <c r="A159" s="182" t="str">
        <f>IFERROR(__xludf.DUMMYFUNCTION("""COMPUTED_VALUE"""),"GA10803-US-N")</f>
        <v>GA10803-US-N</v>
      </c>
      <c r="B159" s="182" t="str">
        <f>IFERROR(__xludf.DUMMYFUNCTION("""COMPUTED_VALUE"""),"SKU,CLR4, BETTER, MMWAVE, US GSTORE, PRESS, BZ5")</f>
        <v>SKU,CLR4, BETTER, MMWAVE, US GSTORE, PRESS, BZ5</v>
      </c>
      <c r="C159" s="182" t="str">
        <f>IFERROR(__xludf.DUMMYFUNCTION("""COMPUTED_VALUE"""),"BETTER")</f>
        <v>BETTER</v>
      </c>
      <c r="D159" s="182" t="str">
        <f>IFERROR(__xludf.DUMMYFUNCTION("""COMPUTED_VALUE"""),"CLR4")</f>
        <v>CLR4</v>
      </c>
      <c r="E159" s="182" t="str">
        <f>IFERROR(__xludf.DUMMYFUNCTION("""COMPUTED_VALUE"""),"Smokey Green")</f>
        <v>Smokey Green</v>
      </c>
      <c r="F159" s="182" t="str">
        <f>IFERROR(__xludf.DUMMYFUNCTION("""COMPUTED_VALUE"""),"256GB")</f>
        <v>256GB</v>
      </c>
      <c r="G159" s="182" t="str">
        <f>IFERROR(__xludf.DUMMYFUNCTION("""COMPUTED_VALUE"""),"US GStore")</f>
        <v>US GStore</v>
      </c>
      <c r="H159" s="168">
        <f>IFERROR(__xludf.DUMMYFUNCTION("""COMPUTED_VALUE"""),8.40353937871E11)</f>
        <v>840353937871</v>
      </c>
      <c r="I159" s="185" t="str">
        <f>IFERROR(__xludf.DUMMYFUNCTION("""COMPUTED_VALUE"""),"0840353937871")</f>
        <v>0840353937871</v>
      </c>
      <c r="J159" s="182" t="str">
        <f>IFERROR(__xludf.DUMMYFUNCTION("""COMPUTED_VALUE"""),"#N/A")</f>
        <v>#N/A</v>
      </c>
      <c r="K159" s="182" t="str">
        <f>IFERROR(__xludf.DUMMYFUNCTION("""COMPUTED_VALUE"""),"G4QUR")</f>
        <v>G4QUR</v>
      </c>
      <c r="L159" s="182" t="str">
        <f>IFERROR(__xludf.DUMMYFUNCTION("""COMPUTED_VALUE"""),"NA")</f>
        <v>NA</v>
      </c>
    </row>
    <row r="160">
      <c r="A160" s="182" t="str">
        <f>IFERROR(__xludf.DUMMYFUNCTION("""COMPUTED_VALUE"""),"GA10796-JP-N")</f>
        <v>GA10796-JP-N</v>
      </c>
      <c r="B160" s="182" t="str">
        <f>IFERROR(__xludf.DUMMYFUNCTION("""COMPUTED_VALUE"""),"SKU,CLR1, BETTER, SUB6, JP, PRESS, BZ5")</f>
        <v>SKU,CLR1, BETTER, SUB6, JP, PRESS, BZ5</v>
      </c>
      <c r="C160" s="182" t="str">
        <f>IFERROR(__xludf.DUMMYFUNCTION("""COMPUTED_VALUE"""),"GOOD")</f>
        <v>GOOD</v>
      </c>
      <c r="D160" s="182" t="str">
        <f>IFERROR(__xludf.DUMMYFUNCTION("""COMPUTED_VALUE"""),"CLR1")</f>
        <v>CLR1</v>
      </c>
      <c r="E160" s="182" t="str">
        <f>IFERROR(__xludf.DUMMYFUNCTION("""COMPUTED_VALUE"""),"Midnight")</f>
        <v>Midnight</v>
      </c>
      <c r="F160" s="182" t="str">
        <f>IFERROR(__xludf.DUMMYFUNCTION("""COMPUTED_VALUE"""),"256GB")</f>
        <v>256GB</v>
      </c>
      <c r="G160" s="182" t="str">
        <f>IFERROR(__xludf.DUMMYFUNCTION("""COMPUTED_VALUE"""),"JP")</f>
        <v>JP</v>
      </c>
      <c r="H160" s="168">
        <f>IFERROR(__xludf.DUMMYFUNCTION("""COMPUTED_VALUE"""),8.40353937604E11)</f>
        <v>840353937604</v>
      </c>
      <c r="I160" s="185" t="str">
        <f>IFERROR(__xludf.DUMMYFUNCTION("""COMPUTED_VALUE"""),"0840353937604")</f>
        <v>0840353937604</v>
      </c>
      <c r="J160" s="182" t="str">
        <f>IFERROR(__xludf.DUMMYFUNCTION("""COMPUTED_VALUE"""),"#N/A")</f>
        <v>#N/A</v>
      </c>
      <c r="K160" s="182" t="str">
        <f>IFERROR(__xludf.DUMMYFUNCTION("""COMPUTED_VALUE"""),"GN4F5")</f>
        <v>GN4F5</v>
      </c>
      <c r="L160" s="182" t="str">
        <f>IFERROR(__xludf.DUMMYFUNCTION("""COMPUTED_VALUE"""),"JP")</f>
        <v>JP</v>
      </c>
    </row>
    <row r="161">
      <c r="A161" s="182" t="str">
        <f>IFERROR(__xludf.DUMMYFUNCTION("""COMPUTED_VALUE"""),"GA10797-JP-N")</f>
        <v>GA10797-JP-N</v>
      </c>
      <c r="B161" s="182" t="str">
        <f>IFERROR(__xludf.DUMMYFUNCTION("""COMPUTED_VALUE"""),"SKU,CLR2, BETTER, SUB6, JP, PRESS, BZ5")</f>
        <v>SKU,CLR2, BETTER, SUB6, JP, PRESS, BZ5</v>
      </c>
      <c r="C161" s="182" t="str">
        <f>IFERROR(__xludf.DUMMYFUNCTION("""COMPUTED_VALUE"""),"GOOD")</f>
        <v>GOOD</v>
      </c>
      <c r="D161" s="182" t="str">
        <f>IFERROR(__xludf.DUMMYFUNCTION("""COMPUTED_VALUE"""),"CLR2")</f>
        <v>CLR2</v>
      </c>
      <c r="E161" s="182" t="str">
        <f>IFERROR(__xludf.DUMMYFUNCTION("""COMPUTED_VALUE"""),"Light Porcelain")</f>
        <v>Light Porcelain</v>
      </c>
      <c r="F161" s="182" t="str">
        <f>IFERROR(__xludf.DUMMYFUNCTION("""COMPUTED_VALUE"""),"256GB")</f>
        <v>256GB</v>
      </c>
      <c r="G161" s="182" t="str">
        <f>IFERROR(__xludf.DUMMYFUNCTION("""COMPUTED_VALUE"""),"JP")</f>
        <v>JP</v>
      </c>
      <c r="H161" s="168">
        <f>IFERROR(__xludf.DUMMYFUNCTION("""COMPUTED_VALUE"""),8.40353937642E11)</f>
        <v>840353937642</v>
      </c>
      <c r="I161" s="185" t="str">
        <f>IFERROR(__xludf.DUMMYFUNCTION("""COMPUTED_VALUE"""),"0840353937642")</f>
        <v>0840353937642</v>
      </c>
      <c r="J161" s="182" t="str">
        <f>IFERROR(__xludf.DUMMYFUNCTION("""COMPUTED_VALUE"""),"#N/A")</f>
        <v>#N/A</v>
      </c>
      <c r="K161" s="182" t="str">
        <f>IFERROR(__xludf.DUMMYFUNCTION("""COMPUTED_VALUE"""),"GN4F5")</f>
        <v>GN4F5</v>
      </c>
      <c r="L161" s="182" t="str">
        <f>IFERROR(__xludf.DUMMYFUNCTION("""COMPUTED_VALUE"""),"JP")</f>
        <v>JP</v>
      </c>
    </row>
    <row r="162">
      <c r="A162" s="182" t="str">
        <f>IFERROR(__xludf.DUMMYFUNCTION("""COMPUTED_VALUE"""),"GA10798-JP-N")</f>
        <v>GA10798-JP-N</v>
      </c>
      <c r="B162" s="182" t="str">
        <f>IFERROR(__xludf.DUMMYFUNCTION("""COMPUTED_VALUE"""),"SKU,CLR3, BETTER, SUB6, JP, PRESS, BZ5")</f>
        <v>SKU,CLR3, BETTER, SUB6, JP, PRESS, BZ5</v>
      </c>
      <c r="C162" s="182" t="str">
        <f>IFERROR(__xludf.DUMMYFUNCTION("""COMPUTED_VALUE"""),"GOOD")</f>
        <v>GOOD</v>
      </c>
      <c r="D162" s="182" t="str">
        <f>IFERROR(__xludf.DUMMYFUNCTION("""COMPUTED_VALUE"""),"CLR3")</f>
        <v>CLR3</v>
      </c>
      <c r="E162" s="182" t="str">
        <f>IFERROR(__xludf.DUMMYFUNCTION("""COMPUTED_VALUE"""),"Sterling")</f>
        <v>Sterling</v>
      </c>
      <c r="F162" s="182" t="str">
        <f>IFERROR(__xludf.DUMMYFUNCTION("""COMPUTED_VALUE"""),"256GB")</f>
        <v>256GB</v>
      </c>
      <c r="G162" s="182" t="str">
        <f>IFERROR(__xludf.DUMMYFUNCTION("""COMPUTED_VALUE"""),"JP")</f>
        <v>JP</v>
      </c>
      <c r="H162" s="168">
        <f>IFERROR(__xludf.DUMMYFUNCTION("""COMPUTED_VALUE"""),8.4035393768E11)</f>
        <v>840353937680</v>
      </c>
      <c r="I162" s="185" t="str">
        <f>IFERROR(__xludf.DUMMYFUNCTION("""COMPUTED_VALUE"""),"0840353937680")</f>
        <v>0840353937680</v>
      </c>
      <c r="J162" s="182" t="str">
        <f>IFERROR(__xludf.DUMMYFUNCTION("""COMPUTED_VALUE"""),"#N/A")</f>
        <v>#N/A</v>
      </c>
      <c r="K162" s="182" t="str">
        <f>IFERROR(__xludf.DUMMYFUNCTION("""COMPUTED_VALUE"""),"GN4F5")</f>
        <v>GN4F5</v>
      </c>
      <c r="L162" s="182" t="str">
        <f>IFERROR(__xludf.DUMMYFUNCTION("""COMPUTED_VALUE"""),"JP")</f>
        <v>JP</v>
      </c>
    </row>
    <row r="163">
      <c r="A163" s="182" t="str">
        <f>IFERROR(__xludf.DUMMYFUNCTION("""COMPUTED_VALUE"""),"GA10799-JP-N")</f>
        <v>GA10799-JP-N</v>
      </c>
      <c r="B163" s="182" t="str">
        <f>IFERROR(__xludf.DUMMYFUNCTION("""COMPUTED_VALUE"""),"SKU,CLR4, GOOD, SUB6, JP, PRESS, BZ5")</f>
        <v>SKU,CLR4, GOOD, SUB6, JP, PRESS, BZ5</v>
      </c>
      <c r="C163" s="182" t="str">
        <f>IFERROR(__xludf.DUMMYFUNCTION("""COMPUTED_VALUE"""),"GOOD")</f>
        <v>GOOD</v>
      </c>
      <c r="D163" s="182" t="str">
        <f>IFERROR(__xludf.DUMMYFUNCTION("""COMPUTED_VALUE"""),"CLR4")</f>
        <v>CLR4</v>
      </c>
      <c r="E163" s="182" t="str">
        <f>IFERROR(__xludf.DUMMYFUNCTION("""COMPUTED_VALUE"""),"Smokey Green")</f>
        <v>Smokey Green</v>
      </c>
      <c r="F163" s="182" t="str">
        <f>IFERROR(__xludf.DUMMYFUNCTION("""COMPUTED_VALUE"""),"128GB")</f>
        <v>128GB</v>
      </c>
      <c r="G163" s="182" t="str">
        <f>IFERROR(__xludf.DUMMYFUNCTION("""COMPUTED_VALUE"""),"JP")</f>
        <v>JP</v>
      </c>
      <c r="H163" s="168">
        <f>IFERROR(__xludf.DUMMYFUNCTION("""COMPUTED_VALUE"""),8.40353937727E11)</f>
        <v>840353937727</v>
      </c>
      <c r="I163" s="185" t="str">
        <f>IFERROR(__xludf.DUMMYFUNCTION("""COMPUTED_VALUE"""),"0840353937727")</f>
        <v>0840353937727</v>
      </c>
      <c r="J163" s="182" t="str">
        <f>IFERROR(__xludf.DUMMYFUNCTION("""COMPUTED_VALUE"""),"#N/A")</f>
        <v>#N/A</v>
      </c>
      <c r="K163" s="182" t="str">
        <f>IFERROR(__xludf.DUMMYFUNCTION("""COMPUTED_VALUE"""),"GN4F5")</f>
        <v>GN4F5</v>
      </c>
      <c r="L163" s="182" t="str">
        <f>IFERROR(__xludf.DUMMYFUNCTION("""COMPUTED_VALUE"""),"JP")</f>
        <v>JP</v>
      </c>
    </row>
    <row r="164">
      <c r="A164" s="182" t="str">
        <f>IFERROR(__xludf.DUMMYFUNCTION("""COMPUTED_VALUE"""),"GA10800-JP-N")</f>
        <v>GA10800-JP-N</v>
      </c>
      <c r="B164" s="182" t="str">
        <f>IFERROR(__xludf.DUMMYFUNCTION("""COMPUTED_VALUE"""),"SKU,CLR1, BETTER, SUB6, JP, PRESS, BZ5")</f>
        <v>SKU,CLR1, BETTER, SUB6, JP, PRESS, BZ5</v>
      </c>
      <c r="C164" s="182" t="str">
        <f>IFERROR(__xludf.DUMMYFUNCTION("""COMPUTED_VALUE"""),"BETTER")</f>
        <v>BETTER</v>
      </c>
      <c r="D164" s="182" t="str">
        <f>IFERROR(__xludf.DUMMYFUNCTION("""COMPUTED_VALUE"""),"CLR1")</f>
        <v>CLR1</v>
      </c>
      <c r="E164" s="182" t="str">
        <f>IFERROR(__xludf.DUMMYFUNCTION("""COMPUTED_VALUE"""),"Midnight")</f>
        <v>Midnight</v>
      </c>
      <c r="F164" s="182" t="str">
        <f>IFERROR(__xludf.DUMMYFUNCTION("""COMPUTED_VALUE"""),"256GB")</f>
        <v>256GB</v>
      </c>
      <c r="G164" s="182" t="str">
        <f>IFERROR(__xludf.DUMMYFUNCTION("""COMPUTED_VALUE"""),"JP")</f>
        <v>JP</v>
      </c>
      <c r="H164" s="168">
        <f>IFERROR(__xludf.DUMMYFUNCTION("""COMPUTED_VALUE"""),8.40353937765E11)</f>
        <v>840353937765</v>
      </c>
      <c r="I164" s="185" t="str">
        <f>IFERROR(__xludf.DUMMYFUNCTION("""COMPUTED_VALUE"""),"0840353937765")</f>
        <v>0840353937765</v>
      </c>
      <c r="J164" s="182" t="str">
        <f>IFERROR(__xludf.DUMMYFUNCTION("""COMPUTED_VALUE"""),"#N/A")</f>
        <v>#N/A</v>
      </c>
      <c r="K164" s="182" t="str">
        <f>IFERROR(__xludf.DUMMYFUNCTION("""COMPUTED_VALUE"""),"GN4F5")</f>
        <v>GN4F5</v>
      </c>
      <c r="L164" s="182" t="str">
        <f>IFERROR(__xludf.DUMMYFUNCTION("""COMPUTED_VALUE"""),"JP")</f>
        <v>JP</v>
      </c>
    </row>
    <row r="165">
      <c r="A165" s="182" t="str">
        <f>IFERROR(__xludf.DUMMYFUNCTION("""COMPUTED_VALUE"""),"GA10801-JP-N")</f>
        <v>GA10801-JP-N</v>
      </c>
      <c r="B165" s="182" t="str">
        <f>IFERROR(__xludf.DUMMYFUNCTION("""COMPUTED_VALUE"""),"SKU,CLR2, BETTER, SUB6, JP, PRESS, BZ5")</f>
        <v>SKU,CLR2, BETTER, SUB6, JP, PRESS, BZ5</v>
      </c>
      <c r="C165" s="182" t="str">
        <f>IFERROR(__xludf.DUMMYFUNCTION("""COMPUTED_VALUE"""),"BETTER")</f>
        <v>BETTER</v>
      </c>
      <c r="D165" s="182" t="str">
        <f>IFERROR(__xludf.DUMMYFUNCTION("""COMPUTED_VALUE"""),"CLR2")</f>
        <v>CLR2</v>
      </c>
      <c r="E165" s="182" t="str">
        <f>IFERROR(__xludf.DUMMYFUNCTION("""COMPUTED_VALUE"""),"Light Porcelain")</f>
        <v>Light Porcelain</v>
      </c>
      <c r="F165" s="182" t="str">
        <f>IFERROR(__xludf.DUMMYFUNCTION("""COMPUTED_VALUE"""),"256GB")</f>
        <v>256GB</v>
      </c>
      <c r="G165" s="182" t="str">
        <f>IFERROR(__xludf.DUMMYFUNCTION("""COMPUTED_VALUE"""),"JP")</f>
        <v>JP</v>
      </c>
      <c r="H165" s="168">
        <f>IFERROR(__xludf.DUMMYFUNCTION("""COMPUTED_VALUE"""),8.40353937802E11)</f>
        <v>840353937802</v>
      </c>
      <c r="I165" s="185" t="str">
        <f>IFERROR(__xludf.DUMMYFUNCTION("""COMPUTED_VALUE"""),"0840353937802")</f>
        <v>0840353937802</v>
      </c>
      <c r="J165" s="182" t="str">
        <f>IFERROR(__xludf.DUMMYFUNCTION("""COMPUTED_VALUE"""),"#N/A")</f>
        <v>#N/A</v>
      </c>
      <c r="K165" s="182" t="str">
        <f>IFERROR(__xludf.DUMMYFUNCTION("""COMPUTED_VALUE"""),"GN4F5")</f>
        <v>GN4F5</v>
      </c>
      <c r="L165" s="182" t="str">
        <f>IFERROR(__xludf.DUMMYFUNCTION("""COMPUTED_VALUE"""),"JP")</f>
        <v>JP</v>
      </c>
    </row>
    <row r="166">
      <c r="A166" s="182" t="str">
        <f>IFERROR(__xludf.DUMMYFUNCTION("""COMPUTED_VALUE"""),"GA10802-JP-N")</f>
        <v>GA10802-JP-N</v>
      </c>
      <c r="B166" s="182" t="str">
        <f>IFERROR(__xludf.DUMMYFUNCTION("""COMPUTED_VALUE"""),"SKU,CLR3, BETTER, SUB6, JP, PRESS, BZ5")</f>
        <v>SKU,CLR3, BETTER, SUB6, JP, PRESS, BZ5</v>
      </c>
      <c r="C166" s="182" t="str">
        <f>IFERROR(__xludf.DUMMYFUNCTION("""COMPUTED_VALUE"""),"BETTER")</f>
        <v>BETTER</v>
      </c>
      <c r="D166" s="182" t="str">
        <f>IFERROR(__xludf.DUMMYFUNCTION("""COMPUTED_VALUE"""),"CLR3")</f>
        <v>CLR3</v>
      </c>
      <c r="E166" s="182" t="str">
        <f>IFERROR(__xludf.DUMMYFUNCTION("""COMPUTED_VALUE"""),"Sterling")</f>
        <v>Sterling</v>
      </c>
      <c r="F166" s="182" t="str">
        <f>IFERROR(__xludf.DUMMYFUNCTION("""COMPUTED_VALUE"""),"256GB")</f>
        <v>256GB</v>
      </c>
      <c r="G166" s="182" t="str">
        <f>IFERROR(__xludf.DUMMYFUNCTION("""COMPUTED_VALUE"""),"JP")</f>
        <v>JP</v>
      </c>
      <c r="H166" s="168">
        <f>IFERROR(__xludf.DUMMYFUNCTION("""COMPUTED_VALUE"""),8.4035393784E11)</f>
        <v>840353937840</v>
      </c>
      <c r="I166" s="185" t="str">
        <f>IFERROR(__xludf.DUMMYFUNCTION("""COMPUTED_VALUE"""),"0840353937840")</f>
        <v>0840353937840</v>
      </c>
      <c r="J166" s="182" t="str">
        <f>IFERROR(__xludf.DUMMYFUNCTION("""COMPUTED_VALUE"""),"#N/A")</f>
        <v>#N/A</v>
      </c>
      <c r="K166" s="182" t="str">
        <f>IFERROR(__xludf.DUMMYFUNCTION("""COMPUTED_VALUE"""),"GN4F5")</f>
        <v>GN4F5</v>
      </c>
      <c r="L166" s="182" t="str">
        <f>IFERROR(__xludf.DUMMYFUNCTION("""COMPUTED_VALUE"""),"JP")</f>
        <v>JP</v>
      </c>
    </row>
    <row r="167">
      <c r="A167" s="182" t="str">
        <f>IFERROR(__xludf.DUMMYFUNCTION("""COMPUTED_VALUE"""),"GA10803-JP-N")</f>
        <v>GA10803-JP-N</v>
      </c>
      <c r="B167" s="182" t="str">
        <f>IFERROR(__xludf.DUMMYFUNCTION("""COMPUTED_VALUE"""),"SKU,CLR4, BETTER, SUB6, JP, PRESS, BZ5")</f>
        <v>SKU,CLR4, BETTER, SUB6, JP, PRESS, BZ5</v>
      </c>
      <c r="C167" s="182" t="str">
        <f>IFERROR(__xludf.DUMMYFUNCTION("""COMPUTED_VALUE"""),"BETTER")</f>
        <v>BETTER</v>
      </c>
      <c r="D167" s="182" t="str">
        <f>IFERROR(__xludf.DUMMYFUNCTION("""COMPUTED_VALUE"""),"CLR4")</f>
        <v>CLR4</v>
      </c>
      <c r="E167" s="182" t="str">
        <f>IFERROR(__xludf.DUMMYFUNCTION("""COMPUTED_VALUE"""),"Smokey Green")</f>
        <v>Smokey Green</v>
      </c>
      <c r="F167" s="182" t="str">
        <f>IFERROR(__xludf.DUMMYFUNCTION("""COMPUTED_VALUE"""),"256GB")</f>
        <v>256GB</v>
      </c>
      <c r="G167" s="182" t="str">
        <f>IFERROR(__xludf.DUMMYFUNCTION("""COMPUTED_VALUE"""),"JP")</f>
        <v>JP</v>
      </c>
      <c r="H167" s="168">
        <f>IFERROR(__xludf.DUMMYFUNCTION("""COMPUTED_VALUE"""),8.40353937888E11)</f>
        <v>840353937888</v>
      </c>
      <c r="I167" s="185" t="str">
        <f>IFERROR(__xludf.DUMMYFUNCTION("""COMPUTED_VALUE"""),"0840353937888")</f>
        <v>0840353937888</v>
      </c>
      <c r="J167" s="182" t="str">
        <f>IFERROR(__xludf.DUMMYFUNCTION("""COMPUTED_VALUE"""),"#N/A")</f>
        <v>#N/A</v>
      </c>
      <c r="K167" s="182" t="str">
        <f>IFERROR(__xludf.DUMMYFUNCTION("""COMPUTED_VALUE"""),"GN4F5")</f>
        <v>GN4F5</v>
      </c>
      <c r="L167" s="182" t="str">
        <f>IFERROR(__xludf.DUMMYFUNCTION("""COMPUTED_VALUE"""),"JP")</f>
        <v>JP</v>
      </c>
    </row>
    <row r="168">
      <c r="A168" s="182" t="str">
        <f>IFERROR(__xludf.DUMMYFUNCTION("""COMPUTED_VALUE"""),"GA10796-CA-N")</f>
        <v>GA10796-CA-N</v>
      </c>
      <c r="B168" s="182" t="str">
        <f>IFERROR(__xludf.DUMMYFUNCTION("""COMPUTED_VALUE"""),"SKU,CLR1, GOOD, SUB6, CA/TW/SG/AU/MY/MX, PRESS, BZ5")</f>
        <v>SKU,CLR1, GOOD, SUB6, CA/TW/SG/AU/MY/MX, PRESS, BZ5</v>
      </c>
      <c r="C168" s="182" t="str">
        <f>IFERROR(__xludf.DUMMYFUNCTION("""COMPUTED_VALUE"""),"GOOD")</f>
        <v>GOOD</v>
      </c>
      <c r="D168" s="182" t="str">
        <f>IFERROR(__xludf.DUMMYFUNCTION("""COMPUTED_VALUE"""),"CLR1")</f>
        <v>CLR1</v>
      </c>
      <c r="E168" s="182" t="str">
        <f>IFERROR(__xludf.DUMMYFUNCTION("""COMPUTED_VALUE"""),"Midnight")</f>
        <v>Midnight</v>
      </c>
      <c r="F168" s="182" t="str">
        <f>IFERROR(__xludf.DUMMYFUNCTION("""COMPUTED_VALUE"""),"128GB")</f>
        <v>128GB</v>
      </c>
      <c r="G168" s="182" t="str">
        <f>IFERROR(__xludf.DUMMYFUNCTION("""COMPUTED_VALUE"""),"CA/TW/SG/AU/MY/MX")</f>
        <v>CA/TW/SG/AU/MY/MX</v>
      </c>
      <c r="H168" s="168">
        <f>IFERROR(__xludf.DUMMYFUNCTION("""COMPUTED_VALUE"""),8.40353937611E11)</f>
        <v>840353937611</v>
      </c>
      <c r="I168" s="185" t="str">
        <f>IFERROR(__xludf.DUMMYFUNCTION("""COMPUTED_VALUE"""),"0840353937611")</f>
        <v>0840353937611</v>
      </c>
      <c r="J168" s="182" t="str">
        <f>IFERROR(__xludf.DUMMYFUNCTION("""COMPUTED_VALUE"""),"#N/A")</f>
        <v>#N/A</v>
      </c>
      <c r="K168" s="182" t="str">
        <f>IFERROR(__xludf.DUMMYFUNCTION("""COMPUTED_VALUE"""),"GEHN3")</f>
        <v>GEHN3</v>
      </c>
      <c r="L168" s="182" t="str">
        <f>IFERROR(__xludf.DUMMYFUNCTION("""COMPUTED_VALUE"""),"ROW")</f>
        <v>ROW</v>
      </c>
    </row>
    <row r="169">
      <c r="A169" s="182" t="str">
        <f>IFERROR(__xludf.DUMMYFUNCTION("""COMPUTED_VALUE"""),"GA10797-CA-N")</f>
        <v>GA10797-CA-N</v>
      </c>
      <c r="B169" s="182" t="str">
        <f>IFERROR(__xludf.DUMMYFUNCTION("""COMPUTED_VALUE"""),"SKU,CLR2, GOOD, SUB6, CA/TW/SG/AU/MY/MX, PRESS, BZ5")</f>
        <v>SKU,CLR2, GOOD, SUB6, CA/TW/SG/AU/MY/MX, PRESS, BZ5</v>
      </c>
      <c r="C169" s="182" t="str">
        <f>IFERROR(__xludf.DUMMYFUNCTION("""COMPUTED_VALUE"""),"GOOD")</f>
        <v>GOOD</v>
      </c>
      <c r="D169" s="182" t="str">
        <f>IFERROR(__xludf.DUMMYFUNCTION("""COMPUTED_VALUE"""),"CLR2")</f>
        <v>CLR2</v>
      </c>
      <c r="E169" s="182" t="str">
        <f>IFERROR(__xludf.DUMMYFUNCTION("""COMPUTED_VALUE"""),"Light Porcelain")</f>
        <v>Light Porcelain</v>
      </c>
      <c r="F169" s="182" t="str">
        <f>IFERROR(__xludf.DUMMYFUNCTION("""COMPUTED_VALUE"""),"128GB")</f>
        <v>128GB</v>
      </c>
      <c r="G169" s="182" t="str">
        <f>IFERROR(__xludf.DUMMYFUNCTION("""COMPUTED_VALUE"""),"CA/TW/SG/AU/MY/MX")</f>
        <v>CA/TW/SG/AU/MY/MX</v>
      </c>
      <c r="H169" s="168">
        <f>IFERROR(__xludf.DUMMYFUNCTION("""COMPUTED_VALUE"""),8.40353937659E11)</f>
        <v>840353937659</v>
      </c>
      <c r="I169" s="185" t="str">
        <f>IFERROR(__xludf.DUMMYFUNCTION("""COMPUTED_VALUE"""),"0840353937659")</f>
        <v>0840353937659</v>
      </c>
      <c r="J169" s="182" t="str">
        <f>IFERROR(__xludf.DUMMYFUNCTION("""COMPUTED_VALUE"""),"#N/A")</f>
        <v>#N/A</v>
      </c>
      <c r="K169" s="182" t="str">
        <f>IFERROR(__xludf.DUMMYFUNCTION("""COMPUTED_VALUE"""),"GEHN3")</f>
        <v>GEHN3</v>
      </c>
      <c r="L169" s="182" t="str">
        <f>IFERROR(__xludf.DUMMYFUNCTION("""COMPUTED_VALUE"""),"ROW")</f>
        <v>ROW</v>
      </c>
    </row>
    <row r="170">
      <c r="A170" s="182" t="str">
        <f>IFERROR(__xludf.DUMMYFUNCTION("""COMPUTED_VALUE"""),"GA10798-CA-N")</f>
        <v>GA10798-CA-N</v>
      </c>
      <c r="B170" s="182" t="str">
        <f>IFERROR(__xludf.DUMMYFUNCTION("""COMPUTED_VALUE"""),"SKU,CLR3, GOOD, SUB6, CA/TW/SG/AU/MY/MX, PRESS, BZ5")</f>
        <v>SKU,CLR3, GOOD, SUB6, CA/TW/SG/AU/MY/MX, PRESS, BZ5</v>
      </c>
      <c r="C170" s="182" t="str">
        <f>IFERROR(__xludf.DUMMYFUNCTION("""COMPUTED_VALUE"""),"GOOD")</f>
        <v>GOOD</v>
      </c>
      <c r="D170" s="182" t="str">
        <f>IFERROR(__xludf.DUMMYFUNCTION("""COMPUTED_VALUE"""),"CLR3")</f>
        <v>CLR3</v>
      </c>
      <c r="E170" s="182" t="str">
        <f>IFERROR(__xludf.DUMMYFUNCTION("""COMPUTED_VALUE"""),"Sterling")</f>
        <v>Sterling</v>
      </c>
      <c r="F170" s="182" t="str">
        <f>IFERROR(__xludf.DUMMYFUNCTION("""COMPUTED_VALUE"""),"128GB")</f>
        <v>128GB</v>
      </c>
      <c r="G170" s="182" t="str">
        <f>IFERROR(__xludf.DUMMYFUNCTION("""COMPUTED_VALUE"""),"CA/TW/SG/AU/MY/MX")</f>
        <v>CA/TW/SG/AU/MY/MX</v>
      </c>
      <c r="H170" s="168">
        <f>IFERROR(__xludf.DUMMYFUNCTION("""COMPUTED_VALUE"""),8.40353937697E11)</f>
        <v>840353937697</v>
      </c>
      <c r="I170" s="185" t="str">
        <f>IFERROR(__xludf.DUMMYFUNCTION("""COMPUTED_VALUE"""),"0840353937697")</f>
        <v>0840353937697</v>
      </c>
      <c r="J170" s="182" t="str">
        <f>IFERROR(__xludf.DUMMYFUNCTION("""COMPUTED_VALUE"""),"#N/A")</f>
        <v>#N/A</v>
      </c>
      <c r="K170" s="182" t="str">
        <f>IFERROR(__xludf.DUMMYFUNCTION("""COMPUTED_VALUE"""),"GEHN3")</f>
        <v>GEHN3</v>
      </c>
      <c r="L170" s="182" t="str">
        <f>IFERROR(__xludf.DUMMYFUNCTION("""COMPUTED_VALUE"""),"ROW")</f>
        <v>ROW</v>
      </c>
    </row>
    <row r="171">
      <c r="A171" s="182" t="str">
        <f>IFERROR(__xludf.DUMMYFUNCTION("""COMPUTED_VALUE"""),"GA10799-CA-N")</f>
        <v>GA10799-CA-N</v>
      </c>
      <c r="B171" s="182" t="str">
        <f>IFERROR(__xludf.DUMMYFUNCTION("""COMPUTED_VALUE"""),"SKU,CLR4, GOOD, SUB6, CA/TW/SG/AU/MY/MX, PRESS, BZ5")</f>
        <v>SKU,CLR4, GOOD, SUB6, CA/TW/SG/AU/MY/MX, PRESS, BZ5</v>
      </c>
      <c r="C171" s="182" t="str">
        <f>IFERROR(__xludf.DUMMYFUNCTION("""COMPUTED_VALUE"""),"GOOD")</f>
        <v>GOOD</v>
      </c>
      <c r="D171" s="182" t="str">
        <f>IFERROR(__xludf.DUMMYFUNCTION("""COMPUTED_VALUE"""),"CLR4")</f>
        <v>CLR4</v>
      </c>
      <c r="E171" s="182" t="str">
        <f>IFERROR(__xludf.DUMMYFUNCTION("""COMPUTED_VALUE"""),"Smokey Green")</f>
        <v>Smokey Green</v>
      </c>
      <c r="F171" s="182" t="str">
        <f>IFERROR(__xludf.DUMMYFUNCTION("""COMPUTED_VALUE"""),"128GB")</f>
        <v>128GB</v>
      </c>
      <c r="G171" s="182" t="str">
        <f>IFERROR(__xludf.DUMMYFUNCTION("""COMPUTED_VALUE"""),"CA/TW/SG/AU/MY/MX")</f>
        <v>CA/TW/SG/AU/MY/MX</v>
      </c>
      <c r="H171" s="168">
        <f>IFERROR(__xludf.DUMMYFUNCTION("""COMPUTED_VALUE"""),8.40353937734E11)</f>
        <v>840353937734</v>
      </c>
      <c r="I171" s="185" t="str">
        <f>IFERROR(__xludf.DUMMYFUNCTION("""COMPUTED_VALUE"""),"0840353937734")</f>
        <v>0840353937734</v>
      </c>
      <c r="J171" s="182" t="str">
        <f>IFERROR(__xludf.DUMMYFUNCTION("""COMPUTED_VALUE"""),"#N/A")</f>
        <v>#N/A</v>
      </c>
      <c r="K171" s="182" t="str">
        <f>IFERROR(__xludf.DUMMYFUNCTION("""COMPUTED_VALUE"""),"GEHN3")</f>
        <v>GEHN3</v>
      </c>
      <c r="L171" s="182" t="str">
        <f>IFERROR(__xludf.DUMMYFUNCTION("""COMPUTED_VALUE"""),"ROW")</f>
        <v>ROW</v>
      </c>
    </row>
    <row r="172">
      <c r="A172" s="182" t="str">
        <f>IFERROR(__xludf.DUMMYFUNCTION("""COMPUTED_VALUE"""),"GA10800-CA-N")</f>
        <v>GA10800-CA-N</v>
      </c>
      <c r="B172" s="182" t="str">
        <f>IFERROR(__xludf.DUMMYFUNCTION("""COMPUTED_VALUE"""),"SKU,CLR1, BETTER, SUB6, CA/TW/SG/AU/MY/MX, PRESS, BZ5")</f>
        <v>SKU,CLR1, BETTER, SUB6, CA/TW/SG/AU/MY/MX, PRESS, BZ5</v>
      </c>
      <c r="C172" s="182" t="str">
        <f>IFERROR(__xludf.DUMMYFUNCTION("""COMPUTED_VALUE"""),"BETTER")</f>
        <v>BETTER</v>
      </c>
      <c r="D172" s="182" t="str">
        <f>IFERROR(__xludf.DUMMYFUNCTION("""COMPUTED_VALUE"""),"CLR1")</f>
        <v>CLR1</v>
      </c>
      <c r="E172" s="182" t="str">
        <f>IFERROR(__xludf.DUMMYFUNCTION("""COMPUTED_VALUE"""),"Midnight")</f>
        <v>Midnight</v>
      </c>
      <c r="F172" s="182" t="str">
        <f>IFERROR(__xludf.DUMMYFUNCTION("""COMPUTED_VALUE"""),"256GB")</f>
        <v>256GB</v>
      </c>
      <c r="G172" s="182" t="str">
        <f>IFERROR(__xludf.DUMMYFUNCTION("""COMPUTED_VALUE"""),"CA/TW/SG/AU/MY/MX")</f>
        <v>CA/TW/SG/AU/MY/MX</v>
      </c>
      <c r="H172" s="168">
        <f>IFERROR(__xludf.DUMMYFUNCTION("""COMPUTED_VALUE"""),8.40353937772E11)</f>
        <v>840353937772</v>
      </c>
      <c r="I172" s="185" t="str">
        <f>IFERROR(__xludf.DUMMYFUNCTION("""COMPUTED_VALUE"""),"0840353937772")</f>
        <v>0840353937772</v>
      </c>
      <c r="J172" s="182" t="str">
        <f>IFERROR(__xludf.DUMMYFUNCTION("""COMPUTED_VALUE"""),"#N/A")</f>
        <v>#N/A</v>
      </c>
      <c r="K172" s="182" t="str">
        <f>IFERROR(__xludf.DUMMYFUNCTION("""COMPUTED_VALUE"""),"GEHN3")</f>
        <v>GEHN3</v>
      </c>
      <c r="L172" s="182" t="str">
        <f>IFERROR(__xludf.DUMMYFUNCTION("""COMPUTED_VALUE"""),"ROW")</f>
        <v>ROW</v>
      </c>
    </row>
    <row r="173">
      <c r="A173" s="182" t="str">
        <f>IFERROR(__xludf.DUMMYFUNCTION("""COMPUTED_VALUE"""),"GA10801-CA-N")</f>
        <v>GA10801-CA-N</v>
      </c>
      <c r="B173" s="182" t="str">
        <f>IFERROR(__xludf.DUMMYFUNCTION("""COMPUTED_VALUE"""),"SKU,CLR2, BETTER, SUB6, CA/TW/SG/AU/MY/MX, PRESS, BZ5")</f>
        <v>SKU,CLR2, BETTER, SUB6, CA/TW/SG/AU/MY/MX, PRESS, BZ5</v>
      </c>
      <c r="C173" s="182" t="str">
        <f>IFERROR(__xludf.DUMMYFUNCTION("""COMPUTED_VALUE"""),"BETTER")</f>
        <v>BETTER</v>
      </c>
      <c r="D173" s="182" t="str">
        <f>IFERROR(__xludf.DUMMYFUNCTION("""COMPUTED_VALUE"""),"CLR2")</f>
        <v>CLR2</v>
      </c>
      <c r="E173" s="182" t="str">
        <f>IFERROR(__xludf.DUMMYFUNCTION("""COMPUTED_VALUE"""),"Light Porcelain")</f>
        <v>Light Porcelain</v>
      </c>
      <c r="F173" s="182" t="str">
        <f>IFERROR(__xludf.DUMMYFUNCTION("""COMPUTED_VALUE"""),"256GB")</f>
        <v>256GB</v>
      </c>
      <c r="G173" s="182" t="str">
        <f>IFERROR(__xludf.DUMMYFUNCTION("""COMPUTED_VALUE"""),"CA/TW/SG/AU/MY/MX")</f>
        <v>CA/TW/SG/AU/MY/MX</v>
      </c>
      <c r="H173" s="168">
        <f>IFERROR(__xludf.DUMMYFUNCTION("""COMPUTED_VALUE"""),8.40353937819E11)</f>
        <v>840353937819</v>
      </c>
      <c r="I173" s="185" t="str">
        <f>IFERROR(__xludf.DUMMYFUNCTION("""COMPUTED_VALUE"""),"0840353937819")</f>
        <v>0840353937819</v>
      </c>
      <c r="J173" s="182" t="str">
        <f>IFERROR(__xludf.DUMMYFUNCTION("""COMPUTED_VALUE"""),"#N/A")</f>
        <v>#N/A</v>
      </c>
      <c r="K173" s="182" t="str">
        <f>IFERROR(__xludf.DUMMYFUNCTION("""COMPUTED_VALUE"""),"GEHN3")</f>
        <v>GEHN3</v>
      </c>
      <c r="L173" s="182" t="str">
        <f>IFERROR(__xludf.DUMMYFUNCTION("""COMPUTED_VALUE"""),"ROW")</f>
        <v>ROW</v>
      </c>
    </row>
    <row r="174">
      <c r="A174" s="182" t="str">
        <f>IFERROR(__xludf.DUMMYFUNCTION("""COMPUTED_VALUE"""),"GA10802-CA-N")</f>
        <v>GA10802-CA-N</v>
      </c>
      <c r="B174" s="182" t="str">
        <f>IFERROR(__xludf.DUMMYFUNCTION("""COMPUTED_VALUE"""),"SKU,CLR3, BETTER, SUB6, CA/TW/SG/AU/MY/MX, PRESS, BZ5")</f>
        <v>SKU,CLR3, BETTER, SUB6, CA/TW/SG/AU/MY/MX, PRESS, BZ5</v>
      </c>
      <c r="C174" s="182" t="str">
        <f>IFERROR(__xludf.DUMMYFUNCTION("""COMPUTED_VALUE"""),"BETTER")</f>
        <v>BETTER</v>
      </c>
      <c r="D174" s="182" t="str">
        <f>IFERROR(__xludf.DUMMYFUNCTION("""COMPUTED_VALUE"""),"CLR3")</f>
        <v>CLR3</v>
      </c>
      <c r="E174" s="182" t="str">
        <f>IFERROR(__xludf.DUMMYFUNCTION("""COMPUTED_VALUE"""),"Sterling")</f>
        <v>Sterling</v>
      </c>
      <c r="F174" s="182" t="str">
        <f>IFERROR(__xludf.DUMMYFUNCTION("""COMPUTED_VALUE"""),"256GB")</f>
        <v>256GB</v>
      </c>
      <c r="G174" s="182" t="str">
        <f>IFERROR(__xludf.DUMMYFUNCTION("""COMPUTED_VALUE"""),"CA/TW/SG/AU/MY/MX")</f>
        <v>CA/TW/SG/AU/MY/MX</v>
      </c>
      <c r="H174" s="168">
        <f>IFERROR(__xludf.DUMMYFUNCTION("""COMPUTED_VALUE"""),8.40353937857E11)</f>
        <v>840353937857</v>
      </c>
      <c r="I174" s="185" t="str">
        <f>IFERROR(__xludf.DUMMYFUNCTION("""COMPUTED_VALUE"""),"0840353937857")</f>
        <v>0840353937857</v>
      </c>
      <c r="J174" s="182" t="str">
        <f>IFERROR(__xludf.DUMMYFUNCTION("""COMPUTED_VALUE"""),"#N/A")</f>
        <v>#N/A</v>
      </c>
      <c r="K174" s="182" t="str">
        <f>IFERROR(__xludf.DUMMYFUNCTION("""COMPUTED_VALUE"""),"GEHN3")</f>
        <v>GEHN3</v>
      </c>
      <c r="L174" s="182" t="str">
        <f>IFERROR(__xludf.DUMMYFUNCTION("""COMPUTED_VALUE"""),"ROW")</f>
        <v>ROW</v>
      </c>
    </row>
    <row r="175">
      <c r="A175" s="182" t="str">
        <f>IFERROR(__xludf.DUMMYFUNCTION("""COMPUTED_VALUE"""),"GA10803-CA-N")</f>
        <v>GA10803-CA-N</v>
      </c>
      <c r="B175" s="182" t="str">
        <f>IFERROR(__xludf.DUMMYFUNCTION("""COMPUTED_VALUE"""),"SKU,CLR4, BETTER, SUB6, CA/TW/SG/AU/MY/MX, PRESS, BZ5")</f>
        <v>SKU,CLR4, BETTER, SUB6, CA/TW/SG/AU/MY/MX, PRESS, BZ5</v>
      </c>
      <c r="C175" s="182" t="str">
        <f>IFERROR(__xludf.DUMMYFUNCTION("""COMPUTED_VALUE"""),"BETTER")</f>
        <v>BETTER</v>
      </c>
      <c r="D175" s="182" t="str">
        <f>IFERROR(__xludf.DUMMYFUNCTION("""COMPUTED_VALUE"""),"CLR4")</f>
        <v>CLR4</v>
      </c>
      <c r="E175" s="182" t="str">
        <f>IFERROR(__xludf.DUMMYFUNCTION("""COMPUTED_VALUE"""),"Smokey Green")</f>
        <v>Smokey Green</v>
      </c>
      <c r="F175" s="182" t="str">
        <f>IFERROR(__xludf.DUMMYFUNCTION("""COMPUTED_VALUE"""),"256GB")</f>
        <v>256GB</v>
      </c>
      <c r="G175" s="182" t="str">
        <f>IFERROR(__xludf.DUMMYFUNCTION("""COMPUTED_VALUE"""),"CA/TW/SG/AU/MY/MX")</f>
        <v>CA/TW/SG/AU/MY/MX</v>
      </c>
      <c r="H175" s="168">
        <f>IFERROR(__xludf.DUMMYFUNCTION("""COMPUTED_VALUE"""),8.40353937895E11)</f>
        <v>840353937895</v>
      </c>
      <c r="I175" s="185" t="str">
        <f>IFERROR(__xludf.DUMMYFUNCTION("""COMPUTED_VALUE"""),"0840353937895")</f>
        <v>0840353937895</v>
      </c>
      <c r="J175" s="182" t="str">
        <f>IFERROR(__xludf.DUMMYFUNCTION("""COMPUTED_VALUE"""),"#N/A")</f>
        <v>#N/A</v>
      </c>
      <c r="K175" s="182" t="str">
        <f>IFERROR(__xludf.DUMMYFUNCTION("""COMPUTED_VALUE"""),"GEHN3")</f>
        <v>GEHN3</v>
      </c>
      <c r="L175" s="182" t="str">
        <f>IFERROR(__xludf.DUMMYFUNCTION("""COMPUTED_VALUE"""),"ROW")</f>
        <v>ROW</v>
      </c>
    </row>
    <row r="176">
      <c r="A176" s="182" t="str">
        <f>IFERROR(__xludf.DUMMYFUNCTION("""COMPUTED_VALUE"""),"GA10796-GB-N")</f>
        <v>GA10796-GB-N</v>
      </c>
      <c r="B176" s="182" t="str">
        <f>IFERROR(__xludf.DUMMYFUNCTION("""COMPUTED_VALUE"""),"SKU,CLR1, GOOD, SUB6, UK/EU, PRESS, BZ5")</f>
        <v>SKU,CLR1, GOOD, SUB6, UK/EU, PRESS, BZ5</v>
      </c>
      <c r="C176" s="182" t="str">
        <f>IFERROR(__xludf.DUMMYFUNCTION("""COMPUTED_VALUE"""),"GOOD")</f>
        <v>GOOD</v>
      </c>
      <c r="D176" s="182" t="str">
        <f>IFERROR(__xludf.DUMMYFUNCTION("""COMPUTED_VALUE"""),"CLR1")</f>
        <v>CLR1</v>
      </c>
      <c r="E176" s="182" t="str">
        <f>IFERROR(__xludf.DUMMYFUNCTION("""COMPUTED_VALUE"""),"Midnight")</f>
        <v>Midnight</v>
      </c>
      <c r="F176" s="182" t="str">
        <f>IFERROR(__xludf.DUMMYFUNCTION("""COMPUTED_VALUE"""),"128GB")</f>
        <v>128GB</v>
      </c>
      <c r="G176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76" s="168">
        <f>IFERROR(__xludf.DUMMYFUNCTION("""COMPUTED_VALUE"""),8.40353937628E11)</f>
        <v>840353937628</v>
      </c>
      <c r="I176" s="185" t="str">
        <f>IFERROR(__xludf.DUMMYFUNCTION("""COMPUTED_VALUE"""),"0840353937628")</f>
        <v>0840353937628</v>
      </c>
      <c r="J176" s="182" t="str">
        <f>IFERROR(__xludf.DUMMYFUNCTION("""COMPUTED_VALUE"""),"#N/A")</f>
        <v>#N/A</v>
      </c>
      <c r="K176" s="182" t="str">
        <f>IFERROR(__xludf.DUMMYFUNCTION("""COMPUTED_VALUE"""),"GEHN3")</f>
        <v>GEHN3</v>
      </c>
      <c r="L176" s="182" t="str">
        <f>IFERROR(__xludf.DUMMYFUNCTION("""COMPUTED_VALUE"""),"ROW")</f>
        <v>ROW</v>
      </c>
    </row>
    <row r="177">
      <c r="A177" s="182" t="str">
        <f>IFERROR(__xludf.DUMMYFUNCTION("""COMPUTED_VALUE"""),"GA10797-GB-N")</f>
        <v>GA10797-GB-N</v>
      </c>
      <c r="B177" s="182" t="str">
        <f>IFERROR(__xludf.DUMMYFUNCTION("""COMPUTED_VALUE"""),"SKU,CLR2, GOOD, SUB6, UK/EU, PRESS, BZ5")</f>
        <v>SKU,CLR2, GOOD, SUB6, UK/EU, PRESS, BZ5</v>
      </c>
      <c r="C177" s="182" t="str">
        <f>IFERROR(__xludf.DUMMYFUNCTION("""COMPUTED_VALUE"""),"GOOD")</f>
        <v>GOOD</v>
      </c>
      <c r="D177" s="182" t="str">
        <f>IFERROR(__xludf.DUMMYFUNCTION("""COMPUTED_VALUE"""),"CLR2")</f>
        <v>CLR2</v>
      </c>
      <c r="E177" s="182" t="str">
        <f>IFERROR(__xludf.DUMMYFUNCTION("""COMPUTED_VALUE"""),"Light Porcelain")</f>
        <v>Light Porcelain</v>
      </c>
      <c r="F177" s="182" t="str">
        <f>IFERROR(__xludf.DUMMYFUNCTION("""COMPUTED_VALUE"""),"128GB")</f>
        <v>128GB</v>
      </c>
      <c r="G177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77" s="168">
        <f>IFERROR(__xludf.DUMMYFUNCTION("""COMPUTED_VALUE"""),8.40353937666E11)</f>
        <v>840353937666</v>
      </c>
      <c r="I177" s="185" t="str">
        <f>IFERROR(__xludf.DUMMYFUNCTION("""COMPUTED_VALUE"""),"0840353937666")</f>
        <v>0840353937666</v>
      </c>
      <c r="J177" s="182" t="str">
        <f>IFERROR(__xludf.DUMMYFUNCTION("""COMPUTED_VALUE"""),"#N/A")</f>
        <v>#N/A</v>
      </c>
      <c r="K177" s="182" t="str">
        <f>IFERROR(__xludf.DUMMYFUNCTION("""COMPUTED_VALUE"""),"GEHN3")</f>
        <v>GEHN3</v>
      </c>
      <c r="L177" s="182" t="str">
        <f>IFERROR(__xludf.DUMMYFUNCTION("""COMPUTED_VALUE"""),"ROW")</f>
        <v>ROW</v>
      </c>
    </row>
    <row r="178">
      <c r="A178" s="182" t="str">
        <f>IFERROR(__xludf.DUMMYFUNCTION("""COMPUTED_VALUE"""),"GA10798-GB-N")</f>
        <v>GA10798-GB-N</v>
      </c>
      <c r="B178" s="182" t="str">
        <f>IFERROR(__xludf.DUMMYFUNCTION("""COMPUTED_VALUE"""),"SKU,CLR3, GOOD, SUB6, UK/EU, PRESS, BZ5")</f>
        <v>SKU,CLR3, GOOD, SUB6, UK/EU, PRESS, BZ5</v>
      </c>
      <c r="C178" s="182" t="str">
        <f>IFERROR(__xludf.DUMMYFUNCTION("""COMPUTED_VALUE"""),"GOOD")</f>
        <v>GOOD</v>
      </c>
      <c r="D178" s="182" t="str">
        <f>IFERROR(__xludf.DUMMYFUNCTION("""COMPUTED_VALUE"""),"CLR3")</f>
        <v>CLR3</v>
      </c>
      <c r="E178" s="182" t="str">
        <f>IFERROR(__xludf.DUMMYFUNCTION("""COMPUTED_VALUE"""),"Sterling")</f>
        <v>Sterling</v>
      </c>
      <c r="F178" s="182" t="str">
        <f>IFERROR(__xludf.DUMMYFUNCTION("""COMPUTED_VALUE"""),"128GB")</f>
        <v>128GB</v>
      </c>
      <c r="G178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78" s="168">
        <f>IFERROR(__xludf.DUMMYFUNCTION("""COMPUTED_VALUE"""),8.40353937703E11)</f>
        <v>840353937703</v>
      </c>
      <c r="I178" s="185" t="str">
        <f>IFERROR(__xludf.DUMMYFUNCTION("""COMPUTED_VALUE"""),"0840353937703")</f>
        <v>0840353937703</v>
      </c>
      <c r="J178" s="182" t="str">
        <f>IFERROR(__xludf.DUMMYFUNCTION("""COMPUTED_VALUE"""),"#N/A")</f>
        <v>#N/A</v>
      </c>
      <c r="K178" s="182" t="str">
        <f>IFERROR(__xludf.DUMMYFUNCTION("""COMPUTED_VALUE"""),"GEHN3")</f>
        <v>GEHN3</v>
      </c>
      <c r="L178" s="182" t="str">
        <f>IFERROR(__xludf.DUMMYFUNCTION("""COMPUTED_VALUE"""),"ROW")</f>
        <v>ROW</v>
      </c>
    </row>
    <row r="179">
      <c r="A179" s="182" t="str">
        <f>IFERROR(__xludf.DUMMYFUNCTION("""COMPUTED_VALUE"""),"GA10799-GB-N")</f>
        <v>GA10799-GB-N</v>
      </c>
      <c r="B179" s="182" t="str">
        <f>IFERROR(__xludf.DUMMYFUNCTION("""COMPUTED_VALUE"""),"SKU,CLR4, GOOD, SUB6, UK/EU, PRESS, BZ5")</f>
        <v>SKU,CLR4, GOOD, SUB6, UK/EU, PRESS, BZ5</v>
      </c>
      <c r="C179" s="182" t="str">
        <f>IFERROR(__xludf.DUMMYFUNCTION("""COMPUTED_VALUE"""),"GOOD")</f>
        <v>GOOD</v>
      </c>
      <c r="D179" s="182" t="str">
        <f>IFERROR(__xludf.DUMMYFUNCTION("""COMPUTED_VALUE"""),"CLR4")</f>
        <v>CLR4</v>
      </c>
      <c r="E179" s="182" t="str">
        <f>IFERROR(__xludf.DUMMYFUNCTION("""COMPUTED_VALUE"""),"Smokey Green")</f>
        <v>Smokey Green</v>
      </c>
      <c r="F179" s="182" t="str">
        <f>IFERROR(__xludf.DUMMYFUNCTION("""COMPUTED_VALUE"""),"128GB")</f>
        <v>128GB</v>
      </c>
      <c r="G179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79" s="168">
        <f>IFERROR(__xludf.DUMMYFUNCTION("""COMPUTED_VALUE"""),8.40353937741E11)</f>
        <v>840353937741</v>
      </c>
      <c r="I179" s="185" t="str">
        <f>IFERROR(__xludf.DUMMYFUNCTION("""COMPUTED_VALUE"""),"0840353937741")</f>
        <v>0840353937741</v>
      </c>
      <c r="J179" s="182" t="str">
        <f>IFERROR(__xludf.DUMMYFUNCTION("""COMPUTED_VALUE"""),"#N/A")</f>
        <v>#N/A</v>
      </c>
      <c r="K179" s="182" t="str">
        <f>IFERROR(__xludf.DUMMYFUNCTION("""COMPUTED_VALUE"""),"GEHN3")</f>
        <v>GEHN3</v>
      </c>
      <c r="L179" s="182" t="str">
        <f>IFERROR(__xludf.DUMMYFUNCTION("""COMPUTED_VALUE"""),"ROW")</f>
        <v>ROW</v>
      </c>
    </row>
    <row r="180">
      <c r="A180" s="182" t="str">
        <f>IFERROR(__xludf.DUMMYFUNCTION("""COMPUTED_VALUE"""),"GA10800-GB-N")</f>
        <v>GA10800-GB-N</v>
      </c>
      <c r="B180" s="182" t="str">
        <f>IFERROR(__xludf.DUMMYFUNCTION("""COMPUTED_VALUE"""),"SKU,CLR1, BETTER, SUB6, UK/EU, PRESS, BZ5")</f>
        <v>SKU,CLR1, BETTER, SUB6, UK/EU, PRESS, BZ5</v>
      </c>
      <c r="C180" s="182" t="str">
        <f>IFERROR(__xludf.DUMMYFUNCTION("""COMPUTED_VALUE"""),"BETTER")</f>
        <v>BETTER</v>
      </c>
      <c r="D180" s="182" t="str">
        <f>IFERROR(__xludf.DUMMYFUNCTION("""COMPUTED_VALUE"""),"CLR1")</f>
        <v>CLR1</v>
      </c>
      <c r="E180" s="182" t="str">
        <f>IFERROR(__xludf.DUMMYFUNCTION("""COMPUTED_VALUE"""),"Midnight")</f>
        <v>Midnight</v>
      </c>
      <c r="F180" s="182" t="str">
        <f>IFERROR(__xludf.DUMMYFUNCTION("""COMPUTED_VALUE"""),"256GB")</f>
        <v>256GB</v>
      </c>
      <c r="G180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80" s="168">
        <f>IFERROR(__xludf.DUMMYFUNCTION("""COMPUTED_VALUE"""),8.40353937789E11)</f>
        <v>840353937789</v>
      </c>
      <c r="I180" s="185" t="str">
        <f>IFERROR(__xludf.DUMMYFUNCTION("""COMPUTED_VALUE"""),"0840353937789")</f>
        <v>0840353937789</v>
      </c>
      <c r="J180" s="182" t="str">
        <f>IFERROR(__xludf.DUMMYFUNCTION("""COMPUTED_VALUE"""),"#N/A")</f>
        <v>#N/A</v>
      </c>
      <c r="K180" s="182" t="str">
        <f>IFERROR(__xludf.DUMMYFUNCTION("""COMPUTED_VALUE"""),"GEHN3")</f>
        <v>GEHN3</v>
      </c>
      <c r="L180" s="182" t="str">
        <f>IFERROR(__xludf.DUMMYFUNCTION("""COMPUTED_VALUE"""),"ROW")</f>
        <v>ROW</v>
      </c>
    </row>
    <row r="181">
      <c r="A181" s="182" t="str">
        <f>IFERROR(__xludf.DUMMYFUNCTION("""COMPUTED_VALUE"""),"GA10801-GB-N")</f>
        <v>GA10801-GB-N</v>
      </c>
      <c r="B181" s="182" t="str">
        <f>IFERROR(__xludf.DUMMYFUNCTION("""COMPUTED_VALUE"""),"SKU,CLR2, BETTER, SUB6, UK/EU, PRESS, BZ5")</f>
        <v>SKU,CLR2, BETTER, SUB6, UK/EU, PRESS, BZ5</v>
      </c>
      <c r="C181" s="182" t="str">
        <f>IFERROR(__xludf.DUMMYFUNCTION("""COMPUTED_VALUE"""),"BETTER")</f>
        <v>BETTER</v>
      </c>
      <c r="D181" s="182" t="str">
        <f>IFERROR(__xludf.DUMMYFUNCTION("""COMPUTED_VALUE"""),"CLR2")</f>
        <v>CLR2</v>
      </c>
      <c r="E181" s="182" t="str">
        <f>IFERROR(__xludf.DUMMYFUNCTION("""COMPUTED_VALUE"""),"Light Porcelain")</f>
        <v>Light Porcelain</v>
      </c>
      <c r="F181" s="182" t="str">
        <f>IFERROR(__xludf.DUMMYFUNCTION("""COMPUTED_VALUE"""),"256GB")</f>
        <v>256GB</v>
      </c>
      <c r="G181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81" s="168">
        <f>IFERROR(__xludf.DUMMYFUNCTION("""COMPUTED_VALUE"""),8.40353937826E11)</f>
        <v>840353937826</v>
      </c>
      <c r="I181" s="185" t="str">
        <f>IFERROR(__xludf.DUMMYFUNCTION("""COMPUTED_VALUE"""),"0840353937826")</f>
        <v>0840353937826</v>
      </c>
      <c r="J181" s="182" t="str">
        <f>IFERROR(__xludf.DUMMYFUNCTION("""COMPUTED_VALUE"""),"#N/A")</f>
        <v>#N/A</v>
      </c>
      <c r="K181" s="182" t="str">
        <f>IFERROR(__xludf.DUMMYFUNCTION("""COMPUTED_VALUE"""),"GEHN3")</f>
        <v>GEHN3</v>
      </c>
      <c r="L181" s="182" t="str">
        <f>IFERROR(__xludf.DUMMYFUNCTION("""COMPUTED_VALUE"""),"ROW")</f>
        <v>ROW</v>
      </c>
    </row>
    <row r="182">
      <c r="A182" s="182" t="str">
        <f>IFERROR(__xludf.DUMMYFUNCTION("""COMPUTED_VALUE"""),"GA10802-GB-N")</f>
        <v>GA10802-GB-N</v>
      </c>
      <c r="B182" s="182" t="str">
        <f>IFERROR(__xludf.DUMMYFUNCTION("""COMPUTED_VALUE"""),"SKU,CLR3, BETTER, SUB6, UK/EU, PRESS, BZ5")</f>
        <v>SKU,CLR3, BETTER, SUB6, UK/EU, PRESS, BZ5</v>
      </c>
      <c r="C182" s="182" t="str">
        <f>IFERROR(__xludf.DUMMYFUNCTION("""COMPUTED_VALUE"""),"BETTER")</f>
        <v>BETTER</v>
      </c>
      <c r="D182" s="182" t="str">
        <f>IFERROR(__xludf.DUMMYFUNCTION("""COMPUTED_VALUE"""),"CLR3")</f>
        <v>CLR3</v>
      </c>
      <c r="E182" s="182" t="str">
        <f>IFERROR(__xludf.DUMMYFUNCTION("""COMPUTED_VALUE"""),"Sterling")</f>
        <v>Sterling</v>
      </c>
      <c r="F182" s="182" t="str">
        <f>IFERROR(__xludf.DUMMYFUNCTION("""COMPUTED_VALUE"""),"256GB")</f>
        <v>256GB</v>
      </c>
      <c r="G182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82" s="168">
        <f>IFERROR(__xludf.DUMMYFUNCTION("""COMPUTED_VALUE"""),8.40353937864E11)</f>
        <v>840353937864</v>
      </c>
      <c r="I182" s="185" t="str">
        <f>IFERROR(__xludf.DUMMYFUNCTION("""COMPUTED_VALUE"""),"0840353937864")</f>
        <v>0840353937864</v>
      </c>
      <c r="J182" s="182" t="str">
        <f>IFERROR(__xludf.DUMMYFUNCTION("""COMPUTED_VALUE"""),"#N/A")</f>
        <v>#N/A</v>
      </c>
      <c r="K182" s="182" t="str">
        <f>IFERROR(__xludf.DUMMYFUNCTION("""COMPUTED_VALUE"""),"GEHN3")</f>
        <v>GEHN3</v>
      </c>
      <c r="L182" s="182" t="str">
        <f>IFERROR(__xludf.DUMMYFUNCTION("""COMPUTED_VALUE"""),"ROW")</f>
        <v>ROW</v>
      </c>
    </row>
    <row r="183">
      <c r="A183" s="182" t="str">
        <f>IFERROR(__xludf.DUMMYFUNCTION("""COMPUTED_VALUE"""),"GA10803-GB-N")</f>
        <v>GA10803-GB-N</v>
      </c>
      <c r="B183" s="182" t="str">
        <f>IFERROR(__xludf.DUMMYFUNCTION("""COMPUTED_VALUE"""),"SKU,CLR4, BETTER, SUB6, UK/EU, PRESS, BZ5")</f>
        <v>SKU,CLR4, BETTER, SUB6, UK/EU, PRESS, BZ5</v>
      </c>
      <c r="C183" s="182" t="str">
        <f>IFERROR(__xludf.DUMMYFUNCTION("""COMPUTED_VALUE"""),"BETTER")</f>
        <v>BETTER</v>
      </c>
      <c r="D183" s="182" t="str">
        <f>IFERROR(__xludf.DUMMYFUNCTION("""COMPUTED_VALUE"""),"CLR4")</f>
        <v>CLR4</v>
      </c>
      <c r="E183" s="182" t="str">
        <f>IFERROR(__xludf.DUMMYFUNCTION("""COMPUTED_VALUE"""),"Smokey Green")</f>
        <v>Smokey Green</v>
      </c>
      <c r="F183" s="182" t="str">
        <f>IFERROR(__xludf.DUMMYFUNCTION("""COMPUTED_VALUE"""),"256GB")</f>
        <v>256GB</v>
      </c>
      <c r="G183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83" s="168">
        <f>IFERROR(__xludf.DUMMYFUNCTION("""COMPUTED_VALUE"""),8.40353937901E11)</f>
        <v>840353937901</v>
      </c>
      <c r="I183" s="185" t="str">
        <f>IFERROR(__xludf.DUMMYFUNCTION("""COMPUTED_VALUE"""),"0840353937901")</f>
        <v>0840353937901</v>
      </c>
      <c r="J183" s="182" t="str">
        <f>IFERROR(__xludf.DUMMYFUNCTION("""COMPUTED_VALUE"""),"#N/A")</f>
        <v>#N/A</v>
      </c>
      <c r="K183" s="182" t="str">
        <f>IFERROR(__xludf.DUMMYFUNCTION("""COMPUTED_VALUE"""),"GEHN3")</f>
        <v>GEHN3</v>
      </c>
      <c r="L183" s="182" t="str">
        <f>IFERROR(__xludf.DUMMYFUNCTION("""COMPUTED_VALUE"""),"ROW")</f>
        <v>ROW</v>
      </c>
    </row>
    <row r="184">
      <c r="A184" s="182" t="str">
        <f>IFERROR(__xludf.DUMMYFUNCTION("""COMPUTED_VALUE"""),"GA10782-US")</f>
        <v>GA10782-US</v>
      </c>
      <c r="B184" s="182" t="str">
        <f>IFERROR(__xludf.DUMMYFUNCTION("""COMPUTED_VALUE"""),"SKU,CLR1, GOOD, MMWAVE, US GSTORE, DEMO, BZ5")</f>
        <v>SKU,CLR1, GOOD, MMWAVE, US GSTORE, DEMO, BZ5</v>
      </c>
      <c r="C184" s="182" t="str">
        <f>IFERROR(__xludf.DUMMYFUNCTION("""COMPUTED_VALUE"""),"GOOD")</f>
        <v>GOOD</v>
      </c>
      <c r="D184" s="182" t="str">
        <f>IFERROR(__xludf.DUMMYFUNCTION("""COMPUTED_VALUE"""),"CLR1")</f>
        <v>CLR1</v>
      </c>
      <c r="E184" s="182" t="str">
        <f>IFERROR(__xludf.DUMMYFUNCTION("""COMPUTED_VALUE"""),"Midnight")</f>
        <v>Midnight</v>
      </c>
      <c r="F184" s="182" t="str">
        <f>IFERROR(__xludf.DUMMYFUNCTION("""COMPUTED_VALUE"""),"128GB")</f>
        <v>128GB</v>
      </c>
      <c r="G184" s="182" t="str">
        <f>IFERROR(__xludf.DUMMYFUNCTION("""COMPUTED_VALUE"""),"US GStore")</f>
        <v>US GStore</v>
      </c>
      <c r="H184" s="168">
        <f>IFERROR(__xludf.DUMMYFUNCTION("""COMPUTED_VALUE"""),8.40353937932E11)</f>
        <v>840353937932</v>
      </c>
      <c r="I184" s="185" t="str">
        <f>IFERROR(__xludf.DUMMYFUNCTION("""COMPUTED_VALUE"""),"0840353937932")</f>
        <v>0840353937932</v>
      </c>
      <c r="J184" s="182" t="str">
        <f>IFERROR(__xludf.DUMMYFUNCTION("""COMPUTED_VALUE"""),"#N/A")</f>
        <v>#N/A</v>
      </c>
      <c r="K184" s="182" t="str">
        <f>IFERROR(__xludf.DUMMYFUNCTION("""COMPUTED_VALUE"""),"G4QUR")</f>
        <v>G4QUR</v>
      </c>
      <c r="L184" s="182" t="str">
        <f>IFERROR(__xludf.DUMMYFUNCTION("""COMPUTED_VALUE"""),"NA")</f>
        <v>NA</v>
      </c>
    </row>
    <row r="185">
      <c r="A185" s="182" t="str">
        <f>IFERROR(__xludf.DUMMYFUNCTION("""COMPUTED_VALUE"""),"GA10785-US")</f>
        <v>GA10785-US</v>
      </c>
      <c r="B185" s="182" t="str">
        <f>IFERROR(__xludf.DUMMYFUNCTION("""COMPUTED_VALUE"""),"SKU,CLR2, GOOD, MMWAVE, US GSTORE, DEMO, BZ5")</f>
        <v>SKU,CLR2, GOOD, MMWAVE, US GSTORE, DEMO, BZ5</v>
      </c>
      <c r="C185" s="182" t="str">
        <f>IFERROR(__xludf.DUMMYFUNCTION("""COMPUTED_VALUE"""),"GOOD")</f>
        <v>GOOD</v>
      </c>
      <c r="D185" s="182" t="str">
        <f>IFERROR(__xludf.DUMMYFUNCTION("""COMPUTED_VALUE"""),"CLR2")</f>
        <v>CLR2</v>
      </c>
      <c r="E185" s="182" t="str">
        <f>IFERROR(__xludf.DUMMYFUNCTION("""COMPUTED_VALUE"""),"Light Porcelain")</f>
        <v>Light Porcelain</v>
      </c>
      <c r="F185" s="182" t="str">
        <f>IFERROR(__xludf.DUMMYFUNCTION("""COMPUTED_VALUE"""),"128GB")</f>
        <v>128GB</v>
      </c>
      <c r="G185" s="182" t="str">
        <f>IFERROR(__xludf.DUMMYFUNCTION("""COMPUTED_VALUE"""),"US GStore")</f>
        <v>US GStore</v>
      </c>
      <c r="H185" s="168">
        <f>IFERROR(__xludf.DUMMYFUNCTION("""COMPUTED_VALUE"""),8.40353938038E11)</f>
        <v>840353938038</v>
      </c>
      <c r="I185" s="185" t="str">
        <f>IFERROR(__xludf.DUMMYFUNCTION("""COMPUTED_VALUE"""),"0840353938038")</f>
        <v>0840353938038</v>
      </c>
      <c r="J185" s="182" t="str">
        <f>IFERROR(__xludf.DUMMYFUNCTION("""COMPUTED_VALUE"""),"#N/A")</f>
        <v>#N/A</v>
      </c>
      <c r="K185" s="182" t="str">
        <f>IFERROR(__xludf.DUMMYFUNCTION("""COMPUTED_VALUE"""),"G4QUR")</f>
        <v>G4QUR</v>
      </c>
      <c r="L185" s="182" t="str">
        <f>IFERROR(__xludf.DUMMYFUNCTION("""COMPUTED_VALUE"""),"NA")</f>
        <v>NA</v>
      </c>
    </row>
    <row r="186">
      <c r="A186" s="182" t="str">
        <f>IFERROR(__xludf.DUMMYFUNCTION("""COMPUTED_VALUE"""),"GA10788-US")</f>
        <v>GA10788-US</v>
      </c>
      <c r="B186" s="182" t="str">
        <f>IFERROR(__xludf.DUMMYFUNCTION("""COMPUTED_VALUE"""),"SKU,CLR3, GOOD, MMWAVE, US GSTORE, DEMO, BZ5")</f>
        <v>SKU,CLR3, GOOD, MMWAVE, US GSTORE, DEMO, BZ5</v>
      </c>
      <c r="C186" s="182" t="str">
        <f>IFERROR(__xludf.DUMMYFUNCTION("""COMPUTED_VALUE"""),"GOOD")</f>
        <v>GOOD</v>
      </c>
      <c r="D186" s="182" t="str">
        <f>IFERROR(__xludf.DUMMYFUNCTION("""COMPUTED_VALUE"""),"CLR3")</f>
        <v>CLR3</v>
      </c>
      <c r="E186" s="182" t="str">
        <f>IFERROR(__xludf.DUMMYFUNCTION("""COMPUTED_VALUE"""),"Sterling")</f>
        <v>Sterling</v>
      </c>
      <c r="F186" s="182" t="str">
        <f>IFERROR(__xludf.DUMMYFUNCTION("""COMPUTED_VALUE"""),"128GB")</f>
        <v>128GB</v>
      </c>
      <c r="G186" s="182" t="str">
        <f>IFERROR(__xludf.DUMMYFUNCTION("""COMPUTED_VALUE"""),"US GStore")</f>
        <v>US GStore</v>
      </c>
      <c r="H186" s="168">
        <f>IFERROR(__xludf.DUMMYFUNCTION("""COMPUTED_VALUE"""),8.4035393809E11)</f>
        <v>840353938090</v>
      </c>
      <c r="I186" s="185" t="str">
        <f>IFERROR(__xludf.DUMMYFUNCTION("""COMPUTED_VALUE"""),"0840353938090")</f>
        <v>0840353938090</v>
      </c>
      <c r="J186" s="182" t="str">
        <f>IFERROR(__xludf.DUMMYFUNCTION("""COMPUTED_VALUE"""),"#N/A")</f>
        <v>#N/A</v>
      </c>
      <c r="K186" s="182" t="str">
        <f>IFERROR(__xludf.DUMMYFUNCTION("""COMPUTED_VALUE"""),"G4QUR")</f>
        <v>G4QUR</v>
      </c>
      <c r="L186" s="182" t="str">
        <f>IFERROR(__xludf.DUMMYFUNCTION("""COMPUTED_VALUE"""),"NA")</f>
        <v>NA</v>
      </c>
    </row>
    <row r="187">
      <c r="A187" s="182" t="str">
        <f>IFERROR(__xludf.DUMMYFUNCTION("""COMPUTED_VALUE"""),"GA10791-US")</f>
        <v>GA10791-US</v>
      </c>
      <c r="B187" s="182" t="str">
        <f>IFERROR(__xludf.DUMMYFUNCTION("""COMPUTED_VALUE"""),"SKU,CLR4, BETTER, MMWAVE, US GSTORE, DEMO, BZ5")</f>
        <v>SKU,CLR4, BETTER, MMWAVE, US GSTORE, DEMO, BZ5</v>
      </c>
      <c r="C187" s="182" t="str">
        <f>IFERROR(__xludf.DUMMYFUNCTION("""COMPUTED_VALUE"""),"BETTER")</f>
        <v>BETTER</v>
      </c>
      <c r="D187" s="182" t="str">
        <f>IFERROR(__xludf.DUMMYFUNCTION("""COMPUTED_VALUE"""),"CLR4")</f>
        <v>CLR4</v>
      </c>
      <c r="E187" s="182" t="str">
        <f>IFERROR(__xludf.DUMMYFUNCTION("""COMPUTED_VALUE"""),"Smokey Green")</f>
        <v>Smokey Green</v>
      </c>
      <c r="F187" s="182" t="str">
        <f>IFERROR(__xludf.DUMMYFUNCTION("""COMPUTED_VALUE"""),"256GB")</f>
        <v>256GB</v>
      </c>
      <c r="G187" s="182" t="str">
        <f>IFERROR(__xludf.DUMMYFUNCTION("""COMPUTED_VALUE"""),"US GStore")</f>
        <v>US GStore</v>
      </c>
      <c r="H187" s="168">
        <f>IFERROR(__xludf.DUMMYFUNCTION("""COMPUTED_VALUE"""),8.40353938151E11)</f>
        <v>840353938151</v>
      </c>
      <c r="I187" s="185" t="str">
        <f>IFERROR(__xludf.DUMMYFUNCTION("""COMPUTED_VALUE"""),"0840353938151")</f>
        <v>0840353938151</v>
      </c>
      <c r="J187" s="182" t="str">
        <f>IFERROR(__xludf.DUMMYFUNCTION("""COMPUTED_VALUE"""),"#N/A")</f>
        <v>#N/A</v>
      </c>
      <c r="K187" s="182" t="str">
        <f>IFERROR(__xludf.DUMMYFUNCTION("""COMPUTED_VALUE"""),"G4QUR")</f>
        <v>G4QUR</v>
      </c>
      <c r="L187" s="182" t="str">
        <f>IFERROR(__xludf.DUMMYFUNCTION("""COMPUTED_VALUE"""),"NA")</f>
        <v>NA</v>
      </c>
    </row>
    <row r="188">
      <c r="A188" s="182" t="str">
        <f>IFERROR(__xludf.DUMMYFUNCTION("""COMPUTED_VALUE"""),"GA10782-JP")</f>
        <v>GA10782-JP</v>
      </c>
      <c r="B188" s="182" t="str">
        <f>IFERROR(__xludf.DUMMYFUNCTION("""COMPUTED_VALUE"""),"SKU, CLR1, BETTER, SUB6, JP, DEMO, BZ5")</f>
        <v>SKU, CLR1, BETTER, SUB6, JP, DEMO, BZ5</v>
      </c>
      <c r="C188" s="182" t="str">
        <f>IFERROR(__xludf.DUMMYFUNCTION("""COMPUTED_VALUE"""),"GOOD")</f>
        <v>GOOD</v>
      </c>
      <c r="D188" s="182" t="str">
        <f>IFERROR(__xludf.DUMMYFUNCTION("""COMPUTED_VALUE"""),"CLR1")</f>
        <v>CLR1</v>
      </c>
      <c r="E188" s="182" t="str">
        <f>IFERROR(__xludf.DUMMYFUNCTION("""COMPUTED_VALUE"""),"Midnight")</f>
        <v>Midnight</v>
      </c>
      <c r="F188" s="182" t="str">
        <f>IFERROR(__xludf.DUMMYFUNCTION("""COMPUTED_VALUE"""),"256GB")</f>
        <v>256GB</v>
      </c>
      <c r="G188" s="182" t="str">
        <f>IFERROR(__xludf.DUMMYFUNCTION("""COMPUTED_VALUE"""),"JP")</f>
        <v>JP</v>
      </c>
      <c r="H188" s="168">
        <f>IFERROR(__xludf.DUMMYFUNCTION("""COMPUTED_VALUE"""),8.40353937949E11)</f>
        <v>840353937949</v>
      </c>
      <c r="I188" s="185" t="str">
        <f>IFERROR(__xludf.DUMMYFUNCTION("""COMPUTED_VALUE"""),"0840353937949")</f>
        <v>0840353937949</v>
      </c>
      <c r="J188" s="182" t="str">
        <f>IFERROR(__xludf.DUMMYFUNCTION("""COMPUTED_VALUE"""),"#N/A")</f>
        <v>#N/A</v>
      </c>
      <c r="K188" s="182" t="str">
        <f>IFERROR(__xludf.DUMMYFUNCTION("""COMPUTED_VALUE"""),"GN4F5")</f>
        <v>GN4F5</v>
      </c>
      <c r="L188" s="182" t="str">
        <f>IFERROR(__xludf.DUMMYFUNCTION("""COMPUTED_VALUE"""),"JP")</f>
        <v>JP</v>
      </c>
    </row>
    <row r="189">
      <c r="A189" s="182" t="str">
        <f>IFERROR(__xludf.DUMMYFUNCTION("""COMPUTED_VALUE"""),"GA10785-JP")</f>
        <v>GA10785-JP</v>
      </c>
      <c r="B189" s="182" t="str">
        <f>IFERROR(__xludf.DUMMYFUNCTION("""COMPUTED_VALUE"""),"SKU, CLR2, BETTER, SUB6, JP, DEMO, BZ5")</f>
        <v>SKU, CLR2, BETTER, SUB6, JP, DEMO, BZ5</v>
      </c>
      <c r="C189" s="182" t="str">
        <f>IFERROR(__xludf.DUMMYFUNCTION("""COMPUTED_VALUE"""),"GOOD")</f>
        <v>GOOD</v>
      </c>
      <c r="D189" s="182" t="str">
        <f>IFERROR(__xludf.DUMMYFUNCTION("""COMPUTED_VALUE"""),"CLR2")</f>
        <v>CLR2</v>
      </c>
      <c r="E189" s="182" t="str">
        <f>IFERROR(__xludf.DUMMYFUNCTION("""COMPUTED_VALUE"""),"Light Porcelain")</f>
        <v>Light Porcelain</v>
      </c>
      <c r="F189" s="182" t="str">
        <f>IFERROR(__xludf.DUMMYFUNCTION("""COMPUTED_VALUE"""),"256GB")</f>
        <v>256GB</v>
      </c>
      <c r="G189" s="182" t="str">
        <f>IFERROR(__xludf.DUMMYFUNCTION("""COMPUTED_VALUE"""),"JP")</f>
        <v>JP</v>
      </c>
      <c r="H189" s="168">
        <f>IFERROR(__xludf.DUMMYFUNCTION("""COMPUTED_VALUE"""),8.40353938045E11)</f>
        <v>840353938045</v>
      </c>
      <c r="I189" s="185" t="str">
        <f>IFERROR(__xludf.DUMMYFUNCTION("""COMPUTED_VALUE"""),"0840353938045")</f>
        <v>0840353938045</v>
      </c>
      <c r="J189" s="182" t="str">
        <f>IFERROR(__xludf.DUMMYFUNCTION("""COMPUTED_VALUE"""),"#N/A")</f>
        <v>#N/A</v>
      </c>
      <c r="K189" s="182" t="str">
        <f>IFERROR(__xludf.DUMMYFUNCTION("""COMPUTED_VALUE"""),"GN4F5")</f>
        <v>GN4F5</v>
      </c>
      <c r="L189" s="182" t="str">
        <f>IFERROR(__xludf.DUMMYFUNCTION("""COMPUTED_VALUE"""),"JP")</f>
        <v>JP</v>
      </c>
    </row>
    <row r="190">
      <c r="A190" s="182" t="str">
        <f>IFERROR(__xludf.DUMMYFUNCTION("""COMPUTED_VALUE"""),"GA10788-JP")</f>
        <v>GA10788-JP</v>
      </c>
      <c r="B190" s="182" t="str">
        <f>IFERROR(__xludf.DUMMYFUNCTION("""COMPUTED_VALUE"""),"SKU, CLR3, BETTER, SUB6, JP, DEMO, BZ5")</f>
        <v>SKU, CLR3, BETTER, SUB6, JP, DEMO, BZ5</v>
      </c>
      <c r="C190" s="182" t="str">
        <f>IFERROR(__xludf.DUMMYFUNCTION("""COMPUTED_VALUE"""),"GOOD")</f>
        <v>GOOD</v>
      </c>
      <c r="D190" s="182" t="str">
        <f>IFERROR(__xludf.DUMMYFUNCTION("""COMPUTED_VALUE"""),"CLR3")</f>
        <v>CLR3</v>
      </c>
      <c r="E190" s="182" t="str">
        <f>IFERROR(__xludf.DUMMYFUNCTION("""COMPUTED_VALUE"""),"Sterling")</f>
        <v>Sterling</v>
      </c>
      <c r="F190" s="182" t="str">
        <f>IFERROR(__xludf.DUMMYFUNCTION("""COMPUTED_VALUE"""),"256GB")</f>
        <v>256GB</v>
      </c>
      <c r="G190" s="182" t="str">
        <f>IFERROR(__xludf.DUMMYFUNCTION("""COMPUTED_VALUE"""),"JP")</f>
        <v>JP</v>
      </c>
      <c r="H190" s="168">
        <f>IFERROR(__xludf.DUMMYFUNCTION("""COMPUTED_VALUE"""),8.40353938106E11)</f>
        <v>840353938106</v>
      </c>
      <c r="I190" s="185" t="str">
        <f>IFERROR(__xludf.DUMMYFUNCTION("""COMPUTED_VALUE"""),"0840353938106")</f>
        <v>0840353938106</v>
      </c>
      <c r="J190" s="182" t="str">
        <f>IFERROR(__xludf.DUMMYFUNCTION("""COMPUTED_VALUE"""),"#N/A")</f>
        <v>#N/A</v>
      </c>
      <c r="K190" s="182" t="str">
        <f>IFERROR(__xludf.DUMMYFUNCTION("""COMPUTED_VALUE"""),"GN4F5")</f>
        <v>GN4F5</v>
      </c>
      <c r="L190" s="182" t="str">
        <f>IFERROR(__xludf.DUMMYFUNCTION("""COMPUTED_VALUE"""),"JP")</f>
        <v>JP</v>
      </c>
    </row>
    <row r="191">
      <c r="A191" s="182" t="str">
        <f>IFERROR(__xludf.DUMMYFUNCTION("""COMPUTED_VALUE"""),"GA10791-JP")</f>
        <v>GA10791-JP</v>
      </c>
      <c r="B191" s="182" t="str">
        <f>IFERROR(__xludf.DUMMYFUNCTION("""COMPUTED_VALUE"""),"SKU,CLR4, BETTER, SUB6, JP, DEMO, BZ5")</f>
        <v>SKU,CLR4, BETTER, SUB6, JP, DEMO, BZ5</v>
      </c>
      <c r="C191" s="182" t="str">
        <f>IFERROR(__xludf.DUMMYFUNCTION("""COMPUTED_VALUE"""),"BETTER")</f>
        <v>BETTER</v>
      </c>
      <c r="D191" s="182" t="str">
        <f>IFERROR(__xludf.DUMMYFUNCTION("""COMPUTED_VALUE"""),"CLR4")</f>
        <v>CLR4</v>
      </c>
      <c r="E191" s="182" t="str">
        <f>IFERROR(__xludf.DUMMYFUNCTION("""COMPUTED_VALUE"""),"Smokey Green")</f>
        <v>Smokey Green</v>
      </c>
      <c r="F191" s="182" t="str">
        <f>IFERROR(__xludf.DUMMYFUNCTION("""COMPUTED_VALUE"""),"256GB")</f>
        <v>256GB</v>
      </c>
      <c r="G191" s="182" t="str">
        <f>IFERROR(__xludf.DUMMYFUNCTION("""COMPUTED_VALUE"""),"JP")</f>
        <v>JP</v>
      </c>
      <c r="H191" s="168">
        <f>IFERROR(__xludf.DUMMYFUNCTION("""COMPUTED_VALUE"""),8.40353938168E11)</f>
        <v>840353938168</v>
      </c>
      <c r="I191" s="185" t="str">
        <f>IFERROR(__xludf.DUMMYFUNCTION("""COMPUTED_VALUE"""),"0840353938168")</f>
        <v>0840353938168</v>
      </c>
      <c r="J191" s="182" t="str">
        <f>IFERROR(__xludf.DUMMYFUNCTION("""COMPUTED_VALUE"""),"#N/A")</f>
        <v>#N/A</v>
      </c>
      <c r="K191" s="182" t="str">
        <f>IFERROR(__xludf.DUMMYFUNCTION("""COMPUTED_VALUE"""),"GN4F5")</f>
        <v>GN4F5</v>
      </c>
      <c r="L191" s="182" t="str">
        <f>IFERROR(__xludf.DUMMYFUNCTION("""COMPUTED_VALUE"""),"JP")</f>
        <v>JP</v>
      </c>
    </row>
    <row r="192">
      <c r="A192" s="182" t="str">
        <f>IFERROR(__xludf.DUMMYFUNCTION("""COMPUTED_VALUE"""),"GA10782-CA")</f>
        <v>GA10782-CA</v>
      </c>
      <c r="B192" s="182" t="str">
        <f>IFERROR(__xludf.DUMMYFUNCTION("""COMPUTED_VALUE"""),"SKU,CLR1, GOOD, SUB6, CA/TW/SG/AU/MY/MX, DEMO, BZ5")</f>
        <v>SKU,CLR1, GOOD, SUB6, CA/TW/SG/AU/MY/MX, DEMO, BZ5</v>
      </c>
      <c r="C192" s="182" t="str">
        <f>IFERROR(__xludf.DUMMYFUNCTION("""COMPUTED_VALUE"""),"GOOD")</f>
        <v>GOOD</v>
      </c>
      <c r="D192" s="182" t="str">
        <f>IFERROR(__xludf.DUMMYFUNCTION("""COMPUTED_VALUE"""),"CLR1")</f>
        <v>CLR1</v>
      </c>
      <c r="E192" s="182" t="str">
        <f>IFERROR(__xludf.DUMMYFUNCTION("""COMPUTED_VALUE"""),"Midnight")</f>
        <v>Midnight</v>
      </c>
      <c r="F192" s="182" t="str">
        <f>IFERROR(__xludf.DUMMYFUNCTION("""COMPUTED_VALUE"""),"128GB")</f>
        <v>128GB</v>
      </c>
      <c r="G192" s="182" t="str">
        <f>IFERROR(__xludf.DUMMYFUNCTION("""COMPUTED_VALUE"""),"CA/TW/SG/AU/MY/MX")</f>
        <v>CA/TW/SG/AU/MY/MX</v>
      </c>
      <c r="H192" s="168">
        <f>IFERROR(__xludf.DUMMYFUNCTION("""COMPUTED_VALUE"""),8.40353937956E11)</f>
        <v>840353937956</v>
      </c>
      <c r="I192" s="185" t="str">
        <f>IFERROR(__xludf.DUMMYFUNCTION("""COMPUTED_VALUE"""),"0840353937956")</f>
        <v>0840353937956</v>
      </c>
      <c r="J192" s="182" t="str">
        <f>IFERROR(__xludf.DUMMYFUNCTION("""COMPUTED_VALUE"""),"#N/A")</f>
        <v>#N/A</v>
      </c>
      <c r="K192" s="182" t="str">
        <f>IFERROR(__xludf.DUMMYFUNCTION("""COMPUTED_VALUE"""),"GEHN3")</f>
        <v>GEHN3</v>
      </c>
      <c r="L192" s="182" t="str">
        <f>IFERROR(__xludf.DUMMYFUNCTION("""COMPUTED_VALUE"""),"ROW")</f>
        <v>ROW</v>
      </c>
    </row>
    <row r="193">
      <c r="A193" s="182" t="str">
        <f>IFERROR(__xludf.DUMMYFUNCTION("""COMPUTED_VALUE"""),"GA10785-CA")</f>
        <v>GA10785-CA</v>
      </c>
      <c r="B193" s="182" t="str">
        <f>IFERROR(__xludf.DUMMYFUNCTION("""COMPUTED_VALUE"""),"SKU,CLR2, GOOD, SUB6, CA/TW/SG/AU/MY/MX, DEMO, BZ5")</f>
        <v>SKU,CLR2, GOOD, SUB6, CA/TW/SG/AU/MY/MX, DEMO, BZ5</v>
      </c>
      <c r="C193" s="182" t="str">
        <f>IFERROR(__xludf.DUMMYFUNCTION("""COMPUTED_VALUE"""),"GOOD")</f>
        <v>GOOD</v>
      </c>
      <c r="D193" s="182" t="str">
        <f>IFERROR(__xludf.DUMMYFUNCTION("""COMPUTED_VALUE"""),"CLR2")</f>
        <v>CLR2</v>
      </c>
      <c r="E193" s="182" t="str">
        <f>IFERROR(__xludf.DUMMYFUNCTION("""COMPUTED_VALUE"""),"Light Porcelain")</f>
        <v>Light Porcelain</v>
      </c>
      <c r="F193" s="182" t="str">
        <f>IFERROR(__xludf.DUMMYFUNCTION("""COMPUTED_VALUE"""),"128GB")</f>
        <v>128GB</v>
      </c>
      <c r="G193" s="182" t="str">
        <f>IFERROR(__xludf.DUMMYFUNCTION("""COMPUTED_VALUE"""),"CA/TW/SG/AU/MY/MX")</f>
        <v>CA/TW/SG/AU/MY/MX</v>
      </c>
      <c r="H193" s="168">
        <f>IFERROR(__xludf.DUMMYFUNCTION("""COMPUTED_VALUE"""),8.40353938052E11)</f>
        <v>840353938052</v>
      </c>
      <c r="I193" s="185" t="str">
        <f>IFERROR(__xludf.DUMMYFUNCTION("""COMPUTED_VALUE"""),"0840353938052")</f>
        <v>0840353938052</v>
      </c>
      <c r="J193" s="182" t="str">
        <f>IFERROR(__xludf.DUMMYFUNCTION("""COMPUTED_VALUE"""),"#N/A")</f>
        <v>#N/A</v>
      </c>
      <c r="K193" s="182" t="str">
        <f>IFERROR(__xludf.DUMMYFUNCTION("""COMPUTED_VALUE"""),"GEHN3")</f>
        <v>GEHN3</v>
      </c>
      <c r="L193" s="182" t="str">
        <f>IFERROR(__xludf.DUMMYFUNCTION("""COMPUTED_VALUE"""),"ROW")</f>
        <v>ROW</v>
      </c>
    </row>
    <row r="194">
      <c r="A194" s="182" t="str">
        <f>IFERROR(__xludf.DUMMYFUNCTION("""COMPUTED_VALUE"""),"GA10788-CA")</f>
        <v>GA10788-CA</v>
      </c>
      <c r="B194" s="182" t="str">
        <f>IFERROR(__xludf.DUMMYFUNCTION("""COMPUTED_VALUE"""),"SKU,CLR3, GOOD, SUB6, CA/TW/SG/AU/MY/MX, DEMO, BZ5")</f>
        <v>SKU,CLR3, GOOD, SUB6, CA/TW/SG/AU/MY/MX, DEMO, BZ5</v>
      </c>
      <c r="C194" s="182" t="str">
        <f>IFERROR(__xludf.DUMMYFUNCTION("""COMPUTED_VALUE"""),"GOOD")</f>
        <v>GOOD</v>
      </c>
      <c r="D194" s="182" t="str">
        <f>IFERROR(__xludf.DUMMYFUNCTION("""COMPUTED_VALUE"""),"CLR3")</f>
        <v>CLR3</v>
      </c>
      <c r="E194" s="182" t="str">
        <f>IFERROR(__xludf.DUMMYFUNCTION("""COMPUTED_VALUE"""),"Sterling")</f>
        <v>Sterling</v>
      </c>
      <c r="F194" s="182" t="str">
        <f>IFERROR(__xludf.DUMMYFUNCTION("""COMPUTED_VALUE"""),"128GB")</f>
        <v>128GB</v>
      </c>
      <c r="G194" s="182" t="str">
        <f>IFERROR(__xludf.DUMMYFUNCTION("""COMPUTED_VALUE"""),"CA/TW/SG/AU/MY/MX")</f>
        <v>CA/TW/SG/AU/MY/MX</v>
      </c>
      <c r="H194" s="168">
        <f>IFERROR(__xludf.DUMMYFUNCTION("""COMPUTED_VALUE"""),8.40353938113E11)</f>
        <v>840353938113</v>
      </c>
      <c r="I194" s="185" t="str">
        <f>IFERROR(__xludf.DUMMYFUNCTION("""COMPUTED_VALUE"""),"0840353938113")</f>
        <v>0840353938113</v>
      </c>
      <c r="J194" s="182" t="str">
        <f>IFERROR(__xludf.DUMMYFUNCTION("""COMPUTED_VALUE"""),"#N/A")</f>
        <v>#N/A</v>
      </c>
      <c r="K194" s="182" t="str">
        <f>IFERROR(__xludf.DUMMYFUNCTION("""COMPUTED_VALUE"""),"GEHN3")</f>
        <v>GEHN3</v>
      </c>
      <c r="L194" s="182" t="str">
        <f>IFERROR(__xludf.DUMMYFUNCTION("""COMPUTED_VALUE"""),"ROW")</f>
        <v>ROW</v>
      </c>
    </row>
    <row r="195">
      <c r="A195" s="182" t="str">
        <f>IFERROR(__xludf.DUMMYFUNCTION("""COMPUTED_VALUE"""),"GA10791-CA")</f>
        <v>GA10791-CA</v>
      </c>
      <c r="B195" s="182" t="str">
        <f>IFERROR(__xludf.DUMMYFUNCTION("""COMPUTED_VALUE"""),"SKU,CLR4, BETTER, SUB6, CA/TW/SG/AU/MY/MX, DEMO, BZ5")</f>
        <v>SKU,CLR4, BETTER, SUB6, CA/TW/SG/AU/MY/MX, DEMO, BZ5</v>
      </c>
      <c r="C195" s="182" t="str">
        <f>IFERROR(__xludf.DUMMYFUNCTION("""COMPUTED_VALUE"""),"BETTER")</f>
        <v>BETTER</v>
      </c>
      <c r="D195" s="182" t="str">
        <f>IFERROR(__xludf.DUMMYFUNCTION("""COMPUTED_VALUE"""),"CLR4")</f>
        <v>CLR4</v>
      </c>
      <c r="E195" s="182" t="str">
        <f>IFERROR(__xludf.DUMMYFUNCTION("""COMPUTED_VALUE"""),"Smokey Green")</f>
        <v>Smokey Green</v>
      </c>
      <c r="F195" s="182" t="str">
        <f>IFERROR(__xludf.DUMMYFUNCTION("""COMPUTED_VALUE"""),"256GB")</f>
        <v>256GB</v>
      </c>
      <c r="G195" s="182" t="str">
        <f>IFERROR(__xludf.DUMMYFUNCTION("""COMPUTED_VALUE"""),"CA/TW/SG/AU/MY/MX")</f>
        <v>CA/TW/SG/AU/MY/MX</v>
      </c>
      <c r="H195" s="168">
        <f>IFERROR(__xludf.DUMMYFUNCTION("""COMPUTED_VALUE"""),8.40353938175E11)</f>
        <v>840353938175</v>
      </c>
      <c r="I195" s="185" t="str">
        <f>IFERROR(__xludf.DUMMYFUNCTION("""COMPUTED_VALUE"""),"0840353938175")</f>
        <v>0840353938175</v>
      </c>
      <c r="J195" s="182" t="str">
        <f>IFERROR(__xludf.DUMMYFUNCTION("""COMPUTED_VALUE"""),"#N/A")</f>
        <v>#N/A</v>
      </c>
      <c r="K195" s="182" t="str">
        <f>IFERROR(__xludf.DUMMYFUNCTION("""COMPUTED_VALUE"""),"GEHN3")</f>
        <v>GEHN3</v>
      </c>
      <c r="L195" s="182" t="str">
        <f>IFERROR(__xludf.DUMMYFUNCTION("""COMPUTED_VALUE"""),"ROW")</f>
        <v>ROW</v>
      </c>
    </row>
    <row r="196">
      <c r="A196" s="182" t="str">
        <f>IFERROR(__xludf.DUMMYFUNCTION("""COMPUTED_VALUE"""),"GA10782-GB")</f>
        <v>GA10782-GB</v>
      </c>
      <c r="B196" s="182" t="str">
        <f>IFERROR(__xludf.DUMMYFUNCTION("""COMPUTED_VALUE"""),"SKU,CLR1, GOOD, SUB6, UK/EU, DEMO, BZ5")</f>
        <v>SKU,CLR1, GOOD, SUB6, UK/EU, DEMO, BZ5</v>
      </c>
      <c r="C196" s="182" t="str">
        <f>IFERROR(__xludf.DUMMYFUNCTION("""COMPUTED_VALUE"""),"GOOD")</f>
        <v>GOOD</v>
      </c>
      <c r="D196" s="182" t="str">
        <f>IFERROR(__xludf.DUMMYFUNCTION("""COMPUTED_VALUE"""),"CLR1")</f>
        <v>CLR1</v>
      </c>
      <c r="E196" s="182" t="str">
        <f>IFERROR(__xludf.DUMMYFUNCTION("""COMPUTED_VALUE"""),"Midnight")</f>
        <v>Midnight</v>
      </c>
      <c r="F196" s="182" t="str">
        <f>IFERROR(__xludf.DUMMYFUNCTION("""COMPUTED_VALUE"""),"128GB")</f>
        <v>128GB</v>
      </c>
      <c r="G196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96" s="168">
        <f>IFERROR(__xludf.DUMMYFUNCTION("""COMPUTED_VALUE"""),8.40353937963E11)</f>
        <v>840353937963</v>
      </c>
      <c r="I196" s="185" t="str">
        <f>IFERROR(__xludf.DUMMYFUNCTION("""COMPUTED_VALUE"""),"0840353937963")</f>
        <v>0840353937963</v>
      </c>
      <c r="J196" s="182" t="str">
        <f>IFERROR(__xludf.DUMMYFUNCTION("""COMPUTED_VALUE"""),"#N/A")</f>
        <v>#N/A</v>
      </c>
      <c r="K196" s="182" t="str">
        <f>IFERROR(__xludf.DUMMYFUNCTION("""COMPUTED_VALUE"""),"GEHN3")</f>
        <v>GEHN3</v>
      </c>
      <c r="L196" s="182" t="str">
        <f>IFERROR(__xludf.DUMMYFUNCTION("""COMPUTED_VALUE"""),"ROW")</f>
        <v>ROW</v>
      </c>
    </row>
    <row r="197">
      <c r="A197" s="182" t="str">
        <f>IFERROR(__xludf.DUMMYFUNCTION("""COMPUTED_VALUE"""),"GA10785-GB")</f>
        <v>GA10785-GB</v>
      </c>
      <c r="B197" s="182" t="str">
        <f>IFERROR(__xludf.DUMMYFUNCTION("""COMPUTED_VALUE"""),"SKU,CLR2, GOOD, SUB6, UK/EU, DEMO, BZ5")</f>
        <v>SKU,CLR2, GOOD, SUB6, UK/EU, DEMO, BZ5</v>
      </c>
      <c r="C197" s="182" t="str">
        <f>IFERROR(__xludf.DUMMYFUNCTION("""COMPUTED_VALUE"""),"GOOD")</f>
        <v>GOOD</v>
      </c>
      <c r="D197" s="182" t="str">
        <f>IFERROR(__xludf.DUMMYFUNCTION("""COMPUTED_VALUE"""),"CLR2")</f>
        <v>CLR2</v>
      </c>
      <c r="E197" s="182" t="str">
        <f>IFERROR(__xludf.DUMMYFUNCTION("""COMPUTED_VALUE"""),"Light Porcelain")</f>
        <v>Light Porcelain</v>
      </c>
      <c r="F197" s="182" t="str">
        <f>IFERROR(__xludf.DUMMYFUNCTION("""COMPUTED_VALUE"""),"128GB")</f>
        <v>128GB</v>
      </c>
      <c r="G197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97" s="168">
        <f>IFERROR(__xludf.DUMMYFUNCTION("""COMPUTED_VALUE"""),8.40353938069E11)</f>
        <v>840353938069</v>
      </c>
      <c r="I197" s="185" t="str">
        <f>IFERROR(__xludf.DUMMYFUNCTION("""COMPUTED_VALUE"""),"0840353938069")</f>
        <v>0840353938069</v>
      </c>
      <c r="J197" s="182" t="str">
        <f>IFERROR(__xludf.DUMMYFUNCTION("""COMPUTED_VALUE"""),"#N/A")</f>
        <v>#N/A</v>
      </c>
      <c r="K197" s="182" t="str">
        <f>IFERROR(__xludf.DUMMYFUNCTION("""COMPUTED_VALUE"""),"GEHN3")</f>
        <v>GEHN3</v>
      </c>
      <c r="L197" s="182" t="str">
        <f>IFERROR(__xludf.DUMMYFUNCTION("""COMPUTED_VALUE"""),"ROW")</f>
        <v>ROW</v>
      </c>
    </row>
    <row r="198">
      <c r="A198" s="182" t="str">
        <f>IFERROR(__xludf.DUMMYFUNCTION("""COMPUTED_VALUE"""),"GA10788-GB")</f>
        <v>GA10788-GB</v>
      </c>
      <c r="B198" s="182" t="str">
        <f>IFERROR(__xludf.DUMMYFUNCTION("""COMPUTED_VALUE"""),"SKU,CLR3, GOOD, SUB6, UK/EU, DEMO, BZ5")</f>
        <v>SKU,CLR3, GOOD, SUB6, UK/EU, DEMO, BZ5</v>
      </c>
      <c r="C198" s="182" t="str">
        <f>IFERROR(__xludf.DUMMYFUNCTION("""COMPUTED_VALUE"""),"GOOD")</f>
        <v>GOOD</v>
      </c>
      <c r="D198" s="182" t="str">
        <f>IFERROR(__xludf.DUMMYFUNCTION("""COMPUTED_VALUE"""),"CLR3")</f>
        <v>CLR3</v>
      </c>
      <c r="E198" s="182" t="str">
        <f>IFERROR(__xludf.DUMMYFUNCTION("""COMPUTED_VALUE"""),"Sterling")</f>
        <v>Sterling</v>
      </c>
      <c r="F198" s="182" t="str">
        <f>IFERROR(__xludf.DUMMYFUNCTION("""COMPUTED_VALUE"""),"128GB")</f>
        <v>128GB</v>
      </c>
      <c r="G198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98" s="168">
        <f>IFERROR(__xludf.DUMMYFUNCTION("""COMPUTED_VALUE"""),8.4035393812E11)</f>
        <v>840353938120</v>
      </c>
      <c r="I198" s="185" t="str">
        <f>IFERROR(__xludf.DUMMYFUNCTION("""COMPUTED_VALUE"""),"0840353938120")</f>
        <v>0840353938120</v>
      </c>
      <c r="J198" s="182" t="str">
        <f>IFERROR(__xludf.DUMMYFUNCTION("""COMPUTED_VALUE"""),"#N/A")</f>
        <v>#N/A</v>
      </c>
      <c r="K198" s="182" t="str">
        <f>IFERROR(__xludf.DUMMYFUNCTION("""COMPUTED_VALUE"""),"GEHN3")</f>
        <v>GEHN3</v>
      </c>
      <c r="L198" s="182" t="str">
        <f>IFERROR(__xludf.DUMMYFUNCTION("""COMPUTED_VALUE"""),"ROW")</f>
        <v>ROW</v>
      </c>
    </row>
    <row r="199">
      <c r="A199" s="182" t="str">
        <f>IFERROR(__xludf.DUMMYFUNCTION("""COMPUTED_VALUE"""),"GA10791-GB")</f>
        <v>GA10791-GB</v>
      </c>
      <c r="B199" s="182" t="str">
        <f>IFERROR(__xludf.DUMMYFUNCTION("""COMPUTED_VALUE"""),"SKU,CLR4, BETTER, SUB6, UK/EU, DEMO, BZ5")</f>
        <v>SKU,CLR4, BETTER, SUB6, UK/EU, DEMO, BZ5</v>
      </c>
      <c r="C199" s="182" t="str">
        <f>IFERROR(__xludf.DUMMYFUNCTION("""COMPUTED_VALUE"""),"BETTER")</f>
        <v>BETTER</v>
      </c>
      <c r="D199" s="182" t="str">
        <f>IFERROR(__xludf.DUMMYFUNCTION("""COMPUTED_VALUE"""),"CLR4")</f>
        <v>CLR4</v>
      </c>
      <c r="E199" s="182" t="str">
        <f>IFERROR(__xludf.DUMMYFUNCTION("""COMPUTED_VALUE"""),"Smokey Green")</f>
        <v>Smokey Green</v>
      </c>
      <c r="F199" s="182" t="str">
        <f>IFERROR(__xludf.DUMMYFUNCTION("""COMPUTED_VALUE"""),"256GB")</f>
        <v>256GB</v>
      </c>
      <c r="G199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199" s="168">
        <f>IFERROR(__xludf.DUMMYFUNCTION("""COMPUTED_VALUE"""),8.40353938182E11)</f>
        <v>840353938182</v>
      </c>
      <c r="I199" s="185" t="str">
        <f>IFERROR(__xludf.DUMMYFUNCTION("""COMPUTED_VALUE"""),"0840353938182")</f>
        <v>0840353938182</v>
      </c>
      <c r="J199" s="182" t="str">
        <f>IFERROR(__xludf.DUMMYFUNCTION("""COMPUTED_VALUE"""),"#N/A")</f>
        <v>#N/A</v>
      </c>
      <c r="K199" s="182" t="str">
        <f>IFERROR(__xludf.DUMMYFUNCTION("""COMPUTED_VALUE"""),"GEHN3")</f>
        <v>GEHN3</v>
      </c>
      <c r="L199" s="182" t="str">
        <f>IFERROR(__xludf.DUMMYFUNCTION("""COMPUTED_VALUE"""),"ROW")</f>
        <v>ROW</v>
      </c>
    </row>
    <row r="200">
      <c r="A200" s="182" t="str">
        <f>IFERROR(__xludf.DUMMYFUNCTION("""COMPUTED_VALUE"""),"GA10792-IN")</f>
        <v>GA10792-IN</v>
      </c>
      <c r="B200" s="182" t="str">
        <f>IFERROR(__xludf.DUMMYFUNCTION("""COMPUTED_VALUE"""),"SKU,CLR1, BETTER, SUB6, IN, DEMO, BZ5")</f>
        <v>SKU,CLR1, BETTER, SUB6, IN, DEMO, BZ5</v>
      </c>
      <c r="C200" s="182" t="str">
        <f>IFERROR(__xludf.DUMMYFUNCTION("""COMPUTED_VALUE"""),"BETTER")</f>
        <v>BETTER</v>
      </c>
      <c r="D200" s="182" t="str">
        <f>IFERROR(__xludf.DUMMYFUNCTION("""COMPUTED_VALUE"""),"CLR1")</f>
        <v>CLR1</v>
      </c>
      <c r="E200" s="182" t="str">
        <f>IFERROR(__xludf.DUMMYFUNCTION("""COMPUTED_VALUE"""),"Midnight")</f>
        <v>Midnight</v>
      </c>
      <c r="F200" s="182" t="str">
        <f>IFERROR(__xludf.DUMMYFUNCTION("""COMPUTED_VALUE"""),"256GB")</f>
        <v>256GB</v>
      </c>
      <c r="G200" s="182" t="str">
        <f>IFERROR(__xludf.DUMMYFUNCTION("""COMPUTED_VALUE"""),"IN")</f>
        <v>IN</v>
      </c>
      <c r="H200" s="168">
        <f>IFERROR(__xludf.DUMMYFUNCTION("""COMPUTED_VALUE"""),8.4035393797E11)</f>
        <v>840353937970</v>
      </c>
      <c r="I200" s="185" t="str">
        <f>IFERROR(__xludf.DUMMYFUNCTION("""COMPUTED_VALUE"""),"0840353937970")</f>
        <v>0840353937970</v>
      </c>
      <c r="J200" s="182" t="str">
        <f>IFERROR(__xludf.DUMMYFUNCTION("""COMPUTED_VALUE"""),"#N/A")</f>
        <v>#N/A</v>
      </c>
      <c r="K200" s="182" t="str">
        <f>IFERROR(__xludf.DUMMYFUNCTION("""COMPUTED_VALUE"""),"GEHN3")</f>
        <v>GEHN3</v>
      </c>
      <c r="L200" s="182" t="str">
        <f>IFERROR(__xludf.DUMMYFUNCTION("""COMPUTED_VALUE"""),"ROW")</f>
        <v>ROW</v>
      </c>
    </row>
    <row r="201">
      <c r="A201" s="182" t="str">
        <f>IFERROR(__xludf.DUMMYFUNCTION("""COMPUTED_VALUE"""),"GA10793-IN")</f>
        <v>GA10793-IN</v>
      </c>
      <c r="B201" s="182" t="str">
        <f>IFERROR(__xludf.DUMMYFUNCTION("""COMPUTED_VALUE"""),"SKU,CLR2, BETTER, SUB6, IN, DEMO, BZ5")</f>
        <v>SKU,CLR2, BETTER, SUB6, IN, DEMO, BZ5</v>
      </c>
      <c r="C201" s="182" t="str">
        <f>IFERROR(__xludf.DUMMYFUNCTION("""COMPUTED_VALUE"""),"BETTER")</f>
        <v>BETTER</v>
      </c>
      <c r="D201" s="182" t="str">
        <f>IFERROR(__xludf.DUMMYFUNCTION("""COMPUTED_VALUE"""),"CLR2")</f>
        <v>CLR2</v>
      </c>
      <c r="E201" s="182" t="str">
        <f>IFERROR(__xludf.DUMMYFUNCTION("""COMPUTED_VALUE"""),"Light Porcelain")</f>
        <v>Light Porcelain</v>
      </c>
      <c r="F201" s="182" t="str">
        <f>IFERROR(__xludf.DUMMYFUNCTION("""COMPUTED_VALUE"""),"256GB")</f>
        <v>256GB</v>
      </c>
      <c r="G201" s="182" t="str">
        <f>IFERROR(__xludf.DUMMYFUNCTION("""COMPUTED_VALUE"""),"IN")</f>
        <v>IN</v>
      </c>
      <c r="H201" s="168">
        <f>IFERROR(__xludf.DUMMYFUNCTION("""COMPUTED_VALUE"""),8.40353937987E11)</f>
        <v>840353937987</v>
      </c>
      <c r="I201" s="185" t="str">
        <f>IFERROR(__xludf.DUMMYFUNCTION("""COMPUTED_VALUE"""),"0840353937987")</f>
        <v>0840353937987</v>
      </c>
      <c r="J201" s="182" t="str">
        <f>IFERROR(__xludf.DUMMYFUNCTION("""COMPUTED_VALUE"""),"#N/A")</f>
        <v>#N/A</v>
      </c>
      <c r="K201" s="182" t="str">
        <f>IFERROR(__xludf.DUMMYFUNCTION("""COMPUTED_VALUE"""),"GEHN3")</f>
        <v>GEHN3</v>
      </c>
      <c r="L201" s="182" t="str">
        <f>IFERROR(__xludf.DUMMYFUNCTION("""COMPUTED_VALUE"""),"ROW")</f>
        <v>ROW</v>
      </c>
    </row>
    <row r="202">
      <c r="A202" s="182" t="str">
        <f>IFERROR(__xludf.DUMMYFUNCTION("""COMPUTED_VALUE"""),"GA10794-IN")</f>
        <v>GA10794-IN</v>
      </c>
      <c r="B202" s="182" t="str">
        <f>IFERROR(__xludf.DUMMYFUNCTION("""COMPUTED_VALUE"""),"SKU,CLR3, BETTER, SUB6, IN, DEMO, BZ5")</f>
        <v>SKU,CLR3, BETTER, SUB6, IN, DEMO, BZ5</v>
      </c>
      <c r="C202" s="182" t="str">
        <f>IFERROR(__xludf.DUMMYFUNCTION("""COMPUTED_VALUE"""),"BETTER")</f>
        <v>BETTER</v>
      </c>
      <c r="D202" s="182" t="str">
        <f>IFERROR(__xludf.DUMMYFUNCTION("""COMPUTED_VALUE"""),"CLR3")</f>
        <v>CLR3</v>
      </c>
      <c r="E202" s="182" t="str">
        <f>IFERROR(__xludf.DUMMYFUNCTION("""COMPUTED_VALUE"""),"Sterling")</f>
        <v>Sterling</v>
      </c>
      <c r="F202" s="182" t="str">
        <f>IFERROR(__xludf.DUMMYFUNCTION("""COMPUTED_VALUE"""),"256GB")</f>
        <v>256GB</v>
      </c>
      <c r="G202" s="182" t="str">
        <f>IFERROR(__xludf.DUMMYFUNCTION("""COMPUTED_VALUE"""),"IN")</f>
        <v>IN</v>
      </c>
      <c r="H202" s="168">
        <f>IFERROR(__xludf.DUMMYFUNCTION("""COMPUTED_VALUE"""),8.40353937994E11)</f>
        <v>840353937994</v>
      </c>
      <c r="I202" s="185" t="str">
        <f>IFERROR(__xludf.DUMMYFUNCTION("""COMPUTED_VALUE"""),"0840353937994")</f>
        <v>0840353937994</v>
      </c>
      <c r="J202" s="182" t="str">
        <f>IFERROR(__xludf.DUMMYFUNCTION("""COMPUTED_VALUE"""),"#N/A")</f>
        <v>#N/A</v>
      </c>
      <c r="K202" s="182" t="str">
        <f>IFERROR(__xludf.DUMMYFUNCTION("""COMPUTED_VALUE"""),"GEHN3")</f>
        <v>GEHN3</v>
      </c>
      <c r="L202" s="182" t="str">
        <f>IFERROR(__xludf.DUMMYFUNCTION("""COMPUTED_VALUE"""),"ROW")</f>
        <v>ROW</v>
      </c>
    </row>
    <row r="203">
      <c r="A203" s="182" t="str">
        <f>IFERROR(__xludf.DUMMYFUNCTION("""COMPUTED_VALUE"""),"GA10795-IN")</f>
        <v>GA10795-IN</v>
      </c>
      <c r="B203" s="182" t="str">
        <f>IFERROR(__xludf.DUMMYFUNCTION("""COMPUTED_VALUE"""),"SKU,CLR4, BETTER, SUB6, IN, DEMO, BZ5")</f>
        <v>SKU,CLR4, BETTER, SUB6, IN, DEMO, BZ5</v>
      </c>
      <c r="C203" s="182" t="str">
        <f>IFERROR(__xludf.DUMMYFUNCTION("""COMPUTED_VALUE"""),"BETTER")</f>
        <v>BETTER</v>
      </c>
      <c r="D203" s="182" t="str">
        <f>IFERROR(__xludf.DUMMYFUNCTION("""COMPUTED_VALUE"""),"CLR4")</f>
        <v>CLR4</v>
      </c>
      <c r="E203" s="182" t="str">
        <f>IFERROR(__xludf.DUMMYFUNCTION("""COMPUTED_VALUE"""),"Smokey Green")</f>
        <v>Smokey Green</v>
      </c>
      <c r="F203" s="182" t="str">
        <f>IFERROR(__xludf.DUMMYFUNCTION("""COMPUTED_VALUE"""),"256GB")</f>
        <v>256GB</v>
      </c>
      <c r="G203" s="182" t="str">
        <f>IFERROR(__xludf.DUMMYFUNCTION("""COMPUTED_VALUE"""),"IN")</f>
        <v>IN</v>
      </c>
      <c r="H203" s="168">
        <f>IFERROR(__xludf.DUMMYFUNCTION("""COMPUTED_VALUE"""),8.40353938007E11)</f>
        <v>840353938007</v>
      </c>
      <c r="I203" s="185" t="str">
        <f>IFERROR(__xludf.DUMMYFUNCTION("""COMPUTED_VALUE"""),"0840353938007")</f>
        <v>0840353938007</v>
      </c>
      <c r="J203" s="182" t="str">
        <f>IFERROR(__xludf.DUMMYFUNCTION("""COMPUTED_VALUE"""),"#N/A")</f>
        <v>#N/A</v>
      </c>
      <c r="K203" s="182" t="str">
        <f>IFERROR(__xludf.DUMMYFUNCTION("""COMPUTED_VALUE"""),"GEHN3")</f>
        <v>GEHN3</v>
      </c>
      <c r="L203" s="182" t="str">
        <f>IFERROR(__xludf.DUMMYFUNCTION("""COMPUTED_VALUE"""),"ROW")</f>
        <v>ROW</v>
      </c>
    </row>
    <row r="204">
      <c r="A204" s="182" t="str">
        <f>IFERROR(__xludf.DUMMYFUNCTION("""COMPUTED_VALUE"""),"CLNRGA10490")</f>
        <v>CLNRGA10490</v>
      </c>
      <c r="B204" s="182" t="str">
        <f>IFERROR(__xludf.DUMMYFUNCTION("""COMPUTED_VALUE"""),"SKU,CLR1, GOOD, MMWAVE, GSTORE, BZ5, FRU")</f>
        <v>SKU,CLR1, GOOD, MMWAVE, GSTORE, BZ5, FRU</v>
      </c>
      <c r="C204" s="182" t="str">
        <f>IFERROR(__xludf.DUMMYFUNCTION("""COMPUTED_VALUE"""),"GOOD")</f>
        <v>GOOD</v>
      </c>
      <c r="D204" s="182" t="str">
        <f>IFERROR(__xludf.DUMMYFUNCTION("""COMPUTED_VALUE"""),"CLR1")</f>
        <v>CLR1</v>
      </c>
      <c r="E204" s="182" t="str">
        <f>IFERROR(__xludf.DUMMYFUNCTION("""COMPUTED_VALUE"""),"Midnight")</f>
        <v>Midnight</v>
      </c>
      <c r="F204" s="182" t="str">
        <f>IFERROR(__xludf.DUMMYFUNCTION("""COMPUTED_VALUE"""),"128GB")</f>
        <v>128GB</v>
      </c>
      <c r="G204" s="182" t="str">
        <f>IFERROR(__xludf.DUMMYFUNCTION("""COMPUTED_VALUE"""),"US GStore")</f>
        <v>US GStore</v>
      </c>
      <c r="H204" s="168">
        <f>IFERROR(__xludf.DUMMYFUNCTION("""COMPUTED_VALUE"""),8.40353936737E11)</f>
        <v>840353936737</v>
      </c>
      <c r="I204" s="185" t="str">
        <f>IFERROR(__xludf.DUMMYFUNCTION("""COMPUTED_VALUE"""),"0840353936737")</f>
        <v>0840353936737</v>
      </c>
      <c r="J204" s="182" t="str">
        <f>IFERROR(__xludf.DUMMYFUNCTION("""COMPUTED_VALUE"""),"#N/A")</f>
        <v>#N/A</v>
      </c>
      <c r="K204" s="182" t="str">
        <f>IFERROR(__xludf.DUMMYFUNCTION("""COMPUTED_VALUE"""),"G4QUR")</f>
        <v>G4QUR</v>
      </c>
      <c r="L204" s="182" t="str">
        <f>IFERROR(__xludf.DUMMYFUNCTION("""COMPUTED_VALUE"""),"NA")</f>
        <v>NA</v>
      </c>
    </row>
    <row r="205">
      <c r="A205" s="182" t="str">
        <f>IFERROR(__xludf.DUMMYFUNCTION("""COMPUTED_VALUE"""),"CLNRGA10491")</f>
        <v>CLNRGA10491</v>
      </c>
      <c r="B205" s="182" t="str">
        <f>IFERROR(__xludf.DUMMYFUNCTION("""COMPUTED_VALUE"""),"SKU,CLR2, GOOD, MMWAVE, GSTORE, BZ5, FRU")</f>
        <v>SKU,CLR2, GOOD, MMWAVE, GSTORE, BZ5, FRU</v>
      </c>
      <c r="C205" s="182" t="str">
        <f>IFERROR(__xludf.DUMMYFUNCTION("""COMPUTED_VALUE"""),"GOOD")</f>
        <v>GOOD</v>
      </c>
      <c r="D205" s="182" t="str">
        <f>IFERROR(__xludf.DUMMYFUNCTION("""COMPUTED_VALUE"""),"CLR2")</f>
        <v>CLR2</v>
      </c>
      <c r="E205" s="182" t="str">
        <f>IFERROR(__xludf.DUMMYFUNCTION("""COMPUTED_VALUE"""),"Light Porcelain")</f>
        <v>Light Porcelain</v>
      </c>
      <c r="F205" s="182" t="str">
        <f>IFERROR(__xludf.DUMMYFUNCTION("""COMPUTED_VALUE"""),"128GB")</f>
        <v>128GB</v>
      </c>
      <c r="G205" s="182" t="str">
        <f>IFERROR(__xludf.DUMMYFUNCTION("""COMPUTED_VALUE"""),"US GStore")</f>
        <v>US GStore</v>
      </c>
      <c r="H205" s="168">
        <f>IFERROR(__xludf.DUMMYFUNCTION("""COMPUTED_VALUE"""),8.40353936799E11)</f>
        <v>840353936799</v>
      </c>
      <c r="I205" s="185" t="str">
        <f>IFERROR(__xludf.DUMMYFUNCTION("""COMPUTED_VALUE"""),"0840353936799")</f>
        <v>0840353936799</v>
      </c>
      <c r="J205" s="182" t="str">
        <f>IFERROR(__xludf.DUMMYFUNCTION("""COMPUTED_VALUE"""),"#N/A")</f>
        <v>#N/A</v>
      </c>
      <c r="K205" s="182" t="str">
        <f>IFERROR(__xludf.DUMMYFUNCTION("""COMPUTED_VALUE"""),"G4QUR")</f>
        <v>G4QUR</v>
      </c>
      <c r="L205" s="182" t="str">
        <f>IFERROR(__xludf.DUMMYFUNCTION("""COMPUTED_VALUE"""),"NA")</f>
        <v>NA</v>
      </c>
    </row>
    <row r="206">
      <c r="A206" s="182" t="str">
        <f>IFERROR(__xludf.DUMMYFUNCTION("""COMPUTED_VALUE"""),"CLNRGA10492")</f>
        <v>CLNRGA10492</v>
      </c>
      <c r="B206" s="182" t="str">
        <f>IFERROR(__xludf.DUMMYFUNCTION("""COMPUTED_VALUE"""),"SKU,CLR3, GOOD, MMWAVE, GSTORE, BZ5, FRU")</f>
        <v>SKU,CLR3, GOOD, MMWAVE, GSTORE, BZ5, FRU</v>
      </c>
      <c r="C206" s="182" t="str">
        <f>IFERROR(__xludf.DUMMYFUNCTION("""COMPUTED_VALUE"""),"GOOD")</f>
        <v>GOOD</v>
      </c>
      <c r="D206" s="182" t="str">
        <f>IFERROR(__xludf.DUMMYFUNCTION("""COMPUTED_VALUE"""),"CLR3")</f>
        <v>CLR3</v>
      </c>
      <c r="E206" s="182" t="str">
        <f>IFERROR(__xludf.DUMMYFUNCTION("""COMPUTED_VALUE"""),"Sterling")</f>
        <v>Sterling</v>
      </c>
      <c r="F206" s="182" t="str">
        <f>IFERROR(__xludf.DUMMYFUNCTION("""COMPUTED_VALUE"""),"128GB")</f>
        <v>128GB</v>
      </c>
      <c r="G206" s="182" t="str">
        <f>IFERROR(__xludf.DUMMYFUNCTION("""COMPUTED_VALUE"""),"US GStore")</f>
        <v>US GStore</v>
      </c>
      <c r="H206" s="168">
        <f>IFERROR(__xludf.DUMMYFUNCTION("""COMPUTED_VALUE"""),8.4035393685E11)</f>
        <v>840353936850</v>
      </c>
      <c r="I206" s="185" t="str">
        <f>IFERROR(__xludf.DUMMYFUNCTION("""COMPUTED_VALUE"""),"0840353936850")</f>
        <v>0840353936850</v>
      </c>
      <c r="J206" s="182" t="str">
        <f>IFERROR(__xludf.DUMMYFUNCTION("""COMPUTED_VALUE"""),"#N/A")</f>
        <v>#N/A</v>
      </c>
      <c r="K206" s="182" t="str">
        <f>IFERROR(__xludf.DUMMYFUNCTION("""COMPUTED_VALUE"""),"G4QUR")</f>
        <v>G4QUR</v>
      </c>
      <c r="L206" s="182" t="str">
        <f>IFERROR(__xludf.DUMMYFUNCTION("""COMPUTED_VALUE"""),"NA")</f>
        <v>NA</v>
      </c>
    </row>
    <row r="207">
      <c r="A207" s="182" t="str">
        <f>IFERROR(__xludf.DUMMYFUNCTION("""COMPUTED_VALUE"""),"CLNRGA10493")</f>
        <v>CLNRGA10493</v>
      </c>
      <c r="B207" s="182" t="str">
        <f>IFERROR(__xludf.DUMMYFUNCTION("""COMPUTED_VALUE"""),"SKU,CLR1, BETTER, MMWAVE, GSTORE, BZ5, FRU")</f>
        <v>SKU,CLR1, BETTER, MMWAVE, GSTORE, BZ5, FRU</v>
      </c>
      <c r="C207" s="182" t="str">
        <f>IFERROR(__xludf.DUMMYFUNCTION("""COMPUTED_VALUE"""),"BETTER")</f>
        <v>BETTER</v>
      </c>
      <c r="D207" s="182" t="str">
        <f>IFERROR(__xludf.DUMMYFUNCTION("""COMPUTED_VALUE"""),"CLR1")</f>
        <v>CLR1</v>
      </c>
      <c r="E207" s="182" t="str">
        <f>IFERROR(__xludf.DUMMYFUNCTION("""COMPUTED_VALUE"""),"Midnight")</f>
        <v>Midnight</v>
      </c>
      <c r="F207" s="182" t="str">
        <f>IFERROR(__xludf.DUMMYFUNCTION("""COMPUTED_VALUE"""),"256GB")</f>
        <v>256GB</v>
      </c>
      <c r="G207" s="182" t="str">
        <f>IFERROR(__xludf.DUMMYFUNCTION("""COMPUTED_VALUE"""),"US GStore")</f>
        <v>US GStore</v>
      </c>
      <c r="H207" s="168">
        <f>IFERROR(__xludf.DUMMYFUNCTION("""COMPUTED_VALUE"""),8.40353937093E11)</f>
        <v>840353937093</v>
      </c>
      <c r="I207" s="185" t="str">
        <f>IFERROR(__xludf.DUMMYFUNCTION("""COMPUTED_VALUE"""),"0840353937093")</f>
        <v>0840353937093</v>
      </c>
      <c r="J207" s="182" t="str">
        <f>IFERROR(__xludf.DUMMYFUNCTION("""COMPUTED_VALUE"""),"#N/A")</f>
        <v>#N/A</v>
      </c>
      <c r="K207" s="182" t="str">
        <f>IFERROR(__xludf.DUMMYFUNCTION("""COMPUTED_VALUE"""),"G4QUR")</f>
        <v>G4QUR</v>
      </c>
      <c r="L207" s="182" t="str">
        <f>IFERROR(__xludf.DUMMYFUNCTION("""COMPUTED_VALUE"""),"NA")</f>
        <v>NA</v>
      </c>
    </row>
    <row r="208">
      <c r="A208" s="182" t="str">
        <f>IFERROR(__xludf.DUMMYFUNCTION("""COMPUTED_VALUE"""),"CLNRGA10494")</f>
        <v>CLNRGA10494</v>
      </c>
      <c r="B208" s="182" t="str">
        <f>IFERROR(__xludf.DUMMYFUNCTION("""COMPUTED_VALUE"""),"SKU,CLR2, BETTER, MMWAVE, GSTORE, BZ5, FRU")</f>
        <v>SKU,CLR2, BETTER, MMWAVE, GSTORE, BZ5, FRU</v>
      </c>
      <c r="C208" s="182" t="str">
        <f>IFERROR(__xludf.DUMMYFUNCTION("""COMPUTED_VALUE"""),"BETTER")</f>
        <v>BETTER</v>
      </c>
      <c r="D208" s="182" t="str">
        <f>IFERROR(__xludf.DUMMYFUNCTION("""COMPUTED_VALUE"""),"CLR2")</f>
        <v>CLR2</v>
      </c>
      <c r="E208" s="182" t="str">
        <f>IFERROR(__xludf.DUMMYFUNCTION("""COMPUTED_VALUE"""),"Light Porcelain")</f>
        <v>Light Porcelain</v>
      </c>
      <c r="F208" s="182" t="str">
        <f>IFERROR(__xludf.DUMMYFUNCTION("""COMPUTED_VALUE"""),"256GB")</f>
        <v>256GB</v>
      </c>
      <c r="G208" s="182" t="str">
        <f>IFERROR(__xludf.DUMMYFUNCTION("""COMPUTED_VALUE"""),"US GStore")</f>
        <v>US GStore</v>
      </c>
      <c r="H208" s="168">
        <f>IFERROR(__xludf.DUMMYFUNCTION("""COMPUTED_VALUE"""),8.40353937109E11)</f>
        <v>840353937109</v>
      </c>
      <c r="I208" s="185" t="str">
        <f>IFERROR(__xludf.DUMMYFUNCTION("""COMPUTED_VALUE"""),"0840353937109")</f>
        <v>0840353937109</v>
      </c>
      <c r="J208" s="182" t="str">
        <f>IFERROR(__xludf.DUMMYFUNCTION("""COMPUTED_VALUE"""),"#N/A")</f>
        <v>#N/A</v>
      </c>
      <c r="K208" s="182" t="str">
        <f>IFERROR(__xludf.DUMMYFUNCTION("""COMPUTED_VALUE"""),"G4QUR")</f>
        <v>G4QUR</v>
      </c>
      <c r="L208" s="182" t="str">
        <f>IFERROR(__xludf.DUMMYFUNCTION("""COMPUTED_VALUE"""),"NA")</f>
        <v>NA</v>
      </c>
    </row>
    <row r="209">
      <c r="A209" s="182" t="str">
        <f>IFERROR(__xludf.DUMMYFUNCTION("""COMPUTED_VALUE"""),"CLNRGA10495")</f>
        <v>CLNRGA10495</v>
      </c>
      <c r="B209" s="182" t="str">
        <f>IFERROR(__xludf.DUMMYFUNCTION("""COMPUTED_VALUE"""),"SKU,CLR3, BETTER, MMWAVE, GSTORE, BZ5, FRU")</f>
        <v>SKU,CLR3, BETTER, MMWAVE, GSTORE, BZ5, FRU</v>
      </c>
      <c r="C209" s="182" t="str">
        <f>IFERROR(__xludf.DUMMYFUNCTION("""COMPUTED_VALUE"""),"BETTER")</f>
        <v>BETTER</v>
      </c>
      <c r="D209" s="182" t="str">
        <f>IFERROR(__xludf.DUMMYFUNCTION("""COMPUTED_VALUE"""),"CLR3")</f>
        <v>CLR3</v>
      </c>
      <c r="E209" s="182" t="str">
        <f>IFERROR(__xludf.DUMMYFUNCTION("""COMPUTED_VALUE"""),"Sterling")</f>
        <v>Sterling</v>
      </c>
      <c r="F209" s="182" t="str">
        <f>IFERROR(__xludf.DUMMYFUNCTION("""COMPUTED_VALUE"""),"256GB")</f>
        <v>256GB</v>
      </c>
      <c r="G209" s="182" t="str">
        <f>IFERROR(__xludf.DUMMYFUNCTION("""COMPUTED_VALUE"""),"US GStore")</f>
        <v>US GStore</v>
      </c>
      <c r="H209" s="168">
        <f>IFERROR(__xludf.DUMMYFUNCTION("""COMPUTED_VALUE"""),8.40353937116E11)</f>
        <v>840353937116</v>
      </c>
      <c r="I209" s="185" t="str">
        <f>IFERROR(__xludf.DUMMYFUNCTION("""COMPUTED_VALUE"""),"0840353937116")</f>
        <v>0840353937116</v>
      </c>
      <c r="J209" s="182" t="str">
        <f>IFERROR(__xludf.DUMMYFUNCTION("""COMPUTED_VALUE"""),"#N/A")</f>
        <v>#N/A</v>
      </c>
      <c r="K209" s="182" t="str">
        <f>IFERROR(__xludf.DUMMYFUNCTION("""COMPUTED_VALUE"""),"G4QUR")</f>
        <v>G4QUR</v>
      </c>
      <c r="L209" s="182" t="str">
        <f>IFERROR(__xludf.DUMMYFUNCTION("""COMPUTED_VALUE"""),"NA")</f>
        <v>NA</v>
      </c>
    </row>
    <row r="210">
      <c r="A210" s="182" t="str">
        <f>IFERROR(__xludf.DUMMYFUNCTION("""COMPUTED_VALUE"""),"CLNRGA10496")</f>
        <v>CLNRGA10496</v>
      </c>
      <c r="B210" s="182" t="str">
        <f>IFERROR(__xludf.DUMMYFUNCTION("""COMPUTED_VALUE"""),"SKU,CLR4, BETTER, MMWAVE, GSTORE, BZ5, FRU")</f>
        <v>SKU,CLR4, BETTER, MMWAVE, GSTORE, BZ5, FRU</v>
      </c>
      <c r="C210" s="182" t="str">
        <f>IFERROR(__xludf.DUMMYFUNCTION("""COMPUTED_VALUE"""),"BETTER")</f>
        <v>BETTER</v>
      </c>
      <c r="D210" s="182" t="str">
        <f>IFERROR(__xludf.DUMMYFUNCTION("""COMPUTED_VALUE"""),"CLR4")</f>
        <v>CLR4</v>
      </c>
      <c r="E210" s="182" t="str">
        <f>IFERROR(__xludf.DUMMYFUNCTION("""COMPUTED_VALUE"""),"Smokey Green")</f>
        <v>Smokey Green</v>
      </c>
      <c r="F210" s="182" t="str">
        <f>IFERROR(__xludf.DUMMYFUNCTION("""COMPUTED_VALUE"""),"256GB")</f>
        <v>256GB</v>
      </c>
      <c r="G210" s="182" t="str">
        <f>IFERROR(__xludf.DUMMYFUNCTION("""COMPUTED_VALUE"""),"US GStore")</f>
        <v>US GStore</v>
      </c>
      <c r="H210" s="168">
        <f>IFERROR(__xludf.DUMMYFUNCTION("""COMPUTED_VALUE"""),8.40353937123E11)</f>
        <v>840353937123</v>
      </c>
      <c r="I210" s="185" t="str">
        <f>IFERROR(__xludf.DUMMYFUNCTION("""COMPUTED_VALUE"""),"0840353937123")</f>
        <v>0840353937123</v>
      </c>
      <c r="J210" s="182" t="str">
        <f>IFERROR(__xludf.DUMMYFUNCTION("""COMPUTED_VALUE"""),"#N/A")</f>
        <v>#N/A</v>
      </c>
      <c r="K210" s="182" t="str">
        <f>IFERROR(__xludf.DUMMYFUNCTION("""COMPUTED_VALUE"""),"G4QUR")</f>
        <v>G4QUR</v>
      </c>
      <c r="L210" s="182" t="str">
        <f>IFERROR(__xludf.DUMMYFUNCTION("""COMPUTED_VALUE"""),"NA")</f>
        <v>NA</v>
      </c>
    </row>
    <row r="211">
      <c r="A211" s="182" t="str">
        <f>IFERROR(__xludf.DUMMYFUNCTION("""COMPUTED_VALUE"""),"CLNRGA10497")</f>
        <v>CLNRGA10497</v>
      </c>
      <c r="B211" s="182" t="str">
        <f>IFERROR(__xludf.DUMMYFUNCTION("""COMPUTED_VALUE"""),"SKU,CLR1, BEST, MMWAVE, GSTORE, BZ5, FRU")</f>
        <v>SKU,CLR1, BEST, MMWAVE, GSTORE, BZ5, FRU</v>
      </c>
      <c r="C211" s="182" t="str">
        <f>IFERROR(__xludf.DUMMYFUNCTION("""COMPUTED_VALUE"""),"BEST")</f>
        <v>BEST</v>
      </c>
      <c r="D211" s="182" t="str">
        <f>IFERROR(__xludf.DUMMYFUNCTION("""COMPUTED_VALUE"""),"CLR1")</f>
        <v>CLR1</v>
      </c>
      <c r="E211" s="182" t="str">
        <f>IFERROR(__xludf.DUMMYFUNCTION("""COMPUTED_VALUE"""),"Midnight")</f>
        <v>Midnight</v>
      </c>
      <c r="F211" s="182" t="str">
        <f>IFERROR(__xludf.DUMMYFUNCTION("""COMPUTED_VALUE"""),"512GB")</f>
        <v>512GB</v>
      </c>
      <c r="G211" s="182" t="str">
        <f>IFERROR(__xludf.DUMMYFUNCTION("""COMPUTED_VALUE"""),"US GStore")</f>
        <v>US GStore</v>
      </c>
      <c r="H211" s="168">
        <f>IFERROR(__xludf.DUMMYFUNCTION("""COMPUTED_VALUE"""),8.4035393713E11)</f>
        <v>840353937130</v>
      </c>
      <c r="I211" s="185" t="str">
        <f>IFERROR(__xludf.DUMMYFUNCTION("""COMPUTED_VALUE"""),"0840353937130")</f>
        <v>0840353937130</v>
      </c>
      <c r="J211" s="182" t="str">
        <f>IFERROR(__xludf.DUMMYFUNCTION("""COMPUTED_VALUE"""),"#N/A")</f>
        <v>#N/A</v>
      </c>
      <c r="K211" s="182" t="str">
        <f>IFERROR(__xludf.DUMMYFUNCTION("""COMPUTED_VALUE"""),"G4QUR")</f>
        <v>G4QUR</v>
      </c>
      <c r="L211" s="182" t="str">
        <f>IFERROR(__xludf.DUMMYFUNCTION("""COMPUTED_VALUE"""),"NA")</f>
        <v>NA</v>
      </c>
    </row>
    <row r="212">
      <c r="A212" s="182" t="str">
        <f>IFERROR(__xludf.DUMMYFUNCTION("""COMPUTED_VALUE"""),"CLNRGA10498")</f>
        <v>CLNRGA10498</v>
      </c>
      <c r="B212" s="182" t="str">
        <f>IFERROR(__xludf.DUMMYFUNCTION("""COMPUTED_VALUE"""),"SKU,CLR2, BEST, MMWAVE, GSTORE, BZ5, FRU")</f>
        <v>SKU,CLR2, BEST, MMWAVE, GSTORE, BZ5, FRU</v>
      </c>
      <c r="C212" s="182" t="str">
        <f>IFERROR(__xludf.DUMMYFUNCTION("""COMPUTED_VALUE"""),"BEST")</f>
        <v>BEST</v>
      </c>
      <c r="D212" s="182" t="str">
        <f>IFERROR(__xludf.DUMMYFUNCTION("""COMPUTED_VALUE"""),"CLR2")</f>
        <v>CLR2</v>
      </c>
      <c r="E212" s="182" t="str">
        <f>IFERROR(__xludf.DUMMYFUNCTION("""COMPUTED_VALUE"""),"Light Porcelain")</f>
        <v>Light Porcelain</v>
      </c>
      <c r="F212" s="182" t="str">
        <f>IFERROR(__xludf.DUMMYFUNCTION("""COMPUTED_VALUE"""),"512GB")</f>
        <v>512GB</v>
      </c>
      <c r="G212" s="182" t="str">
        <f>IFERROR(__xludf.DUMMYFUNCTION("""COMPUTED_VALUE"""),"US GStore")</f>
        <v>US GStore</v>
      </c>
      <c r="H212" s="168">
        <f>IFERROR(__xludf.DUMMYFUNCTION("""COMPUTED_VALUE"""),8.40353937147E11)</f>
        <v>840353937147</v>
      </c>
      <c r="I212" s="185" t="str">
        <f>IFERROR(__xludf.DUMMYFUNCTION("""COMPUTED_VALUE"""),"0840353937147")</f>
        <v>0840353937147</v>
      </c>
      <c r="J212" s="182" t="str">
        <f>IFERROR(__xludf.DUMMYFUNCTION("""COMPUTED_VALUE"""),"#N/A")</f>
        <v>#N/A</v>
      </c>
      <c r="K212" s="182" t="str">
        <f>IFERROR(__xludf.DUMMYFUNCTION("""COMPUTED_VALUE"""),"G4QUR")</f>
        <v>G4QUR</v>
      </c>
      <c r="L212" s="182" t="str">
        <f>IFERROR(__xludf.DUMMYFUNCTION("""COMPUTED_VALUE"""),"NA")</f>
        <v>NA</v>
      </c>
    </row>
    <row r="213">
      <c r="A213" s="182" t="str">
        <f>IFERROR(__xludf.DUMMYFUNCTION("""COMPUTED_VALUE"""),"CLNRGA10499")</f>
        <v>CLNRGA10499</v>
      </c>
      <c r="B213" s="182" t="str">
        <f>IFERROR(__xludf.DUMMYFUNCTION("""COMPUTED_VALUE"""),"SKU,CLR3, BEST, MMWAVE, GSTORE, BZ5, FRU")</f>
        <v>SKU,CLR3, BEST, MMWAVE, GSTORE, BZ5, FRU</v>
      </c>
      <c r="C213" s="182" t="str">
        <f>IFERROR(__xludf.DUMMYFUNCTION("""COMPUTED_VALUE"""),"BEST")</f>
        <v>BEST</v>
      </c>
      <c r="D213" s="182" t="str">
        <f>IFERROR(__xludf.DUMMYFUNCTION("""COMPUTED_VALUE"""),"CLR3")</f>
        <v>CLR3</v>
      </c>
      <c r="E213" s="182" t="str">
        <f>IFERROR(__xludf.DUMMYFUNCTION("""COMPUTED_VALUE"""),"Sterling")</f>
        <v>Sterling</v>
      </c>
      <c r="F213" s="182" t="str">
        <f>IFERROR(__xludf.DUMMYFUNCTION("""COMPUTED_VALUE"""),"512GB")</f>
        <v>512GB</v>
      </c>
      <c r="G213" s="182" t="str">
        <f>IFERROR(__xludf.DUMMYFUNCTION("""COMPUTED_VALUE"""),"US GStore")</f>
        <v>US GStore</v>
      </c>
      <c r="H213" s="168">
        <f>IFERROR(__xludf.DUMMYFUNCTION("""COMPUTED_VALUE"""),8.40353937154E11)</f>
        <v>840353937154</v>
      </c>
      <c r="I213" s="185" t="str">
        <f>IFERROR(__xludf.DUMMYFUNCTION("""COMPUTED_VALUE"""),"0840353937154")</f>
        <v>0840353937154</v>
      </c>
      <c r="J213" s="182" t="str">
        <f>IFERROR(__xludf.DUMMYFUNCTION("""COMPUTED_VALUE"""),"#N/A")</f>
        <v>#N/A</v>
      </c>
      <c r="K213" s="182" t="str">
        <f>IFERROR(__xludf.DUMMYFUNCTION("""COMPUTED_VALUE"""),"G4QUR")</f>
        <v>G4QUR</v>
      </c>
      <c r="L213" s="182" t="str">
        <f>IFERROR(__xludf.DUMMYFUNCTION("""COMPUTED_VALUE"""),"NA")</f>
        <v>NA</v>
      </c>
    </row>
    <row r="214">
      <c r="A214" s="182" t="str">
        <f>IFERROR(__xludf.DUMMYFUNCTION("""COMPUTED_VALUE"""),"CLNRGA10500")</f>
        <v>CLNRGA10500</v>
      </c>
      <c r="B214" s="182" t="str">
        <f>IFERROR(__xludf.DUMMYFUNCTION("""COMPUTED_VALUE"""),"SKU,CLR4, BEST, MMWAVE, GSTORE, BZ5, FRU")</f>
        <v>SKU,CLR4, BEST, MMWAVE, GSTORE, BZ5, FRU</v>
      </c>
      <c r="C214" s="182" t="str">
        <f>IFERROR(__xludf.DUMMYFUNCTION("""COMPUTED_VALUE"""),"BEST")</f>
        <v>BEST</v>
      </c>
      <c r="D214" s="182" t="str">
        <f>IFERROR(__xludf.DUMMYFUNCTION("""COMPUTED_VALUE"""),"CLR4")</f>
        <v>CLR4</v>
      </c>
      <c r="E214" s="182" t="str">
        <f>IFERROR(__xludf.DUMMYFUNCTION("""COMPUTED_VALUE"""),"Smokey Green")</f>
        <v>Smokey Green</v>
      </c>
      <c r="F214" s="182" t="str">
        <f>IFERROR(__xludf.DUMMYFUNCTION("""COMPUTED_VALUE"""),"512GB")</f>
        <v>512GB</v>
      </c>
      <c r="G214" s="182" t="str">
        <f>IFERROR(__xludf.DUMMYFUNCTION("""COMPUTED_VALUE"""),"US GStore")</f>
        <v>US GStore</v>
      </c>
      <c r="H214" s="168">
        <f>IFERROR(__xludf.DUMMYFUNCTION("""COMPUTED_VALUE"""),8.40353937161E11)</f>
        <v>840353937161</v>
      </c>
      <c r="I214" s="185" t="str">
        <f>IFERROR(__xludf.DUMMYFUNCTION("""COMPUTED_VALUE"""),"0840353937161")</f>
        <v>0840353937161</v>
      </c>
      <c r="J214" s="182" t="str">
        <f>IFERROR(__xludf.DUMMYFUNCTION("""COMPUTED_VALUE"""),"#N/A")</f>
        <v>#N/A</v>
      </c>
      <c r="K214" s="182" t="str">
        <f>IFERROR(__xludf.DUMMYFUNCTION("""COMPUTED_VALUE"""),"G4QUR")</f>
        <v>G4QUR</v>
      </c>
      <c r="L214" s="182" t="str">
        <f>IFERROR(__xludf.DUMMYFUNCTION("""COMPUTED_VALUE"""),"NA")</f>
        <v>NA</v>
      </c>
    </row>
    <row r="215">
      <c r="A215" s="182" t="str">
        <f>IFERROR(__xludf.DUMMYFUNCTION("""COMPUTED_VALUE"""),"CLNRGA10501")</f>
        <v>CLNRGA10501</v>
      </c>
      <c r="B215" s="182" t="str">
        <f>IFERROR(__xludf.DUMMYFUNCTION("""COMPUTED_VALUE"""),"SKU,CLR1, ULTRA, MMWAVE, GSTORE, BZ5, FRU")</f>
        <v>SKU,CLR1, ULTRA, MMWAVE, GSTORE, BZ5, FRU</v>
      </c>
      <c r="C215" s="182" t="str">
        <f>IFERROR(__xludf.DUMMYFUNCTION("""COMPUTED_VALUE"""),"ULTRA")</f>
        <v>ULTRA</v>
      </c>
      <c r="D215" s="182" t="str">
        <f>IFERROR(__xludf.DUMMYFUNCTION("""COMPUTED_VALUE"""),"CLR1")</f>
        <v>CLR1</v>
      </c>
      <c r="E215" s="182" t="str">
        <f>IFERROR(__xludf.DUMMYFUNCTION("""COMPUTED_VALUE"""),"Midnight")</f>
        <v>Midnight</v>
      </c>
      <c r="F215" s="182" t="str">
        <f>IFERROR(__xludf.DUMMYFUNCTION("""COMPUTED_VALUE"""),"1TB")</f>
        <v>1TB</v>
      </c>
      <c r="G215" s="182" t="str">
        <f>IFERROR(__xludf.DUMMYFUNCTION("""COMPUTED_VALUE"""),"US GStore")</f>
        <v>US GStore</v>
      </c>
      <c r="H215" s="168">
        <f>IFERROR(__xludf.DUMMYFUNCTION("""COMPUTED_VALUE"""),8.40353937178E11)</f>
        <v>840353937178</v>
      </c>
      <c r="I215" s="185" t="str">
        <f>IFERROR(__xludf.DUMMYFUNCTION("""COMPUTED_VALUE"""),"0840353937178")</f>
        <v>0840353937178</v>
      </c>
      <c r="J215" s="182" t="str">
        <f>IFERROR(__xludf.DUMMYFUNCTION("""COMPUTED_VALUE"""),"#N/A")</f>
        <v>#N/A</v>
      </c>
      <c r="K215" s="182" t="str">
        <f>IFERROR(__xludf.DUMMYFUNCTION("""COMPUTED_VALUE"""),"G4QUR")</f>
        <v>G4QUR</v>
      </c>
      <c r="L215" s="182" t="str">
        <f>IFERROR(__xludf.DUMMYFUNCTION("""COMPUTED_VALUE"""),"NA")</f>
        <v>NA</v>
      </c>
    </row>
    <row r="216">
      <c r="A216" s="182" t="str">
        <f>IFERROR(__xludf.DUMMYFUNCTION("""COMPUTED_VALUE"""),"CLNRGA10538")</f>
        <v>CLNRGA10538</v>
      </c>
      <c r="B216" s="182" t="str">
        <f>IFERROR(__xludf.DUMMYFUNCTION("""COMPUTED_VALUE"""),"SKU,CLR3, ULTRA, MMWAVE, GSTORE, BZ5, FRU")</f>
        <v>SKU,CLR3, ULTRA, MMWAVE, GSTORE, BZ5, FRU</v>
      </c>
      <c r="C216" s="182" t="str">
        <f>IFERROR(__xludf.DUMMYFUNCTION("""COMPUTED_VALUE"""),"ULTRA")</f>
        <v>ULTRA</v>
      </c>
      <c r="D216" s="182" t="str">
        <f>IFERROR(__xludf.DUMMYFUNCTION("""COMPUTED_VALUE"""),"CLR3")</f>
        <v>CLR3</v>
      </c>
      <c r="E216" s="182" t="str">
        <f>IFERROR(__xludf.DUMMYFUNCTION("""COMPUTED_VALUE"""),"Sterling")</f>
        <v>Sterling</v>
      </c>
      <c r="F216" s="182" t="str">
        <f>IFERROR(__xludf.DUMMYFUNCTION("""COMPUTED_VALUE"""),"1TB")</f>
        <v>1TB</v>
      </c>
      <c r="G216" s="182" t="str">
        <f>IFERROR(__xludf.DUMMYFUNCTION("""COMPUTED_VALUE"""),"US GStore")</f>
        <v>US GStore</v>
      </c>
      <c r="H216" s="168">
        <f>IFERROR(__xludf.DUMMYFUNCTION("""COMPUTED_VALUE"""),8.40353937185E11)</f>
        <v>840353937185</v>
      </c>
      <c r="I216" s="185" t="str">
        <f>IFERROR(__xludf.DUMMYFUNCTION("""COMPUTED_VALUE"""),"0840353937185")</f>
        <v>0840353937185</v>
      </c>
      <c r="J216" s="182" t="str">
        <f>IFERROR(__xludf.DUMMYFUNCTION("""COMPUTED_VALUE"""),"#N/A")</f>
        <v>#N/A</v>
      </c>
      <c r="K216" s="182" t="str">
        <f>IFERROR(__xludf.DUMMYFUNCTION("""COMPUTED_VALUE"""),"G4QUR")</f>
        <v>G4QUR</v>
      </c>
      <c r="L216" s="182" t="str">
        <f>IFERROR(__xludf.DUMMYFUNCTION("""COMPUTED_VALUE"""),"NA")</f>
        <v>NA</v>
      </c>
    </row>
    <row r="217">
      <c r="A217" s="182" t="str">
        <f>IFERROR(__xludf.DUMMYFUNCTION("""COMPUTED_VALUE"""),"CLNRGA09601")</f>
        <v>CLNRGA09601</v>
      </c>
      <c r="B217" s="182" t="str">
        <f>IFERROR(__xludf.DUMMYFUNCTION("""COMPUTED_VALUE"""),"SKU,CLR1, GOOD, SUB6, CA/AU, BZ5, FRU")</f>
        <v>SKU,CLR1, GOOD, SUB6, CA/AU, BZ5, FRU</v>
      </c>
      <c r="C217" s="182" t="str">
        <f>IFERROR(__xludf.DUMMYFUNCTION("""COMPUTED_VALUE"""),"GOOD")</f>
        <v>GOOD</v>
      </c>
      <c r="D217" s="182" t="str">
        <f>IFERROR(__xludf.DUMMYFUNCTION("""COMPUTED_VALUE"""),"CLR1")</f>
        <v>CLR1</v>
      </c>
      <c r="E217" s="182" t="str">
        <f>IFERROR(__xludf.DUMMYFUNCTION("""COMPUTED_VALUE"""),"Midnight")</f>
        <v>Midnight</v>
      </c>
      <c r="F217" s="182" t="str">
        <f>IFERROR(__xludf.DUMMYFUNCTION("""COMPUTED_VALUE"""),"128GB")</f>
        <v>128GB</v>
      </c>
      <c r="G217" s="182" t="str">
        <f>IFERROR(__xludf.DUMMYFUNCTION("""COMPUTED_VALUE"""),"CA/TW/SG/AU/MY/MX")</f>
        <v>CA/TW/SG/AU/MY/MX</v>
      </c>
      <c r="H217" s="168">
        <f>IFERROR(__xludf.DUMMYFUNCTION("""COMPUTED_VALUE"""),8.40353936744E11)</f>
        <v>840353936744</v>
      </c>
      <c r="I217" s="185" t="str">
        <f>IFERROR(__xludf.DUMMYFUNCTION("""COMPUTED_VALUE"""),"0840353936744")</f>
        <v>0840353936744</v>
      </c>
      <c r="J217" s="182" t="str">
        <f>IFERROR(__xludf.DUMMYFUNCTION("""COMPUTED_VALUE"""),"#N/A")</f>
        <v>#N/A</v>
      </c>
      <c r="K217" s="182" t="str">
        <f>IFERROR(__xludf.DUMMYFUNCTION("""COMPUTED_VALUE"""),"GEHN3")</f>
        <v>GEHN3</v>
      </c>
      <c r="L217" s="182" t="str">
        <f>IFERROR(__xludf.DUMMYFUNCTION("""COMPUTED_VALUE"""),"ROW")</f>
        <v>ROW</v>
      </c>
    </row>
    <row r="218">
      <c r="A218" s="182" t="str">
        <f>IFERROR(__xludf.DUMMYFUNCTION("""COMPUTED_VALUE"""),"CLNRGA10312")</f>
        <v>CLNRGA10312</v>
      </c>
      <c r="B218" s="182" t="str">
        <f>IFERROR(__xludf.DUMMYFUNCTION("""COMPUTED_VALUE"""),"SKU,CLR2, GOOD, SUB6, CA/AU, BZ5, FRU")</f>
        <v>SKU,CLR2, GOOD, SUB6, CA/AU, BZ5, FRU</v>
      </c>
      <c r="C218" s="182" t="str">
        <f>IFERROR(__xludf.DUMMYFUNCTION("""COMPUTED_VALUE"""),"GOOD")</f>
        <v>GOOD</v>
      </c>
      <c r="D218" s="182" t="str">
        <f>IFERROR(__xludf.DUMMYFUNCTION("""COMPUTED_VALUE"""),"CLR2")</f>
        <v>CLR2</v>
      </c>
      <c r="E218" s="182" t="str">
        <f>IFERROR(__xludf.DUMMYFUNCTION("""COMPUTED_VALUE"""),"Light Porcelain")</f>
        <v>Light Porcelain</v>
      </c>
      <c r="F218" s="182" t="str">
        <f>IFERROR(__xludf.DUMMYFUNCTION("""COMPUTED_VALUE"""),"128GB")</f>
        <v>128GB</v>
      </c>
      <c r="G218" s="182" t="str">
        <f>IFERROR(__xludf.DUMMYFUNCTION("""COMPUTED_VALUE"""),"CA/TW/SG/AU/MY/MX")</f>
        <v>CA/TW/SG/AU/MY/MX</v>
      </c>
      <c r="H218" s="168">
        <f>IFERROR(__xludf.DUMMYFUNCTION("""COMPUTED_VALUE"""),8.40353936805E11)</f>
        <v>840353936805</v>
      </c>
      <c r="I218" s="185" t="str">
        <f>IFERROR(__xludf.DUMMYFUNCTION("""COMPUTED_VALUE"""),"0840353936805")</f>
        <v>0840353936805</v>
      </c>
      <c r="J218" s="182" t="str">
        <f>IFERROR(__xludf.DUMMYFUNCTION("""COMPUTED_VALUE"""),"#N/A")</f>
        <v>#N/A</v>
      </c>
      <c r="K218" s="182" t="str">
        <f>IFERROR(__xludf.DUMMYFUNCTION("""COMPUTED_VALUE"""),"GEHN3")</f>
        <v>GEHN3</v>
      </c>
      <c r="L218" s="182" t="str">
        <f>IFERROR(__xludf.DUMMYFUNCTION("""COMPUTED_VALUE"""),"ROW")</f>
        <v>ROW</v>
      </c>
    </row>
    <row r="219">
      <c r="A219" s="182" t="str">
        <f>IFERROR(__xludf.DUMMYFUNCTION("""COMPUTED_VALUE"""),"CLNRGA10313")</f>
        <v>CLNRGA10313</v>
      </c>
      <c r="B219" s="182" t="str">
        <f>IFERROR(__xludf.DUMMYFUNCTION("""COMPUTED_VALUE"""),"SKU,CLR3, GOOD, SUB6, CA/AU, BZ5, FRU")</f>
        <v>SKU,CLR3, GOOD, SUB6, CA/AU, BZ5, FRU</v>
      </c>
      <c r="C219" s="182" t="str">
        <f>IFERROR(__xludf.DUMMYFUNCTION("""COMPUTED_VALUE"""),"GOOD")</f>
        <v>GOOD</v>
      </c>
      <c r="D219" s="182" t="str">
        <f>IFERROR(__xludf.DUMMYFUNCTION("""COMPUTED_VALUE"""),"CLR3")</f>
        <v>CLR3</v>
      </c>
      <c r="E219" s="182" t="str">
        <f>IFERROR(__xludf.DUMMYFUNCTION("""COMPUTED_VALUE"""),"Sterling")</f>
        <v>Sterling</v>
      </c>
      <c r="F219" s="182" t="str">
        <f>IFERROR(__xludf.DUMMYFUNCTION("""COMPUTED_VALUE"""),"128GB")</f>
        <v>128GB</v>
      </c>
      <c r="G219" s="182" t="str">
        <f>IFERROR(__xludf.DUMMYFUNCTION("""COMPUTED_VALUE"""),"CA/TW/SG/AU/MY/MX")</f>
        <v>CA/TW/SG/AU/MY/MX</v>
      </c>
      <c r="H219" s="168">
        <f>IFERROR(__xludf.DUMMYFUNCTION("""COMPUTED_VALUE"""),8.40353936867E11)</f>
        <v>840353936867</v>
      </c>
      <c r="I219" s="185" t="str">
        <f>IFERROR(__xludf.DUMMYFUNCTION("""COMPUTED_VALUE"""),"0840353936867")</f>
        <v>0840353936867</v>
      </c>
      <c r="J219" s="182" t="str">
        <f>IFERROR(__xludf.DUMMYFUNCTION("""COMPUTED_VALUE"""),"#N/A")</f>
        <v>#N/A</v>
      </c>
      <c r="K219" s="182" t="str">
        <f>IFERROR(__xludf.DUMMYFUNCTION("""COMPUTED_VALUE"""),"GEHN3")</f>
        <v>GEHN3</v>
      </c>
      <c r="L219" s="182" t="str">
        <f>IFERROR(__xludf.DUMMYFUNCTION("""COMPUTED_VALUE"""),"ROW")</f>
        <v>ROW</v>
      </c>
    </row>
    <row r="220">
      <c r="A220" s="182" t="str">
        <f>IFERROR(__xludf.DUMMYFUNCTION("""COMPUTED_VALUE"""),"CLNRGA09900")</f>
        <v>CLNRGA09900</v>
      </c>
      <c r="B220" s="182" t="str">
        <f>IFERROR(__xludf.DUMMYFUNCTION("""COMPUTED_VALUE"""),"SKU,CLR1, BETTER, SUB6, CA/AU, BZ5, FRU")</f>
        <v>SKU,CLR1, BETTER, SUB6, CA/AU, BZ5, FRU</v>
      </c>
      <c r="C220" s="182" t="str">
        <f>IFERROR(__xludf.DUMMYFUNCTION("""COMPUTED_VALUE"""),"BETTER")</f>
        <v>BETTER</v>
      </c>
      <c r="D220" s="182" t="str">
        <f>IFERROR(__xludf.DUMMYFUNCTION("""COMPUTED_VALUE"""),"CLR1")</f>
        <v>CLR1</v>
      </c>
      <c r="E220" s="182" t="str">
        <f>IFERROR(__xludf.DUMMYFUNCTION("""COMPUTED_VALUE"""),"Midnight")</f>
        <v>Midnight</v>
      </c>
      <c r="F220" s="182" t="str">
        <f>IFERROR(__xludf.DUMMYFUNCTION("""COMPUTED_VALUE"""),"256GB")</f>
        <v>256GB</v>
      </c>
      <c r="G220" s="182" t="str">
        <f>IFERROR(__xludf.DUMMYFUNCTION("""COMPUTED_VALUE"""),"CA/TW/SG/AU/MY/MX")</f>
        <v>CA/TW/SG/AU/MY/MX</v>
      </c>
      <c r="H220" s="168">
        <f>IFERROR(__xludf.DUMMYFUNCTION("""COMPUTED_VALUE"""),8.40353937192E11)</f>
        <v>840353937192</v>
      </c>
      <c r="I220" s="185" t="str">
        <f>IFERROR(__xludf.DUMMYFUNCTION("""COMPUTED_VALUE"""),"0840353937192")</f>
        <v>0840353937192</v>
      </c>
      <c r="J220" s="182" t="str">
        <f>IFERROR(__xludf.DUMMYFUNCTION("""COMPUTED_VALUE"""),"#N/A")</f>
        <v>#N/A</v>
      </c>
      <c r="K220" s="182" t="str">
        <f>IFERROR(__xludf.DUMMYFUNCTION("""COMPUTED_VALUE"""),"GEHN3")</f>
        <v>GEHN3</v>
      </c>
      <c r="L220" s="182" t="str">
        <f>IFERROR(__xludf.DUMMYFUNCTION("""COMPUTED_VALUE"""),"ROW")</f>
        <v>ROW</v>
      </c>
    </row>
    <row r="221">
      <c r="A221" s="182" t="str">
        <f>IFERROR(__xludf.DUMMYFUNCTION("""COMPUTED_VALUE"""),"CLNRGA10314")</f>
        <v>CLNRGA10314</v>
      </c>
      <c r="B221" s="182" t="str">
        <f>IFERROR(__xludf.DUMMYFUNCTION("""COMPUTED_VALUE"""),"SKU,CLR2, BETTER, SUB6, CA/AU, BZ5, FRU")</f>
        <v>SKU,CLR2, BETTER, SUB6, CA/AU, BZ5, FRU</v>
      </c>
      <c r="C221" s="182" t="str">
        <f>IFERROR(__xludf.DUMMYFUNCTION("""COMPUTED_VALUE"""),"BETTER")</f>
        <v>BETTER</v>
      </c>
      <c r="D221" s="182" t="str">
        <f>IFERROR(__xludf.DUMMYFUNCTION("""COMPUTED_VALUE"""),"CLR2")</f>
        <v>CLR2</v>
      </c>
      <c r="E221" s="182" t="str">
        <f>IFERROR(__xludf.DUMMYFUNCTION("""COMPUTED_VALUE"""),"Light Porcelain")</f>
        <v>Light Porcelain</v>
      </c>
      <c r="F221" s="182" t="str">
        <f>IFERROR(__xludf.DUMMYFUNCTION("""COMPUTED_VALUE"""),"256GB")</f>
        <v>256GB</v>
      </c>
      <c r="G221" s="182" t="str">
        <f>IFERROR(__xludf.DUMMYFUNCTION("""COMPUTED_VALUE"""),"CA/TW/SG/AU/MY/MX")</f>
        <v>CA/TW/SG/AU/MY/MX</v>
      </c>
      <c r="H221" s="168">
        <f>IFERROR(__xludf.DUMMYFUNCTION("""COMPUTED_VALUE"""),8.40353937208E11)</f>
        <v>840353937208</v>
      </c>
      <c r="I221" s="185" t="str">
        <f>IFERROR(__xludf.DUMMYFUNCTION("""COMPUTED_VALUE"""),"0840353937208")</f>
        <v>0840353937208</v>
      </c>
      <c r="J221" s="182" t="str">
        <f>IFERROR(__xludf.DUMMYFUNCTION("""COMPUTED_VALUE"""),"#N/A")</f>
        <v>#N/A</v>
      </c>
      <c r="K221" s="182" t="str">
        <f>IFERROR(__xludf.DUMMYFUNCTION("""COMPUTED_VALUE"""),"GEHN3")</f>
        <v>GEHN3</v>
      </c>
      <c r="L221" s="182" t="str">
        <f>IFERROR(__xludf.DUMMYFUNCTION("""COMPUTED_VALUE"""),"ROW")</f>
        <v>ROW</v>
      </c>
    </row>
    <row r="222">
      <c r="A222" s="182" t="str">
        <f>IFERROR(__xludf.DUMMYFUNCTION("""COMPUTED_VALUE"""),"CLNRGA10315")</f>
        <v>CLNRGA10315</v>
      </c>
      <c r="B222" s="182" t="str">
        <f>IFERROR(__xludf.DUMMYFUNCTION("""COMPUTED_VALUE"""),"SKU,CLR3, BETTER, SUB6, CA/AU, BZ5, FRU")</f>
        <v>SKU,CLR3, BETTER, SUB6, CA/AU, BZ5, FRU</v>
      </c>
      <c r="C222" s="182" t="str">
        <f>IFERROR(__xludf.DUMMYFUNCTION("""COMPUTED_VALUE"""),"BETTER")</f>
        <v>BETTER</v>
      </c>
      <c r="D222" s="182" t="str">
        <f>IFERROR(__xludf.DUMMYFUNCTION("""COMPUTED_VALUE"""),"CLR3")</f>
        <v>CLR3</v>
      </c>
      <c r="E222" s="182" t="str">
        <f>IFERROR(__xludf.DUMMYFUNCTION("""COMPUTED_VALUE"""),"Sterling")</f>
        <v>Sterling</v>
      </c>
      <c r="F222" s="182" t="str">
        <f>IFERROR(__xludf.DUMMYFUNCTION("""COMPUTED_VALUE"""),"256GB")</f>
        <v>256GB</v>
      </c>
      <c r="G222" s="182" t="str">
        <f>IFERROR(__xludf.DUMMYFUNCTION("""COMPUTED_VALUE"""),"CA/TW/SG/AU/MY/MX")</f>
        <v>CA/TW/SG/AU/MY/MX</v>
      </c>
      <c r="H222" s="168">
        <f>IFERROR(__xludf.DUMMYFUNCTION("""COMPUTED_VALUE"""),8.40353937215E11)</f>
        <v>840353937215</v>
      </c>
      <c r="I222" s="185" t="str">
        <f>IFERROR(__xludf.DUMMYFUNCTION("""COMPUTED_VALUE"""),"0840353937215")</f>
        <v>0840353937215</v>
      </c>
      <c r="J222" s="182" t="str">
        <f>IFERROR(__xludf.DUMMYFUNCTION("""COMPUTED_VALUE"""),"#N/A")</f>
        <v>#N/A</v>
      </c>
      <c r="K222" s="182" t="str">
        <f>IFERROR(__xludf.DUMMYFUNCTION("""COMPUTED_VALUE"""),"GEHN3")</f>
        <v>GEHN3</v>
      </c>
      <c r="L222" s="182" t="str">
        <f>IFERROR(__xludf.DUMMYFUNCTION("""COMPUTED_VALUE"""),"ROW")</f>
        <v>ROW</v>
      </c>
    </row>
    <row r="223">
      <c r="A223" s="182" t="str">
        <f>IFERROR(__xludf.DUMMYFUNCTION("""COMPUTED_VALUE"""),"CLNRGA10316")</f>
        <v>CLNRGA10316</v>
      </c>
      <c r="B223" s="182" t="str">
        <f>IFERROR(__xludf.DUMMYFUNCTION("""COMPUTED_VALUE"""),"SKU,CLR4, BETTER, SUB6, CA/AU, BZ5, FRU")</f>
        <v>SKU,CLR4, BETTER, SUB6, CA/AU, BZ5, FRU</v>
      </c>
      <c r="C223" s="182" t="str">
        <f>IFERROR(__xludf.DUMMYFUNCTION("""COMPUTED_VALUE"""),"BETTER")</f>
        <v>BETTER</v>
      </c>
      <c r="D223" s="182" t="str">
        <f>IFERROR(__xludf.DUMMYFUNCTION("""COMPUTED_VALUE"""),"CLR4")</f>
        <v>CLR4</v>
      </c>
      <c r="E223" s="182" t="str">
        <f>IFERROR(__xludf.DUMMYFUNCTION("""COMPUTED_VALUE"""),"Smokey Green")</f>
        <v>Smokey Green</v>
      </c>
      <c r="F223" s="182" t="str">
        <f>IFERROR(__xludf.DUMMYFUNCTION("""COMPUTED_VALUE"""),"256GB")</f>
        <v>256GB</v>
      </c>
      <c r="G223" s="182" t="str">
        <f>IFERROR(__xludf.DUMMYFUNCTION("""COMPUTED_VALUE"""),"CA/TW/SG/AU/MY/MX")</f>
        <v>CA/TW/SG/AU/MY/MX</v>
      </c>
      <c r="H223" s="168">
        <f>IFERROR(__xludf.DUMMYFUNCTION("""COMPUTED_VALUE"""),8.40353937222E11)</f>
        <v>840353937222</v>
      </c>
      <c r="I223" s="185" t="str">
        <f>IFERROR(__xludf.DUMMYFUNCTION("""COMPUTED_VALUE"""),"0840353937222")</f>
        <v>0840353937222</v>
      </c>
      <c r="J223" s="182" t="str">
        <f>IFERROR(__xludf.DUMMYFUNCTION("""COMPUTED_VALUE"""),"#N/A")</f>
        <v>#N/A</v>
      </c>
      <c r="K223" s="182" t="str">
        <f>IFERROR(__xludf.DUMMYFUNCTION("""COMPUTED_VALUE"""),"GEHN3")</f>
        <v>GEHN3</v>
      </c>
      <c r="L223" s="182" t="str">
        <f>IFERROR(__xludf.DUMMYFUNCTION("""COMPUTED_VALUE"""),"ROW")</f>
        <v>ROW</v>
      </c>
    </row>
    <row r="224">
      <c r="A224" s="182" t="str">
        <f>IFERROR(__xludf.DUMMYFUNCTION("""COMPUTED_VALUE"""),"CLNRGA09909")</f>
        <v>CLNRGA09909</v>
      </c>
      <c r="B224" s="182" t="str">
        <f>IFERROR(__xludf.DUMMYFUNCTION("""COMPUTED_VALUE"""),"SKU,CLR1, BEST, SUB6, CA/AU, BZ5, FRU")</f>
        <v>SKU,CLR1, BEST, SUB6, CA/AU, BZ5, FRU</v>
      </c>
      <c r="C224" s="182" t="str">
        <f>IFERROR(__xludf.DUMMYFUNCTION("""COMPUTED_VALUE"""),"BEST")</f>
        <v>BEST</v>
      </c>
      <c r="D224" s="182" t="str">
        <f>IFERROR(__xludf.DUMMYFUNCTION("""COMPUTED_VALUE"""),"CLR1")</f>
        <v>CLR1</v>
      </c>
      <c r="E224" s="182" t="str">
        <f>IFERROR(__xludf.DUMMYFUNCTION("""COMPUTED_VALUE"""),"Midnight")</f>
        <v>Midnight</v>
      </c>
      <c r="F224" s="182" t="str">
        <f>IFERROR(__xludf.DUMMYFUNCTION("""COMPUTED_VALUE"""),"512GB")</f>
        <v>512GB</v>
      </c>
      <c r="G224" s="182" t="str">
        <f>IFERROR(__xludf.DUMMYFUNCTION("""COMPUTED_VALUE"""),"CA/TW/SG/AU/MY/MX")</f>
        <v>CA/TW/SG/AU/MY/MX</v>
      </c>
      <c r="H224" s="168">
        <f>IFERROR(__xludf.DUMMYFUNCTION("""COMPUTED_VALUE"""),8.40353937239E11)</f>
        <v>840353937239</v>
      </c>
      <c r="I224" s="185" t="str">
        <f>IFERROR(__xludf.DUMMYFUNCTION("""COMPUTED_VALUE"""),"0840353937239")</f>
        <v>0840353937239</v>
      </c>
      <c r="J224" s="182" t="str">
        <f>IFERROR(__xludf.DUMMYFUNCTION("""COMPUTED_VALUE"""),"#N/A")</f>
        <v>#N/A</v>
      </c>
      <c r="K224" s="182" t="str">
        <f>IFERROR(__xludf.DUMMYFUNCTION("""COMPUTED_VALUE"""),"GEHN3")</f>
        <v>GEHN3</v>
      </c>
      <c r="L224" s="182" t="str">
        <f>IFERROR(__xludf.DUMMYFUNCTION("""COMPUTED_VALUE"""),"ROW")</f>
        <v>ROW</v>
      </c>
    </row>
    <row r="225">
      <c r="A225" s="182" t="str">
        <f>IFERROR(__xludf.DUMMYFUNCTION("""COMPUTED_VALUE"""),"CLNRGA10317")</f>
        <v>CLNRGA10317</v>
      </c>
      <c r="B225" s="182" t="str">
        <f>IFERROR(__xludf.DUMMYFUNCTION("""COMPUTED_VALUE"""),"SKU,CLR2, BEST, SUB6, CA/AU, BZ5, FRU")</f>
        <v>SKU,CLR2, BEST, SUB6, CA/AU, BZ5, FRU</v>
      </c>
      <c r="C225" s="182" t="str">
        <f>IFERROR(__xludf.DUMMYFUNCTION("""COMPUTED_VALUE"""),"BEST")</f>
        <v>BEST</v>
      </c>
      <c r="D225" s="182" t="str">
        <f>IFERROR(__xludf.DUMMYFUNCTION("""COMPUTED_VALUE"""),"CLR2")</f>
        <v>CLR2</v>
      </c>
      <c r="E225" s="182" t="str">
        <f>IFERROR(__xludf.DUMMYFUNCTION("""COMPUTED_VALUE"""),"Light Porcelain")</f>
        <v>Light Porcelain</v>
      </c>
      <c r="F225" s="182" t="str">
        <f>IFERROR(__xludf.DUMMYFUNCTION("""COMPUTED_VALUE"""),"512GB")</f>
        <v>512GB</v>
      </c>
      <c r="G225" s="182" t="str">
        <f>IFERROR(__xludf.DUMMYFUNCTION("""COMPUTED_VALUE"""),"CA/TW/SG/AU/MY/MX")</f>
        <v>CA/TW/SG/AU/MY/MX</v>
      </c>
      <c r="H225" s="168">
        <f>IFERROR(__xludf.DUMMYFUNCTION("""COMPUTED_VALUE"""),8.40353937246E11)</f>
        <v>840353937246</v>
      </c>
      <c r="I225" s="185" t="str">
        <f>IFERROR(__xludf.DUMMYFUNCTION("""COMPUTED_VALUE"""),"0840353937246")</f>
        <v>0840353937246</v>
      </c>
      <c r="J225" s="182" t="str">
        <f>IFERROR(__xludf.DUMMYFUNCTION("""COMPUTED_VALUE"""),"#N/A")</f>
        <v>#N/A</v>
      </c>
      <c r="K225" s="182" t="str">
        <f>IFERROR(__xludf.DUMMYFUNCTION("""COMPUTED_VALUE"""),"GEHN3")</f>
        <v>GEHN3</v>
      </c>
      <c r="L225" s="182" t="str">
        <f>IFERROR(__xludf.DUMMYFUNCTION("""COMPUTED_VALUE"""),"ROW")</f>
        <v>ROW</v>
      </c>
    </row>
    <row r="226">
      <c r="A226" s="182" t="str">
        <f>IFERROR(__xludf.DUMMYFUNCTION("""COMPUTED_VALUE"""),"CLNRGA10318")</f>
        <v>CLNRGA10318</v>
      </c>
      <c r="B226" s="182" t="str">
        <f>IFERROR(__xludf.DUMMYFUNCTION("""COMPUTED_VALUE"""),"SKU,CLR3, BEST, SUB6, CA/AU, BZ5, FRU")</f>
        <v>SKU,CLR3, BEST, SUB6, CA/AU, BZ5, FRU</v>
      </c>
      <c r="C226" s="182" t="str">
        <f>IFERROR(__xludf.DUMMYFUNCTION("""COMPUTED_VALUE"""),"BEST")</f>
        <v>BEST</v>
      </c>
      <c r="D226" s="182" t="str">
        <f>IFERROR(__xludf.DUMMYFUNCTION("""COMPUTED_VALUE"""),"CLR3")</f>
        <v>CLR3</v>
      </c>
      <c r="E226" s="182" t="str">
        <f>IFERROR(__xludf.DUMMYFUNCTION("""COMPUTED_VALUE"""),"Sterling")</f>
        <v>Sterling</v>
      </c>
      <c r="F226" s="182" t="str">
        <f>IFERROR(__xludf.DUMMYFUNCTION("""COMPUTED_VALUE"""),"512GB")</f>
        <v>512GB</v>
      </c>
      <c r="G226" s="182" t="str">
        <f>IFERROR(__xludf.DUMMYFUNCTION("""COMPUTED_VALUE"""),"CA/TW/SG/AU/MY/MX")</f>
        <v>CA/TW/SG/AU/MY/MX</v>
      </c>
      <c r="H226" s="168">
        <f>IFERROR(__xludf.DUMMYFUNCTION("""COMPUTED_VALUE"""),8.40353937253E11)</f>
        <v>840353937253</v>
      </c>
      <c r="I226" s="185" t="str">
        <f>IFERROR(__xludf.DUMMYFUNCTION("""COMPUTED_VALUE"""),"0840353937253")</f>
        <v>0840353937253</v>
      </c>
      <c r="J226" s="182" t="str">
        <f>IFERROR(__xludf.DUMMYFUNCTION("""COMPUTED_VALUE"""),"#N/A")</f>
        <v>#N/A</v>
      </c>
      <c r="K226" s="182" t="str">
        <f>IFERROR(__xludf.DUMMYFUNCTION("""COMPUTED_VALUE"""),"GEHN3")</f>
        <v>GEHN3</v>
      </c>
      <c r="L226" s="182" t="str">
        <f>IFERROR(__xludf.DUMMYFUNCTION("""COMPUTED_VALUE"""),"ROW")</f>
        <v>ROW</v>
      </c>
    </row>
    <row r="227">
      <c r="A227" s="182" t="str">
        <f>IFERROR(__xludf.DUMMYFUNCTION("""COMPUTED_VALUE"""),"CLNRGA10319")</f>
        <v>CLNRGA10319</v>
      </c>
      <c r="B227" s="182" t="str">
        <f>IFERROR(__xludf.DUMMYFUNCTION("""COMPUTED_VALUE"""),"SKU,CLR4, BEST, SUB6, CA/AU, BZ5, FRU")</f>
        <v>SKU,CLR4, BEST, SUB6, CA/AU, BZ5, FRU</v>
      </c>
      <c r="C227" s="182" t="str">
        <f>IFERROR(__xludf.DUMMYFUNCTION("""COMPUTED_VALUE"""),"BEST")</f>
        <v>BEST</v>
      </c>
      <c r="D227" s="182" t="str">
        <f>IFERROR(__xludf.DUMMYFUNCTION("""COMPUTED_VALUE"""),"CLR4")</f>
        <v>CLR4</v>
      </c>
      <c r="E227" s="182" t="str">
        <f>IFERROR(__xludf.DUMMYFUNCTION("""COMPUTED_VALUE"""),"Smokey Green")</f>
        <v>Smokey Green</v>
      </c>
      <c r="F227" s="182" t="str">
        <f>IFERROR(__xludf.DUMMYFUNCTION("""COMPUTED_VALUE"""),"512GB")</f>
        <v>512GB</v>
      </c>
      <c r="G227" s="182" t="str">
        <f>IFERROR(__xludf.DUMMYFUNCTION("""COMPUTED_VALUE"""),"CA/TW/SG/AU/MY/MX")</f>
        <v>CA/TW/SG/AU/MY/MX</v>
      </c>
      <c r="H227" s="168">
        <f>IFERROR(__xludf.DUMMYFUNCTION("""COMPUTED_VALUE"""),8.4035393726E11)</f>
        <v>840353937260</v>
      </c>
      <c r="I227" s="185" t="str">
        <f>IFERROR(__xludf.DUMMYFUNCTION("""COMPUTED_VALUE"""),"0840353937260")</f>
        <v>0840353937260</v>
      </c>
      <c r="J227" s="182" t="str">
        <f>IFERROR(__xludf.DUMMYFUNCTION("""COMPUTED_VALUE"""),"#N/A")</f>
        <v>#N/A</v>
      </c>
      <c r="K227" s="182" t="str">
        <f>IFERROR(__xludf.DUMMYFUNCTION("""COMPUTED_VALUE"""),"GEHN3")</f>
        <v>GEHN3</v>
      </c>
      <c r="L227" s="182" t="str">
        <f>IFERROR(__xludf.DUMMYFUNCTION("""COMPUTED_VALUE"""),"ROW")</f>
        <v>ROW</v>
      </c>
    </row>
    <row r="228">
      <c r="A228" s="182" t="str">
        <f>IFERROR(__xludf.DUMMYFUNCTION("""COMPUTED_VALUE"""),"CLNRGA09934")</f>
        <v>CLNRGA09934</v>
      </c>
      <c r="B228" s="182" t="str">
        <f>IFERROR(__xludf.DUMMYFUNCTION("""COMPUTED_VALUE"""),"SKU,CLR1, ULTRA, SUB6, CA/AU, BZ5, FRU")</f>
        <v>SKU,CLR1, ULTRA, SUB6, CA/AU, BZ5, FRU</v>
      </c>
      <c r="C228" s="182" t="str">
        <f>IFERROR(__xludf.DUMMYFUNCTION("""COMPUTED_VALUE"""),"ULTRA")</f>
        <v>ULTRA</v>
      </c>
      <c r="D228" s="182" t="str">
        <f>IFERROR(__xludf.DUMMYFUNCTION("""COMPUTED_VALUE"""),"CLR1")</f>
        <v>CLR1</v>
      </c>
      <c r="E228" s="182" t="str">
        <f>IFERROR(__xludf.DUMMYFUNCTION("""COMPUTED_VALUE"""),"Midnight")</f>
        <v>Midnight</v>
      </c>
      <c r="F228" s="182" t="str">
        <f>IFERROR(__xludf.DUMMYFUNCTION("""COMPUTED_VALUE"""),"1TB")</f>
        <v>1TB</v>
      </c>
      <c r="G228" s="182" t="str">
        <f>IFERROR(__xludf.DUMMYFUNCTION("""COMPUTED_VALUE"""),"CA/TW/SG/AU/MY/MX")</f>
        <v>CA/TW/SG/AU/MY/MX</v>
      </c>
      <c r="H228" s="168">
        <f>IFERROR(__xludf.DUMMYFUNCTION("""COMPUTED_VALUE"""),8.40353937277E11)</f>
        <v>840353937277</v>
      </c>
      <c r="I228" s="185" t="str">
        <f>IFERROR(__xludf.DUMMYFUNCTION("""COMPUTED_VALUE"""),"0840353937277")</f>
        <v>0840353937277</v>
      </c>
      <c r="J228" s="182" t="str">
        <f>IFERROR(__xludf.DUMMYFUNCTION("""COMPUTED_VALUE"""),"#N/A")</f>
        <v>#N/A</v>
      </c>
      <c r="K228" s="182" t="str">
        <f>IFERROR(__xludf.DUMMYFUNCTION("""COMPUTED_VALUE"""),"GEHN3")</f>
        <v>GEHN3</v>
      </c>
      <c r="L228" s="182" t="str">
        <f>IFERROR(__xludf.DUMMYFUNCTION("""COMPUTED_VALUE"""),"ROW")</f>
        <v>ROW</v>
      </c>
    </row>
    <row r="229">
      <c r="A229" s="182" t="str">
        <f>IFERROR(__xludf.DUMMYFUNCTION("""COMPUTED_VALUE"""),"CLNRGA10320")</f>
        <v>CLNRGA10320</v>
      </c>
      <c r="B229" s="182" t="str">
        <f>IFERROR(__xludf.DUMMYFUNCTION("""COMPUTED_VALUE"""),"SKU,CLR3, ULTRA, SUB6, CA/AU, BZ5, FRU")</f>
        <v>SKU,CLR3, ULTRA, SUB6, CA/AU, BZ5, FRU</v>
      </c>
      <c r="C229" s="182" t="str">
        <f>IFERROR(__xludf.DUMMYFUNCTION("""COMPUTED_VALUE"""),"ULTRA")</f>
        <v>ULTRA</v>
      </c>
      <c r="D229" s="182" t="str">
        <f>IFERROR(__xludf.DUMMYFUNCTION("""COMPUTED_VALUE"""),"CLR3")</f>
        <v>CLR3</v>
      </c>
      <c r="E229" s="182" t="str">
        <f>IFERROR(__xludf.DUMMYFUNCTION("""COMPUTED_VALUE"""),"Sterling")</f>
        <v>Sterling</v>
      </c>
      <c r="F229" s="182" t="str">
        <f>IFERROR(__xludf.DUMMYFUNCTION("""COMPUTED_VALUE"""),"1TB")</f>
        <v>1TB</v>
      </c>
      <c r="G229" s="182" t="str">
        <f>IFERROR(__xludf.DUMMYFUNCTION("""COMPUTED_VALUE"""),"CA/TW/SG/AU/MY/MX")</f>
        <v>CA/TW/SG/AU/MY/MX</v>
      </c>
      <c r="H229" s="168">
        <f>IFERROR(__xludf.DUMMYFUNCTION("""COMPUTED_VALUE"""),8.40353937284E11)</f>
        <v>840353937284</v>
      </c>
      <c r="I229" s="185" t="str">
        <f>IFERROR(__xludf.DUMMYFUNCTION("""COMPUTED_VALUE"""),"0840353937284")</f>
        <v>0840353937284</v>
      </c>
      <c r="J229" s="182" t="str">
        <f>IFERROR(__xludf.DUMMYFUNCTION("""COMPUTED_VALUE"""),"#N/A")</f>
        <v>#N/A</v>
      </c>
      <c r="K229" s="182" t="str">
        <f>IFERROR(__xludf.DUMMYFUNCTION("""COMPUTED_VALUE"""),"GEHN3")</f>
        <v>GEHN3</v>
      </c>
      <c r="L229" s="182" t="str">
        <f>IFERROR(__xludf.DUMMYFUNCTION("""COMPUTED_VALUE"""),"ROW")</f>
        <v>ROW</v>
      </c>
    </row>
    <row r="230">
      <c r="A230" s="182" t="str">
        <f>IFERROR(__xludf.DUMMYFUNCTION("""COMPUTED_VALUE"""),"CLNRGA10502")</f>
        <v>CLNRGA10502</v>
      </c>
      <c r="B230" s="182" t="str">
        <f>IFERROR(__xludf.DUMMYFUNCTION("""COMPUTED_VALUE"""),"SKU,CLR1, GOOD, SUB6, EU/UK, BZ5, FRU")</f>
        <v>SKU,CLR1, GOOD, SUB6, EU/UK, BZ5, FRU</v>
      </c>
      <c r="C230" s="182" t="str">
        <f>IFERROR(__xludf.DUMMYFUNCTION("""COMPUTED_VALUE"""),"GOOD")</f>
        <v>GOOD</v>
      </c>
      <c r="D230" s="182" t="str">
        <f>IFERROR(__xludf.DUMMYFUNCTION("""COMPUTED_VALUE"""),"CLR1")</f>
        <v>CLR1</v>
      </c>
      <c r="E230" s="182" t="str">
        <f>IFERROR(__xludf.DUMMYFUNCTION("""COMPUTED_VALUE"""),"Midnight")</f>
        <v>Midnight</v>
      </c>
      <c r="F230" s="182" t="str">
        <f>IFERROR(__xludf.DUMMYFUNCTION("""COMPUTED_VALUE"""),"128GB")</f>
        <v>128GB</v>
      </c>
      <c r="G230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230" s="168">
        <f>IFERROR(__xludf.DUMMYFUNCTION("""COMPUTED_VALUE"""),8.40353936751E11)</f>
        <v>840353936751</v>
      </c>
      <c r="I230" s="185" t="str">
        <f>IFERROR(__xludf.DUMMYFUNCTION("""COMPUTED_VALUE"""),"0840353936751")</f>
        <v>0840353936751</v>
      </c>
      <c r="J230" s="182" t="str">
        <f>IFERROR(__xludf.DUMMYFUNCTION("""COMPUTED_VALUE"""),"#N/A")</f>
        <v>#N/A</v>
      </c>
      <c r="K230" s="182" t="str">
        <f>IFERROR(__xludf.DUMMYFUNCTION("""COMPUTED_VALUE"""),"GEHN3")</f>
        <v>GEHN3</v>
      </c>
      <c r="L230" s="182" t="str">
        <f>IFERROR(__xludf.DUMMYFUNCTION("""COMPUTED_VALUE"""),"ROW")</f>
        <v>ROW</v>
      </c>
    </row>
    <row r="231">
      <c r="A231" s="182" t="str">
        <f>IFERROR(__xludf.DUMMYFUNCTION("""COMPUTED_VALUE"""),"CLNRGA10503")</f>
        <v>CLNRGA10503</v>
      </c>
      <c r="B231" s="182" t="str">
        <f>IFERROR(__xludf.DUMMYFUNCTION("""COMPUTED_VALUE"""),"SKU,CLR2, GOOD, SUB6, EU/UK, BZ5, FRU")</f>
        <v>SKU,CLR2, GOOD, SUB6, EU/UK, BZ5, FRU</v>
      </c>
      <c r="C231" s="182" t="str">
        <f>IFERROR(__xludf.DUMMYFUNCTION("""COMPUTED_VALUE"""),"GOOD")</f>
        <v>GOOD</v>
      </c>
      <c r="D231" s="182" t="str">
        <f>IFERROR(__xludf.DUMMYFUNCTION("""COMPUTED_VALUE"""),"CLR2")</f>
        <v>CLR2</v>
      </c>
      <c r="E231" s="182" t="str">
        <f>IFERROR(__xludf.DUMMYFUNCTION("""COMPUTED_VALUE"""),"Light Porcelain")</f>
        <v>Light Porcelain</v>
      </c>
      <c r="F231" s="182" t="str">
        <f>IFERROR(__xludf.DUMMYFUNCTION("""COMPUTED_VALUE"""),"128GB")</f>
        <v>128GB</v>
      </c>
      <c r="G231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231" s="168">
        <f>IFERROR(__xludf.DUMMYFUNCTION("""COMPUTED_VALUE"""),8.40353936812E11)</f>
        <v>840353936812</v>
      </c>
      <c r="I231" s="185" t="str">
        <f>IFERROR(__xludf.DUMMYFUNCTION("""COMPUTED_VALUE"""),"0840353936812")</f>
        <v>0840353936812</v>
      </c>
      <c r="J231" s="182" t="str">
        <f>IFERROR(__xludf.DUMMYFUNCTION("""COMPUTED_VALUE"""),"#N/A")</f>
        <v>#N/A</v>
      </c>
      <c r="K231" s="182" t="str">
        <f>IFERROR(__xludf.DUMMYFUNCTION("""COMPUTED_VALUE"""),"GEHN3")</f>
        <v>GEHN3</v>
      </c>
      <c r="L231" s="182" t="str">
        <f>IFERROR(__xludf.DUMMYFUNCTION("""COMPUTED_VALUE"""),"ROW")</f>
        <v>ROW</v>
      </c>
    </row>
    <row r="232">
      <c r="A232" s="182" t="str">
        <f>IFERROR(__xludf.DUMMYFUNCTION("""COMPUTED_VALUE"""),"CLNRGA10504")</f>
        <v>CLNRGA10504</v>
      </c>
      <c r="B232" s="182" t="str">
        <f>IFERROR(__xludf.DUMMYFUNCTION("""COMPUTED_VALUE"""),"SKU,CLR3, GOOD, SUB6, EU/UK, BZ5, FRU")</f>
        <v>SKU,CLR3, GOOD, SUB6, EU/UK, BZ5, FRU</v>
      </c>
      <c r="C232" s="182" t="str">
        <f>IFERROR(__xludf.DUMMYFUNCTION("""COMPUTED_VALUE"""),"GOOD")</f>
        <v>GOOD</v>
      </c>
      <c r="D232" s="182" t="str">
        <f>IFERROR(__xludf.DUMMYFUNCTION("""COMPUTED_VALUE"""),"CLR3")</f>
        <v>CLR3</v>
      </c>
      <c r="E232" s="182" t="str">
        <f>IFERROR(__xludf.DUMMYFUNCTION("""COMPUTED_VALUE"""),"Sterling")</f>
        <v>Sterling</v>
      </c>
      <c r="F232" s="182" t="str">
        <f>IFERROR(__xludf.DUMMYFUNCTION("""COMPUTED_VALUE"""),"128GB")</f>
        <v>128GB</v>
      </c>
      <c r="G232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232" s="168">
        <f>IFERROR(__xludf.DUMMYFUNCTION("""COMPUTED_VALUE"""),8.40353936874E11)</f>
        <v>840353936874</v>
      </c>
      <c r="I232" s="185" t="str">
        <f>IFERROR(__xludf.DUMMYFUNCTION("""COMPUTED_VALUE"""),"0840353936874")</f>
        <v>0840353936874</v>
      </c>
      <c r="J232" s="182" t="str">
        <f>IFERROR(__xludf.DUMMYFUNCTION("""COMPUTED_VALUE"""),"#N/A")</f>
        <v>#N/A</v>
      </c>
      <c r="K232" s="182" t="str">
        <f>IFERROR(__xludf.DUMMYFUNCTION("""COMPUTED_VALUE"""),"GEHN3")</f>
        <v>GEHN3</v>
      </c>
      <c r="L232" s="182" t="str">
        <f>IFERROR(__xludf.DUMMYFUNCTION("""COMPUTED_VALUE"""),"ROW")</f>
        <v>ROW</v>
      </c>
    </row>
    <row r="233">
      <c r="A233" s="182" t="str">
        <f>IFERROR(__xludf.DUMMYFUNCTION("""COMPUTED_VALUE"""),"CLNRGA10505")</f>
        <v>CLNRGA10505</v>
      </c>
      <c r="B233" s="182" t="str">
        <f>IFERROR(__xludf.DUMMYFUNCTION("""COMPUTED_VALUE"""),"SKU,CLR1, BETTER, SUB6, EU/UK, BZ5, FRU")</f>
        <v>SKU,CLR1, BETTER, SUB6, EU/UK, BZ5, FRU</v>
      </c>
      <c r="C233" s="182" t="str">
        <f>IFERROR(__xludf.DUMMYFUNCTION("""COMPUTED_VALUE"""),"BETTER")</f>
        <v>BETTER</v>
      </c>
      <c r="D233" s="182" t="str">
        <f>IFERROR(__xludf.DUMMYFUNCTION("""COMPUTED_VALUE"""),"CLR1")</f>
        <v>CLR1</v>
      </c>
      <c r="E233" s="182" t="str">
        <f>IFERROR(__xludf.DUMMYFUNCTION("""COMPUTED_VALUE"""),"Midnight")</f>
        <v>Midnight</v>
      </c>
      <c r="F233" s="182" t="str">
        <f>IFERROR(__xludf.DUMMYFUNCTION("""COMPUTED_VALUE"""),"256GB")</f>
        <v>256GB</v>
      </c>
      <c r="G233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233" s="168">
        <f>IFERROR(__xludf.DUMMYFUNCTION("""COMPUTED_VALUE"""),8.40353937291E11)</f>
        <v>840353937291</v>
      </c>
      <c r="I233" s="185" t="str">
        <f>IFERROR(__xludf.DUMMYFUNCTION("""COMPUTED_VALUE"""),"0840353937291")</f>
        <v>0840353937291</v>
      </c>
      <c r="J233" s="182" t="str">
        <f>IFERROR(__xludf.DUMMYFUNCTION("""COMPUTED_VALUE"""),"#N/A")</f>
        <v>#N/A</v>
      </c>
      <c r="K233" s="182" t="str">
        <f>IFERROR(__xludf.DUMMYFUNCTION("""COMPUTED_VALUE"""),"GEHN3")</f>
        <v>GEHN3</v>
      </c>
      <c r="L233" s="182" t="str">
        <f>IFERROR(__xludf.DUMMYFUNCTION("""COMPUTED_VALUE"""),"ROW")</f>
        <v>ROW</v>
      </c>
    </row>
    <row r="234">
      <c r="A234" s="182" t="str">
        <f>IFERROR(__xludf.DUMMYFUNCTION("""COMPUTED_VALUE"""),"CLNRGA10506")</f>
        <v>CLNRGA10506</v>
      </c>
      <c r="B234" s="182" t="str">
        <f>IFERROR(__xludf.DUMMYFUNCTION("""COMPUTED_VALUE"""),"SKU,CLR2, BETTER, SUB6, EU/UK, BZ5, FRU")</f>
        <v>SKU,CLR2, BETTER, SUB6, EU/UK, BZ5, FRU</v>
      </c>
      <c r="C234" s="182" t="str">
        <f>IFERROR(__xludf.DUMMYFUNCTION("""COMPUTED_VALUE"""),"BETTER")</f>
        <v>BETTER</v>
      </c>
      <c r="D234" s="182" t="str">
        <f>IFERROR(__xludf.DUMMYFUNCTION("""COMPUTED_VALUE"""),"CLR2")</f>
        <v>CLR2</v>
      </c>
      <c r="E234" s="182" t="str">
        <f>IFERROR(__xludf.DUMMYFUNCTION("""COMPUTED_VALUE"""),"Light Porcelain")</f>
        <v>Light Porcelain</v>
      </c>
      <c r="F234" s="182" t="str">
        <f>IFERROR(__xludf.DUMMYFUNCTION("""COMPUTED_VALUE"""),"256GB")</f>
        <v>256GB</v>
      </c>
      <c r="G234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234" s="168">
        <f>IFERROR(__xludf.DUMMYFUNCTION("""COMPUTED_VALUE"""),8.40353937307E11)</f>
        <v>840353937307</v>
      </c>
      <c r="I234" s="185" t="str">
        <f>IFERROR(__xludf.DUMMYFUNCTION("""COMPUTED_VALUE"""),"0840353937307")</f>
        <v>0840353937307</v>
      </c>
      <c r="J234" s="182" t="str">
        <f>IFERROR(__xludf.DUMMYFUNCTION("""COMPUTED_VALUE"""),"#N/A")</f>
        <v>#N/A</v>
      </c>
      <c r="K234" s="182" t="str">
        <f>IFERROR(__xludf.DUMMYFUNCTION("""COMPUTED_VALUE"""),"GEHN3")</f>
        <v>GEHN3</v>
      </c>
      <c r="L234" s="182" t="str">
        <f>IFERROR(__xludf.DUMMYFUNCTION("""COMPUTED_VALUE"""),"ROW")</f>
        <v>ROW</v>
      </c>
    </row>
    <row r="235">
      <c r="A235" s="182" t="str">
        <f>IFERROR(__xludf.DUMMYFUNCTION("""COMPUTED_VALUE"""),"CLNRGA10507")</f>
        <v>CLNRGA10507</v>
      </c>
      <c r="B235" s="182" t="str">
        <f>IFERROR(__xludf.DUMMYFUNCTION("""COMPUTED_VALUE"""),"SKU,CLR3, BETTER, SUB6, EU/UK, BZ5, FRU")</f>
        <v>SKU,CLR3, BETTER, SUB6, EU/UK, BZ5, FRU</v>
      </c>
      <c r="C235" s="182" t="str">
        <f>IFERROR(__xludf.DUMMYFUNCTION("""COMPUTED_VALUE"""),"BETTER")</f>
        <v>BETTER</v>
      </c>
      <c r="D235" s="182" t="str">
        <f>IFERROR(__xludf.DUMMYFUNCTION("""COMPUTED_VALUE"""),"CLR3")</f>
        <v>CLR3</v>
      </c>
      <c r="E235" s="182" t="str">
        <f>IFERROR(__xludf.DUMMYFUNCTION("""COMPUTED_VALUE"""),"Sterling")</f>
        <v>Sterling</v>
      </c>
      <c r="F235" s="182" t="str">
        <f>IFERROR(__xludf.DUMMYFUNCTION("""COMPUTED_VALUE"""),"256GB")</f>
        <v>256GB</v>
      </c>
      <c r="G235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235" s="168">
        <f>IFERROR(__xludf.DUMMYFUNCTION("""COMPUTED_VALUE"""),8.40353937314E11)</f>
        <v>840353937314</v>
      </c>
      <c r="I235" s="185" t="str">
        <f>IFERROR(__xludf.DUMMYFUNCTION("""COMPUTED_VALUE"""),"0840353937314")</f>
        <v>0840353937314</v>
      </c>
      <c r="J235" s="182" t="str">
        <f>IFERROR(__xludf.DUMMYFUNCTION("""COMPUTED_VALUE"""),"#N/A")</f>
        <v>#N/A</v>
      </c>
      <c r="K235" s="182" t="str">
        <f>IFERROR(__xludf.DUMMYFUNCTION("""COMPUTED_VALUE"""),"GEHN3")</f>
        <v>GEHN3</v>
      </c>
      <c r="L235" s="182" t="str">
        <f>IFERROR(__xludf.DUMMYFUNCTION("""COMPUTED_VALUE"""),"ROW")</f>
        <v>ROW</v>
      </c>
    </row>
    <row r="236">
      <c r="A236" s="182" t="str">
        <f>IFERROR(__xludf.DUMMYFUNCTION("""COMPUTED_VALUE"""),"CLNRGA10508")</f>
        <v>CLNRGA10508</v>
      </c>
      <c r="B236" s="182" t="str">
        <f>IFERROR(__xludf.DUMMYFUNCTION("""COMPUTED_VALUE"""),"SKU,CLR4, BETTER, SUB6, EU/UK, BZ5, FRU")</f>
        <v>SKU,CLR4, BETTER, SUB6, EU/UK, BZ5, FRU</v>
      </c>
      <c r="C236" s="182" t="str">
        <f>IFERROR(__xludf.DUMMYFUNCTION("""COMPUTED_VALUE"""),"BETTER")</f>
        <v>BETTER</v>
      </c>
      <c r="D236" s="182" t="str">
        <f>IFERROR(__xludf.DUMMYFUNCTION("""COMPUTED_VALUE"""),"CLR4")</f>
        <v>CLR4</v>
      </c>
      <c r="E236" s="182" t="str">
        <f>IFERROR(__xludf.DUMMYFUNCTION("""COMPUTED_VALUE"""),"Smokey Green")</f>
        <v>Smokey Green</v>
      </c>
      <c r="F236" s="182" t="str">
        <f>IFERROR(__xludf.DUMMYFUNCTION("""COMPUTED_VALUE"""),"256GB")</f>
        <v>256GB</v>
      </c>
      <c r="G236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236" s="168">
        <f>IFERROR(__xludf.DUMMYFUNCTION("""COMPUTED_VALUE"""),8.40353937321E11)</f>
        <v>840353937321</v>
      </c>
      <c r="I236" s="185" t="str">
        <f>IFERROR(__xludf.DUMMYFUNCTION("""COMPUTED_VALUE"""),"0840353937321")</f>
        <v>0840353937321</v>
      </c>
      <c r="J236" s="182" t="str">
        <f>IFERROR(__xludf.DUMMYFUNCTION("""COMPUTED_VALUE"""),"#N/A")</f>
        <v>#N/A</v>
      </c>
      <c r="K236" s="182" t="str">
        <f>IFERROR(__xludf.DUMMYFUNCTION("""COMPUTED_VALUE"""),"GEHN3")</f>
        <v>GEHN3</v>
      </c>
      <c r="L236" s="182" t="str">
        <f>IFERROR(__xludf.DUMMYFUNCTION("""COMPUTED_VALUE"""),"ROW")</f>
        <v>ROW</v>
      </c>
    </row>
    <row r="237">
      <c r="A237" s="182" t="str">
        <f>IFERROR(__xludf.DUMMYFUNCTION("""COMPUTED_VALUE"""),"CLNRGA10509")</f>
        <v>CLNRGA10509</v>
      </c>
      <c r="B237" s="182" t="str">
        <f>IFERROR(__xludf.DUMMYFUNCTION("""COMPUTED_VALUE"""),"SKU,CLR1, BEST, SUB6, EU/UK, BZ5, FRU")</f>
        <v>SKU,CLR1, BEST, SUB6, EU/UK, BZ5, FRU</v>
      </c>
      <c r="C237" s="182" t="str">
        <f>IFERROR(__xludf.DUMMYFUNCTION("""COMPUTED_VALUE"""),"BEST")</f>
        <v>BEST</v>
      </c>
      <c r="D237" s="182" t="str">
        <f>IFERROR(__xludf.DUMMYFUNCTION("""COMPUTED_VALUE"""),"CLR1")</f>
        <v>CLR1</v>
      </c>
      <c r="E237" s="182" t="str">
        <f>IFERROR(__xludf.DUMMYFUNCTION("""COMPUTED_VALUE"""),"Midnight")</f>
        <v>Midnight</v>
      </c>
      <c r="F237" s="182" t="str">
        <f>IFERROR(__xludf.DUMMYFUNCTION("""COMPUTED_VALUE"""),"512GB")</f>
        <v>512GB</v>
      </c>
      <c r="G237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237" s="168">
        <f>IFERROR(__xludf.DUMMYFUNCTION("""COMPUTED_VALUE"""),8.40353937338E11)</f>
        <v>840353937338</v>
      </c>
      <c r="I237" s="185" t="str">
        <f>IFERROR(__xludf.DUMMYFUNCTION("""COMPUTED_VALUE"""),"0840353937338")</f>
        <v>0840353937338</v>
      </c>
      <c r="J237" s="182" t="str">
        <f>IFERROR(__xludf.DUMMYFUNCTION("""COMPUTED_VALUE"""),"#N/A")</f>
        <v>#N/A</v>
      </c>
      <c r="K237" s="182" t="str">
        <f>IFERROR(__xludf.DUMMYFUNCTION("""COMPUTED_VALUE"""),"GEHN3")</f>
        <v>GEHN3</v>
      </c>
      <c r="L237" s="182" t="str">
        <f>IFERROR(__xludf.DUMMYFUNCTION("""COMPUTED_VALUE"""),"ROW")</f>
        <v>ROW</v>
      </c>
    </row>
    <row r="238">
      <c r="A238" s="182" t="str">
        <f>IFERROR(__xludf.DUMMYFUNCTION("""COMPUTED_VALUE"""),"CLNRGA10510")</f>
        <v>CLNRGA10510</v>
      </c>
      <c r="B238" s="182" t="str">
        <f>IFERROR(__xludf.DUMMYFUNCTION("""COMPUTED_VALUE"""),"SKU,CLR2, BEST, SUB6, EU/UK, BZ5, FRU")</f>
        <v>SKU,CLR2, BEST, SUB6, EU/UK, BZ5, FRU</v>
      </c>
      <c r="C238" s="182" t="str">
        <f>IFERROR(__xludf.DUMMYFUNCTION("""COMPUTED_VALUE"""),"BEST")</f>
        <v>BEST</v>
      </c>
      <c r="D238" s="182" t="str">
        <f>IFERROR(__xludf.DUMMYFUNCTION("""COMPUTED_VALUE"""),"CLR2")</f>
        <v>CLR2</v>
      </c>
      <c r="E238" s="182" t="str">
        <f>IFERROR(__xludf.DUMMYFUNCTION("""COMPUTED_VALUE"""),"Light Porcelain")</f>
        <v>Light Porcelain</v>
      </c>
      <c r="F238" s="182" t="str">
        <f>IFERROR(__xludf.DUMMYFUNCTION("""COMPUTED_VALUE"""),"512GB")</f>
        <v>512GB</v>
      </c>
      <c r="G238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238" s="168">
        <f>IFERROR(__xludf.DUMMYFUNCTION("""COMPUTED_VALUE"""),8.40353937345E11)</f>
        <v>840353937345</v>
      </c>
      <c r="I238" s="185" t="str">
        <f>IFERROR(__xludf.DUMMYFUNCTION("""COMPUTED_VALUE"""),"0840353937345")</f>
        <v>0840353937345</v>
      </c>
      <c r="J238" s="182" t="str">
        <f>IFERROR(__xludf.DUMMYFUNCTION("""COMPUTED_VALUE"""),"#N/A")</f>
        <v>#N/A</v>
      </c>
      <c r="K238" s="182" t="str">
        <f>IFERROR(__xludf.DUMMYFUNCTION("""COMPUTED_VALUE"""),"GEHN3")</f>
        <v>GEHN3</v>
      </c>
      <c r="L238" s="182" t="str">
        <f>IFERROR(__xludf.DUMMYFUNCTION("""COMPUTED_VALUE"""),"ROW")</f>
        <v>ROW</v>
      </c>
    </row>
    <row r="239">
      <c r="A239" s="182" t="str">
        <f>IFERROR(__xludf.DUMMYFUNCTION("""COMPUTED_VALUE"""),"CLNRGA10511")</f>
        <v>CLNRGA10511</v>
      </c>
      <c r="B239" s="182" t="str">
        <f>IFERROR(__xludf.DUMMYFUNCTION("""COMPUTED_VALUE"""),"SKU,CLR3, BEST, SUB6, EU/UK, BZ5, FRU")</f>
        <v>SKU,CLR3, BEST, SUB6, EU/UK, BZ5, FRU</v>
      </c>
      <c r="C239" s="182" t="str">
        <f>IFERROR(__xludf.DUMMYFUNCTION("""COMPUTED_VALUE"""),"BEST")</f>
        <v>BEST</v>
      </c>
      <c r="D239" s="182" t="str">
        <f>IFERROR(__xludf.DUMMYFUNCTION("""COMPUTED_VALUE"""),"CLR3")</f>
        <v>CLR3</v>
      </c>
      <c r="E239" s="182" t="str">
        <f>IFERROR(__xludf.DUMMYFUNCTION("""COMPUTED_VALUE"""),"Sterling")</f>
        <v>Sterling</v>
      </c>
      <c r="F239" s="182" t="str">
        <f>IFERROR(__xludf.DUMMYFUNCTION("""COMPUTED_VALUE"""),"512GB")</f>
        <v>512GB</v>
      </c>
      <c r="G239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239" s="168">
        <f>IFERROR(__xludf.DUMMYFUNCTION("""COMPUTED_VALUE"""),8.40353937352E11)</f>
        <v>840353937352</v>
      </c>
      <c r="I239" s="185" t="str">
        <f>IFERROR(__xludf.DUMMYFUNCTION("""COMPUTED_VALUE"""),"0840353937352")</f>
        <v>0840353937352</v>
      </c>
      <c r="J239" s="182" t="str">
        <f>IFERROR(__xludf.DUMMYFUNCTION("""COMPUTED_VALUE"""),"#N/A")</f>
        <v>#N/A</v>
      </c>
      <c r="K239" s="182" t="str">
        <f>IFERROR(__xludf.DUMMYFUNCTION("""COMPUTED_VALUE"""),"GEHN3")</f>
        <v>GEHN3</v>
      </c>
      <c r="L239" s="182" t="str">
        <f>IFERROR(__xludf.DUMMYFUNCTION("""COMPUTED_VALUE"""),"ROW")</f>
        <v>ROW</v>
      </c>
    </row>
    <row r="240">
      <c r="A240" s="182" t="str">
        <f>IFERROR(__xludf.DUMMYFUNCTION("""COMPUTED_VALUE"""),"CLNRGA10512")</f>
        <v>CLNRGA10512</v>
      </c>
      <c r="B240" s="182" t="str">
        <f>IFERROR(__xludf.DUMMYFUNCTION("""COMPUTED_VALUE"""),"SKU,CLR4, BEST, SUB6, EU/UK, BZ5, FRU")</f>
        <v>SKU,CLR4, BEST, SUB6, EU/UK, BZ5, FRU</v>
      </c>
      <c r="C240" s="182" t="str">
        <f>IFERROR(__xludf.DUMMYFUNCTION("""COMPUTED_VALUE"""),"BEST")</f>
        <v>BEST</v>
      </c>
      <c r="D240" s="182" t="str">
        <f>IFERROR(__xludf.DUMMYFUNCTION("""COMPUTED_VALUE"""),"CLR4")</f>
        <v>CLR4</v>
      </c>
      <c r="E240" s="182" t="str">
        <f>IFERROR(__xludf.DUMMYFUNCTION("""COMPUTED_VALUE"""),"Smokey Green")</f>
        <v>Smokey Green</v>
      </c>
      <c r="F240" s="182" t="str">
        <f>IFERROR(__xludf.DUMMYFUNCTION("""COMPUTED_VALUE"""),"512GB")</f>
        <v>512GB</v>
      </c>
      <c r="G240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240" s="168">
        <f>IFERROR(__xludf.DUMMYFUNCTION("""COMPUTED_VALUE"""),8.40353937369E11)</f>
        <v>840353937369</v>
      </c>
      <c r="I240" s="185" t="str">
        <f>IFERROR(__xludf.DUMMYFUNCTION("""COMPUTED_VALUE"""),"0840353937369")</f>
        <v>0840353937369</v>
      </c>
      <c r="J240" s="182" t="str">
        <f>IFERROR(__xludf.DUMMYFUNCTION("""COMPUTED_VALUE"""),"#N/A")</f>
        <v>#N/A</v>
      </c>
      <c r="K240" s="182" t="str">
        <f>IFERROR(__xludf.DUMMYFUNCTION("""COMPUTED_VALUE"""),"GEHN3")</f>
        <v>GEHN3</v>
      </c>
      <c r="L240" s="182" t="str">
        <f>IFERROR(__xludf.DUMMYFUNCTION("""COMPUTED_VALUE"""),"ROW")</f>
        <v>ROW</v>
      </c>
    </row>
    <row r="241">
      <c r="A241" s="182" t="str">
        <f>IFERROR(__xludf.DUMMYFUNCTION("""COMPUTED_VALUE"""),"CLNRGA10513")</f>
        <v>CLNRGA10513</v>
      </c>
      <c r="B241" s="182" t="str">
        <f>IFERROR(__xludf.DUMMYFUNCTION("""COMPUTED_VALUE"""),"SKU,CLR1, ULTRA, SUB6, EU/UK, BZ5, FRU")</f>
        <v>SKU,CLR1, ULTRA, SUB6, EU/UK, BZ5, FRU</v>
      </c>
      <c r="C241" s="182" t="str">
        <f>IFERROR(__xludf.DUMMYFUNCTION("""COMPUTED_VALUE"""),"ULTRA")</f>
        <v>ULTRA</v>
      </c>
      <c r="D241" s="182" t="str">
        <f>IFERROR(__xludf.DUMMYFUNCTION("""COMPUTED_VALUE"""),"CLR1")</f>
        <v>CLR1</v>
      </c>
      <c r="E241" s="182" t="str">
        <f>IFERROR(__xludf.DUMMYFUNCTION("""COMPUTED_VALUE"""),"Midnight")</f>
        <v>Midnight</v>
      </c>
      <c r="F241" s="182" t="str">
        <f>IFERROR(__xludf.DUMMYFUNCTION("""COMPUTED_VALUE"""),"1TB")</f>
        <v>1TB</v>
      </c>
      <c r="G241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241" s="168">
        <f>IFERROR(__xludf.DUMMYFUNCTION("""COMPUTED_VALUE"""),8.40353937376E11)</f>
        <v>840353937376</v>
      </c>
      <c r="I241" s="185" t="str">
        <f>IFERROR(__xludf.DUMMYFUNCTION("""COMPUTED_VALUE"""),"0840353937376")</f>
        <v>0840353937376</v>
      </c>
      <c r="J241" s="182" t="str">
        <f>IFERROR(__xludf.DUMMYFUNCTION("""COMPUTED_VALUE"""),"#N/A")</f>
        <v>#N/A</v>
      </c>
      <c r="K241" s="182" t="str">
        <f>IFERROR(__xludf.DUMMYFUNCTION("""COMPUTED_VALUE"""),"GEHN3")</f>
        <v>GEHN3</v>
      </c>
      <c r="L241" s="182" t="str">
        <f>IFERROR(__xludf.DUMMYFUNCTION("""COMPUTED_VALUE"""),"ROW")</f>
        <v>ROW</v>
      </c>
    </row>
    <row r="242">
      <c r="A242" s="182" t="str">
        <f>IFERROR(__xludf.DUMMYFUNCTION("""COMPUTED_VALUE"""),"CLNRGA10514")</f>
        <v>CLNRGA10514</v>
      </c>
      <c r="B242" s="182" t="str">
        <f>IFERROR(__xludf.DUMMYFUNCTION("""COMPUTED_VALUE"""),"SKU,CLR3, ULTRA, SUB6, UK/EU, BZ5, FRU")</f>
        <v>SKU,CLR3, ULTRA, SUB6, UK/EU, BZ5, FRU</v>
      </c>
      <c r="C242" s="182" t="str">
        <f>IFERROR(__xludf.DUMMYFUNCTION("""COMPUTED_VALUE"""),"ULTRA")</f>
        <v>ULTRA</v>
      </c>
      <c r="D242" s="182" t="str">
        <f>IFERROR(__xludf.DUMMYFUNCTION("""COMPUTED_VALUE"""),"CLR3")</f>
        <v>CLR3</v>
      </c>
      <c r="E242" s="182" t="str">
        <f>IFERROR(__xludf.DUMMYFUNCTION("""COMPUTED_VALUE"""),"Sterling")</f>
        <v>Sterling</v>
      </c>
      <c r="F242" s="182" t="str">
        <f>IFERROR(__xludf.DUMMYFUNCTION("""COMPUTED_VALUE"""),"1TB")</f>
        <v>1TB</v>
      </c>
      <c r="G242" s="18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H242" s="168">
        <f>IFERROR(__xludf.DUMMYFUNCTION("""COMPUTED_VALUE"""),8.40353937383E11)</f>
        <v>840353937383</v>
      </c>
      <c r="I242" s="185" t="str">
        <f>IFERROR(__xludf.DUMMYFUNCTION("""COMPUTED_VALUE"""),"0840353937383")</f>
        <v>0840353937383</v>
      </c>
      <c r="J242" s="182" t="str">
        <f>IFERROR(__xludf.DUMMYFUNCTION("""COMPUTED_VALUE"""),"#N/A")</f>
        <v>#N/A</v>
      </c>
      <c r="K242" s="182" t="str">
        <f>IFERROR(__xludf.DUMMYFUNCTION("""COMPUTED_VALUE"""),"GEHN3")</f>
        <v>GEHN3</v>
      </c>
      <c r="L242" s="182" t="str">
        <f>IFERROR(__xludf.DUMMYFUNCTION("""COMPUTED_VALUE"""),"ROW")</f>
        <v>ROW</v>
      </c>
    </row>
    <row r="243">
      <c r="A243" s="182" t="str">
        <f>IFERROR(__xludf.DUMMYFUNCTION("""COMPUTED_VALUE"""),"CLNRGA10515")</f>
        <v>CLNRGA10515</v>
      </c>
      <c r="B243" s="182" t="str">
        <f>IFERROR(__xludf.DUMMYFUNCTION("""COMPUTED_VALUE"""),"SKU,CLR1, BETTER, SUB6, IN, BZ5, FRU")</f>
        <v>SKU,CLR1, BETTER, SUB6, IN, BZ5, FRU</v>
      </c>
      <c r="C243" s="182" t="str">
        <f>IFERROR(__xludf.DUMMYFUNCTION("""COMPUTED_VALUE"""),"BETTER")</f>
        <v>BETTER</v>
      </c>
      <c r="D243" s="182" t="str">
        <f>IFERROR(__xludf.DUMMYFUNCTION("""COMPUTED_VALUE"""),"CLR1")</f>
        <v>CLR1</v>
      </c>
      <c r="E243" s="182" t="str">
        <f>IFERROR(__xludf.DUMMYFUNCTION("""COMPUTED_VALUE"""),"Midnight")</f>
        <v>Midnight</v>
      </c>
      <c r="F243" s="182" t="str">
        <f>IFERROR(__xludf.DUMMYFUNCTION("""COMPUTED_VALUE"""),"256GB")</f>
        <v>256GB</v>
      </c>
      <c r="G243" s="182" t="str">
        <f>IFERROR(__xludf.DUMMYFUNCTION("""COMPUTED_VALUE"""),"IN")</f>
        <v>IN</v>
      </c>
      <c r="H243" s="168">
        <f>IFERROR(__xludf.DUMMYFUNCTION("""COMPUTED_VALUE"""),8.4035393739E11)</f>
        <v>840353937390</v>
      </c>
      <c r="I243" s="185" t="str">
        <f>IFERROR(__xludf.DUMMYFUNCTION("""COMPUTED_VALUE"""),"0840353937390")</f>
        <v>0840353937390</v>
      </c>
      <c r="J243" s="182" t="str">
        <f>IFERROR(__xludf.DUMMYFUNCTION("""COMPUTED_VALUE"""),"#N/A")</f>
        <v>#N/A</v>
      </c>
      <c r="K243" s="182" t="str">
        <f>IFERROR(__xludf.DUMMYFUNCTION("""COMPUTED_VALUE"""),"GEHN3")</f>
        <v>GEHN3</v>
      </c>
      <c r="L243" s="182" t="str">
        <f>IFERROR(__xludf.DUMMYFUNCTION("""COMPUTED_VALUE"""),"ROW")</f>
        <v>ROW</v>
      </c>
    </row>
    <row r="244">
      <c r="A244" s="182" t="str">
        <f>IFERROR(__xludf.DUMMYFUNCTION("""COMPUTED_VALUE"""),"CLNRGA10516")</f>
        <v>CLNRGA10516</v>
      </c>
      <c r="B244" s="182" t="str">
        <f>IFERROR(__xludf.DUMMYFUNCTION("""COMPUTED_VALUE"""),"SKU,CLR2, BETTER, SUB6, IN, BZ5, FRU")</f>
        <v>SKU,CLR2, BETTER, SUB6, IN, BZ5, FRU</v>
      </c>
      <c r="C244" s="182" t="str">
        <f>IFERROR(__xludf.DUMMYFUNCTION("""COMPUTED_VALUE"""),"BETTER")</f>
        <v>BETTER</v>
      </c>
      <c r="D244" s="182" t="str">
        <f>IFERROR(__xludf.DUMMYFUNCTION("""COMPUTED_VALUE"""),"CLR2")</f>
        <v>CLR2</v>
      </c>
      <c r="E244" s="182" t="str">
        <f>IFERROR(__xludf.DUMMYFUNCTION("""COMPUTED_VALUE"""),"Light Porcelain")</f>
        <v>Light Porcelain</v>
      </c>
      <c r="F244" s="182" t="str">
        <f>IFERROR(__xludf.DUMMYFUNCTION("""COMPUTED_VALUE"""),"256GB")</f>
        <v>256GB</v>
      </c>
      <c r="G244" s="182" t="str">
        <f>IFERROR(__xludf.DUMMYFUNCTION("""COMPUTED_VALUE"""),"IN")</f>
        <v>IN</v>
      </c>
      <c r="H244" s="168">
        <f>IFERROR(__xludf.DUMMYFUNCTION("""COMPUTED_VALUE"""),8.40353937406E11)</f>
        <v>840353937406</v>
      </c>
      <c r="I244" s="185" t="str">
        <f>IFERROR(__xludf.DUMMYFUNCTION("""COMPUTED_VALUE"""),"0840353937406")</f>
        <v>0840353937406</v>
      </c>
      <c r="J244" s="182" t="str">
        <f>IFERROR(__xludf.DUMMYFUNCTION("""COMPUTED_VALUE"""),"#N/A")</f>
        <v>#N/A</v>
      </c>
      <c r="K244" s="182" t="str">
        <f>IFERROR(__xludf.DUMMYFUNCTION("""COMPUTED_VALUE"""),"GEHN3")</f>
        <v>GEHN3</v>
      </c>
      <c r="L244" s="182" t="str">
        <f>IFERROR(__xludf.DUMMYFUNCTION("""COMPUTED_VALUE"""),"ROW")</f>
        <v>ROW</v>
      </c>
    </row>
    <row r="245">
      <c r="A245" s="182" t="str">
        <f>IFERROR(__xludf.DUMMYFUNCTION("""COMPUTED_VALUE"""),"CLNRGA10517")</f>
        <v>CLNRGA10517</v>
      </c>
      <c r="B245" s="182" t="str">
        <f>IFERROR(__xludf.DUMMYFUNCTION("""COMPUTED_VALUE"""),"SKU,CLR3, BETTER, SUB6, IN, BZ5, FRU")</f>
        <v>SKU,CLR3, BETTER, SUB6, IN, BZ5, FRU</v>
      </c>
      <c r="C245" s="182" t="str">
        <f>IFERROR(__xludf.DUMMYFUNCTION("""COMPUTED_VALUE"""),"BETTER")</f>
        <v>BETTER</v>
      </c>
      <c r="D245" s="182" t="str">
        <f>IFERROR(__xludf.DUMMYFUNCTION("""COMPUTED_VALUE"""),"CLR3")</f>
        <v>CLR3</v>
      </c>
      <c r="E245" s="182" t="str">
        <f>IFERROR(__xludf.DUMMYFUNCTION("""COMPUTED_VALUE"""),"Sterling")</f>
        <v>Sterling</v>
      </c>
      <c r="F245" s="182" t="str">
        <f>IFERROR(__xludf.DUMMYFUNCTION("""COMPUTED_VALUE"""),"256GB")</f>
        <v>256GB</v>
      </c>
      <c r="G245" s="182" t="str">
        <f>IFERROR(__xludf.DUMMYFUNCTION("""COMPUTED_VALUE"""),"IN")</f>
        <v>IN</v>
      </c>
      <c r="H245" s="168">
        <f>IFERROR(__xludf.DUMMYFUNCTION("""COMPUTED_VALUE"""),8.40353937413E11)</f>
        <v>840353937413</v>
      </c>
      <c r="I245" s="185" t="str">
        <f>IFERROR(__xludf.DUMMYFUNCTION("""COMPUTED_VALUE"""),"0840353937413")</f>
        <v>0840353937413</v>
      </c>
      <c r="J245" s="182" t="str">
        <f>IFERROR(__xludf.DUMMYFUNCTION("""COMPUTED_VALUE"""),"#N/A")</f>
        <v>#N/A</v>
      </c>
      <c r="K245" s="182" t="str">
        <f>IFERROR(__xludf.DUMMYFUNCTION("""COMPUTED_VALUE"""),"GEHN3")</f>
        <v>GEHN3</v>
      </c>
      <c r="L245" s="182" t="str">
        <f>IFERROR(__xludf.DUMMYFUNCTION("""COMPUTED_VALUE"""),"ROW")</f>
        <v>ROW</v>
      </c>
    </row>
    <row r="246">
      <c r="A246" s="182" t="str">
        <f>IFERROR(__xludf.DUMMYFUNCTION("""COMPUTED_VALUE"""),"CLNRGA10518")</f>
        <v>CLNRGA10518</v>
      </c>
      <c r="B246" s="182" t="str">
        <f>IFERROR(__xludf.DUMMYFUNCTION("""COMPUTED_VALUE"""),"SKU,CLR4, BETTER, SUB6, IN, BZ5, FRU")</f>
        <v>SKU,CLR4, BETTER, SUB6, IN, BZ5, FRU</v>
      </c>
      <c r="C246" s="182" t="str">
        <f>IFERROR(__xludf.DUMMYFUNCTION("""COMPUTED_VALUE"""),"BETTER")</f>
        <v>BETTER</v>
      </c>
      <c r="D246" s="182" t="str">
        <f>IFERROR(__xludf.DUMMYFUNCTION("""COMPUTED_VALUE"""),"CLR4")</f>
        <v>CLR4</v>
      </c>
      <c r="E246" s="182" t="str">
        <f>IFERROR(__xludf.DUMMYFUNCTION("""COMPUTED_VALUE"""),"Smokey Green")</f>
        <v>Smokey Green</v>
      </c>
      <c r="F246" s="182" t="str">
        <f>IFERROR(__xludf.DUMMYFUNCTION("""COMPUTED_VALUE"""),"256GB")</f>
        <v>256GB</v>
      </c>
      <c r="G246" s="182" t="str">
        <f>IFERROR(__xludf.DUMMYFUNCTION("""COMPUTED_VALUE"""),"IN")</f>
        <v>IN</v>
      </c>
      <c r="H246" s="168">
        <f>IFERROR(__xludf.DUMMYFUNCTION("""COMPUTED_VALUE"""),8.4035393742E11)</f>
        <v>840353937420</v>
      </c>
      <c r="I246" s="185" t="str">
        <f>IFERROR(__xludf.DUMMYFUNCTION("""COMPUTED_VALUE"""),"0840353937420")</f>
        <v>0840353937420</v>
      </c>
      <c r="J246" s="182" t="str">
        <f>IFERROR(__xludf.DUMMYFUNCTION("""COMPUTED_VALUE"""),"#N/A")</f>
        <v>#N/A</v>
      </c>
      <c r="K246" s="182" t="str">
        <f>IFERROR(__xludf.DUMMYFUNCTION("""COMPUTED_VALUE"""),"GEHN3")</f>
        <v>GEHN3</v>
      </c>
      <c r="L246" s="182" t="str">
        <f>IFERROR(__xludf.DUMMYFUNCTION("""COMPUTED_VALUE"""),"ROW")</f>
        <v>ROW</v>
      </c>
    </row>
    <row r="247">
      <c r="A247" s="182" t="str">
        <f>IFERROR(__xludf.DUMMYFUNCTION("""COMPUTED_VALUE"""),"CLNRGA10519")</f>
        <v>CLNRGA10519</v>
      </c>
      <c r="B247" s="182" t="str">
        <f>IFERROR(__xludf.DUMMYFUNCTION("""COMPUTED_VALUE"""),"SKU,CLR1, BEST, SUB6, IN, BZ5, FRU")</f>
        <v>SKU,CLR1, BEST, SUB6, IN, BZ5, FRU</v>
      </c>
      <c r="C247" s="182" t="str">
        <f>IFERROR(__xludf.DUMMYFUNCTION("""COMPUTED_VALUE"""),"BEST")</f>
        <v>BEST</v>
      </c>
      <c r="D247" s="182" t="str">
        <f>IFERROR(__xludf.DUMMYFUNCTION("""COMPUTED_VALUE"""),"CLR1")</f>
        <v>CLR1</v>
      </c>
      <c r="E247" s="182" t="str">
        <f>IFERROR(__xludf.DUMMYFUNCTION("""COMPUTED_VALUE"""),"Midnight")</f>
        <v>Midnight</v>
      </c>
      <c r="F247" s="182" t="str">
        <f>IFERROR(__xludf.DUMMYFUNCTION("""COMPUTED_VALUE"""),"512GB")</f>
        <v>512GB</v>
      </c>
      <c r="G247" s="182" t="str">
        <f>IFERROR(__xludf.DUMMYFUNCTION("""COMPUTED_VALUE"""),"IN")</f>
        <v>IN</v>
      </c>
      <c r="H247" s="168">
        <f>IFERROR(__xludf.DUMMYFUNCTION("""COMPUTED_VALUE"""),8.40353937437E11)</f>
        <v>840353937437</v>
      </c>
      <c r="I247" s="185" t="str">
        <f>IFERROR(__xludf.DUMMYFUNCTION("""COMPUTED_VALUE"""),"0840353937437")</f>
        <v>0840353937437</v>
      </c>
      <c r="J247" s="182" t="str">
        <f>IFERROR(__xludf.DUMMYFUNCTION("""COMPUTED_VALUE"""),"#N/A")</f>
        <v>#N/A</v>
      </c>
      <c r="K247" s="182" t="str">
        <f>IFERROR(__xludf.DUMMYFUNCTION("""COMPUTED_VALUE"""),"GEHN3")</f>
        <v>GEHN3</v>
      </c>
      <c r="L247" s="182" t="str">
        <f>IFERROR(__xludf.DUMMYFUNCTION("""COMPUTED_VALUE"""),"ROW")</f>
        <v>ROW</v>
      </c>
    </row>
    <row r="248">
      <c r="A248" s="182" t="str">
        <f>IFERROR(__xludf.DUMMYFUNCTION("""COMPUTED_VALUE"""),"CLNRGA10520")</f>
        <v>CLNRGA10520</v>
      </c>
      <c r="B248" s="182" t="str">
        <f>IFERROR(__xludf.DUMMYFUNCTION("""COMPUTED_VALUE"""),"SKU,CLR2, BEST, SUB6, IN, BZ5, FRU")</f>
        <v>SKU,CLR2, BEST, SUB6, IN, BZ5, FRU</v>
      </c>
      <c r="C248" s="182" t="str">
        <f>IFERROR(__xludf.DUMMYFUNCTION("""COMPUTED_VALUE"""),"BEST")</f>
        <v>BEST</v>
      </c>
      <c r="D248" s="182" t="str">
        <f>IFERROR(__xludf.DUMMYFUNCTION("""COMPUTED_VALUE"""),"CLR2")</f>
        <v>CLR2</v>
      </c>
      <c r="E248" s="182" t="str">
        <f>IFERROR(__xludf.DUMMYFUNCTION("""COMPUTED_VALUE"""),"Light Porcelain")</f>
        <v>Light Porcelain</v>
      </c>
      <c r="F248" s="182" t="str">
        <f>IFERROR(__xludf.DUMMYFUNCTION("""COMPUTED_VALUE"""),"512GB")</f>
        <v>512GB</v>
      </c>
      <c r="G248" s="182" t="str">
        <f>IFERROR(__xludf.DUMMYFUNCTION("""COMPUTED_VALUE"""),"IN")</f>
        <v>IN</v>
      </c>
      <c r="H248" s="168">
        <f>IFERROR(__xludf.DUMMYFUNCTION("""COMPUTED_VALUE"""),8.840353937444E12)</f>
        <v>8840353937444</v>
      </c>
      <c r="I248" s="185" t="str">
        <f>IFERROR(__xludf.DUMMYFUNCTION("""COMPUTED_VALUE"""),"0840353937444")</f>
        <v>0840353937444</v>
      </c>
      <c r="J248" s="182" t="str">
        <f>IFERROR(__xludf.DUMMYFUNCTION("""COMPUTED_VALUE"""),"#N/A")</f>
        <v>#N/A</v>
      </c>
      <c r="K248" s="182" t="str">
        <f>IFERROR(__xludf.DUMMYFUNCTION("""COMPUTED_VALUE"""),"GEHN3")</f>
        <v>GEHN3</v>
      </c>
      <c r="L248" s="182" t="str">
        <f>IFERROR(__xludf.DUMMYFUNCTION("""COMPUTED_VALUE"""),"ROW")</f>
        <v>ROW</v>
      </c>
    </row>
    <row r="249">
      <c r="A249" s="182" t="str">
        <f>IFERROR(__xludf.DUMMYFUNCTION("""COMPUTED_VALUE"""),"CLNRGA10521")</f>
        <v>CLNRGA10521</v>
      </c>
      <c r="B249" s="182" t="str">
        <f>IFERROR(__xludf.DUMMYFUNCTION("""COMPUTED_VALUE"""),"SKU,CLR3, BEST, SUB6, IN, BZ5, FRU")</f>
        <v>SKU,CLR3, BEST, SUB6, IN, BZ5, FRU</v>
      </c>
      <c r="C249" s="182" t="str">
        <f>IFERROR(__xludf.DUMMYFUNCTION("""COMPUTED_VALUE"""),"BEST")</f>
        <v>BEST</v>
      </c>
      <c r="D249" s="182" t="str">
        <f>IFERROR(__xludf.DUMMYFUNCTION("""COMPUTED_VALUE"""),"CLR3")</f>
        <v>CLR3</v>
      </c>
      <c r="E249" s="182" t="str">
        <f>IFERROR(__xludf.DUMMYFUNCTION("""COMPUTED_VALUE"""),"Sterling")</f>
        <v>Sterling</v>
      </c>
      <c r="F249" s="182" t="str">
        <f>IFERROR(__xludf.DUMMYFUNCTION("""COMPUTED_VALUE"""),"512GB")</f>
        <v>512GB</v>
      </c>
      <c r="G249" s="182" t="str">
        <f>IFERROR(__xludf.DUMMYFUNCTION("""COMPUTED_VALUE"""),"IN")</f>
        <v>IN</v>
      </c>
      <c r="H249" s="168">
        <f>IFERROR(__xludf.DUMMYFUNCTION("""COMPUTED_VALUE"""),8.40353937451E11)</f>
        <v>840353937451</v>
      </c>
      <c r="I249" s="185" t="str">
        <f>IFERROR(__xludf.DUMMYFUNCTION("""COMPUTED_VALUE"""),"0840353937451")</f>
        <v>0840353937451</v>
      </c>
      <c r="J249" s="182" t="str">
        <f>IFERROR(__xludf.DUMMYFUNCTION("""COMPUTED_VALUE"""),"#N/A")</f>
        <v>#N/A</v>
      </c>
      <c r="K249" s="182" t="str">
        <f>IFERROR(__xludf.DUMMYFUNCTION("""COMPUTED_VALUE"""),"GEHN3")</f>
        <v>GEHN3</v>
      </c>
      <c r="L249" s="182" t="str">
        <f>IFERROR(__xludf.DUMMYFUNCTION("""COMPUTED_VALUE"""),"ROW")</f>
        <v>ROW</v>
      </c>
    </row>
    <row r="250">
      <c r="A250" s="182" t="str">
        <f>IFERROR(__xludf.DUMMYFUNCTION("""COMPUTED_VALUE"""),"CLNRGA10522")</f>
        <v>CLNRGA10522</v>
      </c>
      <c r="B250" s="182" t="str">
        <f>IFERROR(__xludf.DUMMYFUNCTION("""COMPUTED_VALUE"""),"SKU,CLR4, BEST, SUB6, IN, BZ5, FRU")</f>
        <v>SKU,CLR4, BEST, SUB6, IN, BZ5, FRU</v>
      </c>
      <c r="C250" s="182" t="str">
        <f>IFERROR(__xludf.DUMMYFUNCTION("""COMPUTED_VALUE"""),"BEST")</f>
        <v>BEST</v>
      </c>
      <c r="D250" s="182" t="str">
        <f>IFERROR(__xludf.DUMMYFUNCTION("""COMPUTED_VALUE"""),"CLR4")</f>
        <v>CLR4</v>
      </c>
      <c r="E250" s="182" t="str">
        <f>IFERROR(__xludf.DUMMYFUNCTION("""COMPUTED_VALUE"""),"Smokey Green")</f>
        <v>Smokey Green</v>
      </c>
      <c r="F250" s="182" t="str">
        <f>IFERROR(__xludf.DUMMYFUNCTION("""COMPUTED_VALUE"""),"512GB")</f>
        <v>512GB</v>
      </c>
      <c r="G250" s="182" t="str">
        <f>IFERROR(__xludf.DUMMYFUNCTION("""COMPUTED_VALUE"""),"IN")</f>
        <v>IN</v>
      </c>
      <c r="H250" s="168">
        <f>IFERROR(__xludf.DUMMYFUNCTION("""COMPUTED_VALUE"""),8.40353937468E11)</f>
        <v>840353937468</v>
      </c>
      <c r="I250" s="185" t="str">
        <f>IFERROR(__xludf.DUMMYFUNCTION("""COMPUTED_VALUE"""),"0840353937468")</f>
        <v>0840353937468</v>
      </c>
      <c r="J250" s="182" t="str">
        <f>IFERROR(__xludf.DUMMYFUNCTION("""COMPUTED_VALUE"""),"#N/A")</f>
        <v>#N/A</v>
      </c>
      <c r="K250" s="182" t="str">
        <f>IFERROR(__xludf.DUMMYFUNCTION("""COMPUTED_VALUE"""),"GEHN3")</f>
        <v>GEHN3</v>
      </c>
      <c r="L250" s="182" t="str">
        <f>IFERROR(__xludf.DUMMYFUNCTION("""COMPUTED_VALUE"""),"ROW")</f>
        <v>ROW</v>
      </c>
    </row>
    <row r="251">
      <c r="A251" s="182" t="str">
        <f>IFERROR(__xludf.DUMMYFUNCTION("""COMPUTED_VALUE"""),"CLNRGA10523")</f>
        <v>CLNRGA10523</v>
      </c>
      <c r="B251" s="182" t="str">
        <f>IFERROR(__xludf.DUMMYFUNCTION("""COMPUTED_VALUE"""),"SKU,CLR1, ULTRA, SUB6, IN, BZ5, FRU")</f>
        <v>SKU,CLR1, ULTRA, SUB6, IN, BZ5, FRU</v>
      </c>
      <c r="C251" s="182" t="str">
        <f>IFERROR(__xludf.DUMMYFUNCTION("""COMPUTED_VALUE"""),"ULTRA")</f>
        <v>ULTRA</v>
      </c>
      <c r="D251" s="182" t="str">
        <f>IFERROR(__xludf.DUMMYFUNCTION("""COMPUTED_VALUE"""),"CLR1")</f>
        <v>CLR1</v>
      </c>
      <c r="E251" s="182" t="str">
        <f>IFERROR(__xludf.DUMMYFUNCTION("""COMPUTED_VALUE"""),"Midnight")</f>
        <v>Midnight</v>
      </c>
      <c r="F251" s="182" t="str">
        <f>IFERROR(__xludf.DUMMYFUNCTION("""COMPUTED_VALUE"""),"1TB")</f>
        <v>1TB</v>
      </c>
      <c r="G251" s="182" t="str">
        <f>IFERROR(__xludf.DUMMYFUNCTION("""COMPUTED_VALUE"""),"IN")</f>
        <v>IN</v>
      </c>
      <c r="H251" s="168">
        <f>IFERROR(__xludf.DUMMYFUNCTION("""COMPUTED_VALUE"""),8.40353937475E11)</f>
        <v>840353937475</v>
      </c>
      <c r="I251" s="185" t="str">
        <f>IFERROR(__xludf.DUMMYFUNCTION("""COMPUTED_VALUE"""),"0840353937475")</f>
        <v>0840353937475</v>
      </c>
      <c r="J251" s="182" t="str">
        <f>IFERROR(__xludf.DUMMYFUNCTION("""COMPUTED_VALUE"""),"#N/A")</f>
        <v>#N/A</v>
      </c>
      <c r="K251" s="182" t="str">
        <f>IFERROR(__xludf.DUMMYFUNCTION("""COMPUTED_VALUE"""),"GEHN3")</f>
        <v>GEHN3</v>
      </c>
      <c r="L251" s="182" t="str">
        <f>IFERROR(__xludf.DUMMYFUNCTION("""COMPUTED_VALUE"""),"ROW")</f>
        <v>ROW</v>
      </c>
    </row>
    <row r="252">
      <c r="A252" s="182" t="str">
        <f>IFERROR(__xludf.DUMMYFUNCTION("""COMPUTED_VALUE"""),"CLNRGA10524")</f>
        <v>CLNRGA10524</v>
      </c>
      <c r="B252" s="182" t="str">
        <f>IFERROR(__xludf.DUMMYFUNCTION("""COMPUTED_VALUE"""),"SKU,CLR3, ULTRA, SUB6, IN, BZ5, FRU")</f>
        <v>SKU,CLR3, ULTRA, SUB6, IN, BZ5, FRU</v>
      </c>
      <c r="C252" s="182" t="str">
        <f>IFERROR(__xludf.DUMMYFUNCTION("""COMPUTED_VALUE"""),"ULTRA")</f>
        <v>ULTRA</v>
      </c>
      <c r="D252" s="182" t="str">
        <f>IFERROR(__xludf.DUMMYFUNCTION("""COMPUTED_VALUE"""),"CLR3")</f>
        <v>CLR3</v>
      </c>
      <c r="E252" s="182" t="str">
        <f>IFERROR(__xludf.DUMMYFUNCTION("""COMPUTED_VALUE"""),"Sterling")</f>
        <v>Sterling</v>
      </c>
      <c r="F252" s="182" t="str">
        <f>IFERROR(__xludf.DUMMYFUNCTION("""COMPUTED_VALUE"""),"1TB")</f>
        <v>1TB</v>
      </c>
      <c r="G252" s="182" t="str">
        <f>IFERROR(__xludf.DUMMYFUNCTION("""COMPUTED_VALUE"""),"IN")</f>
        <v>IN</v>
      </c>
      <c r="H252" s="168">
        <f>IFERROR(__xludf.DUMMYFUNCTION("""COMPUTED_VALUE"""),8.40353937482E11)</f>
        <v>840353937482</v>
      </c>
      <c r="I252" s="185" t="str">
        <f>IFERROR(__xludf.DUMMYFUNCTION("""COMPUTED_VALUE"""),"0840353937482")</f>
        <v>0840353937482</v>
      </c>
      <c r="J252" s="182" t="str">
        <f>IFERROR(__xludf.DUMMYFUNCTION("""COMPUTED_VALUE"""),"#N/A")</f>
        <v>#N/A</v>
      </c>
      <c r="K252" s="182" t="str">
        <f>IFERROR(__xludf.DUMMYFUNCTION("""COMPUTED_VALUE"""),"GEHN3")</f>
        <v>GEHN3</v>
      </c>
      <c r="L252" s="182" t="str">
        <f>IFERROR(__xludf.DUMMYFUNCTION("""COMPUTED_VALUE"""),"ROW")</f>
        <v>ROW</v>
      </c>
    </row>
    <row r="253">
      <c r="A253" s="182" t="str">
        <f>IFERROR(__xludf.DUMMYFUNCTION("""COMPUTED_VALUE"""),"CLNRGA10525")</f>
        <v>CLNRGA10525</v>
      </c>
      <c r="B253" s="182" t="str">
        <f>IFERROR(__xludf.DUMMYFUNCTION("""COMPUTED_VALUE"""),"SKU,CLR1, GOOD, SUB6, JP, BZ5, FRU")</f>
        <v>SKU,CLR1, GOOD, SUB6, JP, BZ5, FRU</v>
      </c>
      <c r="C253" s="182" t="str">
        <f>IFERROR(__xludf.DUMMYFUNCTION("""COMPUTED_VALUE"""),"GOOD")</f>
        <v>GOOD</v>
      </c>
      <c r="D253" s="182" t="str">
        <f>IFERROR(__xludf.DUMMYFUNCTION("""COMPUTED_VALUE"""),"CLR1")</f>
        <v>CLR1</v>
      </c>
      <c r="E253" s="182" t="str">
        <f>IFERROR(__xludf.DUMMYFUNCTION("""COMPUTED_VALUE"""),"Midnight")</f>
        <v>Midnight</v>
      </c>
      <c r="F253" s="182" t="str">
        <f>IFERROR(__xludf.DUMMYFUNCTION("""COMPUTED_VALUE"""),"128GB")</f>
        <v>128GB</v>
      </c>
      <c r="G253" s="182" t="str">
        <f>IFERROR(__xludf.DUMMYFUNCTION("""COMPUTED_VALUE"""),"JP")</f>
        <v>JP</v>
      </c>
      <c r="H253" s="168">
        <f>IFERROR(__xludf.DUMMYFUNCTION("""COMPUTED_VALUE"""),8.40353936768E11)</f>
        <v>840353936768</v>
      </c>
      <c r="I253" s="185" t="str">
        <f>IFERROR(__xludf.DUMMYFUNCTION("""COMPUTED_VALUE"""),"0840353936768")</f>
        <v>0840353936768</v>
      </c>
      <c r="J253" s="182" t="str">
        <f>IFERROR(__xludf.DUMMYFUNCTION("""COMPUTED_VALUE"""),"#N/A")</f>
        <v>#N/A</v>
      </c>
      <c r="K253" s="182" t="str">
        <f>IFERROR(__xludf.DUMMYFUNCTION("""COMPUTED_VALUE"""),"GN4F5")</f>
        <v>GN4F5</v>
      </c>
      <c r="L253" s="182" t="str">
        <f>IFERROR(__xludf.DUMMYFUNCTION("""COMPUTED_VALUE"""),"JP")</f>
        <v>JP</v>
      </c>
    </row>
    <row r="254">
      <c r="A254" s="182" t="str">
        <f>IFERROR(__xludf.DUMMYFUNCTION("""COMPUTED_VALUE"""),"CLNRGA10526")</f>
        <v>CLNRGA10526</v>
      </c>
      <c r="B254" s="182" t="str">
        <f>IFERROR(__xludf.DUMMYFUNCTION("""COMPUTED_VALUE"""),"SKU,CLR2, GOOD, SUB6, JP, BZ5, FRU")</f>
        <v>SKU,CLR2, GOOD, SUB6, JP, BZ5, FRU</v>
      </c>
      <c r="C254" s="182" t="str">
        <f>IFERROR(__xludf.DUMMYFUNCTION("""COMPUTED_VALUE"""),"GOOD")</f>
        <v>GOOD</v>
      </c>
      <c r="D254" s="182" t="str">
        <f>IFERROR(__xludf.DUMMYFUNCTION("""COMPUTED_VALUE"""),"CLR2")</f>
        <v>CLR2</v>
      </c>
      <c r="E254" s="182" t="str">
        <f>IFERROR(__xludf.DUMMYFUNCTION("""COMPUTED_VALUE"""),"Light Porcelain")</f>
        <v>Light Porcelain</v>
      </c>
      <c r="F254" s="182" t="str">
        <f>IFERROR(__xludf.DUMMYFUNCTION("""COMPUTED_VALUE"""),"128GB")</f>
        <v>128GB</v>
      </c>
      <c r="G254" s="182" t="str">
        <f>IFERROR(__xludf.DUMMYFUNCTION("""COMPUTED_VALUE"""),"JP")</f>
        <v>JP</v>
      </c>
      <c r="H254" s="168">
        <f>IFERROR(__xludf.DUMMYFUNCTION("""COMPUTED_VALUE"""),8.40353936829E11)</f>
        <v>840353936829</v>
      </c>
      <c r="I254" s="185" t="str">
        <f>IFERROR(__xludf.DUMMYFUNCTION("""COMPUTED_VALUE"""),"0840353936829")</f>
        <v>0840353936829</v>
      </c>
      <c r="J254" s="182" t="str">
        <f>IFERROR(__xludf.DUMMYFUNCTION("""COMPUTED_VALUE"""),"#N/A")</f>
        <v>#N/A</v>
      </c>
      <c r="K254" s="182" t="str">
        <f>IFERROR(__xludf.DUMMYFUNCTION("""COMPUTED_VALUE"""),"GN4F5")</f>
        <v>GN4F5</v>
      </c>
      <c r="L254" s="182" t="str">
        <f>IFERROR(__xludf.DUMMYFUNCTION("""COMPUTED_VALUE"""),"JP")</f>
        <v>JP</v>
      </c>
    </row>
    <row r="255">
      <c r="A255" s="182" t="str">
        <f>IFERROR(__xludf.DUMMYFUNCTION("""COMPUTED_VALUE"""),"CLNRGA10527")</f>
        <v>CLNRGA10527</v>
      </c>
      <c r="B255" s="182" t="str">
        <f>IFERROR(__xludf.DUMMYFUNCTION("""COMPUTED_VALUE"""),"SKU,CLR3, GOOD, SUB6, JP, BZ5, FRU")</f>
        <v>SKU,CLR3, GOOD, SUB6, JP, BZ5, FRU</v>
      </c>
      <c r="C255" s="182" t="str">
        <f>IFERROR(__xludf.DUMMYFUNCTION("""COMPUTED_VALUE"""),"GOOD")</f>
        <v>GOOD</v>
      </c>
      <c r="D255" s="182" t="str">
        <f>IFERROR(__xludf.DUMMYFUNCTION("""COMPUTED_VALUE"""),"CLR3")</f>
        <v>CLR3</v>
      </c>
      <c r="E255" s="182" t="str">
        <f>IFERROR(__xludf.DUMMYFUNCTION("""COMPUTED_VALUE"""),"Sterling")</f>
        <v>Sterling</v>
      </c>
      <c r="F255" s="182" t="str">
        <f>IFERROR(__xludf.DUMMYFUNCTION("""COMPUTED_VALUE"""),"128GB")</f>
        <v>128GB</v>
      </c>
      <c r="G255" s="182" t="str">
        <f>IFERROR(__xludf.DUMMYFUNCTION("""COMPUTED_VALUE"""),"JP")</f>
        <v>JP</v>
      </c>
      <c r="H255" s="168">
        <f>IFERROR(__xludf.DUMMYFUNCTION("""COMPUTED_VALUE"""),8.40353936881E11)</f>
        <v>840353936881</v>
      </c>
      <c r="I255" s="185" t="str">
        <f>IFERROR(__xludf.DUMMYFUNCTION("""COMPUTED_VALUE"""),"0840353936881")</f>
        <v>0840353936881</v>
      </c>
      <c r="J255" s="182" t="str">
        <f>IFERROR(__xludf.DUMMYFUNCTION("""COMPUTED_VALUE"""),"#N/A")</f>
        <v>#N/A</v>
      </c>
      <c r="K255" s="182" t="str">
        <f>IFERROR(__xludf.DUMMYFUNCTION("""COMPUTED_VALUE"""),"GN4F5")</f>
        <v>GN4F5</v>
      </c>
      <c r="L255" s="182" t="str">
        <f>IFERROR(__xludf.DUMMYFUNCTION("""COMPUTED_VALUE"""),"JP")</f>
        <v>JP</v>
      </c>
    </row>
    <row r="256">
      <c r="A256" s="182" t="str">
        <f>IFERROR(__xludf.DUMMYFUNCTION("""COMPUTED_VALUE"""),"CLNRGA10528")</f>
        <v>CLNRGA10528</v>
      </c>
      <c r="B256" s="182" t="str">
        <f>IFERROR(__xludf.DUMMYFUNCTION("""COMPUTED_VALUE"""),"SKU,CLR1, BETTER, SUB6, JP, BZ5, FRU")</f>
        <v>SKU,CLR1, BETTER, SUB6, JP, BZ5, FRU</v>
      </c>
      <c r="C256" s="182" t="str">
        <f>IFERROR(__xludf.DUMMYFUNCTION("""COMPUTED_VALUE"""),"BETTER")</f>
        <v>BETTER</v>
      </c>
      <c r="D256" s="182" t="str">
        <f>IFERROR(__xludf.DUMMYFUNCTION("""COMPUTED_VALUE"""),"CLR1")</f>
        <v>CLR1</v>
      </c>
      <c r="E256" s="182" t="str">
        <f>IFERROR(__xludf.DUMMYFUNCTION("""COMPUTED_VALUE"""),"Midnight")</f>
        <v>Midnight</v>
      </c>
      <c r="F256" s="182" t="str">
        <f>IFERROR(__xludf.DUMMYFUNCTION("""COMPUTED_VALUE"""),"256GB")</f>
        <v>256GB</v>
      </c>
      <c r="G256" s="182" t="str">
        <f>IFERROR(__xludf.DUMMYFUNCTION("""COMPUTED_VALUE"""),"JP")</f>
        <v>JP</v>
      </c>
      <c r="H256" s="168">
        <f>IFERROR(__xludf.DUMMYFUNCTION("""COMPUTED_VALUE"""),8.40353937499E11)</f>
        <v>840353937499</v>
      </c>
      <c r="I256" s="185" t="str">
        <f>IFERROR(__xludf.DUMMYFUNCTION("""COMPUTED_VALUE"""),"0840353937499")</f>
        <v>0840353937499</v>
      </c>
      <c r="J256" s="182" t="str">
        <f>IFERROR(__xludf.DUMMYFUNCTION("""COMPUTED_VALUE"""),"#N/A")</f>
        <v>#N/A</v>
      </c>
      <c r="K256" s="182" t="str">
        <f>IFERROR(__xludf.DUMMYFUNCTION("""COMPUTED_VALUE"""),"GN4F5")</f>
        <v>GN4F5</v>
      </c>
      <c r="L256" s="182" t="str">
        <f>IFERROR(__xludf.DUMMYFUNCTION("""COMPUTED_VALUE"""),"JP")</f>
        <v>JP</v>
      </c>
    </row>
    <row r="257">
      <c r="A257" s="182" t="str">
        <f>IFERROR(__xludf.DUMMYFUNCTION("""COMPUTED_VALUE"""),"CLNRGA10529")</f>
        <v>CLNRGA10529</v>
      </c>
      <c r="B257" s="182" t="str">
        <f>IFERROR(__xludf.DUMMYFUNCTION("""COMPUTED_VALUE"""),"SKU,CLR2, BETTER, SUB6, JP, BZ5, FRU")</f>
        <v>SKU,CLR2, BETTER, SUB6, JP, BZ5, FRU</v>
      </c>
      <c r="C257" s="182" t="str">
        <f>IFERROR(__xludf.DUMMYFUNCTION("""COMPUTED_VALUE"""),"BETTER")</f>
        <v>BETTER</v>
      </c>
      <c r="D257" s="182" t="str">
        <f>IFERROR(__xludf.DUMMYFUNCTION("""COMPUTED_VALUE"""),"CLR2")</f>
        <v>CLR2</v>
      </c>
      <c r="E257" s="182" t="str">
        <f>IFERROR(__xludf.DUMMYFUNCTION("""COMPUTED_VALUE"""),"Light Porcelain")</f>
        <v>Light Porcelain</v>
      </c>
      <c r="F257" s="182" t="str">
        <f>IFERROR(__xludf.DUMMYFUNCTION("""COMPUTED_VALUE"""),"256GB")</f>
        <v>256GB</v>
      </c>
      <c r="G257" s="182" t="str">
        <f>IFERROR(__xludf.DUMMYFUNCTION("""COMPUTED_VALUE"""),"JP")</f>
        <v>JP</v>
      </c>
      <c r="H257" s="168">
        <f>IFERROR(__xludf.DUMMYFUNCTION("""COMPUTED_VALUE"""),8.40353937505E11)</f>
        <v>840353937505</v>
      </c>
      <c r="I257" s="185" t="str">
        <f>IFERROR(__xludf.DUMMYFUNCTION("""COMPUTED_VALUE"""),"0840353937505")</f>
        <v>0840353937505</v>
      </c>
      <c r="J257" s="182" t="str">
        <f>IFERROR(__xludf.DUMMYFUNCTION("""COMPUTED_VALUE"""),"#N/A")</f>
        <v>#N/A</v>
      </c>
      <c r="K257" s="182" t="str">
        <f>IFERROR(__xludf.DUMMYFUNCTION("""COMPUTED_VALUE"""),"GN4F5")</f>
        <v>GN4F5</v>
      </c>
      <c r="L257" s="182" t="str">
        <f>IFERROR(__xludf.DUMMYFUNCTION("""COMPUTED_VALUE"""),"JP")</f>
        <v>JP</v>
      </c>
    </row>
    <row r="258">
      <c r="A258" s="182" t="str">
        <f>IFERROR(__xludf.DUMMYFUNCTION("""COMPUTED_VALUE"""),"CLNRGA10530")</f>
        <v>CLNRGA10530</v>
      </c>
      <c r="B258" s="182" t="str">
        <f>IFERROR(__xludf.DUMMYFUNCTION("""COMPUTED_VALUE"""),"SKU,CLR3, BETTER, SUB6, JP, BZ5, FRU")</f>
        <v>SKU,CLR3, BETTER, SUB6, JP, BZ5, FRU</v>
      </c>
      <c r="C258" s="182" t="str">
        <f>IFERROR(__xludf.DUMMYFUNCTION("""COMPUTED_VALUE"""),"BETTER")</f>
        <v>BETTER</v>
      </c>
      <c r="D258" s="182" t="str">
        <f>IFERROR(__xludf.DUMMYFUNCTION("""COMPUTED_VALUE"""),"CLR3")</f>
        <v>CLR3</v>
      </c>
      <c r="E258" s="182" t="str">
        <f>IFERROR(__xludf.DUMMYFUNCTION("""COMPUTED_VALUE"""),"Sterling")</f>
        <v>Sterling</v>
      </c>
      <c r="F258" s="182" t="str">
        <f>IFERROR(__xludf.DUMMYFUNCTION("""COMPUTED_VALUE"""),"256GB")</f>
        <v>256GB</v>
      </c>
      <c r="G258" s="182" t="str">
        <f>IFERROR(__xludf.DUMMYFUNCTION("""COMPUTED_VALUE"""),"JP")</f>
        <v>JP</v>
      </c>
      <c r="H258" s="168">
        <f>IFERROR(__xludf.DUMMYFUNCTION("""COMPUTED_VALUE"""),8.40353937512E11)</f>
        <v>840353937512</v>
      </c>
      <c r="I258" s="185" t="str">
        <f>IFERROR(__xludf.DUMMYFUNCTION("""COMPUTED_VALUE"""),"0840353937512")</f>
        <v>0840353937512</v>
      </c>
      <c r="J258" s="182" t="str">
        <f>IFERROR(__xludf.DUMMYFUNCTION("""COMPUTED_VALUE"""),"#N/A")</f>
        <v>#N/A</v>
      </c>
      <c r="K258" s="182" t="str">
        <f>IFERROR(__xludf.DUMMYFUNCTION("""COMPUTED_VALUE"""),"GN4F5")</f>
        <v>GN4F5</v>
      </c>
      <c r="L258" s="182" t="str">
        <f>IFERROR(__xludf.DUMMYFUNCTION("""COMPUTED_VALUE"""),"JP")</f>
        <v>JP</v>
      </c>
    </row>
    <row r="259">
      <c r="A259" s="182" t="str">
        <f>IFERROR(__xludf.DUMMYFUNCTION("""COMPUTED_VALUE"""),"CLNRGA10531")</f>
        <v>CLNRGA10531</v>
      </c>
      <c r="B259" s="182" t="str">
        <f>IFERROR(__xludf.DUMMYFUNCTION("""COMPUTED_VALUE"""),"SKU,CLR4, BETTER, SUB6, JP, BZ5, FRU")</f>
        <v>SKU,CLR4, BETTER, SUB6, JP, BZ5, FRU</v>
      </c>
      <c r="C259" s="182" t="str">
        <f>IFERROR(__xludf.DUMMYFUNCTION("""COMPUTED_VALUE"""),"BETTER")</f>
        <v>BETTER</v>
      </c>
      <c r="D259" s="182" t="str">
        <f>IFERROR(__xludf.DUMMYFUNCTION("""COMPUTED_VALUE"""),"CLR4")</f>
        <v>CLR4</v>
      </c>
      <c r="E259" s="182" t="str">
        <f>IFERROR(__xludf.DUMMYFUNCTION("""COMPUTED_VALUE"""),"Smokey Green")</f>
        <v>Smokey Green</v>
      </c>
      <c r="F259" s="182" t="str">
        <f>IFERROR(__xludf.DUMMYFUNCTION("""COMPUTED_VALUE"""),"256GB")</f>
        <v>256GB</v>
      </c>
      <c r="G259" s="182" t="str">
        <f>IFERROR(__xludf.DUMMYFUNCTION("""COMPUTED_VALUE"""),"JP")</f>
        <v>JP</v>
      </c>
      <c r="H259" s="168">
        <f>IFERROR(__xludf.DUMMYFUNCTION("""COMPUTED_VALUE"""),8.40353937529E11)</f>
        <v>840353937529</v>
      </c>
      <c r="I259" s="185" t="str">
        <f>IFERROR(__xludf.DUMMYFUNCTION("""COMPUTED_VALUE"""),"0840353937529")</f>
        <v>0840353937529</v>
      </c>
      <c r="J259" s="182" t="str">
        <f>IFERROR(__xludf.DUMMYFUNCTION("""COMPUTED_VALUE"""),"#N/A")</f>
        <v>#N/A</v>
      </c>
      <c r="K259" s="182" t="str">
        <f>IFERROR(__xludf.DUMMYFUNCTION("""COMPUTED_VALUE"""),"GN4F5")</f>
        <v>GN4F5</v>
      </c>
      <c r="L259" s="182" t="str">
        <f>IFERROR(__xludf.DUMMYFUNCTION("""COMPUTED_VALUE"""),"JP")</f>
        <v>JP</v>
      </c>
    </row>
    <row r="260">
      <c r="A260" s="182" t="str">
        <f>IFERROR(__xludf.DUMMYFUNCTION("""COMPUTED_VALUE"""),"CLNRGA10532")</f>
        <v>CLNRGA10532</v>
      </c>
      <c r="B260" s="182" t="str">
        <f>IFERROR(__xludf.DUMMYFUNCTION("""COMPUTED_VALUE"""),"SKU,CLR1, BEST, SUB6, JP, BZ5, FRU")</f>
        <v>SKU,CLR1, BEST, SUB6, JP, BZ5, FRU</v>
      </c>
      <c r="C260" s="182" t="str">
        <f>IFERROR(__xludf.DUMMYFUNCTION("""COMPUTED_VALUE"""),"BEST")</f>
        <v>BEST</v>
      </c>
      <c r="D260" s="182" t="str">
        <f>IFERROR(__xludf.DUMMYFUNCTION("""COMPUTED_VALUE"""),"CLR1")</f>
        <v>CLR1</v>
      </c>
      <c r="E260" s="182" t="str">
        <f>IFERROR(__xludf.DUMMYFUNCTION("""COMPUTED_VALUE"""),"Midnight")</f>
        <v>Midnight</v>
      </c>
      <c r="F260" s="182" t="str">
        <f>IFERROR(__xludf.DUMMYFUNCTION("""COMPUTED_VALUE"""),"512GB")</f>
        <v>512GB</v>
      </c>
      <c r="G260" s="182" t="str">
        <f>IFERROR(__xludf.DUMMYFUNCTION("""COMPUTED_VALUE"""),"JP")</f>
        <v>JP</v>
      </c>
      <c r="H260" s="168">
        <f>IFERROR(__xludf.DUMMYFUNCTION("""COMPUTED_VALUE"""),8.40353937536E11)</f>
        <v>840353937536</v>
      </c>
      <c r="I260" s="185" t="str">
        <f>IFERROR(__xludf.DUMMYFUNCTION("""COMPUTED_VALUE"""),"0840353937536")</f>
        <v>0840353937536</v>
      </c>
      <c r="J260" s="182" t="str">
        <f>IFERROR(__xludf.DUMMYFUNCTION("""COMPUTED_VALUE"""),"#N/A")</f>
        <v>#N/A</v>
      </c>
      <c r="K260" s="182" t="str">
        <f>IFERROR(__xludf.DUMMYFUNCTION("""COMPUTED_VALUE"""),"GN4F5")</f>
        <v>GN4F5</v>
      </c>
      <c r="L260" s="182" t="str">
        <f>IFERROR(__xludf.DUMMYFUNCTION("""COMPUTED_VALUE"""),"JP")</f>
        <v>JP</v>
      </c>
    </row>
    <row r="261">
      <c r="A261" s="182" t="str">
        <f>IFERROR(__xludf.DUMMYFUNCTION("""COMPUTED_VALUE"""),"CLNRGA10533")</f>
        <v>CLNRGA10533</v>
      </c>
      <c r="B261" s="182" t="str">
        <f>IFERROR(__xludf.DUMMYFUNCTION("""COMPUTED_VALUE"""),"SKU,CLR2, BEST, SUB6, JP, BZ5, FRU")</f>
        <v>SKU,CLR2, BEST, SUB6, JP, BZ5, FRU</v>
      </c>
      <c r="C261" s="182" t="str">
        <f>IFERROR(__xludf.DUMMYFUNCTION("""COMPUTED_VALUE"""),"BEST")</f>
        <v>BEST</v>
      </c>
      <c r="D261" s="182" t="str">
        <f>IFERROR(__xludf.DUMMYFUNCTION("""COMPUTED_VALUE"""),"CLR2")</f>
        <v>CLR2</v>
      </c>
      <c r="E261" s="182" t="str">
        <f>IFERROR(__xludf.DUMMYFUNCTION("""COMPUTED_VALUE"""),"Light Porcelain")</f>
        <v>Light Porcelain</v>
      </c>
      <c r="F261" s="182" t="str">
        <f>IFERROR(__xludf.DUMMYFUNCTION("""COMPUTED_VALUE"""),"512GB")</f>
        <v>512GB</v>
      </c>
      <c r="G261" s="182" t="str">
        <f>IFERROR(__xludf.DUMMYFUNCTION("""COMPUTED_VALUE"""),"JP")</f>
        <v>JP</v>
      </c>
      <c r="H261" s="168">
        <f>IFERROR(__xludf.DUMMYFUNCTION("""COMPUTED_VALUE"""),8.40353937543E11)</f>
        <v>840353937543</v>
      </c>
      <c r="I261" s="185" t="str">
        <f>IFERROR(__xludf.DUMMYFUNCTION("""COMPUTED_VALUE"""),"0840353937543")</f>
        <v>0840353937543</v>
      </c>
      <c r="J261" s="182" t="str">
        <f>IFERROR(__xludf.DUMMYFUNCTION("""COMPUTED_VALUE"""),"#N/A")</f>
        <v>#N/A</v>
      </c>
      <c r="K261" s="182" t="str">
        <f>IFERROR(__xludf.DUMMYFUNCTION("""COMPUTED_VALUE"""),"GN4F5")</f>
        <v>GN4F5</v>
      </c>
      <c r="L261" s="182" t="str">
        <f>IFERROR(__xludf.DUMMYFUNCTION("""COMPUTED_VALUE"""),"JP")</f>
        <v>JP</v>
      </c>
    </row>
    <row r="262">
      <c r="A262" s="182" t="str">
        <f>IFERROR(__xludf.DUMMYFUNCTION("""COMPUTED_VALUE"""),"CLNRGA10534")</f>
        <v>CLNRGA10534</v>
      </c>
      <c r="B262" s="182" t="str">
        <f>IFERROR(__xludf.DUMMYFUNCTION("""COMPUTED_VALUE"""),"SKU,CLR3, BEST, SUB6, JP, BZ5, FRU")</f>
        <v>SKU,CLR3, BEST, SUB6, JP, BZ5, FRU</v>
      </c>
      <c r="C262" s="182" t="str">
        <f>IFERROR(__xludf.DUMMYFUNCTION("""COMPUTED_VALUE"""),"BEST")</f>
        <v>BEST</v>
      </c>
      <c r="D262" s="182" t="str">
        <f>IFERROR(__xludf.DUMMYFUNCTION("""COMPUTED_VALUE"""),"CLR3")</f>
        <v>CLR3</v>
      </c>
      <c r="E262" s="182" t="str">
        <f>IFERROR(__xludf.DUMMYFUNCTION("""COMPUTED_VALUE"""),"Sterling")</f>
        <v>Sterling</v>
      </c>
      <c r="F262" s="182" t="str">
        <f>IFERROR(__xludf.DUMMYFUNCTION("""COMPUTED_VALUE"""),"512GB")</f>
        <v>512GB</v>
      </c>
      <c r="G262" s="182" t="str">
        <f>IFERROR(__xludf.DUMMYFUNCTION("""COMPUTED_VALUE"""),"JP")</f>
        <v>JP</v>
      </c>
      <c r="H262" s="168">
        <f>IFERROR(__xludf.DUMMYFUNCTION("""COMPUTED_VALUE"""),8.4035393755E11)</f>
        <v>840353937550</v>
      </c>
      <c r="I262" s="185" t="str">
        <f>IFERROR(__xludf.DUMMYFUNCTION("""COMPUTED_VALUE"""),"0840353937550")</f>
        <v>0840353937550</v>
      </c>
      <c r="J262" s="182" t="str">
        <f>IFERROR(__xludf.DUMMYFUNCTION("""COMPUTED_VALUE"""),"#N/A")</f>
        <v>#N/A</v>
      </c>
      <c r="K262" s="182" t="str">
        <f>IFERROR(__xludf.DUMMYFUNCTION("""COMPUTED_VALUE"""),"GN4F5")</f>
        <v>GN4F5</v>
      </c>
      <c r="L262" s="182" t="str">
        <f>IFERROR(__xludf.DUMMYFUNCTION("""COMPUTED_VALUE"""),"JP")</f>
        <v>JP</v>
      </c>
    </row>
    <row r="263">
      <c r="A263" s="182" t="str">
        <f>IFERROR(__xludf.DUMMYFUNCTION("""COMPUTED_VALUE"""),"CLNRGA10535")</f>
        <v>CLNRGA10535</v>
      </c>
      <c r="B263" s="182" t="str">
        <f>IFERROR(__xludf.DUMMYFUNCTION("""COMPUTED_VALUE"""),"SKU,CLR4, BEST, SUB6, JP, BZ5, FRU")</f>
        <v>SKU,CLR4, BEST, SUB6, JP, BZ5, FRU</v>
      </c>
      <c r="C263" s="182" t="str">
        <f>IFERROR(__xludf.DUMMYFUNCTION("""COMPUTED_VALUE"""),"BEST")</f>
        <v>BEST</v>
      </c>
      <c r="D263" s="182" t="str">
        <f>IFERROR(__xludf.DUMMYFUNCTION("""COMPUTED_VALUE"""),"CLR4")</f>
        <v>CLR4</v>
      </c>
      <c r="E263" s="182" t="str">
        <f>IFERROR(__xludf.DUMMYFUNCTION("""COMPUTED_VALUE"""),"Smokey Green")</f>
        <v>Smokey Green</v>
      </c>
      <c r="F263" s="182" t="str">
        <f>IFERROR(__xludf.DUMMYFUNCTION("""COMPUTED_VALUE"""),"512GB")</f>
        <v>512GB</v>
      </c>
      <c r="G263" s="182" t="str">
        <f>IFERROR(__xludf.DUMMYFUNCTION("""COMPUTED_VALUE"""),"JP")</f>
        <v>JP</v>
      </c>
      <c r="H263" s="168">
        <f>IFERROR(__xludf.DUMMYFUNCTION("""COMPUTED_VALUE"""),8.40353937567E11)</f>
        <v>840353937567</v>
      </c>
      <c r="I263" s="185" t="str">
        <f>IFERROR(__xludf.DUMMYFUNCTION("""COMPUTED_VALUE"""),"0840353937567")</f>
        <v>0840353937567</v>
      </c>
      <c r="J263" s="182" t="str">
        <f>IFERROR(__xludf.DUMMYFUNCTION("""COMPUTED_VALUE"""),"#N/A")</f>
        <v>#N/A</v>
      </c>
      <c r="K263" s="182" t="str">
        <f>IFERROR(__xludf.DUMMYFUNCTION("""COMPUTED_VALUE"""),"GN4F5")</f>
        <v>GN4F5</v>
      </c>
      <c r="L263" s="182" t="str">
        <f>IFERROR(__xludf.DUMMYFUNCTION("""COMPUTED_VALUE"""),"JP")</f>
        <v>JP</v>
      </c>
    </row>
    <row r="264">
      <c r="A264" s="182" t="str">
        <f>IFERROR(__xludf.DUMMYFUNCTION("""COMPUTED_VALUE"""),"CLNRGA10536")</f>
        <v>CLNRGA10536</v>
      </c>
      <c r="B264" s="182" t="str">
        <f>IFERROR(__xludf.DUMMYFUNCTION("""COMPUTED_VALUE"""),"SKU,CLR1, ULTRA, SUB6, JP, BZ5, FRU")</f>
        <v>SKU,CLR1, ULTRA, SUB6, JP, BZ5, FRU</v>
      </c>
      <c r="C264" s="182" t="str">
        <f>IFERROR(__xludf.DUMMYFUNCTION("""COMPUTED_VALUE"""),"ULTRA")</f>
        <v>ULTRA</v>
      </c>
      <c r="D264" s="182" t="str">
        <f>IFERROR(__xludf.DUMMYFUNCTION("""COMPUTED_VALUE"""),"CLR1")</f>
        <v>CLR1</v>
      </c>
      <c r="E264" s="182" t="str">
        <f>IFERROR(__xludf.DUMMYFUNCTION("""COMPUTED_VALUE"""),"Midnight")</f>
        <v>Midnight</v>
      </c>
      <c r="F264" s="182" t="str">
        <f>IFERROR(__xludf.DUMMYFUNCTION("""COMPUTED_VALUE"""),"1TB")</f>
        <v>1TB</v>
      </c>
      <c r="G264" s="182" t="str">
        <f>IFERROR(__xludf.DUMMYFUNCTION("""COMPUTED_VALUE"""),"JP")</f>
        <v>JP</v>
      </c>
      <c r="H264" s="168">
        <f>IFERROR(__xludf.DUMMYFUNCTION("""COMPUTED_VALUE"""),8.40353937574E11)</f>
        <v>840353937574</v>
      </c>
      <c r="I264" s="185" t="str">
        <f>IFERROR(__xludf.DUMMYFUNCTION("""COMPUTED_VALUE"""),"0840353937574")</f>
        <v>0840353937574</v>
      </c>
      <c r="J264" s="182" t="str">
        <f>IFERROR(__xludf.DUMMYFUNCTION("""COMPUTED_VALUE"""),"#N/A")</f>
        <v>#N/A</v>
      </c>
      <c r="K264" s="182" t="str">
        <f>IFERROR(__xludf.DUMMYFUNCTION("""COMPUTED_VALUE"""),"GN4F5")</f>
        <v>GN4F5</v>
      </c>
      <c r="L264" s="182" t="str">
        <f>IFERROR(__xludf.DUMMYFUNCTION("""COMPUTED_VALUE"""),"JP")</f>
        <v>JP</v>
      </c>
    </row>
    <row r="265">
      <c r="A265" s="182" t="str">
        <f>IFERROR(__xludf.DUMMYFUNCTION("""COMPUTED_VALUE"""),"CLNRGA10537")</f>
        <v>CLNRGA10537</v>
      </c>
      <c r="B265" s="182" t="str">
        <f>IFERROR(__xludf.DUMMYFUNCTION("""COMPUTED_VALUE"""),"SKU,CLR3, ULTRA, SUB6, JP, BZ5, FRU")</f>
        <v>SKU,CLR3, ULTRA, SUB6, JP, BZ5, FRU</v>
      </c>
      <c r="C265" s="182" t="str">
        <f>IFERROR(__xludf.DUMMYFUNCTION("""COMPUTED_VALUE"""),"ULTRA")</f>
        <v>ULTRA</v>
      </c>
      <c r="D265" s="182" t="str">
        <f>IFERROR(__xludf.DUMMYFUNCTION("""COMPUTED_VALUE"""),"CLR3")</f>
        <v>CLR3</v>
      </c>
      <c r="E265" s="182" t="str">
        <f>IFERROR(__xludf.DUMMYFUNCTION("""COMPUTED_VALUE"""),"Sterling")</f>
        <v>Sterling</v>
      </c>
      <c r="F265" s="182" t="str">
        <f>IFERROR(__xludf.DUMMYFUNCTION("""COMPUTED_VALUE"""),"1TB")</f>
        <v>1TB</v>
      </c>
      <c r="G265" s="182" t="str">
        <f>IFERROR(__xludf.DUMMYFUNCTION("""COMPUTED_VALUE"""),"JP")</f>
        <v>JP</v>
      </c>
      <c r="H265" s="168">
        <f>IFERROR(__xludf.DUMMYFUNCTION("""COMPUTED_VALUE"""),8.40353937581E11)</f>
        <v>840353937581</v>
      </c>
      <c r="I265" s="185" t="str">
        <f>IFERROR(__xludf.DUMMYFUNCTION("""COMPUTED_VALUE"""),"0840353937581")</f>
        <v>0840353937581</v>
      </c>
      <c r="J265" s="182" t="str">
        <f>IFERROR(__xludf.DUMMYFUNCTION("""COMPUTED_VALUE"""),"#N/A")</f>
        <v>#N/A</v>
      </c>
      <c r="K265" s="182" t="str">
        <f>IFERROR(__xludf.DUMMYFUNCTION("""COMPUTED_VALUE"""),"GN4F5")</f>
        <v>GN4F5</v>
      </c>
      <c r="L265" s="182" t="str">
        <f>IFERROR(__xludf.DUMMYFUNCTION("""COMPUTED_VALUE"""),"JP")</f>
        <v>JP</v>
      </c>
    </row>
    <row r="266">
      <c r="A266" s="182"/>
      <c r="B266" s="182"/>
      <c r="C266" s="182"/>
      <c r="D266" s="182"/>
      <c r="E266" s="182"/>
      <c r="F266" s="182"/>
      <c r="G266" s="182"/>
      <c r="H266" s="168" t="str">
        <f>IFERROR(__xludf.DUMMYFUNCTION("""COMPUTED_VALUE"""),"#N/A")</f>
        <v>#N/A</v>
      </c>
      <c r="I266" s="182" t="str">
        <f>IFERROR(__xludf.DUMMYFUNCTION("""COMPUTED_VALUE"""),"#N/A")</f>
        <v>#N/A</v>
      </c>
      <c r="J266" s="182"/>
      <c r="K266" s="182"/>
      <c r="L266" s="182"/>
    </row>
    <row r="267">
      <c r="A267" s="182"/>
      <c r="B267" s="182"/>
      <c r="C267" s="182"/>
      <c r="D267" s="182"/>
      <c r="E267" s="182"/>
      <c r="F267" s="182"/>
      <c r="G267" s="182"/>
      <c r="H267" s="168" t="str">
        <f>IFERROR(__xludf.DUMMYFUNCTION("""COMPUTED_VALUE"""),"#N/A")</f>
        <v>#N/A</v>
      </c>
      <c r="I267" s="182" t="str">
        <f>IFERROR(__xludf.DUMMYFUNCTION("""COMPUTED_VALUE"""),"#N/A")</f>
        <v>#N/A</v>
      </c>
      <c r="J267" s="182"/>
      <c r="K267" s="182"/>
      <c r="L267" s="182"/>
    </row>
    <row r="268">
      <c r="A268" s="182"/>
      <c r="B268" s="182"/>
      <c r="C268" s="182"/>
      <c r="D268" s="182"/>
      <c r="E268" s="182"/>
      <c r="F268" s="182"/>
      <c r="G268" s="182"/>
      <c r="H268" s="168" t="str">
        <f>IFERROR(__xludf.DUMMYFUNCTION("""COMPUTED_VALUE"""),"#N/A")</f>
        <v>#N/A</v>
      </c>
      <c r="I268" s="182" t="str">
        <f>IFERROR(__xludf.DUMMYFUNCTION("""COMPUTED_VALUE"""),"#N/A")</f>
        <v>#N/A</v>
      </c>
      <c r="J268" s="182"/>
      <c r="K268" s="182"/>
      <c r="L268" s="182"/>
    </row>
    <row r="269">
      <c r="A269" s="182"/>
      <c r="B269" s="182"/>
      <c r="C269" s="182"/>
      <c r="D269" s="182"/>
      <c r="E269" s="182"/>
      <c r="F269" s="182"/>
      <c r="G269" s="182"/>
      <c r="H269" s="168" t="str">
        <f>IFERROR(__xludf.DUMMYFUNCTION("""COMPUTED_VALUE"""),"#N/A")</f>
        <v>#N/A</v>
      </c>
      <c r="I269" s="182" t="str">
        <f>IFERROR(__xludf.DUMMYFUNCTION("""COMPUTED_VALUE"""),"#N/A")</f>
        <v>#N/A</v>
      </c>
      <c r="J269" s="182"/>
      <c r="K269" s="182"/>
      <c r="L269" s="182"/>
    </row>
    <row r="270">
      <c r="A270" s="182"/>
      <c r="B270" s="182"/>
      <c r="C270" s="182"/>
      <c r="D270" s="182"/>
      <c r="E270" s="182"/>
      <c r="F270" s="182"/>
      <c r="G270" s="182"/>
      <c r="H270" s="168" t="str">
        <f>IFERROR(__xludf.DUMMYFUNCTION("""COMPUTED_VALUE"""),"#N/A")</f>
        <v>#N/A</v>
      </c>
      <c r="I270" s="182" t="str">
        <f>IFERROR(__xludf.DUMMYFUNCTION("""COMPUTED_VALUE"""),"#N/A")</f>
        <v>#N/A</v>
      </c>
      <c r="J270" s="182"/>
      <c r="K270" s="182"/>
      <c r="L270" s="182"/>
    </row>
    <row r="271">
      <c r="A271" s="182"/>
      <c r="B271" s="182"/>
      <c r="C271" s="182"/>
      <c r="D271" s="182"/>
      <c r="E271" s="182"/>
      <c r="F271" s="182"/>
      <c r="G271" s="182"/>
      <c r="H271" s="168" t="str">
        <f>IFERROR(__xludf.DUMMYFUNCTION("""COMPUTED_VALUE"""),"#N/A")</f>
        <v>#N/A</v>
      </c>
      <c r="I271" s="182" t="str">
        <f>IFERROR(__xludf.DUMMYFUNCTION("""COMPUTED_VALUE"""),"#N/A")</f>
        <v>#N/A</v>
      </c>
      <c r="J271" s="182"/>
      <c r="K271" s="182"/>
      <c r="L271" s="182"/>
    </row>
    <row r="272" hidden="1">
      <c r="H272" s="168"/>
    </row>
    <row r="273" hidden="1">
      <c r="H273" s="168"/>
    </row>
    <row r="274" hidden="1">
      <c r="H274" s="168"/>
    </row>
    <row r="275" hidden="1">
      <c r="H275" s="168"/>
    </row>
    <row r="276" hidden="1">
      <c r="H276" s="168"/>
    </row>
    <row r="277" hidden="1">
      <c r="H277" s="168"/>
    </row>
    <row r="278" hidden="1">
      <c r="H278" s="168"/>
    </row>
    <row r="279" hidden="1">
      <c r="H279" s="168"/>
    </row>
    <row r="280" hidden="1">
      <c r="H280" s="168"/>
    </row>
    <row r="281" hidden="1">
      <c r="H281" s="168"/>
    </row>
    <row r="282" hidden="1">
      <c r="H282" s="168"/>
    </row>
    <row r="283" hidden="1">
      <c r="H283" s="168"/>
    </row>
    <row r="284" hidden="1">
      <c r="H284" s="168"/>
    </row>
    <row r="285" hidden="1">
      <c r="H285" s="168"/>
    </row>
    <row r="286" hidden="1">
      <c r="H286" s="168"/>
    </row>
    <row r="287" hidden="1">
      <c r="H287" s="168"/>
    </row>
    <row r="288" hidden="1">
      <c r="H288" s="168"/>
    </row>
    <row r="289" hidden="1">
      <c r="H289" s="168"/>
    </row>
    <row r="290" hidden="1">
      <c r="H290" s="168"/>
    </row>
    <row r="291">
      <c r="A291" s="195" t="s">
        <v>45</v>
      </c>
      <c r="B291" s="195" t="s">
        <v>46</v>
      </c>
      <c r="C291" s="195" t="s">
        <v>47</v>
      </c>
      <c r="D291" s="195" t="s">
        <v>932</v>
      </c>
      <c r="E291" s="195" t="s">
        <v>933</v>
      </c>
      <c r="F291" s="196" t="s">
        <v>934</v>
      </c>
      <c r="G291" s="195" t="s">
        <v>935</v>
      </c>
      <c r="H291" s="195" t="s">
        <v>936</v>
      </c>
      <c r="I291" s="195" t="s">
        <v>937</v>
      </c>
      <c r="J291" s="195" t="s">
        <v>938</v>
      </c>
      <c r="K291" s="195" t="s">
        <v>939</v>
      </c>
      <c r="L291" s="195" t="s">
        <v>940</v>
      </c>
      <c r="M291" s="195" t="s">
        <v>941</v>
      </c>
      <c r="N291" s="195" t="s">
        <v>942</v>
      </c>
      <c r="O291" s="195" t="s">
        <v>943</v>
      </c>
      <c r="P291" s="195" t="s">
        <v>944</v>
      </c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>
      <c r="H292" s="168"/>
    </row>
    <row r="293">
      <c r="H293" s="168"/>
    </row>
    <row r="294">
      <c r="H294" s="168"/>
    </row>
    <row r="295">
      <c r="H295" s="168"/>
    </row>
    <row r="296">
      <c r="H296" s="168"/>
    </row>
    <row r="297">
      <c r="H297" s="168"/>
    </row>
    <row r="298">
      <c r="H298" s="168"/>
    </row>
    <row r="299">
      <c r="H299" s="168"/>
    </row>
    <row r="300">
      <c r="H300" s="168"/>
    </row>
    <row r="301">
      <c r="H301" s="168"/>
    </row>
    <row r="302">
      <c r="H302" s="168"/>
    </row>
    <row r="303">
      <c r="H303" s="168"/>
    </row>
    <row r="304">
      <c r="H304" s="168"/>
    </row>
    <row r="305">
      <c r="H305" s="168"/>
    </row>
    <row r="306">
      <c r="H306" s="168"/>
    </row>
    <row r="307">
      <c r="H307" s="168"/>
    </row>
    <row r="308">
      <c r="H308" s="168"/>
    </row>
    <row r="309">
      <c r="H309" s="168"/>
    </row>
    <row r="310">
      <c r="H310" s="168"/>
    </row>
    <row r="311">
      <c r="H311" s="168"/>
    </row>
    <row r="312">
      <c r="H312" s="168"/>
    </row>
    <row r="313">
      <c r="H313" s="168"/>
    </row>
    <row r="314">
      <c r="H314" s="168"/>
    </row>
    <row r="315">
      <c r="H315" s="168"/>
    </row>
    <row r="316">
      <c r="H316" s="168"/>
    </row>
    <row r="317">
      <c r="H317" s="168"/>
    </row>
    <row r="318">
      <c r="H318" s="168"/>
    </row>
    <row r="319">
      <c r="H319" s="168"/>
    </row>
    <row r="320">
      <c r="H320" s="168"/>
    </row>
    <row r="321">
      <c r="H321" s="168"/>
    </row>
    <row r="322">
      <c r="H322" s="168"/>
    </row>
    <row r="323">
      <c r="H323" s="168"/>
    </row>
    <row r="324">
      <c r="H324" s="168"/>
    </row>
    <row r="325">
      <c r="H325" s="168"/>
    </row>
    <row r="326">
      <c r="H326" s="168"/>
    </row>
    <row r="327">
      <c r="H327" s="168"/>
    </row>
    <row r="328">
      <c r="H328" s="168"/>
    </row>
    <row r="329">
      <c r="H329" s="168"/>
    </row>
    <row r="330">
      <c r="H330" s="168"/>
    </row>
    <row r="331">
      <c r="H331" s="168"/>
    </row>
    <row r="332">
      <c r="H332" s="168"/>
    </row>
    <row r="333">
      <c r="H333" s="168"/>
    </row>
    <row r="334">
      <c r="H334" s="168"/>
    </row>
    <row r="335">
      <c r="H335" s="168"/>
    </row>
    <row r="336">
      <c r="H336" s="168"/>
    </row>
    <row r="337">
      <c r="H337" s="168"/>
    </row>
    <row r="338">
      <c r="H338" s="168"/>
    </row>
    <row r="339">
      <c r="H339" s="168"/>
    </row>
    <row r="340">
      <c r="H340" s="168"/>
    </row>
    <row r="341">
      <c r="H341" s="168"/>
    </row>
    <row r="342">
      <c r="H342" s="168"/>
    </row>
    <row r="343">
      <c r="H343" s="168"/>
    </row>
    <row r="344">
      <c r="H344" s="168"/>
    </row>
    <row r="345">
      <c r="H345" s="168"/>
    </row>
    <row r="346">
      <c r="H346" s="168"/>
    </row>
    <row r="347">
      <c r="H347" s="168"/>
    </row>
    <row r="348">
      <c r="H348" s="168"/>
    </row>
    <row r="349">
      <c r="H349" s="168"/>
    </row>
    <row r="350">
      <c r="H350" s="168"/>
    </row>
    <row r="351">
      <c r="H351" s="168"/>
    </row>
    <row r="352">
      <c r="H352" s="168"/>
    </row>
    <row r="353">
      <c r="H353" s="168"/>
    </row>
    <row r="354">
      <c r="H354" s="168"/>
    </row>
    <row r="355">
      <c r="H355" s="168"/>
    </row>
    <row r="356">
      <c r="H356" s="168"/>
    </row>
    <row r="357">
      <c r="H357" s="168"/>
    </row>
    <row r="358">
      <c r="H358" s="168"/>
    </row>
    <row r="359">
      <c r="H359" s="168"/>
    </row>
    <row r="360">
      <c r="H360" s="168"/>
    </row>
    <row r="361">
      <c r="H361" s="168"/>
    </row>
    <row r="362">
      <c r="H362" s="168"/>
    </row>
    <row r="363">
      <c r="H363" s="168"/>
    </row>
    <row r="364">
      <c r="H364" s="168"/>
    </row>
    <row r="365">
      <c r="H365" s="168"/>
    </row>
    <row r="366">
      <c r="H366" s="168"/>
    </row>
    <row r="367">
      <c r="H367" s="168"/>
    </row>
    <row r="368">
      <c r="H368" s="168"/>
    </row>
    <row r="369">
      <c r="H369" s="168"/>
    </row>
    <row r="370">
      <c r="H370" s="168"/>
    </row>
    <row r="371">
      <c r="H371" s="168"/>
    </row>
    <row r="372">
      <c r="H372" s="168"/>
    </row>
    <row r="373">
      <c r="H373" s="168"/>
    </row>
    <row r="374">
      <c r="H374" s="168"/>
    </row>
    <row r="375">
      <c r="H375" s="168"/>
    </row>
    <row r="376">
      <c r="H376" s="168"/>
    </row>
    <row r="377">
      <c r="H377" s="168"/>
    </row>
    <row r="378">
      <c r="H378" s="168"/>
    </row>
    <row r="379">
      <c r="H379" s="168"/>
    </row>
    <row r="380">
      <c r="H380" s="168"/>
    </row>
    <row r="381">
      <c r="H381" s="168"/>
    </row>
    <row r="382">
      <c r="H382" s="168"/>
    </row>
    <row r="383">
      <c r="H383" s="168"/>
    </row>
    <row r="384">
      <c r="H384" s="168"/>
    </row>
    <row r="385">
      <c r="H385" s="168"/>
    </row>
    <row r="386">
      <c r="H386" s="168"/>
    </row>
    <row r="387">
      <c r="H387" s="168"/>
    </row>
    <row r="388">
      <c r="H388" s="168"/>
    </row>
    <row r="389">
      <c r="H389" s="168"/>
    </row>
    <row r="390">
      <c r="H390" s="168"/>
    </row>
    <row r="391">
      <c r="H391" s="168"/>
    </row>
    <row r="392">
      <c r="H392" s="168"/>
    </row>
    <row r="393">
      <c r="H393" s="168"/>
    </row>
    <row r="394">
      <c r="H394" s="168"/>
    </row>
    <row r="395">
      <c r="H395" s="168"/>
    </row>
    <row r="396">
      <c r="H396" s="168"/>
    </row>
    <row r="397">
      <c r="H397" s="168"/>
    </row>
    <row r="398">
      <c r="H398" s="168"/>
    </row>
    <row r="399">
      <c r="H399" s="168"/>
    </row>
    <row r="400">
      <c r="H400" s="168"/>
    </row>
    <row r="401">
      <c r="H401" s="168"/>
    </row>
    <row r="402">
      <c r="H402" s="168"/>
    </row>
    <row r="403">
      <c r="H403" s="168"/>
    </row>
    <row r="404">
      <c r="H404" s="168"/>
    </row>
    <row r="405">
      <c r="H405" s="168"/>
    </row>
    <row r="406">
      <c r="H406" s="168"/>
    </row>
    <row r="407">
      <c r="H407" s="168"/>
    </row>
    <row r="408">
      <c r="H408" s="168"/>
    </row>
    <row r="409">
      <c r="H409" s="168"/>
    </row>
    <row r="410">
      <c r="H410" s="168"/>
    </row>
    <row r="411">
      <c r="H411" s="168"/>
    </row>
    <row r="412">
      <c r="H412" s="168"/>
    </row>
    <row r="413">
      <c r="H413" s="168"/>
    </row>
    <row r="414">
      <c r="H414" s="168"/>
    </row>
    <row r="415">
      <c r="H415" s="168"/>
    </row>
    <row r="416">
      <c r="H416" s="168"/>
    </row>
    <row r="417">
      <c r="H417" s="168"/>
    </row>
    <row r="418">
      <c r="H418" s="168"/>
    </row>
    <row r="419">
      <c r="H419" s="168"/>
    </row>
    <row r="420">
      <c r="H420" s="168"/>
    </row>
    <row r="421">
      <c r="H421" s="168"/>
    </row>
    <row r="422">
      <c r="H422" s="168"/>
    </row>
    <row r="423">
      <c r="H423" s="168"/>
    </row>
    <row r="424">
      <c r="H424" s="168"/>
    </row>
    <row r="425">
      <c r="H425" s="168"/>
    </row>
    <row r="426">
      <c r="H426" s="168"/>
    </row>
    <row r="427">
      <c r="H427" s="168"/>
    </row>
    <row r="428">
      <c r="H428" s="168"/>
    </row>
    <row r="429">
      <c r="H429" s="168"/>
    </row>
    <row r="430">
      <c r="H430" s="168"/>
    </row>
    <row r="431">
      <c r="H431" s="168"/>
    </row>
    <row r="432">
      <c r="H432" s="168"/>
    </row>
    <row r="433">
      <c r="H433" s="168"/>
    </row>
    <row r="434">
      <c r="H434" s="168"/>
    </row>
    <row r="435">
      <c r="H435" s="168"/>
    </row>
    <row r="436">
      <c r="H436" s="168"/>
    </row>
    <row r="437">
      <c r="H437" s="168"/>
    </row>
    <row r="438">
      <c r="H438" s="168"/>
    </row>
    <row r="439">
      <c r="H439" s="168"/>
    </row>
    <row r="440">
      <c r="H440" s="168"/>
    </row>
    <row r="441">
      <c r="H441" s="168"/>
    </row>
    <row r="442">
      <c r="H442" s="168"/>
    </row>
    <row r="443">
      <c r="H443" s="168"/>
    </row>
    <row r="444">
      <c r="H444" s="168"/>
    </row>
    <row r="445">
      <c r="H445" s="168"/>
    </row>
    <row r="446">
      <c r="H446" s="168"/>
    </row>
    <row r="447">
      <c r="H447" s="168"/>
    </row>
    <row r="448">
      <c r="H448" s="168"/>
    </row>
    <row r="449">
      <c r="H449" s="168"/>
    </row>
    <row r="450">
      <c r="H450" s="168"/>
    </row>
    <row r="451">
      <c r="H451" s="168"/>
    </row>
    <row r="452">
      <c r="H452" s="168"/>
    </row>
    <row r="453">
      <c r="H453" s="168"/>
    </row>
    <row r="454">
      <c r="H454" s="168"/>
    </row>
    <row r="455">
      <c r="H455" s="168"/>
    </row>
    <row r="456">
      <c r="H456" s="168"/>
    </row>
    <row r="457">
      <c r="H457" s="168"/>
    </row>
    <row r="458">
      <c r="H458" s="168"/>
    </row>
    <row r="459">
      <c r="H459" s="168"/>
    </row>
    <row r="460">
      <c r="H460" s="168"/>
    </row>
    <row r="461">
      <c r="H461" s="168"/>
    </row>
    <row r="462">
      <c r="H462" s="168"/>
    </row>
    <row r="463">
      <c r="H463" s="168"/>
    </row>
    <row r="464">
      <c r="H464" s="168"/>
    </row>
    <row r="465">
      <c r="H465" s="168"/>
    </row>
    <row r="466">
      <c r="H466" s="168"/>
    </row>
    <row r="467">
      <c r="H467" s="168"/>
    </row>
    <row r="468">
      <c r="H468" s="168"/>
    </row>
    <row r="469">
      <c r="H469" s="168"/>
    </row>
    <row r="470">
      <c r="H470" s="168"/>
    </row>
    <row r="471">
      <c r="H471" s="168"/>
    </row>
    <row r="472">
      <c r="H472" s="168"/>
    </row>
    <row r="473">
      <c r="H473" s="168"/>
    </row>
    <row r="474">
      <c r="H474" s="168"/>
    </row>
    <row r="475">
      <c r="H475" s="168"/>
    </row>
    <row r="476">
      <c r="H476" s="168"/>
    </row>
    <row r="477">
      <c r="H477" s="168"/>
    </row>
    <row r="478">
      <c r="H478" s="168"/>
    </row>
    <row r="479">
      <c r="H479" s="168"/>
    </row>
    <row r="480">
      <c r="H480" s="168"/>
    </row>
    <row r="481">
      <c r="H481" s="168"/>
    </row>
    <row r="482">
      <c r="H482" s="168"/>
    </row>
    <row r="483">
      <c r="H483" s="168"/>
    </row>
    <row r="484">
      <c r="H484" s="168"/>
    </row>
    <row r="485">
      <c r="H485" s="168"/>
    </row>
    <row r="486">
      <c r="H486" s="168"/>
    </row>
    <row r="487">
      <c r="H487" s="168"/>
    </row>
    <row r="488">
      <c r="H488" s="168"/>
    </row>
    <row r="489">
      <c r="H489" s="168"/>
    </row>
    <row r="490">
      <c r="H490" s="168"/>
    </row>
    <row r="491">
      <c r="H491" s="168"/>
    </row>
    <row r="492">
      <c r="H492" s="168"/>
    </row>
    <row r="493">
      <c r="H493" s="168"/>
    </row>
    <row r="494">
      <c r="H494" s="168"/>
    </row>
    <row r="495">
      <c r="H495" s="168"/>
    </row>
    <row r="496">
      <c r="H496" s="168"/>
    </row>
    <row r="497">
      <c r="H497" s="168"/>
    </row>
    <row r="498">
      <c r="H498" s="168"/>
    </row>
    <row r="499">
      <c r="H499" s="168"/>
    </row>
    <row r="500">
      <c r="H500" s="168"/>
    </row>
    <row r="501">
      <c r="H501" s="168"/>
    </row>
    <row r="502">
      <c r="H502" s="168"/>
    </row>
    <row r="503">
      <c r="H503" s="168"/>
    </row>
    <row r="504">
      <c r="H504" s="168"/>
    </row>
    <row r="505">
      <c r="H505" s="168"/>
    </row>
    <row r="506">
      <c r="H506" s="168"/>
    </row>
    <row r="507">
      <c r="H507" s="168"/>
    </row>
    <row r="508">
      <c r="H508" s="168"/>
    </row>
    <row r="509">
      <c r="H509" s="168"/>
    </row>
    <row r="510">
      <c r="H510" s="168"/>
    </row>
    <row r="511">
      <c r="H511" s="168"/>
    </row>
    <row r="512">
      <c r="H512" s="168"/>
    </row>
    <row r="513">
      <c r="H513" s="168"/>
    </row>
    <row r="514">
      <c r="H514" s="168"/>
    </row>
    <row r="515">
      <c r="H515" s="168"/>
    </row>
    <row r="516">
      <c r="H516" s="168"/>
    </row>
    <row r="517">
      <c r="H517" s="168"/>
    </row>
    <row r="518">
      <c r="H518" s="168"/>
    </row>
    <row r="519">
      <c r="H519" s="168"/>
    </row>
    <row r="520">
      <c r="H520" s="168"/>
    </row>
    <row r="521">
      <c r="H521" s="168"/>
    </row>
    <row r="522">
      <c r="H522" s="168"/>
    </row>
    <row r="523">
      <c r="H523" s="168"/>
    </row>
    <row r="524">
      <c r="H524" s="168"/>
    </row>
    <row r="525">
      <c r="H525" s="168"/>
    </row>
    <row r="526">
      <c r="H526" s="168"/>
    </row>
    <row r="527">
      <c r="H527" s="168"/>
    </row>
    <row r="528">
      <c r="H528" s="168"/>
    </row>
    <row r="529">
      <c r="H529" s="168"/>
    </row>
    <row r="530">
      <c r="H530" s="168"/>
    </row>
    <row r="531">
      <c r="H531" s="168"/>
    </row>
    <row r="532">
      <c r="H532" s="168"/>
    </row>
    <row r="533">
      <c r="H533" s="168"/>
    </row>
    <row r="534">
      <c r="H534" s="168"/>
    </row>
    <row r="535">
      <c r="H535" s="168"/>
    </row>
    <row r="536">
      <c r="H536" s="168"/>
    </row>
    <row r="537">
      <c r="H537" s="168"/>
    </row>
    <row r="538">
      <c r="H538" s="168"/>
    </row>
    <row r="539">
      <c r="H539" s="168"/>
    </row>
    <row r="540">
      <c r="H540" s="168"/>
    </row>
    <row r="541">
      <c r="H541" s="168"/>
    </row>
    <row r="542">
      <c r="H542" s="168"/>
    </row>
    <row r="543">
      <c r="H543" s="168"/>
    </row>
    <row r="544">
      <c r="H544" s="168"/>
    </row>
    <row r="545">
      <c r="H545" s="168"/>
    </row>
    <row r="546">
      <c r="H546" s="168"/>
    </row>
    <row r="547">
      <c r="H547" s="168"/>
    </row>
    <row r="548">
      <c r="H548" s="168"/>
    </row>
    <row r="549">
      <c r="H549" s="168"/>
    </row>
    <row r="550">
      <c r="H550" s="168"/>
    </row>
    <row r="551">
      <c r="H551" s="168"/>
    </row>
    <row r="552">
      <c r="H552" s="168"/>
    </row>
    <row r="553">
      <c r="H553" s="168"/>
    </row>
    <row r="554">
      <c r="H554" s="168"/>
    </row>
    <row r="555">
      <c r="H555" s="168"/>
    </row>
    <row r="556">
      <c r="H556" s="168"/>
    </row>
    <row r="557">
      <c r="H557" s="168"/>
    </row>
    <row r="558">
      <c r="H558" s="168"/>
    </row>
    <row r="559">
      <c r="H559" s="168"/>
    </row>
    <row r="560">
      <c r="H560" s="168"/>
    </row>
    <row r="561">
      <c r="H561" s="168"/>
    </row>
    <row r="562">
      <c r="H562" s="168"/>
    </row>
    <row r="563">
      <c r="H563" s="168"/>
    </row>
    <row r="564">
      <c r="H564" s="168"/>
    </row>
    <row r="565">
      <c r="H565" s="168"/>
    </row>
    <row r="566">
      <c r="H566" s="168"/>
    </row>
    <row r="567">
      <c r="H567" s="168"/>
    </row>
    <row r="568">
      <c r="H568" s="168"/>
    </row>
    <row r="569">
      <c r="H569" s="168"/>
    </row>
    <row r="570">
      <c r="H570" s="168"/>
    </row>
    <row r="571">
      <c r="H571" s="168"/>
    </row>
    <row r="572">
      <c r="H572" s="168"/>
    </row>
    <row r="573">
      <c r="H573" s="168"/>
    </row>
    <row r="574">
      <c r="H574" s="168"/>
    </row>
    <row r="575">
      <c r="H575" s="168"/>
    </row>
    <row r="576">
      <c r="H576" s="168"/>
    </row>
    <row r="577">
      <c r="H577" s="168"/>
    </row>
    <row r="578">
      <c r="H578" s="168"/>
    </row>
    <row r="579">
      <c r="H579" s="168"/>
    </row>
    <row r="580">
      <c r="H580" s="168"/>
    </row>
    <row r="581">
      <c r="H581" s="168"/>
    </row>
    <row r="582">
      <c r="H582" s="168"/>
    </row>
    <row r="583">
      <c r="H583" s="168"/>
    </row>
    <row r="584">
      <c r="H584" s="168"/>
    </row>
    <row r="585">
      <c r="H585" s="168"/>
    </row>
    <row r="586">
      <c r="H586" s="168"/>
    </row>
    <row r="587">
      <c r="H587" s="168"/>
    </row>
    <row r="588">
      <c r="H588" s="168"/>
    </row>
    <row r="589">
      <c r="H589" s="168"/>
    </row>
    <row r="590">
      <c r="H590" s="168"/>
    </row>
    <row r="591">
      <c r="H591" s="168"/>
    </row>
    <row r="592">
      <c r="H592" s="168"/>
    </row>
    <row r="593">
      <c r="H593" s="168"/>
    </row>
    <row r="594">
      <c r="H594" s="168"/>
    </row>
    <row r="595">
      <c r="H595" s="168"/>
    </row>
    <row r="596">
      <c r="H596" s="168"/>
    </row>
    <row r="597">
      <c r="H597" s="168"/>
    </row>
    <row r="598">
      <c r="H598" s="168"/>
    </row>
    <row r="599">
      <c r="H599" s="168"/>
    </row>
    <row r="600">
      <c r="H600" s="168"/>
    </row>
    <row r="601">
      <c r="H601" s="168"/>
    </row>
    <row r="602">
      <c r="H602" s="168"/>
    </row>
    <row r="603">
      <c r="H603" s="168"/>
    </row>
    <row r="604">
      <c r="H604" s="168"/>
    </row>
    <row r="605">
      <c r="H605" s="168"/>
    </row>
    <row r="606">
      <c r="H606" s="168"/>
    </row>
    <row r="607">
      <c r="H607" s="168"/>
    </row>
    <row r="608">
      <c r="H608" s="168"/>
    </row>
    <row r="609">
      <c r="H609" s="168"/>
    </row>
    <row r="610">
      <c r="H610" s="168"/>
    </row>
    <row r="611">
      <c r="H611" s="168"/>
    </row>
    <row r="612">
      <c r="H612" s="168"/>
    </row>
    <row r="613">
      <c r="H613" s="168"/>
    </row>
    <row r="614">
      <c r="H614" s="168"/>
    </row>
    <row r="615">
      <c r="H615" s="168"/>
    </row>
    <row r="616">
      <c r="H616" s="168"/>
    </row>
    <row r="617">
      <c r="H617" s="168"/>
    </row>
    <row r="618">
      <c r="H618" s="168"/>
    </row>
    <row r="619">
      <c r="H619" s="168"/>
    </row>
    <row r="620">
      <c r="H620" s="168"/>
    </row>
    <row r="621">
      <c r="H621" s="168"/>
    </row>
    <row r="622">
      <c r="H622" s="168"/>
    </row>
    <row r="623">
      <c r="H623" s="168"/>
    </row>
    <row r="624">
      <c r="H624" s="168"/>
    </row>
    <row r="625">
      <c r="H625" s="168"/>
    </row>
    <row r="626">
      <c r="H626" s="168"/>
    </row>
    <row r="627">
      <c r="H627" s="168"/>
    </row>
    <row r="628">
      <c r="H628" s="168"/>
    </row>
    <row r="629">
      <c r="H629" s="168"/>
    </row>
    <row r="630">
      <c r="H630" s="168"/>
    </row>
    <row r="631">
      <c r="H631" s="168"/>
    </row>
    <row r="632">
      <c r="H632" s="168"/>
    </row>
    <row r="633">
      <c r="H633" s="168"/>
    </row>
    <row r="634">
      <c r="H634" s="168"/>
    </row>
    <row r="635">
      <c r="H635" s="168"/>
    </row>
    <row r="636">
      <c r="H636" s="168"/>
    </row>
    <row r="637">
      <c r="H637" s="168"/>
    </row>
    <row r="638">
      <c r="H638" s="168"/>
    </row>
    <row r="639">
      <c r="H639" s="168"/>
    </row>
    <row r="640">
      <c r="H640" s="168"/>
    </row>
    <row r="641">
      <c r="H641" s="168"/>
    </row>
    <row r="642">
      <c r="H642" s="168"/>
    </row>
    <row r="643">
      <c r="H643" s="168"/>
    </row>
    <row r="644">
      <c r="H644" s="168"/>
    </row>
    <row r="645">
      <c r="H645" s="168"/>
    </row>
    <row r="646">
      <c r="H646" s="168"/>
    </row>
    <row r="647">
      <c r="H647" s="168"/>
    </row>
    <row r="648">
      <c r="H648" s="168"/>
    </row>
    <row r="649">
      <c r="H649" s="168"/>
    </row>
    <row r="650">
      <c r="H650" s="168"/>
    </row>
    <row r="651">
      <c r="H651" s="168"/>
    </row>
    <row r="652">
      <c r="H652" s="168"/>
    </row>
    <row r="653">
      <c r="H653" s="168"/>
    </row>
    <row r="654">
      <c r="H654" s="168"/>
    </row>
    <row r="655">
      <c r="H655" s="168"/>
    </row>
    <row r="656">
      <c r="H656" s="168"/>
    </row>
    <row r="657">
      <c r="H657" s="168"/>
    </row>
    <row r="658">
      <c r="H658" s="168"/>
    </row>
    <row r="659">
      <c r="H659" s="168"/>
    </row>
    <row r="660">
      <c r="H660" s="168"/>
    </row>
    <row r="661">
      <c r="H661" s="168"/>
    </row>
    <row r="662">
      <c r="H662" s="168"/>
    </row>
    <row r="663">
      <c r="H663" s="168"/>
    </row>
    <row r="664">
      <c r="H664" s="168"/>
    </row>
    <row r="665">
      <c r="H665" s="168"/>
    </row>
    <row r="666">
      <c r="H666" s="168"/>
    </row>
    <row r="667">
      <c r="H667" s="168"/>
    </row>
    <row r="668">
      <c r="H668" s="168"/>
    </row>
    <row r="669">
      <c r="H669" s="168"/>
    </row>
    <row r="670">
      <c r="H670" s="168"/>
    </row>
    <row r="671">
      <c r="H671" s="168"/>
    </row>
    <row r="672">
      <c r="H672" s="168"/>
    </row>
    <row r="673">
      <c r="H673" s="168"/>
    </row>
    <row r="674">
      <c r="H674" s="168"/>
    </row>
    <row r="675">
      <c r="H675" s="168"/>
    </row>
    <row r="676">
      <c r="H676" s="168"/>
    </row>
    <row r="677">
      <c r="H677" s="168"/>
    </row>
    <row r="678">
      <c r="H678" s="168"/>
    </row>
    <row r="679">
      <c r="H679" s="168"/>
    </row>
    <row r="680">
      <c r="H680" s="168"/>
    </row>
    <row r="681">
      <c r="H681" s="168"/>
    </row>
    <row r="682">
      <c r="H682" s="168"/>
    </row>
    <row r="683">
      <c r="H683" s="168"/>
    </row>
    <row r="684">
      <c r="H684" s="168"/>
    </row>
    <row r="685">
      <c r="H685" s="168"/>
    </row>
    <row r="686">
      <c r="H686" s="168"/>
    </row>
    <row r="687">
      <c r="H687" s="168"/>
    </row>
    <row r="688">
      <c r="H688" s="168"/>
    </row>
    <row r="689">
      <c r="H689" s="168"/>
    </row>
    <row r="690">
      <c r="H690" s="168"/>
    </row>
    <row r="691">
      <c r="H691" s="168"/>
    </row>
    <row r="692">
      <c r="H692" s="168"/>
    </row>
    <row r="693">
      <c r="H693" s="168"/>
    </row>
    <row r="694">
      <c r="H694" s="168"/>
    </row>
    <row r="695">
      <c r="H695" s="168"/>
    </row>
    <row r="696">
      <c r="H696" s="168"/>
    </row>
    <row r="697">
      <c r="H697" s="168"/>
    </row>
    <row r="698">
      <c r="H698" s="168"/>
    </row>
    <row r="699">
      <c r="H699" s="168"/>
    </row>
    <row r="700">
      <c r="H700" s="168"/>
    </row>
    <row r="701">
      <c r="H701" s="168"/>
    </row>
    <row r="702">
      <c r="H702" s="168"/>
    </row>
    <row r="703">
      <c r="H703" s="168"/>
    </row>
    <row r="704">
      <c r="H704" s="168"/>
    </row>
    <row r="705">
      <c r="H705" s="168"/>
    </row>
    <row r="706">
      <c r="H706" s="168"/>
    </row>
    <row r="707">
      <c r="H707" s="168"/>
    </row>
    <row r="708">
      <c r="H708" s="168"/>
    </row>
    <row r="709">
      <c r="H709" s="168"/>
    </row>
    <row r="710">
      <c r="H710" s="168"/>
    </row>
    <row r="711">
      <c r="H711" s="168"/>
    </row>
    <row r="712">
      <c r="H712" s="168"/>
    </row>
    <row r="713">
      <c r="H713" s="168"/>
    </row>
    <row r="714">
      <c r="H714" s="168"/>
    </row>
    <row r="715">
      <c r="H715" s="168"/>
    </row>
    <row r="716">
      <c r="H716" s="168"/>
    </row>
    <row r="717">
      <c r="H717" s="168"/>
    </row>
    <row r="718">
      <c r="H718" s="168"/>
    </row>
    <row r="719">
      <c r="H719" s="168"/>
    </row>
    <row r="720">
      <c r="H720" s="168"/>
    </row>
    <row r="721">
      <c r="H721" s="168"/>
    </row>
    <row r="722">
      <c r="H722" s="168"/>
    </row>
    <row r="723">
      <c r="H723" s="168"/>
    </row>
    <row r="724">
      <c r="H724" s="168"/>
    </row>
    <row r="725">
      <c r="H725" s="168"/>
    </row>
    <row r="726">
      <c r="H726" s="168"/>
    </row>
    <row r="727">
      <c r="H727" s="168"/>
    </row>
    <row r="728">
      <c r="H728" s="168"/>
    </row>
    <row r="729">
      <c r="H729" s="168"/>
    </row>
    <row r="730">
      <c r="H730" s="168"/>
    </row>
    <row r="731">
      <c r="H731" s="168"/>
    </row>
    <row r="732">
      <c r="H732" s="168"/>
    </row>
    <row r="733">
      <c r="H733" s="168"/>
    </row>
    <row r="734">
      <c r="H734" s="168"/>
    </row>
    <row r="735">
      <c r="H735" s="168"/>
    </row>
    <row r="736">
      <c r="H736" s="168"/>
    </row>
    <row r="737">
      <c r="H737" s="168"/>
    </row>
    <row r="738">
      <c r="H738" s="168"/>
    </row>
    <row r="739">
      <c r="H739" s="168"/>
    </row>
    <row r="740">
      <c r="H740" s="168"/>
    </row>
    <row r="741">
      <c r="H741" s="168"/>
    </row>
    <row r="742">
      <c r="H742" s="168"/>
    </row>
    <row r="743">
      <c r="H743" s="168"/>
    </row>
    <row r="744">
      <c r="H744" s="168"/>
    </row>
    <row r="745">
      <c r="H745" s="168"/>
    </row>
    <row r="746">
      <c r="H746" s="168"/>
    </row>
    <row r="747">
      <c r="H747" s="168"/>
    </row>
    <row r="748">
      <c r="H748" s="168"/>
    </row>
    <row r="749">
      <c r="H749" s="168"/>
    </row>
    <row r="750">
      <c r="H750" s="168"/>
    </row>
    <row r="751">
      <c r="H751" s="168"/>
    </row>
    <row r="752">
      <c r="H752" s="168"/>
    </row>
    <row r="753">
      <c r="H753" s="168"/>
    </row>
    <row r="754">
      <c r="H754" s="168"/>
    </row>
    <row r="755">
      <c r="H755" s="168"/>
    </row>
    <row r="756">
      <c r="H756" s="168"/>
    </row>
    <row r="757">
      <c r="H757" s="168"/>
    </row>
    <row r="758">
      <c r="H758" s="168"/>
    </row>
    <row r="759">
      <c r="H759" s="168"/>
    </row>
    <row r="760">
      <c r="H760" s="168"/>
    </row>
    <row r="761">
      <c r="H761" s="168"/>
    </row>
    <row r="762">
      <c r="H762" s="168"/>
    </row>
    <row r="763">
      <c r="H763" s="168"/>
    </row>
    <row r="764">
      <c r="H764" s="168"/>
    </row>
    <row r="765">
      <c r="H765" s="168"/>
    </row>
    <row r="766">
      <c r="H766" s="168"/>
    </row>
    <row r="767">
      <c r="H767" s="168"/>
    </row>
    <row r="768">
      <c r="H768" s="168"/>
    </row>
    <row r="769">
      <c r="H769" s="168"/>
    </row>
    <row r="770">
      <c r="H770" s="168"/>
    </row>
    <row r="771">
      <c r="H771" s="168"/>
    </row>
    <row r="772">
      <c r="H772" s="168"/>
    </row>
    <row r="773">
      <c r="H773" s="168"/>
    </row>
    <row r="774">
      <c r="H774" s="168"/>
    </row>
    <row r="775">
      <c r="H775" s="168"/>
    </row>
    <row r="776">
      <c r="H776" s="168"/>
    </row>
    <row r="777">
      <c r="H777" s="168"/>
    </row>
    <row r="778">
      <c r="H778" s="168"/>
    </row>
    <row r="779">
      <c r="H779" s="168"/>
    </row>
    <row r="780">
      <c r="H780" s="168"/>
    </row>
    <row r="781">
      <c r="H781" s="168"/>
    </row>
    <row r="782">
      <c r="H782" s="168"/>
    </row>
    <row r="783">
      <c r="H783" s="168"/>
    </row>
    <row r="784">
      <c r="H784" s="168"/>
    </row>
    <row r="785">
      <c r="H785" s="168"/>
    </row>
    <row r="786">
      <c r="H786" s="168"/>
    </row>
    <row r="787">
      <c r="H787" s="168"/>
    </row>
    <row r="788">
      <c r="H788" s="168"/>
    </row>
    <row r="789">
      <c r="H789" s="168"/>
    </row>
    <row r="790">
      <c r="H790" s="168"/>
    </row>
    <row r="791">
      <c r="H791" s="168"/>
    </row>
    <row r="792">
      <c r="H792" s="168"/>
    </row>
    <row r="793">
      <c r="H793" s="168"/>
    </row>
    <row r="794">
      <c r="H794" s="168"/>
    </row>
    <row r="795">
      <c r="H795" s="168"/>
    </row>
    <row r="796">
      <c r="H796" s="168"/>
    </row>
    <row r="797">
      <c r="H797" s="168"/>
    </row>
    <row r="798">
      <c r="H798" s="168"/>
    </row>
    <row r="799">
      <c r="H799" s="168"/>
    </row>
    <row r="800">
      <c r="H800" s="168"/>
    </row>
    <row r="801">
      <c r="H801" s="168"/>
    </row>
    <row r="802">
      <c r="H802" s="168"/>
    </row>
    <row r="803">
      <c r="H803" s="168"/>
    </row>
    <row r="804">
      <c r="H804" s="168"/>
    </row>
    <row r="805">
      <c r="H805" s="168"/>
    </row>
    <row r="806">
      <c r="H806" s="168"/>
    </row>
    <row r="807">
      <c r="H807" s="168"/>
    </row>
    <row r="808">
      <c r="H808" s="168"/>
    </row>
    <row r="809">
      <c r="H809" s="168"/>
    </row>
    <row r="810">
      <c r="H810" s="168"/>
    </row>
    <row r="811">
      <c r="H811" s="168"/>
    </row>
    <row r="812">
      <c r="H812" s="168"/>
    </row>
    <row r="813">
      <c r="H813" s="168"/>
    </row>
    <row r="814">
      <c r="H814" s="168"/>
    </row>
    <row r="815">
      <c r="H815" s="168"/>
    </row>
    <row r="816">
      <c r="H816" s="168"/>
    </row>
    <row r="817">
      <c r="H817" s="168"/>
    </row>
    <row r="818">
      <c r="H818" s="168"/>
    </row>
    <row r="819">
      <c r="H819" s="168"/>
    </row>
    <row r="820">
      <c r="H820" s="168"/>
    </row>
    <row r="821">
      <c r="H821" s="168"/>
    </row>
    <row r="822">
      <c r="H822" s="168"/>
    </row>
    <row r="823">
      <c r="H823" s="168"/>
    </row>
    <row r="824">
      <c r="H824" s="168"/>
    </row>
    <row r="825">
      <c r="H825" s="168"/>
    </row>
    <row r="826">
      <c r="H826" s="168"/>
    </row>
    <row r="827">
      <c r="H827" s="168"/>
    </row>
    <row r="828">
      <c r="H828" s="168"/>
    </row>
    <row r="829">
      <c r="H829" s="168"/>
    </row>
    <row r="830">
      <c r="H830" s="168"/>
    </row>
    <row r="831">
      <c r="H831" s="168"/>
    </row>
    <row r="832">
      <c r="H832" s="168"/>
    </row>
    <row r="833">
      <c r="H833" s="168"/>
    </row>
    <row r="834">
      <c r="H834" s="168"/>
    </row>
    <row r="835">
      <c r="H835" s="168"/>
    </row>
    <row r="836">
      <c r="H836" s="168"/>
    </row>
    <row r="837">
      <c r="H837" s="168"/>
    </row>
    <row r="838">
      <c r="H838" s="168"/>
    </row>
    <row r="839">
      <c r="H839" s="168"/>
    </row>
    <row r="840">
      <c r="H840" s="168"/>
    </row>
    <row r="841">
      <c r="H841" s="168"/>
    </row>
    <row r="842">
      <c r="H842" s="168"/>
    </row>
    <row r="843">
      <c r="H843" s="168"/>
    </row>
    <row r="844">
      <c r="H844" s="168"/>
    </row>
    <row r="845">
      <c r="H845" s="168"/>
    </row>
    <row r="846">
      <c r="H846" s="168"/>
    </row>
    <row r="847">
      <c r="H847" s="168"/>
    </row>
    <row r="848">
      <c r="H848" s="168"/>
    </row>
    <row r="849">
      <c r="H849" s="168"/>
    </row>
    <row r="850">
      <c r="H850" s="168"/>
    </row>
    <row r="851">
      <c r="H851" s="168"/>
    </row>
    <row r="852">
      <c r="H852" s="168"/>
    </row>
    <row r="853">
      <c r="H853" s="168"/>
    </row>
    <row r="854">
      <c r="H854" s="168"/>
    </row>
    <row r="855">
      <c r="H855" s="168"/>
    </row>
    <row r="856">
      <c r="H856" s="168"/>
    </row>
    <row r="857">
      <c r="H857" s="168"/>
    </row>
    <row r="858">
      <c r="H858" s="168"/>
    </row>
    <row r="859">
      <c r="H859" s="168"/>
    </row>
    <row r="860">
      <c r="H860" s="168"/>
    </row>
    <row r="861">
      <c r="H861" s="168"/>
    </row>
    <row r="862">
      <c r="H862" s="168"/>
    </row>
    <row r="863">
      <c r="H863" s="168"/>
    </row>
    <row r="864">
      <c r="H864" s="168"/>
    </row>
    <row r="865">
      <c r="H865" s="168"/>
    </row>
    <row r="866">
      <c r="H866" s="168"/>
    </row>
    <row r="867">
      <c r="H867" s="168"/>
    </row>
    <row r="868">
      <c r="H868" s="168"/>
    </row>
    <row r="869">
      <c r="H869" s="168"/>
    </row>
    <row r="870">
      <c r="H870" s="168"/>
    </row>
    <row r="871">
      <c r="H871" s="168"/>
    </row>
    <row r="872">
      <c r="H872" s="168"/>
    </row>
    <row r="873">
      <c r="H873" s="168"/>
    </row>
    <row r="874">
      <c r="H874" s="168"/>
    </row>
    <row r="875">
      <c r="H875" s="168"/>
    </row>
    <row r="876">
      <c r="H876" s="168"/>
    </row>
    <row r="877">
      <c r="H877" s="168"/>
    </row>
    <row r="878">
      <c r="H878" s="168"/>
    </row>
    <row r="879">
      <c r="H879" s="168"/>
    </row>
    <row r="880">
      <c r="H880" s="168"/>
    </row>
    <row r="881">
      <c r="H881" s="168"/>
    </row>
    <row r="882">
      <c r="H882" s="168"/>
    </row>
    <row r="883">
      <c r="H883" s="168"/>
    </row>
    <row r="884">
      <c r="H884" s="168"/>
    </row>
    <row r="885">
      <c r="H885" s="168"/>
    </row>
    <row r="886">
      <c r="H886" s="168"/>
    </row>
    <row r="887">
      <c r="H887" s="168"/>
    </row>
    <row r="888">
      <c r="H888" s="168"/>
    </row>
    <row r="889">
      <c r="H889" s="168"/>
    </row>
    <row r="890">
      <c r="H890" s="168"/>
    </row>
    <row r="891">
      <c r="H891" s="168"/>
    </row>
    <row r="892">
      <c r="H892" s="168"/>
    </row>
    <row r="893">
      <c r="H893" s="168"/>
    </row>
    <row r="894">
      <c r="H894" s="168"/>
    </row>
    <row r="895">
      <c r="H895" s="168"/>
    </row>
    <row r="896">
      <c r="H896" s="168"/>
    </row>
    <row r="897">
      <c r="H897" s="168"/>
    </row>
    <row r="898">
      <c r="H898" s="168"/>
    </row>
    <row r="899">
      <c r="H899" s="168"/>
    </row>
    <row r="900">
      <c r="H900" s="168"/>
    </row>
    <row r="901">
      <c r="H901" s="168"/>
    </row>
    <row r="902">
      <c r="H902" s="168"/>
    </row>
    <row r="903">
      <c r="H903" s="168"/>
    </row>
    <row r="904">
      <c r="H904" s="168"/>
    </row>
    <row r="905">
      <c r="H905" s="168"/>
    </row>
    <row r="906">
      <c r="H906" s="168"/>
    </row>
    <row r="907">
      <c r="H907" s="168"/>
    </row>
    <row r="908">
      <c r="H908" s="168"/>
    </row>
    <row r="909">
      <c r="H909" s="168"/>
    </row>
    <row r="910">
      <c r="H910" s="168"/>
    </row>
    <row r="911">
      <c r="H911" s="168"/>
    </row>
    <row r="912">
      <c r="H912" s="168"/>
    </row>
    <row r="913">
      <c r="H913" s="168"/>
    </row>
    <row r="914">
      <c r="H914" s="168"/>
    </row>
    <row r="915">
      <c r="H915" s="168"/>
    </row>
    <row r="916">
      <c r="H916" s="168"/>
    </row>
    <row r="917">
      <c r="H917" s="168"/>
    </row>
    <row r="918">
      <c r="H918" s="168"/>
    </row>
    <row r="919">
      <c r="H919" s="168"/>
    </row>
    <row r="920">
      <c r="H920" s="168"/>
    </row>
    <row r="921">
      <c r="H921" s="168"/>
    </row>
    <row r="922">
      <c r="H922" s="168"/>
    </row>
    <row r="923">
      <c r="H923" s="168"/>
    </row>
    <row r="924">
      <c r="H924" s="168"/>
    </row>
    <row r="925">
      <c r="H925" s="168"/>
    </row>
    <row r="926">
      <c r="H926" s="168"/>
    </row>
    <row r="927">
      <c r="H927" s="168"/>
    </row>
    <row r="928">
      <c r="H928" s="168"/>
    </row>
    <row r="929">
      <c r="H929" s="168"/>
    </row>
    <row r="930">
      <c r="H930" s="168"/>
    </row>
    <row r="931">
      <c r="H931" s="168"/>
    </row>
    <row r="932">
      <c r="H932" s="168"/>
    </row>
    <row r="933">
      <c r="H933" s="168"/>
    </row>
    <row r="934">
      <c r="H934" s="168"/>
    </row>
    <row r="935">
      <c r="H935" s="168"/>
    </row>
    <row r="936">
      <c r="H936" s="168"/>
    </row>
    <row r="937">
      <c r="H937" s="168"/>
    </row>
    <row r="938">
      <c r="H938" s="168"/>
    </row>
    <row r="939">
      <c r="H939" s="168"/>
    </row>
    <row r="940">
      <c r="H940" s="168"/>
    </row>
    <row r="941">
      <c r="H941" s="168"/>
    </row>
    <row r="942">
      <c r="H942" s="168"/>
    </row>
    <row r="943">
      <c r="H943" s="168"/>
    </row>
    <row r="944">
      <c r="H944" s="168"/>
    </row>
    <row r="945">
      <c r="H945" s="168"/>
    </row>
    <row r="946">
      <c r="H946" s="168"/>
    </row>
    <row r="947">
      <c r="H947" s="168"/>
    </row>
    <row r="948">
      <c r="H948" s="168"/>
    </row>
    <row r="949">
      <c r="H949" s="168"/>
    </row>
    <row r="950">
      <c r="H950" s="168"/>
    </row>
    <row r="951">
      <c r="H951" s="168"/>
    </row>
    <row r="952">
      <c r="H952" s="168"/>
    </row>
    <row r="953">
      <c r="H953" s="168"/>
    </row>
    <row r="954">
      <c r="H954" s="168"/>
    </row>
    <row r="955">
      <c r="H955" s="168"/>
    </row>
    <row r="956">
      <c r="H956" s="168"/>
    </row>
    <row r="957">
      <c r="H957" s="168"/>
    </row>
    <row r="958">
      <c r="H958" s="168"/>
    </row>
    <row r="959">
      <c r="H959" s="168"/>
    </row>
    <row r="960">
      <c r="H960" s="168"/>
    </row>
    <row r="961">
      <c r="H961" s="168"/>
    </row>
    <row r="962">
      <c r="H962" s="168"/>
    </row>
    <row r="963">
      <c r="H963" s="168"/>
    </row>
    <row r="964">
      <c r="H964" s="168"/>
    </row>
    <row r="965">
      <c r="H965" s="168"/>
    </row>
    <row r="966">
      <c r="H966" s="168"/>
    </row>
    <row r="967">
      <c r="H967" s="168"/>
    </row>
    <row r="968">
      <c r="H968" s="168"/>
    </row>
    <row r="969">
      <c r="H969" s="168"/>
    </row>
    <row r="970">
      <c r="H970" s="168"/>
    </row>
    <row r="971">
      <c r="H971" s="168"/>
    </row>
    <row r="972">
      <c r="H972" s="168"/>
    </row>
    <row r="973">
      <c r="H973" s="168"/>
    </row>
    <row r="974">
      <c r="H974" s="168"/>
    </row>
    <row r="975">
      <c r="H975" s="168"/>
    </row>
    <row r="976">
      <c r="H976" s="168"/>
    </row>
    <row r="977">
      <c r="H977" s="168"/>
    </row>
    <row r="978">
      <c r="H978" s="168"/>
    </row>
    <row r="979">
      <c r="H979" s="168"/>
    </row>
    <row r="980">
      <c r="H980" s="168"/>
    </row>
    <row r="981">
      <c r="H981" s="168"/>
    </row>
    <row r="982">
      <c r="H982" s="168"/>
    </row>
    <row r="983">
      <c r="H983" s="168"/>
    </row>
    <row r="984">
      <c r="H984" s="168"/>
    </row>
    <row r="985">
      <c r="H985" s="168"/>
    </row>
    <row r="986">
      <c r="H986" s="168"/>
    </row>
    <row r="987">
      <c r="H987" s="168"/>
    </row>
    <row r="988">
      <c r="H988" s="168"/>
    </row>
    <row r="989">
      <c r="H989" s="168"/>
    </row>
    <row r="990">
      <c r="H990" s="168"/>
    </row>
    <row r="991">
      <c r="H991" s="168"/>
    </row>
    <row r="992">
      <c r="H992" s="168"/>
    </row>
    <row r="993">
      <c r="H993" s="168"/>
    </row>
    <row r="994">
      <c r="H994" s="168"/>
    </row>
    <row r="995">
      <c r="H995" s="168"/>
    </row>
    <row r="996">
      <c r="H996" s="168"/>
    </row>
    <row r="997">
      <c r="H997" s="168"/>
    </row>
    <row r="998">
      <c r="H998" s="168"/>
    </row>
    <row r="999">
      <c r="H999" s="168"/>
    </row>
    <row r="1000">
      <c r="H1000" s="168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2.13"/>
  </cols>
  <sheetData>
    <row r="1">
      <c r="A1" s="172"/>
    </row>
    <row r="2">
      <c r="A2" s="172" t="str">
        <f>IFERROR(__xludf.DUMMYFUNCTION("IMPORTRANGE(""https://docs.google.com/spreadsheets/d/1bs9B6WJRiV6PeqWeFAX484iri6rb6k0ySo8NETUVW3o/edit?resourcekey=0-_5WAW3anJipAMPIi1KBukQ&amp;gid=413440144#gid=413440144"",""SKU Summary!A3:P130"")"),"")</f>
        <v/>
      </c>
      <c r="B2" s="182"/>
      <c r="C2" s="182"/>
      <c r="D2" s="182"/>
      <c r="E2" s="182"/>
      <c r="F2" s="182" t="str">
        <f>IFERROR(__xludf.DUMMYFUNCTION("""COMPUTED_VALUE"""),"ACCESS: Internal Teams within Google = Comment access &amp; CM = View access ")</f>
        <v>ACCESS: Internal Teams within Google = Comment access &amp; CM = View access </v>
      </c>
      <c r="G2" s="182"/>
      <c r="H2" s="182"/>
      <c r="I2" s="182"/>
      <c r="J2" s="182"/>
      <c r="K2" s="182"/>
      <c r="L2" s="182"/>
      <c r="M2" s="182"/>
      <c r="N2" s="182"/>
      <c r="O2" s="182"/>
      <c r="P2" s="182"/>
    </row>
    <row r="3">
      <c r="A3" s="17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</row>
    <row r="4">
      <c r="A4" s="172" t="str">
        <f>IFERROR(__xludf.DUMMYFUNCTION("""COMPUTED_VALUE"""),"Memory")</f>
        <v>Memory</v>
      </c>
      <c r="B4" s="182"/>
      <c r="C4" s="182"/>
      <c r="D4" s="182"/>
      <c r="E4" s="182" t="str">
        <f>IFERROR(__xludf.DUMMYFUNCTION("""COMPUTED_VALUE"""),"128GB")</f>
        <v>128GB</v>
      </c>
      <c r="F4" s="182"/>
      <c r="G4" s="182"/>
      <c r="H4" s="182"/>
      <c r="I4" s="182" t="str">
        <f>IFERROR(__xludf.DUMMYFUNCTION("""COMPUTED_VALUE"""),"256GB")</f>
        <v>256GB</v>
      </c>
      <c r="J4" s="182"/>
      <c r="K4" s="182"/>
      <c r="L4" s="182"/>
      <c r="M4" s="182" t="str">
        <f>IFERROR(__xludf.DUMMYFUNCTION("""COMPUTED_VALUE"""),"512GB")</f>
        <v>512GB</v>
      </c>
      <c r="N4" s="182"/>
      <c r="O4" s="182"/>
      <c r="P4" s="182"/>
    </row>
    <row r="5">
      <c r="A5" s="172" t="str">
        <f>IFERROR(__xludf.DUMMYFUNCTION("""COMPUTED_VALUE"""),"Color")</f>
        <v>Color</v>
      </c>
      <c r="B5" s="182"/>
      <c r="C5" s="182"/>
      <c r="D5" s="182"/>
      <c r="E5" s="182" t="str">
        <f>IFERROR(__xludf.DUMMYFUNCTION("""COMPUTED_VALUE"""),"CLR1")</f>
        <v>CLR1</v>
      </c>
      <c r="F5" s="182" t="str">
        <f>IFERROR(__xludf.DUMMYFUNCTION("""COMPUTED_VALUE"""),"CLR2")</f>
        <v>CLR2</v>
      </c>
      <c r="G5" s="182" t="str">
        <f>IFERROR(__xludf.DUMMYFUNCTION("""COMPUTED_VALUE"""),"CLR3 ")</f>
        <v>CLR3 </v>
      </c>
      <c r="H5" s="182" t="str">
        <f>IFERROR(__xludf.DUMMYFUNCTION("""COMPUTED_VALUE"""),"CLR4")</f>
        <v>CLR4</v>
      </c>
      <c r="I5" s="182" t="str">
        <f>IFERROR(__xludf.DUMMYFUNCTION("""COMPUTED_VALUE"""),"CLR1")</f>
        <v>CLR1</v>
      </c>
      <c r="J5" s="182" t="str">
        <f>IFERROR(__xludf.DUMMYFUNCTION("""COMPUTED_VALUE"""),"CLR2")</f>
        <v>CLR2</v>
      </c>
      <c r="K5" s="182" t="str">
        <f>IFERROR(__xludf.DUMMYFUNCTION("""COMPUTED_VALUE"""),"CLR3")</f>
        <v>CLR3</v>
      </c>
      <c r="L5" s="182" t="str">
        <f>IFERROR(__xludf.DUMMYFUNCTION("""COMPUTED_VALUE"""),"CLR4")</f>
        <v>CLR4</v>
      </c>
      <c r="M5" s="182" t="str">
        <f>IFERROR(__xludf.DUMMYFUNCTION("""COMPUTED_VALUE"""),"CLR1")</f>
        <v>CLR1</v>
      </c>
      <c r="N5" s="182" t="str">
        <f>IFERROR(__xludf.DUMMYFUNCTION("""COMPUTED_VALUE"""),"CLR2")</f>
        <v>CLR2</v>
      </c>
      <c r="O5" s="182" t="str">
        <f>IFERROR(__xludf.DUMMYFUNCTION("""COMPUTED_VALUE"""),"CLR3")</f>
        <v>CLR3</v>
      </c>
      <c r="P5" s="182" t="str">
        <f>IFERROR(__xludf.DUMMYFUNCTION("""COMPUTED_VALUE"""),"CLR4")</f>
        <v>CLR4</v>
      </c>
    </row>
    <row r="6">
      <c r="A6" s="172" t="str">
        <f>IFERROR(__xludf.DUMMYFUNCTION("""COMPUTED_VALUE""")," Pristine ")</f>
        <v> Pristine </v>
      </c>
      <c r="B6" s="182"/>
      <c r="C6" s="182"/>
      <c r="D6" s="182"/>
      <c r="E6" s="182">
        <f>IFERROR(__xludf.DUMMYFUNCTION("""COMPUTED_VALUE"""),6.0)</f>
        <v>6</v>
      </c>
      <c r="F6" s="182">
        <f>IFERROR(__xludf.DUMMYFUNCTION("""COMPUTED_VALUE"""),4.0)</f>
        <v>4</v>
      </c>
      <c r="G6" s="182">
        <f>IFERROR(__xludf.DUMMYFUNCTION("""COMPUTED_VALUE"""),6.0)</f>
        <v>6</v>
      </c>
      <c r="H6" s="182">
        <f>IFERROR(__xludf.DUMMYFUNCTION("""COMPUTED_VALUE"""),0.0)</f>
        <v>0</v>
      </c>
      <c r="I6" s="182">
        <f>IFERROR(__xludf.DUMMYFUNCTION("""COMPUTED_VALUE"""),8.0)</f>
        <v>8</v>
      </c>
      <c r="J6" s="182">
        <f>IFERROR(__xludf.DUMMYFUNCTION("""COMPUTED_VALUE"""),5.0)</f>
        <v>5</v>
      </c>
      <c r="K6" s="182">
        <f>IFERROR(__xludf.DUMMYFUNCTION("""COMPUTED_VALUE"""),7.0)</f>
        <v>7</v>
      </c>
      <c r="L6" s="182">
        <f>IFERROR(__xludf.DUMMYFUNCTION("""COMPUTED_VALUE"""),6.0)</f>
        <v>6</v>
      </c>
      <c r="M6" s="182">
        <f>IFERROR(__xludf.DUMMYFUNCTION("""COMPUTED_VALUE"""),5.0)</f>
        <v>5</v>
      </c>
      <c r="N6" s="182">
        <f>IFERROR(__xludf.DUMMYFUNCTION("""COMPUTED_VALUE"""),2.0)</f>
        <v>2</v>
      </c>
      <c r="O6" s="182">
        <f>IFERROR(__xludf.DUMMYFUNCTION("""COMPUTED_VALUE"""),4.0)</f>
        <v>4</v>
      </c>
      <c r="P6" s="182">
        <f>IFERROR(__xludf.DUMMYFUNCTION("""COMPUTED_VALUE"""),0.0)</f>
        <v>0</v>
      </c>
    </row>
    <row r="7">
      <c r="A7" s="172" t="str">
        <f>IFERROR(__xludf.DUMMYFUNCTION("""COMPUTED_VALUE""")," IQ (VzW only)")</f>
        <v> IQ (VzW only)</v>
      </c>
      <c r="B7" s="182"/>
      <c r="C7" s="182"/>
      <c r="D7" s="182"/>
      <c r="E7" s="182">
        <f>IFERROR(__xludf.DUMMYFUNCTION("""COMPUTED_VALUE"""),1.0)</f>
        <v>1</v>
      </c>
      <c r="F7" s="182">
        <f>IFERROR(__xludf.DUMMYFUNCTION("""COMPUTED_VALUE"""),0.0)</f>
        <v>0</v>
      </c>
      <c r="G7" s="182">
        <f>IFERROR(__xludf.DUMMYFUNCTION("""COMPUTED_VALUE"""),1.0)</f>
        <v>1</v>
      </c>
      <c r="H7" s="182">
        <f>IFERROR(__xludf.DUMMYFUNCTION("""COMPUTED_VALUE"""),0.0)</f>
        <v>0</v>
      </c>
      <c r="I7" s="182">
        <f>IFERROR(__xludf.DUMMYFUNCTION("""COMPUTED_VALUE"""),1.0)</f>
        <v>1</v>
      </c>
      <c r="J7" s="182">
        <f>IFERROR(__xludf.DUMMYFUNCTION("""COMPUTED_VALUE"""),0.0)</f>
        <v>0</v>
      </c>
      <c r="K7" s="182">
        <f>IFERROR(__xludf.DUMMYFUNCTION("""COMPUTED_VALUE"""),1.0)</f>
        <v>1</v>
      </c>
      <c r="L7" s="182">
        <f>IFERROR(__xludf.DUMMYFUNCTION("""COMPUTED_VALUE"""),1.0)</f>
        <v>1</v>
      </c>
      <c r="M7" s="182">
        <f>IFERROR(__xludf.DUMMYFUNCTION("""COMPUTED_VALUE"""),1.0)</f>
        <v>1</v>
      </c>
      <c r="N7" s="182">
        <f>IFERROR(__xludf.DUMMYFUNCTION("""COMPUTED_VALUE"""),0.0)</f>
        <v>0</v>
      </c>
      <c r="O7" s="182">
        <f>IFERROR(__xludf.DUMMYFUNCTION("""COMPUTED_VALUE"""),0.0)</f>
        <v>0</v>
      </c>
      <c r="P7" s="182">
        <f>IFERROR(__xludf.DUMMYFUNCTION("""COMPUTED_VALUE"""),0.0)</f>
        <v>0</v>
      </c>
    </row>
    <row r="8">
      <c r="A8" s="172" t="str">
        <f>IFERROR(__xludf.DUMMYFUNCTION("""COMPUTED_VALUE"""),"CLNR/FRU")</f>
        <v>CLNR/FRU</v>
      </c>
      <c r="B8" s="182"/>
      <c r="C8" s="182"/>
      <c r="D8" s="182"/>
      <c r="E8" s="182">
        <f>IFERROR(__xludf.DUMMYFUNCTION("""COMPUTED_VALUE"""),5.0)</f>
        <v>5</v>
      </c>
      <c r="F8" s="182">
        <f>IFERROR(__xludf.DUMMYFUNCTION("""COMPUTED_VALUE"""),4.0)</f>
        <v>4</v>
      </c>
      <c r="G8" s="182">
        <f>IFERROR(__xludf.DUMMYFUNCTION("""COMPUTED_VALUE"""),5.0)</f>
        <v>5</v>
      </c>
      <c r="H8" s="182">
        <f>IFERROR(__xludf.DUMMYFUNCTION("""COMPUTED_VALUE"""),0.0)</f>
        <v>0</v>
      </c>
      <c r="I8" s="182">
        <f>IFERROR(__xludf.DUMMYFUNCTION("""COMPUTED_VALUE"""),5.0)</f>
        <v>5</v>
      </c>
      <c r="J8" s="182">
        <f>IFERROR(__xludf.DUMMYFUNCTION("""COMPUTED_VALUE"""),3.0)</f>
        <v>3</v>
      </c>
      <c r="K8" s="182">
        <f>IFERROR(__xludf.DUMMYFUNCTION("""COMPUTED_VALUE"""),5.0)</f>
        <v>5</v>
      </c>
      <c r="L8" s="182">
        <f>IFERROR(__xludf.DUMMYFUNCTION("""COMPUTED_VALUE"""),4.0)</f>
        <v>4</v>
      </c>
      <c r="M8" s="182">
        <f>IFERROR(__xludf.DUMMYFUNCTION("""COMPUTED_VALUE"""),4.0)</f>
        <v>4</v>
      </c>
      <c r="N8" s="182">
        <f>IFERROR(__xludf.DUMMYFUNCTION("""COMPUTED_VALUE"""),2.0)</f>
        <v>2</v>
      </c>
      <c r="O8" s="182">
        <f>IFERROR(__xludf.DUMMYFUNCTION("""COMPUTED_VALUE"""),4.0)</f>
        <v>4</v>
      </c>
      <c r="P8" s="182">
        <f>IFERROR(__xludf.DUMMYFUNCTION("""COMPUTED_VALUE"""),0.0)</f>
        <v>0</v>
      </c>
    </row>
    <row r="9">
      <c r="A9" s="172" t="str">
        <f>IFERROR(__xludf.DUMMYFUNCTION("""COMPUTED_VALUE""")," DEMO")</f>
        <v> DEMO</v>
      </c>
      <c r="B9" s="182"/>
      <c r="C9" s="182"/>
      <c r="D9" s="182"/>
      <c r="E9" s="182">
        <f>IFERROR(__xludf.DUMMYFUNCTION("""COMPUTED_VALUE"""),6.0)</f>
        <v>6</v>
      </c>
      <c r="F9" s="182">
        <f>IFERROR(__xludf.DUMMYFUNCTION("""COMPUTED_VALUE"""),6.0)</f>
        <v>6</v>
      </c>
      <c r="G9" s="182">
        <f>IFERROR(__xludf.DUMMYFUNCTION("""COMPUTED_VALUE"""),6.0)</f>
        <v>6</v>
      </c>
      <c r="H9" s="182">
        <f>IFERROR(__xludf.DUMMYFUNCTION("""COMPUTED_VALUE"""),0.0)</f>
        <v>0</v>
      </c>
      <c r="I9" s="182">
        <f>IFERROR(__xludf.DUMMYFUNCTION("""COMPUTED_VALUE"""),1.0)</f>
        <v>1</v>
      </c>
      <c r="J9" s="182">
        <f>IFERROR(__xludf.DUMMYFUNCTION("""COMPUTED_VALUE"""),1.0)</f>
        <v>1</v>
      </c>
      <c r="K9" s="182">
        <f>IFERROR(__xludf.DUMMYFUNCTION("""COMPUTED_VALUE"""),1.0)</f>
        <v>1</v>
      </c>
      <c r="L9" s="182">
        <f>IFERROR(__xludf.DUMMYFUNCTION("""COMPUTED_VALUE"""),7.0)</f>
        <v>7</v>
      </c>
      <c r="M9" s="182">
        <f>IFERROR(__xludf.DUMMYFUNCTION("""COMPUTED_VALUE"""),0.0)</f>
        <v>0</v>
      </c>
      <c r="N9" s="182">
        <f>IFERROR(__xludf.DUMMYFUNCTION("""COMPUTED_VALUE"""),0.0)</f>
        <v>0</v>
      </c>
      <c r="O9" s="182">
        <f>IFERROR(__xludf.DUMMYFUNCTION("""COMPUTED_VALUE"""),0.0)</f>
        <v>0</v>
      </c>
      <c r="P9" s="182">
        <f>IFERROR(__xludf.DUMMYFUNCTION("""COMPUTED_VALUE"""),0.0)</f>
        <v>0</v>
      </c>
    </row>
    <row r="10">
      <c r="A10" s="172" t="str">
        <f>IFERROR(__xludf.DUMMYFUNCTION("""COMPUTED_VALUE"""),"Refurb ")</f>
        <v>Refurb </v>
      </c>
      <c r="B10" s="182"/>
      <c r="C10" s="182"/>
      <c r="D10" s="182"/>
      <c r="E10" s="182">
        <f>IFERROR(__xludf.DUMMYFUNCTION("""COMPUTED_VALUE"""),6.0)</f>
        <v>6</v>
      </c>
      <c r="F10" s="182">
        <f>IFERROR(__xludf.DUMMYFUNCTION("""COMPUTED_VALUE"""),4.0)</f>
        <v>4</v>
      </c>
      <c r="G10" s="182">
        <f>IFERROR(__xludf.DUMMYFUNCTION("""COMPUTED_VALUE"""),6.0)</f>
        <v>6</v>
      </c>
      <c r="H10" s="182">
        <f>IFERROR(__xludf.DUMMYFUNCTION("""COMPUTED_VALUE"""),0.0)</f>
        <v>0</v>
      </c>
      <c r="I10" s="182">
        <f>IFERROR(__xludf.DUMMYFUNCTION("""COMPUTED_VALUE"""),7.0)</f>
        <v>7</v>
      </c>
      <c r="J10" s="182">
        <f>IFERROR(__xludf.DUMMYFUNCTION("""COMPUTED_VALUE"""),5.0)</f>
        <v>5</v>
      </c>
      <c r="K10" s="182">
        <f>IFERROR(__xludf.DUMMYFUNCTION("""COMPUTED_VALUE"""),7.0)</f>
        <v>7</v>
      </c>
      <c r="L10" s="182">
        <f>IFERROR(__xludf.DUMMYFUNCTION("""COMPUTED_VALUE"""),6.0)</f>
        <v>6</v>
      </c>
      <c r="M10" s="182">
        <f>IFERROR(__xludf.DUMMYFUNCTION("""COMPUTED_VALUE"""),5.0)</f>
        <v>5</v>
      </c>
      <c r="N10" s="182">
        <f>IFERROR(__xludf.DUMMYFUNCTION("""COMPUTED_VALUE"""),2.0)</f>
        <v>2</v>
      </c>
      <c r="O10" s="182">
        <f>IFERROR(__xludf.DUMMYFUNCTION("""COMPUTED_VALUE"""),4.0)</f>
        <v>4</v>
      </c>
      <c r="P10" s="182">
        <f>IFERROR(__xludf.DUMMYFUNCTION("""COMPUTED_VALUE"""),0.0)</f>
        <v>0</v>
      </c>
    </row>
    <row r="11">
      <c r="A11" s="172" t="str">
        <f>IFERROR(__xludf.DUMMYFUNCTION("""COMPUTED_VALUE"""),"Total")</f>
        <v>Total</v>
      </c>
      <c r="B11" s="182"/>
      <c r="C11" s="182"/>
      <c r="D11" s="182"/>
      <c r="E11" s="182">
        <f>IFERROR(__xludf.DUMMYFUNCTION("""COMPUTED_VALUE"""),24.0)</f>
        <v>24</v>
      </c>
      <c r="F11" s="182">
        <f>IFERROR(__xludf.DUMMYFUNCTION("""COMPUTED_VALUE"""),18.0)</f>
        <v>18</v>
      </c>
      <c r="G11" s="182">
        <f>IFERROR(__xludf.DUMMYFUNCTION("""COMPUTED_VALUE"""),24.0)</f>
        <v>24</v>
      </c>
      <c r="H11" s="182">
        <f>IFERROR(__xludf.DUMMYFUNCTION("""COMPUTED_VALUE"""),0.0)</f>
        <v>0</v>
      </c>
      <c r="I11" s="182">
        <f>IFERROR(__xludf.DUMMYFUNCTION("""COMPUTED_VALUE"""),22.0)</f>
        <v>22</v>
      </c>
      <c r="J11" s="182">
        <f>IFERROR(__xludf.DUMMYFUNCTION("""COMPUTED_VALUE"""),14.0)</f>
        <v>14</v>
      </c>
      <c r="K11" s="182">
        <f>IFERROR(__xludf.DUMMYFUNCTION("""COMPUTED_VALUE"""),21.0)</f>
        <v>21</v>
      </c>
      <c r="L11" s="182">
        <f>IFERROR(__xludf.DUMMYFUNCTION("""COMPUTED_VALUE"""),24.0)</f>
        <v>24</v>
      </c>
      <c r="M11" s="182">
        <f>IFERROR(__xludf.DUMMYFUNCTION("""COMPUTED_VALUE"""),15.0)</f>
        <v>15</v>
      </c>
      <c r="N11" s="182">
        <f>IFERROR(__xludf.DUMMYFUNCTION("""COMPUTED_VALUE"""),6.0)</f>
        <v>6</v>
      </c>
      <c r="O11" s="182">
        <f>IFERROR(__xludf.DUMMYFUNCTION("""COMPUTED_VALUE"""),12.0)</f>
        <v>12</v>
      </c>
      <c r="P11" s="182">
        <f>IFERROR(__xludf.DUMMYFUNCTION("""COMPUTED_VALUE"""),0.0)</f>
        <v>0</v>
      </c>
    </row>
    <row r="12">
      <c r="A12" s="172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</row>
    <row r="13">
      <c r="A13" s="172" t="str">
        <f>IFERROR(__xludf.DUMMYFUNCTION("""COMPUTED_VALUE"""),"Pristine SKU")</f>
        <v>Pristine SKU</v>
      </c>
      <c r="B13" s="182"/>
      <c r="C13" s="182"/>
      <c r="D13" s="182"/>
      <c r="E13" s="182" t="str">
        <f>IFERROR(__xludf.DUMMYFUNCTION("""COMPUTED_VALUE"""),"Short Name")</f>
        <v>Short Name</v>
      </c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>
      <c r="A14" s="172" t="str">
        <f>IFERROR(__xludf.DUMMYFUNCTION("""COMPUTED_VALUE"""),"Project")</f>
        <v>Project</v>
      </c>
      <c r="B14" s="182"/>
      <c r="C14" s="182" t="str">
        <f>IFERROR(__xludf.DUMMYFUNCTION("""COMPUTED_VALUE"""),"RF")</f>
        <v>RF</v>
      </c>
      <c r="D14" s="182" t="str">
        <f>IFERROR(__xludf.DUMMYFUNCTION("""COMPUTED_VALUE"""),"Model Number")</f>
        <v>Model Number</v>
      </c>
      <c r="E14" s="182" t="str">
        <f>IFERROR(__xludf.DUMMYFUNCTION("""COMPUTED_VALUE"""),"P-SKU")</f>
        <v>P-SKU</v>
      </c>
      <c r="F14" s="182" t="str">
        <f>IFERROR(__xludf.DUMMYFUNCTION("""COMPUTED_VALUE"""),"Program Name")</f>
        <v>Program Name</v>
      </c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>
      <c r="A15" s="172" t="str">
        <f>IFERROR(__xludf.DUMMYFUNCTION("""COMPUTED_VALUE"""),"Memory")</f>
        <v>Memory</v>
      </c>
      <c r="B15" s="182"/>
      <c r="C15" s="182"/>
      <c r="D15" s="182"/>
      <c r="E15" s="182"/>
      <c r="F15" s="182" t="str">
        <f>IFERROR(__xludf.DUMMYFUNCTION("""COMPUTED_VALUE"""),"128GB/GOOD")</f>
        <v>128GB/GOOD</v>
      </c>
      <c r="G15" s="182"/>
      <c r="H15" s="182"/>
      <c r="I15" s="182"/>
      <c r="J15" s="182" t="str">
        <f>IFERROR(__xludf.DUMMYFUNCTION("""COMPUTED_VALUE"""),"256GB/BETTER")</f>
        <v>256GB/BETTER</v>
      </c>
      <c r="K15" s="182"/>
      <c r="L15" s="182"/>
      <c r="M15" s="182"/>
      <c r="N15" s="182" t="str">
        <f>IFERROR(__xludf.DUMMYFUNCTION("""COMPUTED_VALUE"""),"512GB/BEST")</f>
        <v>512GB/BEST</v>
      </c>
      <c r="O15" s="182"/>
      <c r="P15" s="182"/>
    </row>
    <row r="16">
      <c r="A16" s="172" t="str">
        <f>IFERROR(__xludf.DUMMYFUNCTION("""COMPUTED_VALUE"""),"Color")</f>
        <v>Color</v>
      </c>
      <c r="B16" s="182"/>
      <c r="C16" s="182"/>
      <c r="D16" s="182"/>
      <c r="E16" s="182"/>
      <c r="F16" s="182" t="str">
        <f>IFERROR(__xludf.DUMMYFUNCTION("""COMPUTED_VALUE"""),"CLR1")</f>
        <v>CLR1</v>
      </c>
      <c r="G16" s="182" t="str">
        <f>IFERROR(__xludf.DUMMYFUNCTION("""COMPUTED_VALUE"""),"CLR2")</f>
        <v>CLR2</v>
      </c>
      <c r="H16" s="182" t="str">
        <f>IFERROR(__xludf.DUMMYFUNCTION("""COMPUTED_VALUE"""),"CLR3")</f>
        <v>CLR3</v>
      </c>
      <c r="I16" s="182" t="str">
        <f>IFERROR(__xludf.DUMMYFUNCTION("""COMPUTED_VALUE"""),"CLR4")</f>
        <v>CLR4</v>
      </c>
      <c r="J16" s="182" t="str">
        <f>IFERROR(__xludf.DUMMYFUNCTION("""COMPUTED_VALUE"""),"CLR1")</f>
        <v>CLR1</v>
      </c>
      <c r="K16" s="182" t="str">
        <f>IFERROR(__xludf.DUMMYFUNCTION("""COMPUTED_VALUE"""),"CLR2")</f>
        <v>CLR2</v>
      </c>
      <c r="L16" s="182" t="str">
        <f>IFERROR(__xludf.DUMMYFUNCTION("""COMPUTED_VALUE"""),"CLR3")</f>
        <v>CLR3</v>
      </c>
      <c r="M16" s="182" t="str">
        <f>IFERROR(__xludf.DUMMYFUNCTION("""COMPUTED_VALUE"""),"CLR4")</f>
        <v>CLR4</v>
      </c>
      <c r="N16" s="182" t="str">
        <f>IFERROR(__xludf.DUMMYFUNCTION("""COMPUTED_VALUE"""),"CLR1")</f>
        <v>CLR1</v>
      </c>
      <c r="O16" s="182" t="str">
        <f>IFERROR(__xludf.DUMMYFUNCTION("""COMPUTED_VALUE"""),"CLR2")</f>
        <v>CLR2</v>
      </c>
      <c r="P16" s="182" t="str">
        <f>IFERROR(__xludf.DUMMYFUNCTION("""COMPUTED_VALUE"""),"CLR3")</f>
        <v>CLR3</v>
      </c>
    </row>
    <row r="17">
      <c r="A17" s="172" t="str">
        <f>IFERROR(__xludf.DUMMYFUNCTION("""COMPUTED_VALUE"""),"VZW, US ")</f>
        <v>VZW, US </v>
      </c>
      <c r="B17" s="182"/>
      <c r="C17" s="182" t="str">
        <f>IFERROR(__xludf.DUMMYFUNCTION("""COMPUTED_VALUE"""),"MMWAVE")</f>
        <v>MMWAVE</v>
      </c>
      <c r="D17" s="182" t="str">
        <f>IFERROR(__xludf.DUMMYFUNCTION("""COMPUTED_VALUE"""),"G4QUR")</f>
        <v>G4QUR</v>
      </c>
      <c r="E17" s="182" t="str">
        <f>IFERROR(__xludf.DUMMYFUNCTION("""COMPUTED_VALUE"""),"UVZ")</f>
        <v>UVZ</v>
      </c>
      <c r="F17" s="182" t="str">
        <f>IFERROR(__xludf.DUMMYFUNCTION("""COMPUTED_VALUE""")," GA09187-US")</f>
        <v> GA09187-US</v>
      </c>
      <c r="G17" s="182" t="str">
        <f>IFERROR(__xludf.DUMMYFUNCTION("""COMPUTED_VALUE"""),"GA10275-US")</f>
        <v>GA10275-US</v>
      </c>
      <c r="H17" s="182" t="str">
        <f>IFERROR(__xludf.DUMMYFUNCTION("""COMPUTED_VALUE"""),"GA10276-US")</f>
        <v>GA10276-US</v>
      </c>
      <c r="I17" s="182"/>
      <c r="J17" s="182" t="str">
        <f>IFERROR(__xludf.DUMMYFUNCTION("""COMPUTED_VALUE"""),"GA09896-US")</f>
        <v>GA09896-US</v>
      </c>
      <c r="K17" s="182" t="str">
        <f>IFERROR(__xludf.DUMMYFUNCTION("""COMPUTED_VALUE"""),"GA10277-US")</f>
        <v>GA10277-US</v>
      </c>
      <c r="L17" s="182" t="str">
        <f>IFERROR(__xludf.DUMMYFUNCTION("""COMPUTED_VALUE"""),"GA10278-US")</f>
        <v>GA10278-US</v>
      </c>
      <c r="M17" s="182" t="str">
        <f>IFERROR(__xludf.DUMMYFUNCTION("""COMPUTED_VALUE"""),"GA10279-US")</f>
        <v>GA10279-US</v>
      </c>
      <c r="N17" s="182" t="str">
        <f>IFERROR(__xludf.DUMMYFUNCTION("""COMPUTED_VALUE"""),"GA09905-US")</f>
        <v>GA09905-US</v>
      </c>
      <c r="O17" s="182" t="str">
        <f>IFERROR(__xludf.DUMMYFUNCTION("""COMPUTED_VALUE"""),"GA10280-US")</f>
        <v>GA10280-US</v>
      </c>
      <c r="P17" s="182" t="str">
        <f>IFERROR(__xludf.DUMMYFUNCTION("""COMPUTED_VALUE"""),"GA10281-US")</f>
        <v>GA10281-US</v>
      </c>
    </row>
    <row r="18">
      <c r="A18" s="172" t="str">
        <f>IFERROR(__xludf.DUMMYFUNCTION("""COMPUTED_VALUE"""),"AT&amp;T, US")</f>
        <v>AT&amp;T, US</v>
      </c>
      <c r="B18" s="182"/>
      <c r="C18" s="182" t="str">
        <f>IFERROR(__xludf.DUMMYFUNCTION("""COMPUTED_VALUE"""),"MMWAVE")</f>
        <v>MMWAVE</v>
      </c>
      <c r="D18" s="182" t="str">
        <f>IFERROR(__xludf.DUMMYFUNCTION("""COMPUTED_VALUE"""),"G4QUR")</f>
        <v>G4QUR</v>
      </c>
      <c r="E18" s="182" t="str">
        <f>IFERROR(__xludf.DUMMYFUNCTION("""COMPUTED_VALUE"""),"UAT")</f>
        <v>UAT</v>
      </c>
      <c r="F18" s="182" t="str">
        <f>IFERROR(__xludf.DUMMYFUNCTION("""COMPUTED_VALUE"""),"GA09885-US")</f>
        <v>GA09885-US</v>
      </c>
      <c r="G18" s="182" t="str">
        <f>IFERROR(__xludf.DUMMYFUNCTION("""COMPUTED_VALUE"""),"GA10284-US")</f>
        <v>GA10284-US</v>
      </c>
      <c r="H18" s="182" t="str">
        <f>IFERROR(__xludf.DUMMYFUNCTION("""COMPUTED_VALUE"""),"GA10285-US")</f>
        <v>GA10285-US</v>
      </c>
      <c r="I18" s="182"/>
      <c r="J18" s="182" t="str">
        <f>IFERROR(__xludf.DUMMYFUNCTION("""COMPUTED_VALUE"""),"GA09897-US")</f>
        <v>GA09897-US</v>
      </c>
      <c r="K18" s="182" t="str">
        <f>IFERROR(__xludf.DUMMYFUNCTION("""COMPUTED_VALUE"""),"GA10286-US")</f>
        <v>GA10286-US</v>
      </c>
      <c r="L18" s="182" t="str">
        <f>IFERROR(__xludf.DUMMYFUNCTION("""COMPUTED_VALUE"""),"GA10287-US")</f>
        <v>GA10287-US</v>
      </c>
      <c r="M18" s="182" t="str">
        <f>IFERROR(__xludf.DUMMYFUNCTION("""COMPUTED_VALUE"""),"GA10288-US")</f>
        <v>GA10288-US</v>
      </c>
      <c r="N18" s="182" t="str">
        <f>IFERROR(__xludf.DUMMYFUNCTION("""COMPUTED_VALUE"""),"GA09906-US")</f>
        <v>GA09906-US</v>
      </c>
      <c r="O18" s="182" t="str">
        <f>IFERROR(__xludf.DUMMYFUNCTION("""COMPUTED_VALUE"""),"GA10289-US")</f>
        <v>GA10289-US</v>
      </c>
      <c r="P18" s="182" t="str">
        <f>IFERROR(__xludf.DUMMYFUNCTION("""COMPUTED_VALUE"""),"GA10290-US")</f>
        <v>GA10290-US</v>
      </c>
    </row>
    <row r="19">
      <c r="A19" s="172" t="str">
        <f>IFERROR(__xludf.DUMMYFUNCTION("""COMPUTED_VALUE"""),"Tmobile, US")</f>
        <v>Tmobile, US</v>
      </c>
      <c r="B19" s="182"/>
      <c r="C19" s="182" t="str">
        <f>IFERROR(__xludf.DUMMYFUNCTION("""COMPUTED_VALUE"""),"MMWAVE")</f>
        <v>MMWAVE</v>
      </c>
      <c r="D19" s="182" t="str">
        <f>IFERROR(__xludf.DUMMYFUNCTION("""COMPUTED_VALUE"""),"G4QUR")</f>
        <v>G4QUR</v>
      </c>
      <c r="E19" s="182" t="str">
        <f>IFERROR(__xludf.DUMMYFUNCTION("""COMPUTED_VALUE"""),"UTM")</f>
        <v>UTM</v>
      </c>
      <c r="F19" s="182" t="str">
        <f>IFERROR(__xludf.DUMMYFUNCTION("""COMPUTED_VALUE"""),"GA09886-US")</f>
        <v>GA09886-US</v>
      </c>
      <c r="G19" s="182" t="str">
        <f>IFERROR(__xludf.DUMMYFUNCTION("""COMPUTED_VALUE"""),"GA10293-US")</f>
        <v>GA10293-US</v>
      </c>
      <c r="H19" s="182" t="str">
        <f>IFERROR(__xludf.DUMMYFUNCTION("""COMPUTED_VALUE"""),"GA10294-US")</f>
        <v>GA10294-US</v>
      </c>
      <c r="I19" s="182"/>
      <c r="J19" s="182" t="str">
        <f>IFERROR(__xludf.DUMMYFUNCTION("""COMPUTED_VALUE"""),"GA09898-US")</f>
        <v>GA09898-US</v>
      </c>
      <c r="K19" s="182" t="str">
        <f>IFERROR(__xludf.DUMMYFUNCTION("""COMPUTED_VALUE"""),"GA10295-US")</f>
        <v>GA10295-US</v>
      </c>
      <c r="L19" s="182" t="str">
        <f>IFERROR(__xludf.DUMMYFUNCTION("""COMPUTED_VALUE"""),"GA10296-US")</f>
        <v>GA10296-US</v>
      </c>
      <c r="M19" s="182" t="str">
        <f>IFERROR(__xludf.DUMMYFUNCTION("""COMPUTED_VALUE"""),"GA10297-US")</f>
        <v>GA10297-US</v>
      </c>
      <c r="N19" s="182" t="str">
        <f>IFERROR(__xludf.DUMMYFUNCTION("""COMPUTED_VALUE"""),"GA09907-US")</f>
        <v>GA09907-US</v>
      </c>
      <c r="O19" s="182" t="str">
        <f>IFERROR(__xludf.DUMMYFUNCTION("""COMPUTED_VALUE"""),"GA10298-US")</f>
        <v>GA10298-US</v>
      </c>
      <c r="P19" s="182" t="str">
        <f>IFERROR(__xludf.DUMMYFUNCTION("""COMPUTED_VALUE"""),"GA10299-US")</f>
        <v>GA10299-US</v>
      </c>
    </row>
    <row r="20">
      <c r="A20" s="172" t="str">
        <f>IFERROR(__xludf.DUMMYFUNCTION("""COMPUTED_VALUE"""),"GStore, US ")</f>
        <v>GStore, US </v>
      </c>
      <c r="B20" s="182"/>
      <c r="C20" s="182" t="str">
        <f>IFERROR(__xludf.DUMMYFUNCTION("""COMPUTED_VALUE"""),"MMWAVE")</f>
        <v>MMWAVE</v>
      </c>
      <c r="D20" s="182" t="str">
        <f>IFERROR(__xludf.DUMMYFUNCTION("""COMPUTED_VALUE"""),"G4QUR")</f>
        <v>G4QUR</v>
      </c>
      <c r="E20" s="182" t="str">
        <f>IFERROR(__xludf.DUMMYFUNCTION("""COMPUTED_VALUE"""),"UGS")</f>
        <v>UGS</v>
      </c>
      <c r="F20" s="182" t="str">
        <f>IFERROR(__xludf.DUMMYFUNCTION("""COMPUTED_VALUE"""),"GA09887-US")</f>
        <v>GA09887-US</v>
      </c>
      <c r="G20" s="182" t="str">
        <f>IFERROR(__xludf.DUMMYFUNCTION("""COMPUTED_VALUE"""),"GA10302-US")</f>
        <v>GA10302-US</v>
      </c>
      <c r="H20" s="182" t="str">
        <f>IFERROR(__xludf.DUMMYFUNCTION("""COMPUTED_VALUE"""),"GA10303-US")</f>
        <v>GA10303-US</v>
      </c>
      <c r="I20" s="182"/>
      <c r="J20" s="182" t="str">
        <f>IFERROR(__xludf.DUMMYFUNCTION("""COMPUTED_VALUE"""),"GA09899-US")</f>
        <v>GA09899-US</v>
      </c>
      <c r="K20" s="182" t="str">
        <f>IFERROR(__xludf.DUMMYFUNCTION("""COMPUTED_VALUE"""),"GA10304-US")</f>
        <v>GA10304-US</v>
      </c>
      <c r="L20" s="182" t="str">
        <f>IFERROR(__xludf.DUMMYFUNCTION("""COMPUTED_VALUE"""),"GA10305-US")</f>
        <v>GA10305-US</v>
      </c>
      <c r="M20" s="182" t="str">
        <f>IFERROR(__xludf.DUMMYFUNCTION("""COMPUTED_VALUE"""),"GA10306-US")</f>
        <v>GA10306-US</v>
      </c>
      <c r="N20" s="182" t="str">
        <f>IFERROR(__xludf.DUMMYFUNCTION("""COMPUTED_VALUE"""),"GA09908-US")</f>
        <v>GA09908-US</v>
      </c>
      <c r="O20" s="182" t="str">
        <f>IFERROR(__xludf.DUMMYFUNCTION("""COMPUTED_VALUE"""),"GA10307-US")</f>
        <v>GA10307-US</v>
      </c>
      <c r="P20" s="182" t="str">
        <f>IFERROR(__xludf.DUMMYFUNCTION("""COMPUTED_VALUE"""),"GA10308-US")</f>
        <v>GA10308-US</v>
      </c>
    </row>
    <row r="21">
      <c r="A21" s="172" t="str">
        <f>IFERROR(__xludf.DUMMYFUNCTION("""COMPUTED_VALUE"""),"JP ")</f>
        <v>JP </v>
      </c>
      <c r="B21" s="182"/>
      <c r="C21" s="182" t="str">
        <f>IFERROR(__xludf.DUMMYFUNCTION("""COMPUTED_VALUE"""),"SUB6")</f>
        <v>SUB6</v>
      </c>
      <c r="D21" s="182" t="str">
        <f>IFERROR(__xludf.DUMMYFUNCTION("""COMPUTED_VALUE"""),"GN4F5")</f>
        <v>GN4F5</v>
      </c>
      <c r="E21" s="182" t="str">
        <f>IFERROR(__xludf.DUMMYFUNCTION("""COMPUTED_VALUE"""),"AJP")</f>
        <v>AJP</v>
      </c>
      <c r="F21" s="182" t="str">
        <f>IFERROR(__xludf.DUMMYFUNCTION("""COMPUTED_VALUE"""),"GA09601-JP")</f>
        <v>GA09601-JP</v>
      </c>
      <c r="G21" s="182" t="str">
        <f>IFERROR(__xludf.DUMMYFUNCTION("""COMPUTED_VALUE"""),"GA10312-JP")</f>
        <v>GA10312-JP</v>
      </c>
      <c r="H21" s="182" t="str">
        <f>IFERROR(__xludf.DUMMYFUNCTION("""COMPUTED_VALUE"""),"GA10313-JP")</f>
        <v>GA10313-JP</v>
      </c>
      <c r="I21" s="182"/>
      <c r="J21" s="182" t="str">
        <f>IFERROR(__xludf.DUMMYFUNCTION("""COMPUTED_VALUE"""),"GA09900-JP")</f>
        <v>GA09900-JP</v>
      </c>
      <c r="K21" s="182" t="str">
        <f>IFERROR(__xludf.DUMMYFUNCTION("""COMPUTED_VALUE"""),"GA10314-JP")</f>
        <v>GA10314-JP</v>
      </c>
      <c r="L21" s="182" t="str">
        <f>IFERROR(__xludf.DUMMYFUNCTION("""COMPUTED_VALUE"""),"GA10315-JP")</f>
        <v>GA10315-JP</v>
      </c>
      <c r="M21" s="182" t="str">
        <f>IFERROR(__xludf.DUMMYFUNCTION("""COMPUTED_VALUE"""),"GA10316-JP")</f>
        <v>GA10316-JP</v>
      </c>
      <c r="N21" s="182" t="str">
        <f>IFERROR(__xludf.DUMMYFUNCTION("""COMPUTED_VALUE"""),"GA09909-JP")</f>
        <v>GA09909-JP</v>
      </c>
      <c r="O21" s="182" t="str">
        <f>IFERROR(__xludf.DUMMYFUNCTION("""COMPUTED_VALUE"""),"GA10317-JP")</f>
        <v>GA10317-JP</v>
      </c>
      <c r="P21" s="182" t="str">
        <f>IFERROR(__xludf.DUMMYFUNCTION("""COMPUTED_VALUE"""),"GA10318-JP")</f>
        <v>GA10318-JP</v>
      </c>
    </row>
    <row r="22">
      <c r="A22" s="172" t="str">
        <f>IFERROR(__xludf.DUMMYFUNCTION("""COMPUTED_VALUE"""),"CA/TW/SG/AU/MY/MX")</f>
        <v>CA/TW/SG/AU/MY/MX</v>
      </c>
      <c r="B22" s="182"/>
      <c r="C22" s="182" t="str">
        <f>IFERROR(__xludf.DUMMYFUNCTION("""COMPUTED_VALUE"""),"SUB6")</f>
        <v>SUB6</v>
      </c>
      <c r="D22" s="182" t="str">
        <f>IFERROR(__xludf.DUMMYFUNCTION("""COMPUTED_VALUE"""),"GEHN3")</f>
        <v>GEHN3</v>
      </c>
      <c r="E22" s="182" t="str">
        <f>IFERROR(__xludf.DUMMYFUNCTION("""COMPUTED_VALUE"""),"NCA")</f>
        <v>NCA</v>
      </c>
      <c r="F22" s="182" t="str">
        <f>IFERROR(__xludf.DUMMYFUNCTION("""COMPUTED_VALUE"""),"GA09601-CA")</f>
        <v>GA09601-CA</v>
      </c>
      <c r="G22" s="182" t="str">
        <f>IFERROR(__xludf.DUMMYFUNCTION("""COMPUTED_VALUE"""),"GA10312-CA")</f>
        <v>GA10312-CA</v>
      </c>
      <c r="H22" s="182" t="str">
        <f>IFERROR(__xludf.DUMMYFUNCTION("""COMPUTED_VALUE"""),"GA10313-CA")</f>
        <v>GA10313-CA</v>
      </c>
      <c r="I22" s="182"/>
      <c r="J22" s="182" t="str">
        <f>IFERROR(__xludf.DUMMYFUNCTION("""COMPUTED_VALUE"""),"GA09900-CA")</f>
        <v>GA09900-CA</v>
      </c>
      <c r="K22" s="182" t="str">
        <f>IFERROR(__xludf.DUMMYFUNCTION("""COMPUTED_VALUE"""),"GA10314-CA")</f>
        <v>GA10314-CA</v>
      </c>
      <c r="L22" s="182" t="str">
        <f>IFERROR(__xludf.DUMMYFUNCTION("""COMPUTED_VALUE"""),"GA10315-CA")</f>
        <v>GA10315-CA</v>
      </c>
      <c r="M22" s="182" t="str">
        <f>IFERROR(__xludf.DUMMYFUNCTION("""COMPUTED_VALUE"""),"GA10316-CA")</f>
        <v>GA10316-CA</v>
      </c>
      <c r="N22" s="182" t="str">
        <f>IFERROR(__xludf.DUMMYFUNCTION("""COMPUTED_VALUE"""),"GA09909-CA")</f>
        <v>GA09909-CA</v>
      </c>
      <c r="O22" s="182" t="str">
        <f>IFERROR(__xludf.DUMMYFUNCTION("""COMPUTED_VALUE"""),"GA10317-CA")</f>
        <v>GA10317-CA</v>
      </c>
      <c r="P22" s="182" t="str">
        <f>IFERROR(__xludf.DUMMYFUNCTION("""COMPUTED_VALUE"""),"GA10318-CA")</f>
        <v>GA10318-CA</v>
      </c>
    </row>
    <row r="23">
      <c r="A23" s="17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B23" s="182"/>
      <c r="C23" s="182" t="str">
        <f>IFERROR(__xludf.DUMMYFUNCTION("""COMPUTED_VALUE"""),"SUB6")</f>
        <v>SUB6</v>
      </c>
      <c r="D23" s="182" t="str">
        <f>IFERROR(__xludf.DUMMYFUNCTION("""COMPUTED_VALUE"""),"GEHN3")</f>
        <v>GEHN3</v>
      </c>
      <c r="E23" s="182" t="str">
        <f>IFERROR(__xludf.DUMMYFUNCTION("""COMPUTED_VALUE"""),"EMA")</f>
        <v>EMA</v>
      </c>
      <c r="F23" s="182" t="str">
        <f>IFERROR(__xludf.DUMMYFUNCTION("""COMPUTED_VALUE"""),"GA09601-GB")</f>
        <v>GA09601-GB</v>
      </c>
      <c r="G23" s="182" t="str">
        <f>IFERROR(__xludf.DUMMYFUNCTION("""COMPUTED_VALUE"""),"GA10312-GB")</f>
        <v>GA10312-GB</v>
      </c>
      <c r="H23" s="182" t="str">
        <f>IFERROR(__xludf.DUMMYFUNCTION("""COMPUTED_VALUE"""),"GA10313-GB")</f>
        <v>GA10313-GB</v>
      </c>
      <c r="I23" s="182"/>
      <c r="J23" s="182" t="str">
        <f>IFERROR(__xludf.DUMMYFUNCTION("""COMPUTED_VALUE"""),"GA09900-GB")</f>
        <v>GA09900-GB</v>
      </c>
      <c r="K23" s="182" t="str">
        <f>IFERROR(__xludf.DUMMYFUNCTION("""COMPUTED_VALUE"""),"GA10314-GB")</f>
        <v>GA10314-GB</v>
      </c>
      <c r="L23" s="182" t="str">
        <f>IFERROR(__xludf.DUMMYFUNCTION("""COMPUTED_VALUE"""),"GA10315-GB")</f>
        <v>GA10315-GB</v>
      </c>
      <c r="M23" s="182" t="str">
        <f>IFERROR(__xludf.DUMMYFUNCTION("""COMPUTED_VALUE"""),"GA10316-GB")</f>
        <v>GA10316-GB</v>
      </c>
      <c r="N23" s="182" t="str">
        <f>IFERROR(__xludf.DUMMYFUNCTION("""COMPUTED_VALUE"""),"GA09909-GB")</f>
        <v>GA09909-GB</v>
      </c>
      <c r="O23" s="182" t="str">
        <f>IFERROR(__xludf.DUMMYFUNCTION("""COMPUTED_VALUE"""),"GA10317-GB")</f>
        <v>GA10317-GB</v>
      </c>
      <c r="P23" s="182" t="str">
        <f>IFERROR(__xludf.DUMMYFUNCTION("""COMPUTED_VALUE"""),"GA10318-GB")</f>
        <v>GA10318-GB</v>
      </c>
    </row>
    <row r="24">
      <c r="A24" s="172" t="str">
        <f>IFERROR(__xludf.DUMMYFUNCTION("""COMPUTED_VALUE"""),"EMEA Amazon Only")</f>
        <v>EMEA Amazon Only</v>
      </c>
      <c r="B24" s="182"/>
      <c r="C24" s="182" t="str">
        <f>IFERROR(__xludf.DUMMYFUNCTION("""COMPUTED_VALUE"""),"SUB6")</f>
        <v>SUB6</v>
      </c>
      <c r="D24" s="182" t="str">
        <f>IFERROR(__xludf.DUMMYFUNCTION("""COMPUTED_VALUE"""),"GEHN3")</f>
        <v>GEHN3</v>
      </c>
      <c r="E24" s="182"/>
      <c r="F24" s="182" t="str">
        <f>IFERROR(__xludf.DUMMYFUNCTION("""COMPUTED_VALUE"""),"GA09601-AN")</f>
        <v>GA09601-AN</v>
      </c>
      <c r="G24" s="182" t="str">
        <f>IFERROR(__xludf.DUMMYFUNCTION("""COMPUTED_VALUE"""),"GA10312-AN")</f>
        <v>GA10312-AN</v>
      </c>
      <c r="H24" s="182" t="str">
        <f>IFERROR(__xludf.DUMMYFUNCTION("""COMPUTED_VALUE"""),"GA10313-AN")</f>
        <v>GA10313-AN</v>
      </c>
      <c r="I24" s="182"/>
      <c r="J24" s="182" t="str">
        <f>IFERROR(__xludf.DUMMYFUNCTION("""COMPUTED_VALUE"""),"GA09900-AN")</f>
        <v>GA09900-AN</v>
      </c>
      <c r="K24" s="182" t="str">
        <f>IFERROR(__xludf.DUMMYFUNCTION("""COMPUTED_VALUE"""),"GA10314-AN")</f>
        <v>GA10314-AN</v>
      </c>
      <c r="L24" s="182" t="str">
        <f>IFERROR(__xludf.DUMMYFUNCTION("""COMPUTED_VALUE"""),"GA10315-AN")</f>
        <v>GA10315-AN</v>
      </c>
      <c r="M24" s="182" t="str">
        <f>IFERROR(__xludf.DUMMYFUNCTION("""COMPUTED_VALUE"""),"GA10316-AN")</f>
        <v>GA10316-AN</v>
      </c>
      <c r="N24" s="182" t="str">
        <f>IFERROR(__xludf.DUMMYFUNCTION("""COMPUTED_VALUE"""),"GA09909-AN")</f>
        <v>GA09909-AN</v>
      </c>
      <c r="O24" s="182" t="str">
        <f>IFERROR(__xludf.DUMMYFUNCTION("""COMPUTED_VALUE"""),"GA10317-AN")</f>
        <v>GA10317-AN</v>
      </c>
      <c r="P24" s="182" t="str">
        <f>IFERROR(__xludf.DUMMYFUNCTION("""COMPUTED_VALUE"""),"GA10318-AN")</f>
        <v>GA10318-AN</v>
      </c>
    </row>
    <row r="25">
      <c r="A25" s="172" t="str">
        <f>IFERROR(__xludf.DUMMYFUNCTION("""COMPUTED_VALUE"""),"IN ")</f>
        <v>IN </v>
      </c>
      <c r="B25" s="182"/>
      <c r="C25" s="182" t="str">
        <f>IFERROR(__xludf.DUMMYFUNCTION("""COMPUTED_VALUE"""),"SUB6")</f>
        <v>SUB6</v>
      </c>
      <c r="D25" s="182" t="str">
        <f>IFERROR(__xludf.DUMMYFUNCTION("""COMPUTED_VALUE"""),"GEHN3")</f>
        <v>GEHN3</v>
      </c>
      <c r="E25" s="182" t="str">
        <f>IFERROR(__xludf.DUMMYFUNCTION("""COMPUTED_VALUE"""),"NCA")</f>
        <v>NCA</v>
      </c>
      <c r="F25" s="182" t="str">
        <f>IFERROR(__xludf.DUMMYFUNCTION("""COMPUTED_VALUE"""),"GA09601-IN")</f>
        <v>GA09601-IN</v>
      </c>
      <c r="G25" s="182" t="str">
        <f>IFERROR(__xludf.DUMMYFUNCTION("""COMPUTED_VALUE"""),"GA10312-IN")</f>
        <v>GA10312-IN</v>
      </c>
      <c r="H25" s="182" t="str">
        <f>IFERROR(__xludf.DUMMYFUNCTION("""COMPUTED_VALUE"""),"GA10313-IN")</f>
        <v>GA10313-IN</v>
      </c>
      <c r="I25" s="182"/>
      <c r="J25" s="182" t="str">
        <f>IFERROR(__xludf.DUMMYFUNCTION("""COMPUTED_VALUE"""),"GA09900-IN")</f>
        <v>GA09900-IN</v>
      </c>
      <c r="K25" s="182" t="str">
        <f>IFERROR(__xludf.DUMMYFUNCTION("""COMPUTED_VALUE"""),"GA10314-IN")</f>
        <v>GA10314-IN</v>
      </c>
      <c r="L25" s="182" t="str">
        <f>IFERROR(__xludf.DUMMYFUNCTION("""COMPUTED_VALUE"""),"GA10315-IN")</f>
        <v>GA10315-IN</v>
      </c>
      <c r="M25" s="182" t="str">
        <f>IFERROR(__xludf.DUMMYFUNCTION("""COMPUTED_VALUE"""),"GA10316-IN")</f>
        <v>GA10316-IN</v>
      </c>
      <c r="N25" s="182" t="str">
        <f>IFERROR(__xludf.DUMMYFUNCTION("""COMPUTED_VALUE"""),"GA09909-IN")</f>
        <v>GA09909-IN</v>
      </c>
      <c r="O25" s="182" t="str">
        <f>IFERROR(__xludf.DUMMYFUNCTION("""COMPUTED_VALUE"""),"GA10317-IN")</f>
        <v>GA10317-IN</v>
      </c>
      <c r="P25" s="182" t="str">
        <f>IFERROR(__xludf.DUMMYFUNCTION("""COMPUTED_VALUE"""),"GA10318-IN")</f>
        <v>GA10318-IN</v>
      </c>
    </row>
    <row r="26">
      <c r="A26" s="172" t="str">
        <f>IFERROR(__xludf.DUMMYFUNCTION("""COMPUTED_VALUE"""),"Total")</f>
        <v>Total</v>
      </c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</row>
    <row r="27">
      <c r="A27" s="172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</row>
    <row r="28">
      <c r="A28" s="172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</row>
    <row r="29">
      <c r="A29" s="172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</row>
    <row r="30">
      <c r="A30" s="172" t="str">
        <f>IFERROR(__xludf.DUMMYFUNCTION("""COMPUTED_VALUE"""),"IQ SKUs ")</f>
        <v>IQ SKUs </v>
      </c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</row>
    <row r="31">
      <c r="A31" s="172" t="str">
        <f>IFERROR(__xludf.DUMMYFUNCTION("""COMPUTED_VALUE"""),"Project")</f>
        <v>Project</v>
      </c>
      <c r="B31" s="182"/>
      <c r="C31" s="182"/>
      <c r="D31" s="182" t="str">
        <f>IFERROR(__xludf.DUMMYFUNCTION("""COMPUTED_VALUE"""),"Program Name")</f>
        <v>Program Name</v>
      </c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</row>
    <row r="32">
      <c r="A32" s="172" t="str">
        <f>IFERROR(__xludf.DUMMYFUNCTION("""COMPUTED_VALUE"""),"Memory")</f>
        <v>Memory</v>
      </c>
      <c r="B32" s="182"/>
      <c r="C32" s="182"/>
      <c r="D32" s="182" t="str">
        <f>IFERROR(__xludf.DUMMYFUNCTION("""COMPUTED_VALUE"""),"128GB/GOOD")</f>
        <v>128GB/GOOD</v>
      </c>
      <c r="E32" s="182"/>
      <c r="F32" s="182"/>
      <c r="G32" s="182"/>
      <c r="H32" s="182" t="str">
        <f>IFERROR(__xludf.DUMMYFUNCTION("""COMPUTED_VALUE"""),"256GB/BETTER")</f>
        <v>256GB/BETTER</v>
      </c>
      <c r="I32" s="182"/>
      <c r="J32" s="182"/>
      <c r="K32" s="182"/>
      <c r="L32" s="182" t="str">
        <f>IFERROR(__xludf.DUMMYFUNCTION("""COMPUTED_VALUE"""),"512GB/BEST")</f>
        <v>512GB/BEST</v>
      </c>
      <c r="M32" s="182"/>
      <c r="N32" s="182"/>
      <c r="O32" s="182"/>
      <c r="P32" s="182" t="str">
        <f>IFERROR(__xludf.DUMMYFUNCTION("""COMPUTED_VALUE"""),"1TB/ULTRA")</f>
        <v>1TB/ULTRA</v>
      </c>
    </row>
    <row r="33">
      <c r="A33" s="172" t="str">
        <f>IFERROR(__xludf.DUMMYFUNCTION("""COMPUTED_VALUE"""),"Color")</f>
        <v>Color</v>
      </c>
      <c r="B33" s="182"/>
      <c r="C33" s="182"/>
      <c r="D33" s="182" t="str">
        <f>IFERROR(__xludf.DUMMYFUNCTION("""COMPUTED_VALUE"""),"CLR1")</f>
        <v>CLR1</v>
      </c>
      <c r="E33" s="182" t="str">
        <f>IFERROR(__xludf.DUMMYFUNCTION("""COMPUTED_VALUE"""),"CLR2")</f>
        <v>CLR2</v>
      </c>
      <c r="F33" s="182" t="str">
        <f>IFERROR(__xludf.DUMMYFUNCTION("""COMPUTED_VALUE"""),"CLR3")</f>
        <v>CLR3</v>
      </c>
      <c r="G33" s="182" t="str">
        <f>IFERROR(__xludf.DUMMYFUNCTION("""COMPUTED_VALUE"""),"CLR4")</f>
        <v>CLR4</v>
      </c>
      <c r="H33" s="182" t="str">
        <f>IFERROR(__xludf.DUMMYFUNCTION("""COMPUTED_VALUE"""),"CLR1")</f>
        <v>CLR1</v>
      </c>
      <c r="I33" s="182" t="str">
        <f>IFERROR(__xludf.DUMMYFUNCTION("""COMPUTED_VALUE"""),"CLR2")</f>
        <v>CLR2</v>
      </c>
      <c r="J33" s="182" t="str">
        <f>IFERROR(__xludf.DUMMYFUNCTION("""COMPUTED_VALUE"""),"CLR3")</f>
        <v>CLR3</v>
      </c>
      <c r="K33" s="182" t="str">
        <f>IFERROR(__xludf.DUMMYFUNCTION("""COMPUTED_VALUE"""),"CLR4")</f>
        <v>CLR4</v>
      </c>
      <c r="L33" s="182" t="str">
        <f>IFERROR(__xludf.DUMMYFUNCTION("""COMPUTED_VALUE"""),"CLR1")</f>
        <v>CLR1</v>
      </c>
      <c r="M33" s="182" t="str">
        <f>IFERROR(__xludf.DUMMYFUNCTION("""COMPUTED_VALUE"""),"CLR2")</f>
        <v>CLR2</v>
      </c>
      <c r="N33" s="182" t="str">
        <f>IFERROR(__xludf.DUMMYFUNCTION("""COMPUTED_VALUE"""),"CLR3")</f>
        <v>CLR3</v>
      </c>
      <c r="O33" s="182" t="str">
        <f>IFERROR(__xludf.DUMMYFUNCTION("""COMPUTED_VALUE"""),"CLR4")</f>
        <v>CLR4</v>
      </c>
      <c r="P33" s="182" t="str">
        <f>IFERROR(__xludf.DUMMYFUNCTION("""COMPUTED_VALUE"""),"CLR1")</f>
        <v>CLR1</v>
      </c>
    </row>
    <row r="34">
      <c r="A34" s="172" t="str">
        <f>IFERROR(__xludf.DUMMYFUNCTION("""COMPUTED_VALUE"""),"US-VZW")</f>
        <v>US-VZW</v>
      </c>
      <c r="B34" s="182"/>
      <c r="C34" s="182"/>
      <c r="D34" s="182" t="str">
        <f>IFERROR(__xludf.DUMMYFUNCTION("""COMPUTED_VALUE"""),"IQGA09187-US ")</f>
        <v>IQGA09187-US </v>
      </c>
      <c r="E34" s="182" t="str">
        <f>IFERROR(__xludf.DUMMYFUNCTION("""COMPUTED_VALUE"""),"IQGA10275-US")</f>
        <v>IQGA10275-US</v>
      </c>
      <c r="F34" s="182" t="str">
        <f>IFERROR(__xludf.DUMMYFUNCTION("""COMPUTED_VALUE"""),"IQGA10276-US")</f>
        <v>IQGA10276-US</v>
      </c>
      <c r="G34" s="182"/>
      <c r="H34" s="182" t="str">
        <f>IFERROR(__xludf.DUMMYFUNCTION("""COMPUTED_VALUE"""),"IQGA09896-US")</f>
        <v>IQGA09896-US</v>
      </c>
      <c r="I34" s="182" t="str">
        <f>IFERROR(__xludf.DUMMYFUNCTION("""COMPUTED_VALUE"""),"IQGA10277-US")</f>
        <v>IQGA10277-US</v>
      </c>
      <c r="J34" s="182" t="str">
        <f>IFERROR(__xludf.DUMMYFUNCTION("""COMPUTED_VALUE"""),"IQGA10278-US")</f>
        <v>IQGA10278-US</v>
      </c>
      <c r="K34" s="182" t="str">
        <f>IFERROR(__xludf.DUMMYFUNCTION("""COMPUTED_VALUE"""),"IQGA10279-US")</f>
        <v>IQGA10279-US</v>
      </c>
      <c r="L34" s="182" t="str">
        <f>IFERROR(__xludf.DUMMYFUNCTION("""COMPUTED_VALUE"""),"IQGA09905-US")</f>
        <v>IQGA09905-US</v>
      </c>
      <c r="M34" s="182" t="str">
        <f>IFERROR(__xludf.DUMMYFUNCTION("""COMPUTED_VALUE"""),"IQGA10280-US")</f>
        <v>IQGA10280-US</v>
      </c>
      <c r="N34" s="182" t="str">
        <f>IFERROR(__xludf.DUMMYFUNCTION("""COMPUTED_VALUE"""),"IQGA10281-US")</f>
        <v>IQGA10281-US</v>
      </c>
      <c r="O34" s="182" t="str">
        <f>IFERROR(__xludf.DUMMYFUNCTION("""COMPUTED_VALUE"""),"IQGA10282-US")</f>
        <v>IQGA10282-US</v>
      </c>
      <c r="P34" s="182" t="str">
        <f>IFERROR(__xludf.DUMMYFUNCTION("""COMPUTED_VALUE"""),"IQGA09930-US")</f>
        <v>IQGA09930-US</v>
      </c>
    </row>
    <row r="35">
      <c r="A35" s="172" t="str">
        <f>IFERROR(__xludf.DUMMYFUNCTION("""COMPUTED_VALUE"""),"US - Tmobile ")</f>
        <v>US - Tmobile </v>
      </c>
      <c r="B35" s="182"/>
      <c r="C35" s="182"/>
      <c r="D35" s="182"/>
      <c r="E35" s="182"/>
      <c r="F35" s="182" t="str">
        <f>IFERROR(__xludf.DUMMYFUNCTION("""COMPUTED_VALUE"""),"GA11018-US")</f>
        <v>GA11018-US</v>
      </c>
      <c r="G35" s="182"/>
      <c r="H35" s="182"/>
      <c r="I35" s="182"/>
      <c r="J35" s="182"/>
      <c r="K35" s="182"/>
      <c r="L35" s="182"/>
      <c r="M35" s="182"/>
      <c r="N35" s="182"/>
      <c r="O35" s="182"/>
      <c r="P35" s="182"/>
    </row>
    <row r="36">
      <c r="A36" s="172" t="str">
        <f>IFERROR(__xludf.DUMMYFUNCTION("""COMPUTED_VALUE"""),"Total")</f>
        <v>Total</v>
      </c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</row>
    <row r="37">
      <c r="A37" s="172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</row>
    <row r="38">
      <c r="A38" s="172" t="str">
        <f>IFERROR(__xludf.DUMMYFUNCTION("""COMPUTED_VALUE"""),"CLNR/FRU SKUs. Same Base as Pristine")</f>
        <v>CLNR/FRU SKUs. Same Base as Pristine</v>
      </c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</row>
    <row r="39">
      <c r="A39" s="172" t="str">
        <f>IFERROR(__xludf.DUMMYFUNCTION("""COMPUTED_VALUE"""),"Project")</f>
        <v>Project</v>
      </c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</row>
    <row r="40">
      <c r="A40" s="172" t="str">
        <f>IFERROR(__xludf.DUMMYFUNCTION("""COMPUTED_VALUE"""),"Memory")</f>
        <v>Memory</v>
      </c>
      <c r="B40" s="182"/>
      <c r="C40" s="182"/>
      <c r="D40" s="182"/>
      <c r="E40" s="182" t="str">
        <f>IFERROR(__xludf.DUMMYFUNCTION("""COMPUTED_VALUE"""),"128GB")</f>
        <v>128GB</v>
      </c>
      <c r="F40" s="182"/>
      <c r="G40" s="182"/>
      <c r="H40" s="182"/>
      <c r="I40" s="182" t="str">
        <f>IFERROR(__xludf.DUMMYFUNCTION("""COMPUTED_VALUE"""),"256GB")</f>
        <v>256GB</v>
      </c>
      <c r="J40" s="182"/>
      <c r="K40" s="182"/>
      <c r="L40" s="182"/>
      <c r="M40" s="182" t="str">
        <f>IFERROR(__xludf.DUMMYFUNCTION("""COMPUTED_VALUE"""),"512GB")</f>
        <v>512GB</v>
      </c>
      <c r="N40" s="182"/>
      <c r="O40" s="182"/>
      <c r="P40" s="182"/>
    </row>
    <row r="41">
      <c r="A41" s="172" t="str">
        <f>IFERROR(__xludf.DUMMYFUNCTION("""COMPUTED_VALUE"""),"Color")</f>
        <v>Color</v>
      </c>
      <c r="B41" s="182"/>
      <c r="C41" s="182" t="str">
        <f>IFERROR(__xludf.DUMMYFUNCTION("""COMPUTED_VALUE"""),"RF")</f>
        <v>RF</v>
      </c>
      <c r="D41" s="182" t="str">
        <f>IFERROR(__xludf.DUMMYFUNCTION("""COMPUTED_VALUE"""),"Model Number")</f>
        <v>Model Number</v>
      </c>
      <c r="E41" s="182" t="str">
        <f>IFERROR(__xludf.DUMMYFUNCTION("""COMPUTED_VALUE"""),"CLR1")</f>
        <v>CLR1</v>
      </c>
      <c r="F41" s="182" t="str">
        <f>IFERROR(__xludf.DUMMYFUNCTION("""COMPUTED_VALUE"""),"CLR2")</f>
        <v>CLR2</v>
      </c>
      <c r="G41" s="182" t="str">
        <f>IFERROR(__xludf.DUMMYFUNCTION("""COMPUTED_VALUE"""),"CLR3")</f>
        <v>CLR3</v>
      </c>
      <c r="H41" s="182" t="str">
        <f>IFERROR(__xludf.DUMMYFUNCTION("""COMPUTED_VALUE"""),"CLR4")</f>
        <v>CLR4</v>
      </c>
      <c r="I41" s="182" t="str">
        <f>IFERROR(__xludf.DUMMYFUNCTION("""COMPUTED_VALUE"""),"CLR1")</f>
        <v>CLR1</v>
      </c>
      <c r="J41" s="182" t="str">
        <f>IFERROR(__xludf.DUMMYFUNCTION("""COMPUTED_VALUE"""),"CLR2")</f>
        <v>CLR2</v>
      </c>
      <c r="K41" s="182" t="str">
        <f>IFERROR(__xludf.DUMMYFUNCTION("""COMPUTED_VALUE"""),"CLR3")</f>
        <v>CLR3</v>
      </c>
      <c r="L41" s="182" t="str">
        <f>IFERROR(__xludf.DUMMYFUNCTION("""COMPUTED_VALUE"""),"CLR4")</f>
        <v>CLR4</v>
      </c>
      <c r="M41" s="182" t="str">
        <f>IFERROR(__xludf.DUMMYFUNCTION("""COMPUTED_VALUE"""),"CLR1")</f>
        <v>CLR1</v>
      </c>
      <c r="N41" s="182" t="str">
        <f>IFERROR(__xludf.DUMMYFUNCTION("""COMPUTED_VALUE"""),"CLR2")</f>
        <v>CLR2</v>
      </c>
      <c r="O41" s="182" t="str">
        <f>IFERROR(__xludf.DUMMYFUNCTION("""COMPUTED_VALUE"""),"CLR3")</f>
        <v>CLR3</v>
      </c>
      <c r="P41" s="182" t="str">
        <f>IFERROR(__xludf.DUMMYFUNCTION("""COMPUTED_VALUE"""),"CLR4")</f>
        <v>CLR4</v>
      </c>
    </row>
    <row r="42">
      <c r="A42" s="172" t="str">
        <f>IFERROR(__xludf.DUMMYFUNCTION("""COMPUTED_VALUE"""),"US-VZW ")</f>
        <v>US-VZW </v>
      </c>
      <c r="B42" s="182"/>
      <c r="C42" s="182" t="str">
        <f>IFERROR(__xludf.DUMMYFUNCTION("""COMPUTED_VALUE"""),"MMWAVE")</f>
        <v>MMWAVE</v>
      </c>
      <c r="D42" s="182" t="str">
        <f>IFERROR(__xludf.DUMMYFUNCTION("""COMPUTED_VALUE"""),"G4QUR")</f>
        <v>G4QUR</v>
      </c>
      <c r="E42" s="182" t="str">
        <f>IFERROR(__xludf.DUMMYFUNCTION("""COMPUTED_VALUE""")," CLNRGOGA09187")</f>
        <v> CLNRGOGA09187</v>
      </c>
      <c r="F42" s="182" t="str">
        <f>IFERROR(__xludf.DUMMYFUNCTION("""COMPUTED_VALUE"""),"CLNRGOGA10275")</f>
        <v>CLNRGOGA10275</v>
      </c>
      <c r="G42" s="182" t="str">
        <f>IFERROR(__xludf.DUMMYFUNCTION("""COMPUTED_VALUE"""),"CLNRGOGA10276")</f>
        <v>CLNRGOGA10276</v>
      </c>
      <c r="H42" s="182"/>
      <c r="I42" s="182" t="str">
        <f>IFERROR(__xludf.DUMMYFUNCTION("""COMPUTED_VALUE"""),"CLNRGOGA09896")</f>
        <v>CLNRGOGA09896</v>
      </c>
      <c r="J42" s="182" t="str">
        <f>IFERROR(__xludf.DUMMYFUNCTION("""COMPUTED_VALUE"""),"CLNRGOGA10277")</f>
        <v>CLNRGOGA10277</v>
      </c>
      <c r="K42" s="182" t="str">
        <f>IFERROR(__xludf.DUMMYFUNCTION("""COMPUTED_VALUE"""),"CLNRGOGA10278")</f>
        <v>CLNRGOGA10278</v>
      </c>
      <c r="L42" s="182" t="str">
        <f>IFERROR(__xludf.DUMMYFUNCTION("""COMPUTED_VALUE"""),"CLNRGOGA10279")</f>
        <v>CLNRGOGA10279</v>
      </c>
      <c r="M42" s="182" t="str">
        <f>IFERROR(__xludf.DUMMYFUNCTION("""COMPUTED_VALUE"""),"CLNRGOGA09905")</f>
        <v>CLNRGOGA09905</v>
      </c>
      <c r="N42" s="182" t="str">
        <f>IFERROR(__xludf.DUMMYFUNCTION("""COMPUTED_VALUE"""),"CLNRGOGA10280")</f>
        <v>CLNRGOGA10280</v>
      </c>
      <c r="O42" s="182" t="str">
        <f>IFERROR(__xludf.DUMMYFUNCTION("""COMPUTED_VALUE"""),"CLNRGOGA10281")</f>
        <v>CLNRGOGA10281</v>
      </c>
      <c r="P42" s="182" t="str">
        <f>IFERROR(__xludf.DUMMYFUNCTION("""COMPUTED_VALUE"""),"CLNRGOGA10282")</f>
        <v>CLNRGOGA10282</v>
      </c>
    </row>
    <row r="43">
      <c r="A43" s="172" t="str">
        <f>IFERROR(__xludf.DUMMYFUNCTION("""COMPUTED_VALUE"""),"US - AT&amp;T ")</f>
        <v>US - AT&amp;T </v>
      </c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</row>
    <row r="44">
      <c r="A44" s="172" t="str">
        <f>IFERROR(__xludf.DUMMYFUNCTION("""COMPUTED_VALUE"""),"US - Tmobile ")</f>
        <v>US - Tmobile </v>
      </c>
      <c r="B44" s="182"/>
      <c r="C44" s="182" t="str">
        <f>IFERROR(__xludf.DUMMYFUNCTION("""COMPUTED_VALUE"""),"MMWAVE")</f>
        <v>MMWAVE</v>
      </c>
      <c r="D44" s="182" t="str">
        <f>IFERROR(__xludf.DUMMYFUNCTION("""COMPUTED_VALUE"""),"G4QUR")</f>
        <v>G4QUR</v>
      </c>
      <c r="E44" s="182" t="str">
        <f>IFERROR(__xludf.DUMMYFUNCTION("""COMPUTED_VALUE"""),"CLNRGA09886")</f>
        <v>CLNRGA09886</v>
      </c>
      <c r="F44" s="182" t="str">
        <f>IFERROR(__xludf.DUMMYFUNCTION("""COMPUTED_VALUE"""),"CLNRGA10293")</f>
        <v>CLNRGA10293</v>
      </c>
      <c r="G44" s="182" t="str">
        <f>IFERROR(__xludf.DUMMYFUNCTION("""COMPUTED_VALUE"""),"CLNRGA10294")</f>
        <v>CLNRGA10294</v>
      </c>
      <c r="H44" s="182"/>
      <c r="I44" s="182" t="str">
        <f>IFERROR(__xludf.DUMMYFUNCTION("""COMPUTED_VALUE"""),"CLNRGA09898")</f>
        <v>CLNRGA09898</v>
      </c>
      <c r="J44" s="182" t="str">
        <f>IFERROR(__xludf.DUMMYFUNCTION("""COMPUTED_VALUE"""),"CLNRGA10295")</f>
        <v>CLNRGA10295</v>
      </c>
      <c r="K44" s="182" t="str">
        <f>IFERROR(__xludf.DUMMYFUNCTION("""COMPUTED_VALUE"""),"CLNRGA10296")</f>
        <v>CLNRGA10296</v>
      </c>
      <c r="L44" s="182" t="str">
        <f>IFERROR(__xludf.DUMMYFUNCTION("""COMPUTED_VALUE"""),"CLNRGA10297")</f>
        <v>CLNRGA10297</v>
      </c>
      <c r="M44" s="182" t="str">
        <f>IFERROR(__xludf.DUMMYFUNCTION("""COMPUTED_VALUE"""),"CLNRGA09907")</f>
        <v>CLNRGA09907</v>
      </c>
      <c r="N44" s="182" t="str">
        <f>IFERROR(__xludf.DUMMYFUNCTION("""COMPUTED_VALUE"""),"CLNRGA10298")</f>
        <v>CLNRGA10298</v>
      </c>
      <c r="O44" s="182" t="str">
        <f>IFERROR(__xludf.DUMMYFUNCTION("""COMPUTED_VALUE"""),"CLNRGA10299")</f>
        <v>CLNRGA10299</v>
      </c>
      <c r="P44" s="182" t="str">
        <f>IFERROR(__xludf.DUMMYFUNCTION("""COMPUTED_VALUE"""),"CLNRGA10300")</f>
        <v>CLNRGA10300</v>
      </c>
    </row>
    <row r="45">
      <c r="A45" s="172" t="str">
        <f>IFERROR(__xludf.DUMMYFUNCTION("""COMPUTED_VALUE"""),"US GStore ")</f>
        <v>US GStore </v>
      </c>
      <c r="B45" s="182"/>
      <c r="C45" s="182" t="str">
        <f>IFERROR(__xludf.DUMMYFUNCTION("""COMPUTED_VALUE"""),"MMWAVE")</f>
        <v>MMWAVE</v>
      </c>
      <c r="D45" s="182" t="str">
        <f>IFERROR(__xludf.DUMMYFUNCTION("""COMPUTED_VALUE"""),"G4QUR")</f>
        <v>G4QUR</v>
      </c>
      <c r="E45" s="185" t="str">
        <f>IFERROR(__xludf.DUMMYFUNCTION("""COMPUTED_VALUE"""),"CLNRGA10490")</f>
        <v>CLNRGA10490</v>
      </c>
      <c r="F45" s="185" t="str">
        <f>IFERROR(__xludf.DUMMYFUNCTION("""COMPUTED_VALUE"""),"CLNRGA10491")</f>
        <v>CLNRGA10491</v>
      </c>
      <c r="G45" s="185" t="str">
        <f>IFERROR(__xludf.DUMMYFUNCTION("""COMPUTED_VALUE"""),"CLNRGA10492")</f>
        <v>CLNRGA10492</v>
      </c>
      <c r="H45" s="182"/>
      <c r="I45" s="185" t="str">
        <f>IFERROR(__xludf.DUMMYFUNCTION("""COMPUTED_VALUE"""),"CLNRGA10493")</f>
        <v>CLNRGA10493</v>
      </c>
      <c r="J45" s="185" t="str">
        <f>IFERROR(__xludf.DUMMYFUNCTION("""COMPUTED_VALUE"""),"CLNRGA10494")</f>
        <v>CLNRGA10494</v>
      </c>
      <c r="K45" s="185" t="str">
        <f>IFERROR(__xludf.DUMMYFUNCTION("""COMPUTED_VALUE"""),"CLNRGA10495")</f>
        <v>CLNRGA10495</v>
      </c>
      <c r="L45" s="185" t="str">
        <f>IFERROR(__xludf.DUMMYFUNCTION("""COMPUTED_VALUE"""),"CLNRGA10496")</f>
        <v>CLNRGA10496</v>
      </c>
      <c r="M45" s="185" t="str">
        <f>IFERROR(__xludf.DUMMYFUNCTION("""COMPUTED_VALUE"""),"CLNRGA10497")</f>
        <v>CLNRGA10497</v>
      </c>
      <c r="N45" s="185" t="str">
        <f>IFERROR(__xludf.DUMMYFUNCTION("""COMPUTED_VALUE"""),"CLNRGA10498")</f>
        <v>CLNRGA10498</v>
      </c>
      <c r="O45" s="185" t="str">
        <f>IFERROR(__xludf.DUMMYFUNCTION("""COMPUTED_VALUE"""),"CLNRGA10499")</f>
        <v>CLNRGA10499</v>
      </c>
      <c r="P45" s="185" t="str">
        <f>IFERROR(__xludf.DUMMYFUNCTION("""COMPUTED_VALUE"""),"CLNRGA10500")</f>
        <v>CLNRGA10500</v>
      </c>
    </row>
    <row r="46">
      <c r="A46" s="172" t="str">
        <f>IFERROR(__xludf.DUMMYFUNCTION("""COMPUTED_VALUE"""),"JP ")</f>
        <v>JP </v>
      </c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</row>
    <row r="47">
      <c r="A47" s="172" t="str">
        <f>IFERROR(__xludf.DUMMYFUNCTION("""COMPUTED_VALUE"""),"CA/TW/SG/MY/AU/MX")</f>
        <v>CA/TW/SG/MY/AU/MX</v>
      </c>
      <c r="B47" s="182"/>
      <c r="C47" s="182" t="str">
        <f>IFERROR(__xludf.DUMMYFUNCTION("""COMPUTED_VALUE"""),"SUB6")</f>
        <v>SUB6</v>
      </c>
      <c r="D47" s="182" t="str">
        <f>IFERROR(__xludf.DUMMYFUNCTION("""COMPUTED_VALUE"""),"GEHN3")</f>
        <v>GEHN3</v>
      </c>
      <c r="E47" s="182" t="str">
        <f>IFERROR(__xludf.DUMMYFUNCTION("""COMPUTED_VALUE"""),"CLNRGA09601")</f>
        <v>CLNRGA09601</v>
      </c>
      <c r="F47" s="182" t="str">
        <f>IFERROR(__xludf.DUMMYFUNCTION("""COMPUTED_VALUE"""),"CLNRGA10312")</f>
        <v>CLNRGA10312</v>
      </c>
      <c r="G47" s="182" t="str">
        <f>IFERROR(__xludf.DUMMYFUNCTION("""COMPUTED_VALUE"""),"CLNRGA10313")</f>
        <v>CLNRGA10313</v>
      </c>
      <c r="H47" s="182"/>
      <c r="I47" s="182" t="str">
        <f>IFERROR(__xludf.DUMMYFUNCTION("""COMPUTED_VALUE"""),"CLNRGA09900")</f>
        <v>CLNRGA09900</v>
      </c>
      <c r="J47" s="182" t="str">
        <f>IFERROR(__xludf.DUMMYFUNCTION("""COMPUTED_VALUE"""),"CLNRGA10314")</f>
        <v>CLNRGA10314</v>
      </c>
      <c r="K47" s="182" t="str">
        <f>IFERROR(__xludf.DUMMYFUNCTION("""COMPUTED_VALUE"""),"CLNRGA10315")</f>
        <v>CLNRGA10315</v>
      </c>
      <c r="L47" s="182" t="str">
        <f>IFERROR(__xludf.DUMMYFUNCTION("""COMPUTED_VALUE"""),"CLNRGA10316")</f>
        <v>CLNRGA10316</v>
      </c>
      <c r="M47" s="182" t="str">
        <f>IFERROR(__xludf.DUMMYFUNCTION("""COMPUTED_VALUE"""),"CLNRGA09909")</f>
        <v>CLNRGA09909</v>
      </c>
      <c r="N47" s="182" t="str">
        <f>IFERROR(__xludf.DUMMYFUNCTION("""COMPUTED_VALUE"""),"CLNRGA10317")</f>
        <v>CLNRGA10317</v>
      </c>
      <c r="O47" s="182" t="str">
        <f>IFERROR(__xludf.DUMMYFUNCTION("""COMPUTED_VALUE"""),"CLNRGA10318")</f>
        <v>CLNRGA10318</v>
      </c>
      <c r="P47" s="182" t="str">
        <f>IFERROR(__xludf.DUMMYFUNCTION("""COMPUTED_VALUE"""),"CLNRGA10319")</f>
        <v>CLNRGA10319</v>
      </c>
    </row>
    <row r="48">
      <c r="A48" s="17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B48" s="182"/>
      <c r="C48" s="182" t="str">
        <f>IFERROR(__xludf.DUMMYFUNCTION("""COMPUTED_VALUE"""),"SUB6")</f>
        <v>SUB6</v>
      </c>
      <c r="D48" s="182" t="str">
        <f>IFERROR(__xludf.DUMMYFUNCTION("""COMPUTED_VALUE"""),"GEHN3")</f>
        <v>GEHN3</v>
      </c>
      <c r="E48" s="185" t="str">
        <f>IFERROR(__xludf.DUMMYFUNCTION("""COMPUTED_VALUE"""),"CLNRGA10502")</f>
        <v>CLNRGA10502</v>
      </c>
      <c r="F48" s="185" t="str">
        <f>IFERROR(__xludf.DUMMYFUNCTION("""COMPUTED_VALUE"""),"CLNRGA10503")</f>
        <v>CLNRGA10503</v>
      </c>
      <c r="G48" s="185" t="str">
        <f>IFERROR(__xludf.DUMMYFUNCTION("""COMPUTED_VALUE"""),"CLNRGA10504")</f>
        <v>CLNRGA10504</v>
      </c>
      <c r="H48" s="182"/>
      <c r="I48" s="185" t="str">
        <f>IFERROR(__xludf.DUMMYFUNCTION("""COMPUTED_VALUE"""),"CLNRGA10505")</f>
        <v>CLNRGA10505</v>
      </c>
      <c r="J48" s="185" t="str">
        <f>IFERROR(__xludf.DUMMYFUNCTION("""COMPUTED_VALUE"""),"CLNRGA10506")</f>
        <v>CLNRGA10506</v>
      </c>
      <c r="K48" s="185" t="str">
        <f>IFERROR(__xludf.DUMMYFUNCTION("""COMPUTED_VALUE"""),"CLNRGA10507")</f>
        <v>CLNRGA10507</v>
      </c>
      <c r="L48" s="185" t="str">
        <f>IFERROR(__xludf.DUMMYFUNCTION("""COMPUTED_VALUE"""),"CLNRGA10508")</f>
        <v>CLNRGA10508</v>
      </c>
      <c r="M48" s="185" t="str">
        <f>IFERROR(__xludf.DUMMYFUNCTION("""COMPUTED_VALUE"""),"CLNRGA10509")</f>
        <v>CLNRGA10509</v>
      </c>
      <c r="N48" s="185" t="str">
        <f>IFERROR(__xludf.DUMMYFUNCTION("""COMPUTED_VALUE"""),"CLNRGA10510")</f>
        <v>CLNRGA10510</v>
      </c>
      <c r="O48" s="185" t="str">
        <f>IFERROR(__xludf.DUMMYFUNCTION("""COMPUTED_VALUE"""),"CLNRGA10511")</f>
        <v>CLNRGA10511</v>
      </c>
      <c r="P48" s="185" t="str">
        <f>IFERROR(__xludf.DUMMYFUNCTION("""COMPUTED_VALUE"""),"CLNRGA10512")</f>
        <v>CLNRGA10512</v>
      </c>
    </row>
    <row r="49">
      <c r="A49" s="172" t="str">
        <f>IFERROR(__xludf.DUMMYFUNCTION("""COMPUTED_VALUE"""),"IN ")</f>
        <v>IN </v>
      </c>
      <c r="B49" s="182"/>
      <c r="C49" s="182" t="str">
        <f>IFERROR(__xludf.DUMMYFUNCTION("""COMPUTED_VALUE"""),"SUB6")</f>
        <v>SUB6</v>
      </c>
      <c r="D49" s="182" t="str">
        <f>IFERROR(__xludf.DUMMYFUNCTION("""COMPUTED_VALUE"""),"GEHN3")</f>
        <v>GEHN3</v>
      </c>
      <c r="E49" s="182"/>
      <c r="F49" s="182"/>
      <c r="G49" s="182"/>
      <c r="H49" s="182"/>
      <c r="I49" s="185" t="str">
        <f>IFERROR(__xludf.DUMMYFUNCTION("""COMPUTED_VALUE"""),"CLNRGA10515")</f>
        <v>CLNRGA10515</v>
      </c>
      <c r="J49" s="185" t="str">
        <f>IFERROR(__xludf.DUMMYFUNCTION("""COMPUTED_VALUE"""),"CLNRGA10516")</f>
        <v>CLNRGA10516</v>
      </c>
      <c r="K49" s="185" t="str">
        <f>IFERROR(__xludf.DUMMYFUNCTION("""COMPUTED_VALUE"""),"CLNRGA10517")</f>
        <v>CLNRGA10517</v>
      </c>
      <c r="L49" s="185" t="str">
        <f>IFERROR(__xludf.DUMMYFUNCTION("""COMPUTED_VALUE"""),"CLNRGA10518")</f>
        <v>CLNRGA10518</v>
      </c>
      <c r="M49" s="185" t="str">
        <f>IFERROR(__xludf.DUMMYFUNCTION("""COMPUTED_VALUE"""),"CLNRGA10519")</f>
        <v>CLNRGA10519</v>
      </c>
      <c r="N49" s="185" t="str">
        <f>IFERROR(__xludf.DUMMYFUNCTION("""COMPUTED_VALUE"""),"CLNRGA10520")</f>
        <v>CLNRGA10520</v>
      </c>
      <c r="O49" s="185" t="str">
        <f>IFERROR(__xludf.DUMMYFUNCTION("""COMPUTED_VALUE"""),"CLNRGA10521")</f>
        <v>CLNRGA10521</v>
      </c>
      <c r="P49" s="185" t="str">
        <f>IFERROR(__xludf.DUMMYFUNCTION("""COMPUTED_VALUE"""),"CLNRGA10522")</f>
        <v>CLNRGA10522</v>
      </c>
    </row>
    <row r="50">
      <c r="A50" s="172" t="str">
        <f>IFERROR(__xludf.DUMMYFUNCTION("""COMPUTED_VALUE"""),"JP ")</f>
        <v>JP </v>
      </c>
      <c r="B50" s="182"/>
      <c r="C50" s="182" t="str">
        <f>IFERROR(__xludf.DUMMYFUNCTION("""COMPUTED_VALUE"""),"SUB6")</f>
        <v>SUB6</v>
      </c>
      <c r="D50" s="182" t="str">
        <f>IFERROR(__xludf.DUMMYFUNCTION("""COMPUTED_VALUE"""),"GN4F5")</f>
        <v>GN4F5</v>
      </c>
      <c r="E50" s="185" t="str">
        <f>IFERROR(__xludf.DUMMYFUNCTION("""COMPUTED_VALUE"""),"CLNRGA10525")</f>
        <v>CLNRGA10525</v>
      </c>
      <c r="F50" s="185" t="str">
        <f>IFERROR(__xludf.DUMMYFUNCTION("""COMPUTED_VALUE"""),"CLNRGA10526")</f>
        <v>CLNRGA10526</v>
      </c>
      <c r="G50" s="185" t="str">
        <f>IFERROR(__xludf.DUMMYFUNCTION("""COMPUTED_VALUE"""),"CLNRGA10527")</f>
        <v>CLNRGA10527</v>
      </c>
      <c r="H50" s="182"/>
      <c r="I50" s="185" t="str">
        <f>IFERROR(__xludf.DUMMYFUNCTION("""COMPUTED_VALUE"""),"CLNRGA10528")</f>
        <v>CLNRGA10528</v>
      </c>
      <c r="J50" s="185" t="str">
        <f>IFERROR(__xludf.DUMMYFUNCTION("""COMPUTED_VALUE"""),"CLNRGA10529")</f>
        <v>CLNRGA10529</v>
      </c>
      <c r="K50" s="185" t="str">
        <f>IFERROR(__xludf.DUMMYFUNCTION("""COMPUTED_VALUE"""),"CLNRGA10530")</f>
        <v>CLNRGA10530</v>
      </c>
      <c r="L50" s="185" t="str">
        <f>IFERROR(__xludf.DUMMYFUNCTION("""COMPUTED_VALUE"""),"CLNRGA10531")</f>
        <v>CLNRGA10531</v>
      </c>
      <c r="M50" s="185" t="str">
        <f>IFERROR(__xludf.DUMMYFUNCTION("""COMPUTED_VALUE"""),"CLNRGA10532")</f>
        <v>CLNRGA10532</v>
      </c>
      <c r="N50" s="185" t="str">
        <f>IFERROR(__xludf.DUMMYFUNCTION("""COMPUTED_VALUE"""),"CLNRGA10533")</f>
        <v>CLNRGA10533</v>
      </c>
      <c r="O50" s="185" t="str">
        <f>IFERROR(__xludf.DUMMYFUNCTION("""COMPUTED_VALUE"""),"CLNRGA10534")</f>
        <v>CLNRGA10534</v>
      </c>
      <c r="P50" s="185" t="str">
        <f>IFERROR(__xludf.DUMMYFUNCTION("""COMPUTED_VALUE"""),"CLNRGA10535")</f>
        <v>CLNRGA10535</v>
      </c>
    </row>
    <row r="51">
      <c r="A51" s="172" t="str">
        <f>IFERROR(__xludf.DUMMYFUNCTION("""COMPUTED_VALUE"""),"Total")</f>
        <v>Total</v>
      </c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</row>
    <row r="52">
      <c r="A52" s="172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</row>
    <row r="53">
      <c r="A53" s="172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</row>
    <row r="54">
      <c r="A54" s="172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</row>
    <row r="55">
      <c r="A55" s="172" t="str">
        <f>IFERROR(__xludf.DUMMYFUNCTION("""COMPUTED_VALUE"""),"Quality NCU -Q (Corp ENG)")</f>
        <v>Quality NCU -Q (Corp ENG)</v>
      </c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</row>
    <row r="56">
      <c r="A56" s="172" t="str">
        <f>IFERROR(__xludf.DUMMYFUNCTION("""COMPUTED_VALUE"""),"Project")</f>
        <v>Project</v>
      </c>
      <c r="B56" s="182"/>
      <c r="C56" s="182"/>
      <c r="D56" s="182"/>
      <c r="E56" s="182" t="str">
        <f>IFERROR(__xludf.DUMMYFUNCTION("""COMPUTED_VALUE"""),"128GB")</f>
        <v>128GB</v>
      </c>
      <c r="F56" s="182"/>
      <c r="G56" s="182"/>
      <c r="H56" s="182" t="str">
        <f>IFERROR(__xludf.DUMMYFUNCTION("""COMPUTED_VALUE"""),"256GB")</f>
        <v>256GB</v>
      </c>
      <c r="I56" s="182"/>
      <c r="J56" s="182"/>
      <c r="K56" s="182"/>
      <c r="L56" s="182"/>
      <c r="M56" s="182"/>
      <c r="N56" s="182"/>
      <c r="O56" s="182"/>
      <c r="P56" s="182"/>
    </row>
    <row r="57">
      <c r="A57" s="172" t="str">
        <f>IFERROR(__xludf.DUMMYFUNCTION("""COMPUTED_VALUE"""),"Memory")</f>
        <v>Memory</v>
      </c>
      <c r="B57" s="182"/>
      <c r="C57" s="182"/>
      <c r="D57" s="182"/>
      <c r="E57" s="182" t="str">
        <f>IFERROR(__xludf.DUMMYFUNCTION("""COMPUTED_VALUE"""),"CLR1")</f>
        <v>CLR1</v>
      </c>
      <c r="F57" s="182" t="str">
        <f>IFERROR(__xludf.DUMMYFUNCTION("""COMPUTED_VALUE"""),"CLR2")</f>
        <v>CLR2</v>
      </c>
      <c r="G57" s="182" t="str">
        <f>IFERROR(__xludf.DUMMYFUNCTION("""COMPUTED_VALUE"""),"CLR3")</f>
        <v>CLR3</v>
      </c>
      <c r="H57" s="182" t="str">
        <f>IFERROR(__xludf.DUMMYFUNCTION("""COMPUTED_VALUE"""),"CLR1")</f>
        <v>CLR1</v>
      </c>
      <c r="I57" s="182" t="str">
        <f>IFERROR(__xludf.DUMMYFUNCTION("""COMPUTED_VALUE"""),"CLR2")</f>
        <v>CLR2</v>
      </c>
      <c r="J57" s="182" t="str">
        <f>IFERROR(__xludf.DUMMYFUNCTION("""COMPUTED_VALUE"""),"CLR3")</f>
        <v>CLR3</v>
      </c>
      <c r="K57" s="182" t="str">
        <f>IFERROR(__xludf.DUMMYFUNCTION("""COMPUTED_VALUE"""),"TAC")</f>
        <v>TAC</v>
      </c>
      <c r="L57" s="182"/>
      <c r="M57" s="182"/>
      <c r="N57" s="182"/>
      <c r="O57" s="182"/>
      <c r="P57" s="182"/>
    </row>
    <row r="58">
      <c r="A58" s="172" t="str">
        <f>IFERROR(__xludf.DUMMYFUNCTION("""COMPUTED_VALUE"""),"Color")</f>
        <v>Color</v>
      </c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</row>
    <row r="59">
      <c r="A59" s="172" t="str">
        <f>IFERROR(__xludf.DUMMYFUNCTION("""COMPUTED_VALUE"""),"US-VZW ")</f>
        <v>US-VZW </v>
      </c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</row>
    <row r="60">
      <c r="A60" s="172" t="str">
        <f>IFERROR(__xludf.DUMMYFUNCTION("""COMPUTED_VALUE"""),"US - AT&amp;T ")</f>
        <v>US - AT&amp;T </v>
      </c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</row>
    <row r="61">
      <c r="A61" s="172" t="str">
        <f>IFERROR(__xludf.DUMMYFUNCTION("""COMPUTED_VALUE"""),"US - Fi")</f>
        <v>US - Fi</v>
      </c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</row>
    <row r="62">
      <c r="A62" s="172" t="str">
        <f>IFERROR(__xludf.DUMMYFUNCTION("""COMPUTED_VALUE"""),"US- T-Mobile/Sprint")</f>
        <v>US- T-Mobile/Sprint</v>
      </c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</row>
    <row r="63">
      <c r="A63" s="172" t="str">
        <f>IFERROR(__xludf.DUMMYFUNCTION("""COMPUTED_VALUE"""),"US GStore/CA/TW")</f>
        <v>US GStore/CA/TW</v>
      </c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</row>
    <row r="64">
      <c r="A64" s="172" t="str">
        <f>IFERROR(__xludf.DUMMYFUNCTION("""COMPUTED_VALUE"""),"UK/SG")</f>
        <v>UK/SG</v>
      </c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</row>
    <row r="65">
      <c r="A65" s="172" t="str">
        <f>IFERROR(__xludf.DUMMYFUNCTION("""COMPUTED_VALUE"""),"DE")</f>
        <v>DE</v>
      </c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</row>
    <row r="66">
      <c r="A66" s="172" t="str">
        <f>IFERROR(__xludf.DUMMYFUNCTION("""COMPUTED_VALUE"""),"FR")</f>
        <v>FR</v>
      </c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</row>
    <row r="67">
      <c r="A67" s="172" t="str">
        <f>IFERROR(__xludf.DUMMYFUNCTION("""COMPUTED_VALUE"""),"AU")</f>
        <v>AU</v>
      </c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</row>
    <row r="68">
      <c r="A68" s="172" t="str">
        <f>IFERROR(__xludf.DUMMYFUNCTION("""COMPUTED_VALUE"""),"JP")</f>
        <v>JP</v>
      </c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</row>
    <row r="69">
      <c r="A69" s="172" t="str">
        <f>IFERROR(__xludf.DUMMYFUNCTION("""COMPUTED_VALUE"""),"Total")</f>
        <v>Total</v>
      </c>
      <c r="B69" s="182"/>
      <c r="C69" s="182"/>
      <c r="D69" s="182"/>
      <c r="E69" s="182" t="str">
        <f>IFERROR(__xludf.DUMMYFUNCTION("""COMPUTED_VALUE"""),"Total # of SKU's ")</f>
        <v>Total # of SKU's </v>
      </c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</row>
    <row r="70">
      <c r="A70" s="172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</row>
    <row r="71">
      <c r="A71" s="172" t="str">
        <f>IFERROR(__xludf.DUMMYFUNCTION("""COMPUTED_VALUE"""),"Press ")</f>
        <v>Press 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</row>
    <row r="72">
      <c r="A72" s="172" t="str">
        <f>IFERROR(__xludf.DUMMYFUNCTION("""COMPUTED_VALUE"""),"Project")</f>
        <v>Project</v>
      </c>
      <c r="B72" s="182"/>
      <c r="C72" s="182" t="str">
        <f>IFERROR(__xludf.DUMMYFUNCTION("""COMPUTED_VALUE"""),"RF")</f>
        <v>RF</v>
      </c>
      <c r="D72" s="182" t="str">
        <f>IFERROR(__xludf.DUMMYFUNCTION("""COMPUTED_VALUE"""),"128GB")</f>
        <v>128GB</v>
      </c>
      <c r="E72" s="182"/>
      <c r="F72" s="182"/>
      <c r="G72" s="182"/>
      <c r="H72" s="182" t="str">
        <f>IFERROR(__xludf.DUMMYFUNCTION("""COMPUTED_VALUE"""),"256GB")</f>
        <v>256GB</v>
      </c>
      <c r="I72" s="182"/>
      <c r="J72" s="182"/>
      <c r="K72" s="182"/>
      <c r="L72" s="182"/>
      <c r="M72" s="182"/>
      <c r="N72" s="182"/>
      <c r="O72" s="182"/>
      <c r="P72" s="182"/>
    </row>
    <row r="73">
      <c r="A73" s="172" t="str">
        <f>IFERROR(__xludf.DUMMYFUNCTION("""COMPUTED_VALUE"""),"Color")</f>
        <v>Color</v>
      </c>
      <c r="B73" s="182"/>
      <c r="C73" s="182"/>
      <c r="D73" s="182" t="str">
        <f>IFERROR(__xludf.DUMMYFUNCTION("""COMPUTED_VALUE"""),"CLR1")</f>
        <v>CLR1</v>
      </c>
      <c r="E73" s="182" t="str">
        <f>IFERROR(__xludf.DUMMYFUNCTION("""COMPUTED_VALUE"""),"CLR2")</f>
        <v>CLR2</v>
      </c>
      <c r="F73" s="182" t="str">
        <f>IFERROR(__xludf.DUMMYFUNCTION("""COMPUTED_VALUE"""),"CLR3")</f>
        <v>CLR3</v>
      </c>
      <c r="G73" s="182" t="str">
        <f>IFERROR(__xludf.DUMMYFUNCTION("""COMPUTED_VALUE"""),"CLR4")</f>
        <v>CLR4</v>
      </c>
      <c r="H73" s="182" t="str">
        <f>IFERROR(__xludf.DUMMYFUNCTION("""COMPUTED_VALUE"""),"CLR1")</f>
        <v>CLR1</v>
      </c>
      <c r="I73" s="182" t="str">
        <f>IFERROR(__xludf.DUMMYFUNCTION("""COMPUTED_VALUE"""),"CLR2")</f>
        <v>CLR2</v>
      </c>
      <c r="J73" s="182" t="str">
        <f>IFERROR(__xludf.DUMMYFUNCTION("""COMPUTED_VALUE"""),"CLR3")</f>
        <v>CLR3</v>
      </c>
      <c r="K73" s="182" t="str">
        <f>IFERROR(__xludf.DUMMYFUNCTION("""COMPUTED_VALUE"""),"CLR4")</f>
        <v>CLR4</v>
      </c>
      <c r="L73" s="182"/>
      <c r="M73" s="182"/>
      <c r="N73" s="182"/>
      <c r="O73" s="182"/>
      <c r="P73" s="182"/>
    </row>
    <row r="74">
      <c r="A74" s="172" t="str">
        <f>IFERROR(__xludf.DUMMYFUNCTION("""COMPUTED_VALUE"""),"US GSTORE")</f>
        <v>US GSTORE</v>
      </c>
      <c r="B74" s="182"/>
      <c r="C74" s="182" t="str">
        <f>IFERROR(__xludf.DUMMYFUNCTION("""COMPUTED_VALUE"""),"SUB6")</f>
        <v>SUB6</v>
      </c>
      <c r="D74" s="182" t="str">
        <f>IFERROR(__xludf.DUMMYFUNCTION("""COMPUTED_VALUE"""),"GA10796-US-N")</f>
        <v>GA10796-US-N</v>
      </c>
      <c r="E74" s="182" t="str">
        <f>IFERROR(__xludf.DUMMYFUNCTION("""COMPUTED_VALUE"""),"GA10797-US-N")</f>
        <v>GA10797-US-N</v>
      </c>
      <c r="F74" s="182" t="str">
        <f>IFERROR(__xludf.DUMMYFUNCTION("""COMPUTED_VALUE"""),"GA10798-US-N")</f>
        <v>GA10798-US-N</v>
      </c>
      <c r="G74" s="182"/>
      <c r="H74" s="182"/>
      <c r="I74" s="182"/>
      <c r="J74" s="182"/>
      <c r="K74" s="182" t="str">
        <f>IFERROR(__xludf.DUMMYFUNCTION("""COMPUTED_VALUE"""),"GA10803-US-N")</f>
        <v>GA10803-US-N</v>
      </c>
      <c r="L74" s="182"/>
      <c r="M74" s="182"/>
      <c r="N74" s="182"/>
      <c r="O74" s="182"/>
      <c r="P74" s="182"/>
    </row>
    <row r="75">
      <c r="A75" s="172" t="str">
        <f>IFERROR(__xludf.DUMMYFUNCTION("""COMPUTED_VALUE"""),"JP")</f>
        <v>JP</v>
      </c>
      <c r="B75" s="182"/>
      <c r="C75" s="182" t="str">
        <f>IFERROR(__xludf.DUMMYFUNCTION("""COMPUTED_VALUE"""),"SUB6")</f>
        <v>SUB6</v>
      </c>
      <c r="D75" s="182"/>
      <c r="E75" s="182"/>
      <c r="F75" s="182"/>
      <c r="G75" s="182"/>
      <c r="H75" s="182" t="str">
        <f>IFERROR(__xludf.DUMMYFUNCTION("""COMPUTED_VALUE"""),"GA10796-JP-N")</f>
        <v>GA10796-JP-N</v>
      </c>
      <c r="I75" s="182" t="str">
        <f>IFERROR(__xludf.DUMMYFUNCTION("""COMPUTED_VALUE"""),"GA10797-JP-N")</f>
        <v>GA10797-JP-N</v>
      </c>
      <c r="J75" s="182" t="str">
        <f>IFERROR(__xludf.DUMMYFUNCTION("""COMPUTED_VALUE"""),"GA10798-JP-N")</f>
        <v>GA10798-JP-N</v>
      </c>
      <c r="K75" s="182" t="str">
        <f>IFERROR(__xludf.DUMMYFUNCTION("""COMPUTED_VALUE"""),"GA10803-JP-N")</f>
        <v>GA10803-JP-N</v>
      </c>
      <c r="L75" s="182"/>
      <c r="M75" s="182"/>
      <c r="N75" s="182"/>
      <c r="O75" s="182"/>
      <c r="P75" s="182"/>
    </row>
    <row r="76">
      <c r="A76" s="172" t="str">
        <f>IFERROR(__xludf.DUMMYFUNCTION("""COMPUTED_VALUE"""),"CA/TW/SG/AU/MY/MX")</f>
        <v>CA/TW/SG/AU/MY/MX</v>
      </c>
      <c r="B76" s="182"/>
      <c r="C76" s="182" t="str">
        <f>IFERROR(__xludf.DUMMYFUNCTION("""COMPUTED_VALUE"""),"SUB6")</f>
        <v>SUB6</v>
      </c>
      <c r="D76" s="182" t="str">
        <f>IFERROR(__xludf.DUMMYFUNCTION("""COMPUTED_VALUE"""),"GA10796-CA-N")</f>
        <v>GA10796-CA-N</v>
      </c>
      <c r="E76" s="182" t="str">
        <f>IFERROR(__xludf.DUMMYFUNCTION("""COMPUTED_VALUE"""),"GA10797-CA-N")</f>
        <v>GA10797-CA-N</v>
      </c>
      <c r="F76" s="182" t="str">
        <f>IFERROR(__xludf.DUMMYFUNCTION("""COMPUTED_VALUE"""),"GA10798-CA-N")</f>
        <v>GA10798-CA-N</v>
      </c>
      <c r="G76" s="182"/>
      <c r="H76" s="182"/>
      <c r="I76" s="182"/>
      <c r="J76" s="182"/>
      <c r="K76" s="182" t="str">
        <f>IFERROR(__xludf.DUMMYFUNCTION("""COMPUTED_VALUE"""),"GA10803-CA-N")</f>
        <v>GA10803-CA-N</v>
      </c>
      <c r="L76" s="182"/>
      <c r="M76" s="182"/>
      <c r="N76" s="182"/>
      <c r="O76" s="182"/>
      <c r="P76" s="182"/>
    </row>
    <row r="77">
      <c r="A77" s="17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B77" s="182"/>
      <c r="C77" s="182" t="str">
        <f>IFERROR(__xludf.DUMMYFUNCTION("""COMPUTED_VALUE"""),"SUB6")</f>
        <v>SUB6</v>
      </c>
      <c r="D77" s="182" t="str">
        <f>IFERROR(__xludf.DUMMYFUNCTION("""COMPUTED_VALUE"""),"GA10796-GB-N")</f>
        <v>GA10796-GB-N</v>
      </c>
      <c r="E77" s="182" t="str">
        <f>IFERROR(__xludf.DUMMYFUNCTION("""COMPUTED_VALUE"""),"GA10797-GB-N")</f>
        <v>GA10797-GB-N</v>
      </c>
      <c r="F77" s="182" t="str">
        <f>IFERROR(__xludf.DUMMYFUNCTION("""COMPUTED_VALUE"""),"GA10798-GB-N")</f>
        <v>GA10798-GB-N</v>
      </c>
      <c r="G77" s="182"/>
      <c r="H77" s="182"/>
      <c r="I77" s="182"/>
      <c r="J77" s="182"/>
      <c r="K77" s="182" t="str">
        <f>IFERROR(__xludf.DUMMYFUNCTION("""COMPUTED_VALUE"""),"GA10803-GB-N")</f>
        <v>GA10803-GB-N</v>
      </c>
      <c r="L77" s="182"/>
      <c r="M77" s="182"/>
      <c r="N77" s="182"/>
      <c r="O77" s="182"/>
      <c r="P77" s="182"/>
    </row>
    <row r="78">
      <c r="A78" s="172" t="str">
        <f>IFERROR(__xludf.DUMMYFUNCTION("""COMPUTED_VALUE"""),"Total")</f>
        <v>Total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</row>
    <row r="79">
      <c r="A79" s="17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</row>
    <row r="80">
      <c r="A80" s="172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</row>
    <row r="81">
      <c r="A81" s="172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</row>
    <row r="82">
      <c r="A82" s="17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</row>
    <row r="83">
      <c r="A83" s="17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</row>
    <row r="84">
      <c r="A84" s="172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</row>
    <row r="85">
      <c r="A85" s="17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</row>
    <row r="86">
      <c r="A86" s="17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</row>
    <row r="87">
      <c r="A87" s="172" t="str">
        <f>IFERROR(__xludf.DUMMYFUNCTION("""COMPUTED_VALUE"""),"DEMO SKUs")</f>
        <v>DEMO SKUs</v>
      </c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</row>
    <row r="88">
      <c r="A88" s="172" t="str">
        <f>IFERROR(__xludf.DUMMYFUNCTION("""COMPUTED_VALUE"""),"Project")</f>
        <v>Project</v>
      </c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</row>
    <row r="89">
      <c r="A89" s="172" t="str">
        <f>IFERROR(__xludf.DUMMYFUNCTION("""COMPUTED_VALUE"""),"Memory")</f>
        <v>Memory</v>
      </c>
      <c r="B89" s="182"/>
      <c r="C89" s="182"/>
      <c r="D89" s="182" t="str">
        <f>IFERROR(__xludf.DUMMYFUNCTION("""COMPUTED_VALUE"""),"128GB")</f>
        <v>128GB</v>
      </c>
      <c r="E89" s="182"/>
      <c r="F89" s="182"/>
      <c r="G89" s="182"/>
      <c r="H89" s="182" t="str">
        <f>IFERROR(__xludf.DUMMYFUNCTION("""COMPUTED_VALUE"""),"256GB")</f>
        <v>256GB</v>
      </c>
      <c r="I89" s="182"/>
      <c r="J89" s="182"/>
      <c r="K89" s="182"/>
      <c r="L89" s="182"/>
      <c r="M89" s="182"/>
      <c r="N89" s="182"/>
      <c r="O89" s="182"/>
      <c r="P89" s="182"/>
    </row>
    <row r="90">
      <c r="A90" s="172" t="str">
        <f>IFERROR(__xludf.DUMMYFUNCTION("""COMPUTED_VALUE"""),"Color")</f>
        <v>Color</v>
      </c>
      <c r="B90" s="182"/>
      <c r="C90" s="182" t="str">
        <f>IFERROR(__xludf.DUMMYFUNCTION("""COMPUTED_VALUE"""),"RF")</f>
        <v>RF</v>
      </c>
      <c r="D90" s="182" t="str">
        <f>IFERROR(__xludf.DUMMYFUNCTION("""COMPUTED_VALUE"""),"CLR1")</f>
        <v>CLR1</v>
      </c>
      <c r="E90" s="182" t="str">
        <f>IFERROR(__xludf.DUMMYFUNCTION("""COMPUTED_VALUE"""),"CLR2")</f>
        <v>CLR2</v>
      </c>
      <c r="F90" s="182" t="str">
        <f>IFERROR(__xludf.DUMMYFUNCTION("""COMPUTED_VALUE"""),"CLR3")</f>
        <v>CLR3</v>
      </c>
      <c r="G90" s="182" t="str">
        <f>IFERROR(__xludf.DUMMYFUNCTION("""COMPUTED_VALUE"""),"CLR4")</f>
        <v>CLR4</v>
      </c>
      <c r="H90" s="182" t="str">
        <f>IFERROR(__xludf.DUMMYFUNCTION("""COMPUTED_VALUE"""),"CLR1")</f>
        <v>CLR1</v>
      </c>
      <c r="I90" s="182" t="str">
        <f>IFERROR(__xludf.DUMMYFUNCTION("""COMPUTED_VALUE"""),"CLR2")</f>
        <v>CLR2</v>
      </c>
      <c r="J90" s="182" t="str">
        <f>IFERROR(__xludf.DUMMYFUNCTION("""COMPUTED_VALUE"""),"CLR3")</f>
        <v>CLR3</v>
      </c>
      <c r="K90" s="182" t="str">
        <f>IFERROR(__xludf.DUMMYFUNCTION("""COMPUTED_VALUE"""),"CLR4")</f>
        <v>CLR4</v>
      </c>
      <c r="L90" s="182"/>
      <c r="M90" s="182"/>
      <c r="N90" s="182"/>
      <c r="O90" s="182"/>
      <c r="P90" s="182"/>
    </row>
    <row r="91">
      <c r="A91" s="172" t="str">
        <f>IFERROR(__xludf.DUMMYFUNCTION("""COMPUTED_VALUE"""),"AT&amp;T, US")</f>
        <v>AT&amp;T, US</v>
      </c>
      <c r="B91" s="182"/>
      <c r="C91" s="182" t="str">
        <f>IFERROR(__xludf.DUMMYFUNCTION("""COMPUTED_VALUE"""),"MMWAVE")</f>
        <v>MMWAVE</v>
      </c>
      <c r="D91" s="182" t="str">
        <f>IFERROR(__xludf.DUMMYFUNCTION("""COMPUTED_VALUE"""),"GA10780-US")</f>
        <v>GA10780-US</v>
      </c>
      <c r="E91" s="182" t="str">
        <f>IFERROR(__xludf.DUMMYFUNCTION("""COMPUTED_VALUE"""),"GA10783-US")</f>
        <v>GA10783-US</v>
      </c>
      <c r="F91" s="182" t="str">
        <f>IFERROR(__xludf.DUMMYFUNCTION("""COMPUTED_VALUE"""),"GA10786-US")</f>
        <v>GA10786-US</v>
      </c>
      <c r="G91" s="182"/>
      <c r="H91" s="182"/>
      <c r="I91" s="182"/>
      <c r="J91" s="182"/>
      <c r="K91" s="182" t="str">
        <f>IFERROR(__xludf.DUMMYFUNCTION("""COMPUTED_VALUE"""),"GA10789-US")</f>
        <v>GA10789-US</v>
      </c>
      <c r="L91" s="182"/>
      <c r="M91" s="182"/>
      <c r="N91" s="182"/>
      <c r="O91" s="182"/>
      <c r="P91" s="182"/>
    </row>
    <row r="92">
      <c r="A92" s="172" t="str">
        <f>IFERROR(__xludf.DUMMYFUNCTION("""COMPUTED_VALUE"""),"Tmobile, US")</f>
        <v>Tmobile, US</v>
      </c>
      <c r="B92" s="182"/>
      <c r="C92" s="182" t="str">
        <f>IFERROR(__xludf.DUMMYFUNCTION("""COMPUTED_VALUE"""),"MMWAVE")</f>
        <v>MMWAVE</v>
      </c>
      <c r="D92" s="182" t="str">
        <f>IFERROR(__xludf.DUMMYFUNCTION("""COMPUTED_VALUE"""),"GA10781-US")</f>
        <v>GA10781-US</v>
      </c>
      <c r="E92" s="182" t="str">
        <f>IFERROR(__xludf.DUMMYFUNCTION("""COMPUTED_VALUE"""),"GA10784-US")</f>
        <v>GA10784-US</v>
      </c>
      <c r="F92" s="182" t="str">
        <f>IFERROR(__xludf.DUMMYFUNCTION("""COMPUTED_VALUE"""),"GA10787-US")</f>
        <v>GA10787-US</v>
      </c>
      <c r="G92" s="182"/>
      <c r="H92" s="182"/>
      <c r="I92" s="182"/>
      <c r="J92" s="182"/>
      <c r="K92" s="182" t="str">
        <f>IFERROR(__xludf.DUMMYFUNCTION("""COMPUTED_VALUE"""),"GA10790-US")</f>
        <v>GA10790-US</v>
      </c>
      <c r="L92" s="182"/>
      <c r="M92" s="182"/>
      <c r="N92" s="182"/>
      <c r="O92" s="182"/>
      <c r="P92" s="182"/>
    </row>
    <row r="93">
      <c r="A93" s="172" t="str">
        <f>IFERROR(__xludf.DUMMYFUNCTION("""COMPUTED_VALUE"""),"GStore, US ")</f>
        <v>GStore, US </v>
      </c>
      <c r="B93" s="182"/>
      <c r="C93" s="182" t="str">
        <f>IFERROR(__xludf.DUMMYFUNCTION("""COMPUTED_VALUE"""),"MMWAVE")</f>
        <v>MMWAVE</v>
      </c>
      <c r="D93" s="182" t="str">
        <f>IFERROR(__xludf.DUMMYFUNCTION("""COMPUTED_VALUE"""),"GA10782-US")</f>
        <v>GA10782-US</v>
      </c>
      <c r="E93" s="182" t="str">
        <f>IFERROR(__xludf.DUMMYFUNCTION("""COMPUTED_VALUE"""),"GA10785-US")</f>
        <v>GA10785-US</v>
      </c>
      <c r="F93" s="182" t="str">
        <f>IFERROR(__xludf.DUMMYFUNCTION("""COMPUTED_VALUE"""),"GA10788-US")</f>
        <v>GA10788-US</v>
      </c>
      <c r="G93" s="182"/>
      <c r="H93" s="182"/>
      <c r="I93" s="182"/>
      <c r="J93" s="182"/>
      <c r="K93" s="182" t="str">
        <f>IFERROR(__xludf.DUMMYFUNCTION("""COMPUTED_VALUE"""),"GA10791-US")</f>
        <v>GA10791-US</v>
      </c>
      <c r="L93" s="182"/>
      <c r="M93" s="182"/>
      <c r="N93" s="182"/>
      <c r="O93" s="182"/>
      <c r="P93" s="182"/>
    </row>
    <row r="94">
      <c r="A94" s="172" t="str">
        <f>IFERROR(__xludf.DUMMYFUNCTION("""COMPUTED_VALUE"""),"JP ")</f>
        <v>JP </v>
      </c>
      <c r="B94" s="182"/>
      <c r="C94" s="182" t="str">
        <f>IFERROR(__xludf.DUMMYFUNCTION("""COMPUTED_VALUE"""),"SUB6")</f>
        <v>SUB6</v>
      </c>
      <c r="D94" s="182" t="str">
        <f>IFERROR(__xludf.DUMMYFUNCTION("""COMPUTED_VALUE"""),"GA10782-JP")</f>
        <v>GA10782-JP</v>
      </c>
      <c r="E94" s="182" t="str">
        <f>IFERROR(__xludf.DUMMYFUNCTION("""COMPUTED_VALUE"""),"GA10785-JP")</f>
        <v>GA10785-JP</v>
      </c>
      <c r="F94" s="182" t="str">
        <f>IFERROR(__xludf.DUMMYFUNCTION("""COMPUTED_VALUE"""),"GA10788-JP")</f>
        <v>GA10788-JP</v>
      </c>
      <c r="G94" s="182"/>
      <c r="H94" s="182" t="str">
        <f>IFERROR(__xludf.DUMMYFUNCTION("""COMPUTED_VALUE"""),"GA10782-JP")</f>
        <v>GA10782-JP</v>
      </c>
      <c r="I94" s="182" t="str">
        <f>IFERROR(__xludf.DUMMYFUNCTION("""COMPUTED_VALUE"""),"GA10785-JP")</f>
        <v>GA10785-JP</v>
      </c>
      <c r="J94" s="182" t="str">
        <f>IFERROR(__xludf.DUMMYFUNCTION("""COMPUTED_VALUE"""),"GA10788-JP")</f>
        <v>GA10788-JP</v>
      </c>
      <c r="K94" s="182" t="str">
        <f>IFERROR(__xludf.DUMMYFUNCTION("""COMPUTED_VALUE"""),"GA10791-JP")</f>
        <v>GA10791-JP</v>
      </c>
      <c r="L94" s="182"/>
      <c r="M94" s="182"/>
      <c r="N94" s="182"/>
      <c r="O94" s="182"/>
      <c r="P94" s="182"/>
    </row>
    <row r="95">
      <c r="A95" s="172" t="str">
        <f>IFERROR(__xludf.DUMMYFUNCTION("""COMPUTED_VALUE"""),"CA/TW/SG/AU/MY/MX")</f>
        <v>CA/TW/SG/AU/MY/MX</v>
      </c>
      <c r="B95" s="182"/>
      <c r="C95" s="182" t="str">
        <f>IFERROR(__xludf.DUMMYFUNCTION("""COMPUTED_VALUE"""),"SUB6")</f>
        <v>SUB6</v>
      </c>
      <c r="D95" s="182" t="str">
        <f>IFERROR(__xludf.DUMMYFUNCTION("""COMPUTED_VALUE"""),"GA10782-CA")</f>
        <v>GA10782-CA</v>
      </c>
      <c r="E95" s="182" t="str">
        <f>IFERROR(__xludf.DUMMYFUNCTION("""COMPUTED_VALUE"""),"GA10785-CA")</f>
        <v>GA10785-CA</v>
      </c>
      <c r="F95" s="182" t="str">
        <f>IFERROR(__xludf.DUMMYFUNCTION("""COMPUTED_VALUE"""),"GA10788-CA")</f>
        <v>GA10788-CA</v>
      </c>
      <c r="G95" s="182"/>
      <c r="H95" s="182"/>
      <c r="I95" s="182"/>
      <c r="J95" s="182"/>
      <c r="K95" s="182" t="str">
        <f>IFERROR(__xludf.DUMMYFUNCTION("""COMPUTED_VALUE"""),"GA10791-CA")</f>
        <v>GA10791-CA</v>
      </c>
      <c r="L95" s="182"/>
      <c r="M95" s="182"/>
      <c r="N95" s="182"/>
      <c r="O95" s="182"/>
      <c r="P95" s="182"/>
    </row>
    <row r="96">
      <c r="A96" s="172" t="str">
        <f>IFERROR(__xludf.DUMMYFUNCTION("""COMPUTED_VALUE"""),"EU(GB, DE, IT, ES, IE, FR, NL, BE, AT, CH, PT, PL, CEE (RO, CZ, HU, SI, LV, LT, EE, FI), NO,SE,DK, SK)")</f>
        <v>EU(GB, DE, IT, ES, IE, FR, NL, BE, AT, CH, PT, PL, CEE (RO, CZ, HU, SI, LV, LT, EE, FI), NO,SE,DK, SK)</v>
      </c>
      <c r="B96" s="182"/>
      <c r="C96" s="182" t="str">
        <f>IFERROR(__xludf.DUMMYFUNCTION("""COMPUTED_VALUE"""),"SUB6")</f>
        <v>SUB6</v>
      </c>
      <c r="D96" s="182" t="str">
        <f>IFERROR(__xludf.DUMMYFUNCTION("""COMPUTED_VALUE"""),"GA10782-GB")</f>
        <v>GA10782-GB</v>
      </c>
      <c r="E96" s="182" t="str">
        <f>IFERROR(__xludf.DUMMYFUNCTION("""COMPUTED_VALUE"""),"GA10785-GB")</f>
        <v>GA10785-GB</v>
      </c>
      <c r="F96" s="182" t="str">
        <f>IFERROR(__xludf.DUMMYFUNCTION("""COMPUTED_VALUE"""),"GA10788-GB")</f>
        <v>GA10788-GB</v>
      </c>
      <c r="G96" s="182"/>
      <c r="H96" s="182"/>
      <c r="I96" s="182"/>
      <c r="J96" s="182"/>
      <c r="K96" s="182" t="str">
        <f>IFERROR(__xludf.DUMMYFUNCTION("""COMPUTED_VALUE"""),"GA10791-GB")</f>
        <v>GA10791-GB</v>
      </c>
      <c r="L96" s="182"/>
      <c r="M96" s="182"/>
      <c r="N96" s="182"/>
      <c r="O96" s="182"/>
      <c r="P96" s="182"/>
    </row>
    <row r="97">
      <c r="A97" s="172" t="str">
        <f>IFERROR(__xludf.DUMMYFUNCTION("""COMPUTED_VALUE"""),"IN ")</f>
        <v>IN </v>
      </c>
      <c r="B97" s="182"/>
      <c r="C97" s="182" t="str">
        <f>IFERROR(__xludf.DUMMYFUNCTION("""COMPUTED_VALUE"""),"SUB6")</f>
        <v>SUB6</v>
      </c>
      <c r="D97" s="182"/>
      <c r="E97" s="182"/>
      <c r="F97" s="182"/>
      <c r="G97" s="182"/>
      <c r="H97" s="182" t="str">
        <f>IFERROR(__xludf.DUMMYFUNCTION("""COMPUTED_VALUE"""),"GA10792-IN")</f>
        <v>GA10792-IN</v>
      </c>
      <c r="I97" s="182" t="str">
        <f>IFERROR(__xludf.DUMMYFUNCTION("""COMPUTED_VALUE"""),"GA10793-IN")</f>
        <v>GA10793-IN</v>
      </c>
      <c r="J97" s="182" t="str">
        <f>IFERROR(__xludf.DUMMYFUNCTION("""COMPUTED_VALUE"""),"GA10794-IN")</f>
        <v>GA10794-IN</v>
      </c>
      <c r="K97" s="182" t="str">
        <f>IFERROR(__xludf.DUMMYFUNCTION("""COMPUTED_VALUE"""),"GA10795-IN")</f>
        <v>GA10795-IN</v>
      </c>
      <c r="L97" s="182"/>
      <c r="M97" s="182"/>
      <c r="N97" s="182"/>
      <c r="O97" s="182"/>
      <c r="P97" s="182"/>
    </row>
    <row r="98">
      <c r="A98" s="172" t="str">
        <f>IFERROR(__xludf.DUMMYFUNCTION("""COMPUTED_VALUE"""),"Total")</f>
        <v>Total</v>
      </c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</row>
    <row r="99">
      <c r="A99" s="17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 t="str">
        <f>IFERROR(__xludf.DUMMYFUNCTION("""COMPUTED_VALUE""")," ")</f>
        <v> </v>
      </c>
      <c r="M99" s="182"/>
      <c r="N99" s="182"/>
      <c r="O99" s="182"/>
      <c r="P99" s="182"/>
    </row>
    <row r="100">
      <c r="A100" s="172" t="str">
        <f>IFERROR(__xludf.DUMMYFUNCTION("""COMPUTED_VALUE"""),"NFU SKUs")</f>
        <v>NFU SKUs</v>
      </c>
      <c r="B100" s="182"/>
      <c r="C100" s="182"/>
      <c r="D100" s="182" t="str">
        <f>IFERROR(__xludf.DUMMYFUNCTION("""COMPUTED_VALUE"""),"Program Name")</f>
        <v>Program Name</v>
      </c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</row>
    <row r="101">
      <c r="A101" s="172" t="str">
        <f>IFERROR(__xludf.DUMMYFUNCTION("""COMPUTED_VALUE"""),"Memory")</f>
        <v>Memory</v>
      </c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</row>
    <row r="102">
      <c r="A102" s="172" t="str">
        <f>IFERROR(__xludf.DUMMYFUNCTION("""COMPUTED_VALUE"""),"Color")</f>
        <v>Color</v>
      </c>
      <c r="B102" s="182"/>
      <c r="C102" s="182" t="str">
        <f>IFERROR(__xludf.DUMMYFUNCTION("""COMPUTED_VALUE"""),"RF")</f>
        <v>RF</v>
      </c>
      <c r="D102" s="182" t="str">
        <f>IFERROR(__xludf.DUMMYFUNCTION("""COMPUTED_VALUE"""),"CLR1")</f>
        <v>CLR1</v>
      </c>
      <c r="E102" s="182" t="str">
        <f>IFERROR(__xludf.DUMMYFUNCTION("""COMPUTED_VALUE"""),"CLR2")</f>
        <v>CLR2</v>
      </c>
      <c r="F102" s="182" t="str">
        <f>IFERROR(__xludf.DUMMYFUNCTION("""COMPUTED_VALUE"""),"CLR3")</f>
        <v>CLR3</v>
      </c>
      <c r="G102" s="182" t="str">
        <f>IFERROR(__xludf.DUMMYFUNCTION("""COMPUTED_VALUE"""),"CLR4")</f>
        <v>CLR4</v>
      </c>
      <c r="H102" s="182"/>
      <c r="I102" s="182"/>
      <c r="J102" s="182"/>
      <c r="K102" s="182"/>
      <c r="L102" s="182"/>
      <c r="M102" s="182"/>
      <c r="N102" s="182"/>
      <c r="O102" s="182"/>
      <c r="P102" s="182"/>
    </row>
    <row r="103">
      <c r="A103" s="172" t="str">
        <f>IFERROR(__xludf.DUMMYFUNCTION("""COMPUTED_VALUE"""),"Memory")</f>
        <v>Memory</v>
      </c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</row>
    <row r="104">
      <c r="A104" s="172" t="str">
        <f>IFERROR(__xludf.DUMMYFUNCTION("""COMPUTED_VALUE"""),"Color")</f>
        <v>Color</v>
      </c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</row>
    <row r="105">
      <c r="A105" s="172" t="str">
        <f>IFERROR(__xludf.DUMMYFUNCTION("""COMPUTED_VALUE"""),"US-VZW")</f>
        <v>US-VZW</v>
      </c>
      <c r="B105" s="182"/>
      <c r="C105" s="182" t="str">
        <f>IFERROR(__xludf.DUMMYFUNCTION("""COMPUTED_VALUE"""),"MMWAVE")</f>
        <v>MMWAVE</v>
      </c>
      <c r="D105" s="182" t="str">
        <f>IFERROR(__xludf.DUMMYFUNCTION("""COMPUTED_VALUE"""),"GA10804")</f>
        <v>GA10804</v>
      </c>
      <c r="E105" s="182" t="str">
        <f>IFERROR(__xludf.DUMMYFUNCTION("""COMPUTED_VALUE"""),"GA10809")</f>
        <v>GA10809</v>
      </c>
      <c r="F105" s="182" t="str">
        <f>IFERROR(__xludf.DUMMYFUNCTION("""COMPUTED_VALUE"""),"GA10814")</f>
        <v>GA10814</v>
      </c>
      <c r="G105" s="182" t="str">
        <f>IFERROR(__xludf.DUMMYFUNCTION("""COMPUTED_VALUE"""),"GA10819")</f>
        <v>GA10819</v>
      </c>
      <c r="H105" s="182"/>
      <c r="I105" s="182"/>
      <c r="J105" s="182"/>
      <c r="K105" s="182"/>
      <c r="L105" s="182"/>
      <c r="M105" s="182"/>
      <c r="N105" s="182"/>
      <c r="O105" s="182"/>
      <c r="P105" s="182"/>
    </row>
    <row r="106">
      <c r="A106" s="172" t="str">
        <f>IFERROR(__xludf.DUMMYFUNCTION("""COMPUTED_VALUE"""),"US-ATT")</f>
        <v>US-ATT</v>
      </c>
      <c r="B106" s="182"/>
      <c r="C106" s="182" t="str">
        <f>IFERROR(__xludf.DUMMYFUNCTION("""COMPUTED_VALUE"""),"MMWAVE")</f>
        <v>MMWAVE</v>
      </c>
      <c r="D106" s="182" t="str">
        <f>IFERROR(__xludf.DUMMYFUNCTION("""COMPUTED_VALUE"""),"GA10805")</f>
        <v>GA10805</v>
      </c>
      <c r="E106" s="182" t="str">
        <f>IFERROR(__xludf.DUMMYFUNCTION("""COMPUTED_VALUE"""),"GA10810")</f>
        <v>GA10810</v>
      </c>
      <c r="F106" s="182" t="str">
        <f>IFERROR(__xludf.DUMMYFUNCTION("""COMPUTED_VALUE"""),"GA10815")</f>
        <v>GA10815</v>
      </c>
      <c r="G106" s="182" t="str">
        <f>IFERROR(__xludf.DUMMYFUNCTION("""COMPUTED_VALUE"""),"GA10820")</f>
        <v>GA10820</v>
      </c>
      <c r="H106" s="182"/>
      <c r="I106" s="182"/>
      <c r="J106" s="182"/>
      <c r="K106" s="182"/>
      <c r="L106" s="182"/>
      <c r="M106" s="182"/>
      <c r="N106" s="182"/>
      <c r="O106" s="182"/>
      <c r="P106" s="182"/>
    </row>
    <row r="107">
      <c r="A107" s="172" t="str">
        <f>IFERROR(__xludf.DUMMYFUNCTION("""COMPUTED_VALUE"""),"US-TMO")</f>
        <v>US-TMO</v>
      </c>
      <c r="B107" s="182"/>
      <c r="C107" s="182" t="str">
        <f>IFERROR(__xludf.DUMMYFUNCTION("""COMPUTED_VALUE"""),"MMWAVE")</f>
        <v>MMWAVE</v>
      </c>
      <c r="D107" s="182" t="str">
        <f>IFERROR(__xludf.DUMMYFUNCTION("""COMPUTED_VALUE"""),"GA10806")</f>
        <v>GA10806</v>
      </c>
      <c r="E107" s="182" t="str">
        <f>IFERROR(__xludf.DUMMYFUNCTION("""COMPUTED_VALUE"""),"GA10811")</f>
        <v>GA10811</v>
      </c>
      <c r="F107" s="182" t="str">
        <f>IFERROR(__xludf.DUMMYFUNCTION("""COMPUTED_VALUE"""),"GA10816")</f>
        <v>GA10816</v>
      </c>
      <c r="G107" s="182" t="str">
        <f>IFERROR(__xludf.DUMMYFUNCTION("""COMPUTED_VALUE"""),"GA10821")</f>
        <v>GA10821</v>
      </c>
      <c r="H107" s="182"/>
      <c r="I107" s="182"/>
      <c r="J107" s="182"/>
      <c r="K107" s="182"/>
      <c r="L107" s="182"/>
      <c r="M107" s="182"/>
      <c r="N107" s="182"/>
      <c r="O107" s="182"/>
      <c r="P107" s="182"/>
    </row>
    <row r="108">
      <c r="A108" s="172" t="str">
        <f>IFERROR(__xludf.DUMMYFUNCTION("""COMPUTED_VALUE"""),"US")</f>
        <v>US</v>
      </c>
      <c r="B108" s="182"/>
      <c r="C108" s="182" t="str">
        <f>IFERROR(__xludf.DUMMYFUNCTION("""COMPUTED_VALUE"""),"MMWAVE")</f>
        <v>MMWAVE</v>
      </c>
      <c r="D108" s="182" t="str">
        <f>IFERROR(__xludf.DUMMYFUNCTION("""COMPUTED_VALUE"""),"GA10808")</f>
        <v>GA10808</v>
      </c>
      <c r="E108" s="182" t="str">
        <f>IFERROR(__xludf.DUMMYFUNCTION("""COMPUTED_VALUE"""),"GA10813")</f>
        <v>GA10813</v>
      </c>
      <c r="F108" s="182" t="str">
        <f>IFERROR(__xludf.DUMMYFUNCTION("""COMPUTED_VALUE"""),"GA10818")</f>
        <v>GA10818</v>
      </c>
      <c r="G108" s="182" t="str">
        <f>IFERROR(__xludf.DUMMYFUNCTION("""COMPUTED_VALUE"""),"GA10823")</f>
        <v>GA10823</v>
      </c>
      <c r="H108" s="182"/>
      <c r="I108" s="182"/>
      <c r="J108" s="182"/>
      <c r="K108" s="182"/>
      <c r="L108" s="182"/>
      <c r="M108" s="182"/>
      <c r="N108" s="182"/>
      <c r="O108" s="182"/>
      <c r="P108" s="182"/>
    </row>
    <row r="109">
      <c r="A109" s="172" t="str">
        <f>IFERROR(__xludf.DUMMYFUNCTION("""COMPUTED_VALUE"""),"JP")</f>
        <v>JP</v>
      </c>
      <c r="B109" s="182"/>
      <c r="C109" s="182" t="str">
        <f>IFERROR(__xludf.DUMMYFUNCTION("""COMPUTED_VALUE"""),"SUB6")</f>
        <v>SUB6</v>
      </c>
      <c r="D109" s="182" t="str">
        <f>IFERROR(__xludf.DUMMYFUNCTION("""COMPUTED_VALUE"""),"GA10807")</f>
        <v>GA10807</v>
      </c>
      <c r="E109" s="182" t="str">
        <f>IFERROR(__xludf.DUMMYFUNCTION("""COMPUTED_VALUE"""),"GA10812")</f>
        <v>GA10812</v>
      </c>
      <c r="F109" s="182" t="str">
        <f>IFERROR(__xludf.DUMMYFUNCTION("""COMPUTED_VALUE"""),"GA10817")</f>
        <v>GA10817</v>
      </c>
      <c r="G109" s="182" t="str">
        <f>IFERROR(__xludf.DUMMYFUNCTION("""COMPUTED_VALUE"""),"GA10822")</f>
        <v>GA10822</v>
      </c>
      <c r="H109" s="182"/>
      <c r="I109" s="182"/>
      <c r="J109" s="182"/>
      <c r="K109" s="182"/>
      <c r="L109" s="182"/>
      <c r="M109" s="182"/>
      <c r="N109" s="182"/>
      <c r="O109" s="182"/>
      <c r="P109" s="182"/>
    </row>
    <row r="110">
      <c r="A110" s="172" t="str">
        <f>IFERROR(__xludf.DUMMYFUNCTION("""COMPUTED_VALUE"""),"GB/DE/IT/ES/IE/FR/NL/BE/AT/CH/PT/PL/RO/CZ/HU/SI/LV/LT/EE/FI/NO/SE/DK/SK/CA/TW/SG/AU/MY")</f>
        <v>GB/DE/IT/ES/IE/FR/NL/BE/AT/CH/PT/PL/RO/CZ/HU/SI/LV/LT/EE/FI/NO/SE/DK/SK/CA/TW/SG/AU/MY</v>
      </c>
      <c r="B110" s="182"/>
      <c r="C110" s="182" t="str">
        <f>IFERROR(__xludf.DUMMYFUNCTION("""COMPUTED_VALUE"""),"SUB6")</f>
        <v>SUB6</v>
      </c>
      <c r="D110" s="182" t="str">
        <f>IFERROR(__xludf.DUMMYFUNCTION("""COMPUTED_VALUE"""),"GA10911")</f>
        <v>GA10911</v>
      </c>
      <c r="E110" s="182" t="str">
        <f>IFERROR(__xludf.DUMMYFUNCTION("""COMPUTED_VALUE"""),"GA10912")</f>
        <v>GA10912</v>
      </c>
      <c r="F110" s="182" t="str">
        <f>IFERROR(__xludf.DUMMYFUNCTION("""COMPUTED_VALUE"""),"GA10913")</f>
        <v>GA10913</v>
      </c>
      <c r="G110" s="182" t="str">
        <f>IFERROR(__xludf.DUMMYFUNCTION("""COMPUTED_VALUE"""),"GA10914")</f>
        <v>GA10914</v>
      </c>
      <c r="H110" s="182"/>
      <c r="I110" s="182"/>
      <c r="J110" s="182"/>
      <c r="K110" s="182"/>
      <c r="L110" s="182"/>
      <c r="M110" s="182"/>
      <c r="N110" s="182"/>
      <c r="O110" s="182"/>
      <c r="P110" s="182"/>
    </row>
    <row r="111">
      <c r="A111" s="172" t="str">
        <f>IFERROR(__xludf.DUMMYFUNCTION("""COMPUTED_VALUE"""),"Total")</f>
        <v>Total</v>
      </c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</row>
    <row r="112">
      <c r="A112" s="17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</row>
    <row r="113">
      <c r="A113" s="172" t="str">
        <f>IFERROR(__xludf.DUMMYFUNCTION("""COMPUTED_VALUE"""),"Refurb SKUs")</f>
        <v>Refurb SKUs</v>
      </c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</row>
    <row r="114">
      <c r="A114" s="172" t="str">
        <f>IFERROR(__xludf.DUMMYFUNCTION("""COMPUTED_VALUE"""),"Project")</f>
        <v>Project</v>
      </c>
      <c r="B114" s="182"/>
      <c r="C114" s="182"/>
      <c r="D114" s="182" t="str">
        <f>IFERROR(__xludf.DUMMYFUNCTION("""COMPUTED_VALUE"""),"Program Name")</f>
        <v>Program Name</v>
      </c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</row>
    <row r="115">
      <c r="A115" s="172" t="str">
        <f>IFERROR(__xludf.DUMMYFUNCTION("""COMPUTED_VALUE"""),"Memory")</f>
        <v>Memory</v>
      </c>
      <c r="B115" s="182"/>
      <c r="C115" s="182"/>
      <c r="D115" s="182" t="str">
        <f>IFERROR(__xludf.DUMMYFUNCTION("""COMPUTED_VALUE"""),"128GB/GOOD")</f>
        <v>128GB/GOOD</v>
      </c>
      <c r="E115" s="182"/>
      <c r="F115" s="182"/>
      <c r="G115" s="182"/>
      <c r="H115" s="182" t="str">
        <f>IFERROR(__xludf.DUMMYFUNCTION("""COMPUTED_VALUE"""),"256GB/BETTER")</f>
        <v>256GB/BETTER</v>
      </c>
      <c r="I115" s="182"/>
      <c r="J115" s="182"/>
      <c r="K115" s="182"/>
      <c r="L115" s="182" t="str">
        <f>IFERROR(__xludf.DUMMYFUNCTION("""COMPUTED_VALUE"""),"512GB/BEST")</f>
        <v>512GB/BEST</v>
      </c>
      <c r="M115" s="182"/>
      <c r="N115" s="182"/>
      <c r="O115" s="182"/>
      <c r="P115" s="182" t="str">
        <f>IFERROR(__xludf.DUMMYFUNCTION("""COMPUTED_VALUE"""),"1TB/ULTRA")</f>
        <v>1TB/ULTRA</v>
      </c>
    </row>
    <row r="116">
      <c r="A116" s="172" t="str">
        <f>IFERROR(__xludf.DUMMYFUNCTION("""COMPUTED_VALUE"""),"Color")</f>
        <v>Color</v>
      </c>
      <c r="B116" s="182" t="str">
        <f>IFERROR(__xludf.DUMMYFUNCTION("""COMPUTED_VALUE"""),"RF")</f>
        <v>RF</v>
      </c>
      <c r="C116" s="182" t="str">
        <f>IFERROR(__xludf.DUMMYFUNCTION("""COMPUTED_VALUE"""),"Model Number")</f>
        <v>Model Number</v>
      </c>
      <c r="D116" s="182" t="str">
        <f>IFERROR(__xludf.DUMMYFUNCTION("""COMPUTED_VALUE"""),"CLR1")</f>
        <v>CLR1</v>
      </c>
      <c r="E116" s="182" t="str">
        <f>IFERROR(__xludf.DUMMYFUNCTION("""COMPUTED_VALUE"""),"CLR2")</f>
        <v>CLR2</v>
      </c>
      <c r="F116" s="182" t="str">
        <f>IFERROR(__xludf.DUMMYFUNCTION("""COMPUTED_VALUE"""),"CLR3")</f>
        <v>CLR3</v>
      </c>
      <c r="G116" s="182" t="str">
        <f>IFERROR(__xludf.DUMMYFUNCTION("""COMPUTED_VALUE"""),"CLR4")</f>
        <v>CLR4</v>
      </c>
      <c r="H116" s="182" t="str">
        <f>IFERROR(__xludf.DUMMYFUNCTION("""COMPUTED_VALUE"""),"CLR1")</f>
        <v>CLR1</v>
      </c>
      <c r="I116" s="182" t="str">
        <f>IFERROR(__xludf.DUMMYFUNCTION("""COMPUTED_VALUE"""),"CLR2")</f>
        <v>CLR2</v>
      </c>
      <c r="J116" s="182" t="str">
        <f>IFERROR(__xludf.DUMMYFUNCTION("""COMPUTED_VALUE"""),"CLR3")</f>
        <v>CLR3</v>
      </c>
      <c r="K116" s="182" t="str">
        <f>IFERROR(__xludf.DUMMYFUNCTION("""COMPUTED_VALUE"""),"CLR4")</f>
        <v>CLR4</v>
      </c>
      <c r="L116" s="182" t="str">
        <f>IFERROR(__xludf.DUMMYFUNCTION("""COMPUTED_VALUE"""),"CLR1")</f>
        <v>CLR1</v>
      </c>
      <c r="M116" s="182" t="str">
        <f>IFERROR(__xludf.DUMMYFUNCTION("""COMPUTED_VALUE"""),"CLR2")</f>
        <v>CLR2</v>
      </c>
      <c r="N116" s="182" t="str">
        <f>IFERROR(__xludf.DUMMYFUNCTION("""COMPUTED_VALUE"""),"CLR3")</f>
        <v>CLR3</v>
      </c>
      <c r="O116" s="182" t="str">
        <f>IFERROR(__xludf.DUMMYFUNCTION("""COMPUTED_VALUE"""),"CLR4")</f>
        <v>CLR4</v>
      </c>
      <c r="P116" s="182" t="str">
        <f>IFERROR(__xludf.DUMMYFUNCTION("""COMPUTED_VALUE"""),"CLR1")</f>
        <v>CLR1</v>
      </c>
    </row>
    <row r="117">
      <c r="A117" s="172" t="str">
        <f>IFERROR(__xludf.DUMMYFUNCTION("""COMPUTED_VALUE"""),"US-VZW ")</f>
        <v>US-VZW </v>
      </c>
      <c r="B117" s="182" t="str">
        <f>IFERROR(__xludf.DUMMYFUNCTION("""COMPUTED_VALUE"""),"MMWAVE")</f>
        <v>MMWAVE</v>
      </c>
      <c r="C117" s="182" t="str">
        <f>IFERROR(__xludf.DUMMYFUNCTION("""COMPUTED_VALUE"""),"G4QUR")</f>
        <v>G4QUR</v>
      </c>
      <c r="D117" s="182" t="str">
        <f>IFERROR(__xludf.DUMMYFUNCTION("""COMPUTED_VALUE""")," GA09187-US-RA")</f>
        <v> GA09187-US-RA</v>
      </c>
      <c r="E117" s="182" t="str">
        <f>IFERROR(__xludf.DUMMYFUNCTION("""COMPUTED_VALUE"""),"GA10275-US-RA")</f>
        <v>GA10275-US-RA</v>
      </c>
      <c r="F117" s="182" t="str">
        <f>IFERROR(__xludf.DUMMYFUNCTION("""COMPUTED_VALUE"""),"GA10276-US-RA")</f>
        <v>GA10276-US-RA</v>
      </c>
      <c r="G117" s="182"/>
      <c r="H117" s="182" t="str">
        <f>IFERROR(__xludf.DUMMYFUNCTION("""COMPUTED_VALUE"""),"GA09896-US-RA")</f>
        <v>GA09896-US-RA</v>
      </c>
      <c r="I117" s="182" t="str">
        <f>IFERROR(__xludf.DUMMYFUNCTION("""COMPUTED_VALUE"""),"GA10277-US-RA")</f>
        <v>GA10277-US-RA</v>
      </c>
      <c r="J117" s="182" t="str">
        <f>IFERROR(__xludf.DUMMYFUNCTION("""COMPUTED_VALUE"""),"GA10278-US-RA")</f>
        <v>GA10278-US-RA</v>
      </c>
      <c r="K117" s="182" t="str">
        <f>IFERROR(__xludf.DUMMYFUNCTION("""COMPUTED_VALUE"""),"GA10279-US-RA")</f>
        <v>GA10279-US-RA</v>
      </c>
      <c r="L117" s="182" t="str">
        <f>IFERROR(__xludf.DUMMYFUNCTION("""COMPUTED_VALUE"""),"GA09905-US-RA")</f>
        <v>GA09905-US-RA</v>
      </c>
      <c r="M117" s="182" t="str">
        <f>IFERROR(__xludf.DUMMYFUNCTION("""COMPUTED_VALUE"""),"GA10280-US-RA")</f>
        <v>GA10280-US-RA</v>
      </c>
      <c r="N117" s="182" t="str">
        <f>IFERROR(__xludf.DUMMYFUNCTION("""COMPUTED_VALUE"""),"GA10281-US-RA")</f>
        <v>GA10281-US-RA</v>
      </c>
      <c r="O117" s="182" t="str">
        <f>IFERROR(__xludf.DUMMYFUNCTION("""COMPUTED_VALUE"""),"GA10282-US-RA")</f>
        <v>GA10282-US-RA</v>
      </c>
      <c r="P117" s="182" t="str">
        <f>IFERROR(__xludf.DUMMYFUNCTION("""COMPUTED_VALUE"""),"GA09930-US-RA")</f>
        <v>GA09930-US-RA</v>
      </c>
    </row>
    <row r="118">
      <c r="A118" s="172" t="str">
        <f>IFERROR(__xludf.DUMMYFUNCTION("""COMPUTED_VALUE"""),"US - AT&amp;T ")</f>
        <v>US - AT&amp;T </v>
      </c>
      <c r="B118" s="182" t="str">
        <f>IFERROR(__xludf.DUMMYFUNCTION("""COMPUTED_VALUE"""),"MMWAVE")</f>
        <v>MMWAVE</v>
      </c>
      <c r="C118" s="182" t="str">
        <f>IFERROR(__xludf.DUMMYFUNCTION("""COMPUTED_VALUE"""),"G4QUR")</f>
        <v>G4QUR</v>
      </c>
      <c r="D118" s="182" t="str">
        <f>IFERROR(__xludf.DUMMYFUNCTION("""COMPUTED_VALUE"""),"GA09885-US-RA")</f>
        <v>GA09885-US-RA</v>
      </c>
      <c r="E118" s="182" t="str">
        <f>IFERROR(__xludf.DUMMYFUNCTION("""COMPUTED_VALUE"""),"GA10284-US-RA")</f>
        <v>GA10284-US-RA</v>
      </c>
      <c r="F118" s="182" t="str">
        <f>IFERROR(__xludf.DUMMYFUNCTION("""COMPUTED_VALUE"""),"GA10285-US-RA")</f>
        <v>GA10285-US-RA</v>
      </c>
      <c r="G118" s="182"/>
      <c r="H118" s="182" t="str">
        <f>IFERROR(__xludf.DUMMYFUNCTION("""COMPUTED_VALUE"""),"GA09897-US-RA")</f>
        <v>GA09897-US-RA</v>
      </c>
      <c r="I118" s="182" t="str">
        <f>IFERROR(__xludf.DUMMYFUNCTION("""COMPUTED_VALUE"""),"GA10286-US-RA")</f>
        <v>GA10286-US-RA</v>
      </c>
      <c r="J118" s="182" t="str">
        <f>IFERROR(__xludf.DUMMYFUNCTION("""COMPUTED_VALUE"""),"GA10287-US-RA")</f>
        <v>GA10287-US-RA</v>
      </c>
      <c r="K118" s="182" t="str">
        <f>IFERROR(__xludf.DUMMYFUNCTION("""COMPUTED_VALUE"""),"GA10288-US-RA")</f>
        <v>GA10288-US-RA</v>
      </c>
      <c r="L118" s="182" t="str">
        <f>IFERROR(__xludf.DUMMYFUNCTION("""COMPUTED_VALUE"""),"GA09906-US-RA")</f>
        <v>GA09906-US-RA</v>
      </c>
      <c r="M118" s="182" t="str">
        <f>IFERROR(__xludf.DUMMYFUNCTION("""COMPUTED_VALUE"""),"GA10289-US-RA")</f>
        <v>GA10289-US-RA</v>
      </c>
      <c r="N118" s="182" t="str">
        <f>IFERROR(__xludf.DUMMYFUNCTION("""COMPUTED_VALUE"""),"GA10290-US-RA")</f>
        <v>GA10290-US-RA</v>
      </c>
      <c r="O118" s="182" t="str">
        <f>IFERROR(__xludf.DUMMYFUNCTION("""COMPUTED_VALUE"""),"GA10291-US-RA")</f>
        <v>GA10291-US-RA</v>
      </c>
      <c r="P118" s="182" t="str">
        <f>IFERROR(__xludf.DUMMYFUNCTION("""COMPUTED_VALUE"""),"GA09931-US-RA")</f>
        <v>GA09931-US-RA</v>
      </c>
    </row>
    <row r="119">
      <c r="A119" s="172" t="str">
        <f>IFERROR(__xludf.DUMMYFUNCTION("""COMPUTED_VALUE"""),"US - Tmobile ")</f>
        <v>US - Tmobile </v>
      </c>
      <c r="B119" s="182" t="str">
        <f>IFERROR(__xludf.DUMMYFUNCTION("""COMPUTED_VALUE"""),"MMWAVE")</f>
        <v>MMWAVE</v>
      </c>
      <c r="C119" s="182" t="str">
        <f>IFERROR(__xludf.DUMMYFUNCTION("""COMPUTED_VALUE"""),"G4QUR")</f>
        <v>G4QUR</v>
      </c>
      <c r="D119" s="182" t="str">
        <f>IFERROR(__xludf.DUMMYFUNCTION("""COMPUTED_VALUE"""),"GA09886-US-RA")</f>
        <v>GA09886-US-RA</v>
      </c>
      <c r="E119" s="182" t="str">
        <f>IFERROR(__xludf.DUMMYFUNCTION("""COMPUTED_VALUE"""),"GA10293-US-RA")</f>
        <v>GA10293-US-RA</v>
      </c>
      <c r="F119" s="182" t="str">
        <f>IFERROR(__xludf.DUMMYFUNCTION("""COMPUTED_VALUE"""),"GA10294-US-RA")</f>
        <v>GA10294-US-RA</v>
      </c>
      <c r="G119" s="182"/>
      <c r="H119" s="182" t="str">
        <f>IFERROR(__xludf.DUMMYFUNCTION("""COMPUTED_VALUE"""),"GA09898-US-RA")</f>
        <v>GA09898-US-RA</v>
      </c>
      <c r="I119" s="182" t="str">
        <f>IFERROR(__xludf.DUMMYFUNCTION("""COMPUTED_VALUE"""),"GA10295-US-RA")</f>
        <v>GA10295-US-RA</v>
      </c>
      <c r="J119" s="182" t="str">
        <f>IFERROR(__xludf.DUMMYFUNCTION("""COMPUTED_VALUE"""),"GA10296-US-RA")</f>
        <v>GA10296-US-RA</v>
      </c>
      <c r="K119" s="182" t="str">
        <f>IFERROR(__xludf.DUMMYFUNCTION("""COMPUTED_VALUE"""),"GA10297-US-RA")</f>
        <v>GA10297-US-RA</v>
      </c>
      <c r="L119" s="182" t="str">
        <f>IFERROR(__xludf.DUMMYFUNCTION("""COMPUTED_VALUE"""),"GA09907-US-RA")</f>
        <v>GA09907-US-RA</v>
      </c>
      <c r="M119" s="182" t="str">
        <f>IFERROR(__xludf.DUMMYFUNCTION("""COMPUTED_VALUE"""),"GA10298-US-RA")</f>
        <v>GA10298-US-RA</v>
      </c>
      <c r="N119" s="182" t="str">
        <f>IFERROR(__xludf.DUMMYFUNCTION("""COMPUTED_VALUE"""),"GA10299-US-RA")</f>
        <v>GA10299-US-RA</v>
      </c>
      <c r="O119" s="182" t="str">
        <f>IFERROR(__xludf.DUMMYFUNCTION("""COMPUTED_VALUE"""),"GA10300-US-RA")</f>
        <v>GA10300-US-RA</v>
      </c>
      <c r="P119" s="182" t="str">
        <f>IFERROR(__xludf.DUMMYFUNCTION("""COMPUTED_VALUE"""),"GA09932-US-RA")</f>
        <v>GA09932-US-RA</v>
      </c>
    </row>
    <row r="120">
      <c r="A120" s="172" t="str">
        <f>IFERROR(__xludf.DUMMYFUNCTION("""COMPUTED_VALUE"""),"US GStore ")</f>
        <v>US GStore </v>
      </c>
      <c r="B120" s="182" t="str">
        <f>IFERROR(__xludf.DUMMYFUNCTION("""COMPUTED_VALUE"""),"MMWAVE")</f>
        <v>MMWAVE</v>
      </c>
      <c r="C120" s="182" t="str">
        <f>IFERROR(__xludf.DUMMYFUNCTION("""COMPUTED_VALUE"""),"G4QUR")</f>
        <v>G4QUR</v>
      </c>
      <c r="D120" s="182" t="str">
        <f>IFERROR(__xludf.DUMMYFUNCTION("""COMPUTED_VALUE"""),"GA09887-US-RA")</f>
        <v>GA09887-US-RA</v>
      </c>
      <c r="E120" s="182" t="str">
        <f>IFERROR(__xludf.DUMMYFUNCTION("""COMPUTED_VALUE"""),"GA10302-US-RA")</f>
        <v>GA10302-US-RA</v>
      </c>
      <c r="F120" s="182" t="str">
        <f>IFERROR(__xludf.DUMMYFUNCTION("""COMPUTED_VALUE"""),"GA10303-US-RA")</f>
        <v>GA10303-US-RA</v>
      </c>
      <c r="G120" s="182"/>
      <c r="H120" s="182" t="str">
        <f>IFERROR(__xludf.DUMMYFUNCTION("""COMPUTED_VALUE"""),"GA09899-US-RA")</f>
        <v>GA09899-US-RA</v>
      </c>
      <c r="I120" s="182" t="str">
        <f>IFERROR(__xludf.DUMMYFUNCTION("""COMPUTED_VALUE"""),"GA10304-US-RA")</f>
        <v>GA10304-US-RA</v>
      </c>
      <c r="J120" s="182" t="str">
        <f>IFERROR(__xludf.DUMMYFUNCTION("""COMPUTED_VALUE"""),"GA10305-US-RA")</f>
        <v>GA10305-US-RA</v>
      </c>
      <c r="K120" s="182" t="str">
        <f>IFERROR(__xludf.DUMMYFUNCTION("""COMPUTED_VALUE"""),"GA10306-US-RA")</f>
        <v>GA10306-US-RA</v>
      </c>
      <c r="L120" s="182" t="str">
        <f>IFERROR(__xludf.DUMMYFUNCTION("""COMPUTED_VALUE"""),"GA09908-US-RA")</f>
        <v>GA09908-US-RA</v>
      </c>
      <c r="M120" s="182" t="str">
        <f>IFERROR(__xludf.DUMMYFUNCTION("""COMPUTED_VALUE"""),"GA10307-US-RA")</f>
        <v>GA10307-US-RA</v>
      </c>
      <c r="N120" s="182" t="str">
        <f>IFERROR(__xludf.DUMMYFUNCTION("""COMPUTED_VALUE"""),"GA10308-US-RA")</f>
        <v>GA10308-US-RA</v>
      </c>
      <c r="O120" s="182" t="str">
        <f>IFERROR(__xludf.DUMMYFUNCTION("""COMPUTED_VALUE"""),"GA10309-US-RA")</f>
        <v>GA10309-US-RA</v>
      </c>
      <c r="P120" s="182" t="str">
        <f>IFERROR(__xludf.DUMMYFUNCTION("""COMPUTED_VALUE"""),"GA09933-US-RA")</f>
        <v>GA09933-US-RA</v>
      </c>
    </row>
    <row r="121">
      <c r="A121" s="172" t="str">
        <f>IFERROR(__xludf.DUMMYFUNCTION("""COMPUTED_VALUE"""),"JP ")</f>
        <v>JP </v>
      </c>
      <c r="B121" s="182" t="str">
        <f>IFERROR(__xludf.DUMMYFUNCTION("""COMPUTED_VALUE"""),"SUB6")</f>
        <v>SUB6</v>
      </c>
      <c r="C121" s="182" t="str">
        <f>IFERROR(__xludf.DUMMYFUNCTION("""COMPUTED_VALUE"""),"GN4F5")</f>
        <v>GN4F5</v>
      </c>
      <c r="D121" s="182" t="str">
        <f>IFERROR(__xludf.DUMMYFUNCTION("""COMPUTED_VALUE"""),"GA09601-JP-RA")</f>
        <v>GA09601-JP-RA</v>
      </c>
      <c r="E121" s="182" t="str">
        <f>IFERROR(__xludf.DUMMYFUNCTION("""COMPUTED_VALUE"""),"GA10312-JP-RA")</f>
        <v>GA10312-JP-RA</v>
      </c>
      <c r="F121" s="182" t="str">
        <f>IFERROR(__xludf.DUMMYFUNCTION("""COMPUTED_VALUE"""),"GA10313-JP-RA")</f>
        <v>GA10313-JP-RA</v>
      </c>
      <c r="G121" s="182"/>
      <c r="H121" s="182" t="str">
        <f>IFERROR(__xludf.DUMMYFUNCTION("""COMPUTED_VALUE"""),"GA09900-JP-RA")</f>
        <v>GA09900-JP-RA</v>
      </c>
      <c r="I121" s="182" t="str">
        <f>IFERROR(__xludf.DUMMYFUNCTION("""COMPUTED_VALUE"""),"GA10314-JP-RA")</f>
        <v>GA10314-JP-RA</v>
      </c>
      <c r="J121" s="182" t="str">
        <f>IFERROR(__xludf.DUMMYFUNCTION("""COMPUTED_VALUE"""),"GA10315-JP-RA")</f>
        <v>GA10315-JP-RA</v>
      </c>
      <c r="K121" s="182" t="str">
        <f>IFERROR(__xludf.DUMMYFUNCTION("""COMPUTED_VALUE"""),"GA10316-JP-RA")</f>
        <v>GA10316-JP-RA</v>
      </c>
      <c r="L121" s="182" t="str">
        <f>IFERROR(__xludf.DUMMYFUNCTION("""COMPUTED_VALUE"""),"GA09909-JP-RA")</f>
        <v>GA09909-JP-RA</v>
      </c>
      <c r="M121" s="182" t="str">
        <f>IFERROR(__xludf.DUMMYFUNCTION("""COMPUTED_VALUE"""),"GA10317-JP-RA")</f>
        <v>GA10317-JP-RA</v>
      </c>
      <c r="N121" s="182" t="str">
        <f>IFERROR(__xludf.DUMMYFUNCTION("""COMPUTED_VALUE"""),"GA10318-JP-RA")</f>
        <v>GA10318-JP-RA</v>
      </c>
      <c r="O121" s="182" t="str">
        <f>IFERROR(__xludf.DUMMYFUNCTION("""COMPUTED_VALUE"""),"GA10319-JP-RA")</f>
        <v>GA10319-JP-RA</v>
      </c>
      <c r="P121" s="182"/>
    </row>
    <row r="122">
      <c r="A122" s="172" t="str">
        <f>IFERROR(__xludf.DUMMYFUNCTION("""COMPUTED_VALUE"""),"CA/MX/TW/SG/AU/MY")</f>
        <v>CA/MX/TW/SG/AU/MY</v>
      </c>
      <c r="B122" s="182" t="str">
        <f>IFERROR(__xludf.DUMMYFUNCTION("""COMPUTED_VALUE"""),"SUB6")</f>
        <v>SUB6</v>
      </c>
      <c r="C122" s="182" t="str">
        <f>IFERROR(__xludf.DUMMYFUNCTION("""COMPUTED_VALUE"""),"GEHN3")</f>
        <v>GEHN3</v>
      </c>
      <c r="D122" s="182" t="str">
        <f>IFERROR(__xludf.DUMMYFUNCTION("""COMPUTED_VALUE"""),"GA09601-CA-RA")</f>
        <v>GA09601-CA-RA</v>
      </c>
      <c r="E122" s="182" t="str">
        <f>IFERROR(__xludf.DUMMYFUNCTION("""COMPUTED_VALUE"""),"GA10312-CA-RA")</f>
        <v>GA10312-CA-RA</v>
      </c>
      <c r="F122" s="182" t="str">
        <f>IFERROR(__xludf.DUMMYFUNCTION("""COMPUTED_VALUE"""),"GA10313-CA-RA")</f>
        <v>GA10313-CA-RA</v>
      </c>
      <c r="G122" s="182"/>
      <c r="H122" s="182" t="str">
        <f>IFERROR(__xludf.DUMMYFUNCTION("""COMPUTED_VALUE"""),"GA09900-CA-RA")</f>
        <v>GA09900-CA-RA</v>
      </c>
      <c r="I122" s="182" t="str">
        <f>IFERROR(__xludf.DUMMYFUNCTION("""COMPUTED_VALUE"""),"GA10314-CA-RA")</f>
        <v>GA10314-CA-RA</v>
      </c>
      <c r="J122" s="182" t="str">
        <f>IFERROR(__xludf.DUMMYFUNCTION("""COMPUTED_VALUE"""),"GA10315-CA-RA")</f>
        <v>GA10315-CA-RA</v>
      </c>
      <c r="K122" s="182" t="str">
        <f>IFERROR(__xludf.DUMMYFUNCTION("""COMPUTED_VALUE"""),"GA10316-CA-RA")</f>
        <v>GA10316-CA-RA</v>
      </c>
      <c r="L122" s="182" t="str">
        <f>IFERROR(__xludf.DUMMYFUNCTION("""COMPUTED_VALUE"""),"GA09909-CA-RA")</f>
        <v>GA09909-CA-RA</v>
      </c>
      <c r="M122" s="182" t="str">
        <f>IFERROR(__xludf.DUMMYFUNCTION("""COMPUTED_VALUE"""),"GA10317-CA-RA")</f>
        <v>GA10317-CA-RA</v>
      </c>
      <c r="N122" s="182" t="str">
        <f>IFERROR(__xludf.DUMMYFUNCTION("""COMPUTED_VALUE"""),"GA10318-CA-RA")</f>
        <v>GA10318-CA-RA</v>
      </c>
      <c r="O122" s="182" t="str">
        <f>IFERROR(__xludf.DUMMYFUNCTION("""COMPUTED_VALUE"""),"GA10319-CA-RA")</f>
        <v>GA10319-CA-RA</v>
      </c>
      <c r="P122" s="182" t="str">
        <f>IFERROR(__xludf.DUMMYFUNCTION("""COMPUTED_VALUE"""),"GA09934-CA-RA")</f>
        <v>GA09934-CA-RA</v>
      </c>
    </row>
    <row r="123">
      <c r="A123" s="172" t="str">
        <f>IFERROR(__xludf.DUMMYFUNCTION("""COMPUTED_VALUE"""),"IN")</f>
        <v>IN</v>
      </c>
      <c r="B123" s="182" t="str">
        <f>IFERROR(__xludf.DUMMYFUNCTION("""COMPUTED_VALUE"""),"SUB6")</f>
        <v>SUB6</v>
      </c>
      <c r="C123" s="182" t="str">
        <f>IFERROR(__xludf.DUMMYFUNCTION("""COMPUTED_VALUE"""),"GEHN3")</f>
        <v>GEHN3</v>
      </c>
      <c r="D123" s="182"/>
      <c r="E123" s="182"/>
      <c r="F123" s="182"/>
      <c r="G123" s="182"/>
      <c r="H123" s="182" t="str">
        <f>IFERROR(__xludf.DUMMYFUNCTION("""COMPUTED_VALUE"""),"GA09900-IN-RA")</f>
        <v>GA09900-IN-RA</v>
      </c>
      <c r="I123" s="182" t="str">
        <f>IFERROR(__xludf.DUMMYFUNCTION("""COMPUTED_VALUE"""),"GA10314-IN-RA")</f>
        <v>GA10314-IN-RA</v>
      </c>
      <c r="J123" s="182" t="str">
        <f>IFERROR(__xludf.DUMMYFUNCTION("""COMPUTED_VALUE"""),"GA10315-IN-RA")</f>
        <v>GA10315-IN-RA</v>
      </c>
      <c r="K123" s="182" t="str">
        <f>IFERROR(__xludf.DUMMYFUNCTION("""COMPUTED_VALUE"""),"GA10316-IN-RA")</f>
        <v>GA10316-IN-RA</v>
      </c>
      <c r="L123" s="182"/>
      <c r="M123" s="182"/>
      <c r="N123" s="182"/>
      <c r="O123" s="182"/>
      <c r="P123" s="182"/>
    </row>
    <row r="124">
      <c r="A124" s="172" t="str">
        <f>IFERROR(__xludf.DUMMYFUNCTION("""COMPUTED_VALUE"""),"EU(GB, DE, IT, ES, IE, FR, NL, BE, AT, CH, PT, PL, CEE (RO, CZ, HU, SI, LV, LT, EE, FI), NO,SE,DK, SK) ")</f>
        <v>EU(GB, DE, IT, ES, IE, FR, NL, BE, AT, CH, PT, PL, CEE (RO, CZ, HU, SI, LV, LT, EE, FI), NO,SE,DK, SK) </v>
      </c>
      <c r="B124" s="182" t="str">
        <f>IFERROR(__xludf.DUMMYFUNCTION("""COMPUTED_VALUE"""),"SUB6")</f>
        <v>SUB6</v>
      </c>
      <c r="C124" s="182" t="str">
        <f>IFERROR(__xludf.DUMMYFUNCTION("""COMPUTED_VALUE"""),"GEHN3")</f>
        <v>GEHN3</v>
      </c>
      <c r="D124" s="182" t="str">
        <f>IFERROR(__xludf.DUMMYFUNCTION("""COMPUTED_VALUE"""),"GA09601-GB-RA")</f>
        <v>GA09601-GB-RA</v>
      </c>
      <c r="E124" s="182" t="str">
        <f>IFERROR(__xludf.DUMMYFUNCTION("""COMPUTED_VALUE"""),"GA10312-GB-RA")</f>
        <v>GA10312-GB-RA</v>
      </c>
      <c r="F124" s="182" t="str">
        <f>IFERROR(__xludf.DUMMYFUNCTION("""COMPUTED_VALUE"""),"GA10313-GB-RA")</f>
        <v>GA10313-GB-RA</v>
      </c>
      <c r="G124" s="182"/>
      <c r="H124" s="182" t="str">
        <f>IFERROR(__xludf.DUMMYFUNCTION("""COMPUTED_VALUE"""),"GA09900-GB-RA")</f>
        <v>GA09900-GB-RA</v>
      </c>
      <c r="I124" s="182" t="str">
        <f>IFERROR(__xludf.DUMMYFUNCTION("""COMPUTED_VALUE"""),"GA10314-GB-RA")</f>
        <v>GA10314-GB-RA</v>
      </c>
      <c r="J124" s="182" t="str">
        <f>IFERROR(__xludf.DUMMYFUNCTION("""COMPUTED_VALUE"""),"GA10315-GB-RA")</f>
        <v>GA10315-GB-RA</v>
      </c>
      <c r="K124" s="182" t="str">
        <f>IFERROR(__xludf.DUMMYFUNCTION("""COMPUTED_VALUE"""),"GA10316-GB-RA")</f>
        <v>GA10316-GB-RA</v>
      </c>
      <c r="L124" s="182" t="str">
        <f>IFERROR(__xludf.DUMMYFUNCTION("""COMPUTED_VALUE"""),"GA09909-GB-RA")</f>
        <v>GA09909-GB-RA</v>
      </c>
      <c r="M124" s="182" t="str">
        <f>IFERROR(__xludf.DUMMYFUNCTION("""COMPUTED_VALUE"""),"GA10317-GB-RA")</f>
        <v>GA10317-GB-RA</v>
      </c>
      <c r="N124" s="182" t="str">
        <f>IFERROR(__xludf.DUMMYFUNCTION("""COMPUTED_VALUE"""),"GA10318-GB-RA")</f>
        <v>GA10318-GB-RA</v>
      </c>
      <c r="O124" s="182" t="str">
        <f>IFERROR(__xludf.DUMMYFUNCTION("""COMPUTED_VALUE"""),"GA10319-GB-RA")</f>
        <v>GA10319-GB-RA</v>
      </c>
      <c r="P124" s="182" t="str">
        <f>IFERROR(__xludf.DUMMYFUNCTION("""COMPUTED_VALUE"""),"GA09934-GB-RA")</f>
        <v>GA09934-GB-RA</v>
      </c>
    </row>
    <row r="125">
      <c r="A125" s="172" t="str">
        <f>IFERROR(__xludf.DUMMYFUNCTION("""COMPUTED_VALUE"""),"Total")</f>
        <v>Total</v>
      </c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</row>
    <row r="126">
      <c r="A126" s="17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</row>
    <row r="127">
      <c r="A127" s="17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</row>
    <row r="128">
      <c r="A128" s="17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</row>
    <row r="129">
      <c r="A129" s="17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</row>
    <row r="130">
      <c r="A130" s="172"/>
    </row>
    <row r="131">
      <c r="A131" s="172"/>
    </row>
    <row r="132">
      <c r="A132" s="172"/>
    </row>
    <row r="133">
      <c r="A133" s="172"/>
    </row>
    <row r="134">
      <c r="A134" s="172"/>
    </row>
    <row r="135">
      <c r="A135" s="172"/>
    </row>
    <row r="136">
      <c r="A136" s="172"/>
    </row>
    <row r="137">
      <c r="A137" s="172"/>
    </row>
    <row r="138">
      <c r="A138" s="172"/>
    </row>
    <row r="139">
      <c r="A139" s="172"/>
    </row>
    <row r="140">
      <c r="A140" s="172"/>
    </row>
    <row r="141">
      <c r="A141" s="172"/>
    </row>
    <row r="142">
      <c r="A142" s="172"/>
    </row>
    <row r="143">
      <c r="A143" s="172"/>
    </row>
    <row r="144">
      <c r="A144" s="172"/>
    </row>
    <row r="145">
      <c r="A145" s="172"/>
    </row>
    <row r="146">
      <c r="A146" s="172"/>
    </row>
    <row r="147">
      <c r="A147" s="172"/>
    </row>
    <row r="148">
      <c r="A148" s="172"/>
    </row>
    <row r="149">
      <c r="A149" s="172"/>
    </row>
    <row r="150">
      <c r="A150" s="172"/>
    </row>
    <row r="151">
      <c r="A151" s="172"/>
    </row>
    <row r="152">
      <c r="A152" s="172"/>
    </row>
    <row r="153">
      <c r="A153" s="172"/>
    </row>
    <row r="154">
      <c r="A154" s="172"/>
    </row>
    <row r="155">
      <c r="A155" s="172"/>
    </row>
    <row r="156">
      <c r="A156" s="172"/>
    </row>
    <row r="157">
      <c r="A157" s="172"/>
    </row>
    <row r="158">
      <c r="A158" s="172"/>
    </row>
    <row r="159">
      <c r="A159" s="172"/>
    </row>
    <row r="160">
      <c r="A160" s="172"/>
    </row>
    <row r="161">
      <c r="A161" s="172"/>
    </row>
    <row r="162">
      <c r="A162" s="172"/>
    </row>
    <row r="163">
      <c r="A163" s="172"/>
    </row>
    <row r="164">
      <c r="A164" s="172"/>
    </row>
    <row r="165">
      <c r="A165" s="172"/>
    </row>
    <row r="166">
      <c r="A166" s="172"/>
    </row>
    <row r="167">
      <c r="A167" s="172"/>
    </row>
    <row r="168">
      <c r="A168" s="172"/>
    </row>
    <row r="169">
      <c r="A169" s="172"/>
    </row>
    <row r="170">
      <c r="A170" s="172"/>
    </row>
    <row r="171">
      <c r="A171" s="172"/>
    </row>
    <row r="172">
      <c r="A172" s="172"/>
    </row>
    <row r="173">
      <c r="A173" s="172"/>
    </row>
    <row r="174">
      <c r="A174" s="172"/>
    </row>
    <row r="175">
      <c r="A175" s="172"/>
    </row>
    <row r="176">
      <c r="A176" s="172"/>
    </row>
    <row r="177">
      <c r="A177" s="172"/>
    </row>
    <row r="178">
      <c r="A178" s="172"/>
    </row>
    <row r="179">
      <c r="A179" s="172"/>
    </row>
    <row r="180">
      <c r="A180" s="172"/>
    </row>
    <row r="181">
      <c r="A181" s="172"/>
    </row>
    <row r="182">
      <c r="A182" s="172"/>
    </row>
    <row r="183">
      <c r="A183" s="172"/>
    </row>
    <row r="184">
      <c r="A184" s="172"/>
    </row>
    <row r="185">
      <c r="A185" s="172"/>
    </row>
    <row r="186">
      <c r="A186" s="172"/>
    </row>
    <row r="187">
      <c r="A187" s="172"/>
    </row>
    <row r="188">
      <c r="A188" s="172"/>
    </row>
    <row r="189">
      <c r="A189" s="172"/>
    </row>
    <row r="190">
      <c r="A190" s="172"/>
    </row>
    <row r="191">
      <c r="A191" s="172"/>
    </row>
    <row r="192">
      <c r="A192" s="172"/>
    </row>
    <row r="193">
      <c r="A193" s="172"/>
    </row>
    <row r="194">
      <c r="A194" s="172"/>
    </row>
    <row r="195">
      <c r="A195" s="172"/>
    </row>
    <row r="196">
      <c r="A196" s="172"/>
    </row>
    <row r="197">
      <c r="A197" s="172"/>
    </row>
    <row r="198">
      <c r="A198" s="172"/>
    </row>
    <row r="199">
      <c r="A199" s="172"/>
    </row>
    <row r="200">
      <c r="A200" s="172"/>
    </row>
    <row r="201">
      <c r="A201" s="172"/>
    </row>
    <row r="202">
      <c r="A202" s="172"/>
    </row>
    <row r="203">
      <c r="A203" s="172"/>
    </row>
    <row r="204">
      <c r="A204" s="172"/>
    </row>
    <row r="205">
      <c r="A205" s="172"/>
    </row>
    <row r="206">
      <c r="A206" s="172"/>
    </row>
    <row r="207">
      <c r="A207" s="172"/>
    </row>
    <row r="208">
      <c r="A208" s="172"/>
    </row>
    <row r="209">
      <c r="A209" s="172"/>
    </row>
    <row r="210">
      <c r="A210" s="172"/>
    </row>
    <row r="211">
      <c r="A211" s="172"/>
    </row>
    <row r="212">
      <c r="A212" s="172"/>
    </row>
    <row r="213">
      <c r="A213" s="172"/>
    </row>
    <row r="214">
      <c r="A214" s="172"/>
    </row>
    <row r="215">
      <c r="A215" s="172"/>
    </row>
    <row r="216">
      <c r="A216" s="172"/>
    </row>
    <row r="217">
      <c r="A217" s="172"/>
    </row>
    <row r="218">
      <c r="A218" s="172"/>
    </row>
    <row r="219">
      <c r="A219" s="172"/>
    </row>
    <row r="220">
      <c r="A220" s="172"/>
    </row>
    <row r="221">
      <c r="A221" s="172"/>
    </row>
    <row r="222">
      <c r="A222" s="172"/>
    </row>
    <row r="223">
      <c r="A223" s="172"/>
    </row>
    <row r="224">
      <c r="A224" s="172"/>
    </row>
    <row r="225">
      <c r="A225" s="172"/>
    </row>
    <row r="226">
      <c r="A226" s="172"/>
    </row>
    <row r="227">
      <c r="A227" s="172"/>
    </row>
    <row r="228">
      <c r="A228" s="172"/>
    </row>
    <row r="229">
      <c r="A229" s="172"/>
    </row>
    <row r="230">
      <c r="A230" s="172"/>
    </row>
    <row r="231">
      <c r="A231" s="172"/>
    </row>
    <row r="232">
      <c r="A232" s="172"/>
    </row>
    <row r="233">
      <c r="A233" s="172"/>
    </row>
    <row r="234">
      <c r="A234" s="172"/>
    </row>
    <row r="235">
      <c r="A235" s="172"/>
    </row>
    <row r="236">
      <c r="A236" s="172"/>
    </row>
    <row r="237">
      <c r="A237" s="172"/>
    </row>
    <row r="238">
      <c r="A238" s="172"/>
    </row>
    <row r="239">
      <c r="A239" s="172"/>
    </row>
    <row r="240">
      <c r="A240" s="172"/>
    </row>
    <row r="241">
      <c r="A241" s="172"/>
    </row>
    <row r="242">
      <c r="A242" s="172"/>
    </row>
    <row r="243">
      <c r="A243" s="172"/>
    </row>
    <row r="244">
      <c r="A244" s="172"/>
    </row>
    <row r="245">
      <c r="A245" s="172"/>
    </row>
    <row r="246">
      <c r="A246" s="172"/>
    </row>
    <row r="247">
      <c r="A247" s="172"/>
    </row>
    <row r="248">
      <c r="A248" s="172"/>
    </row>
    <row r="249">
      <c r="A249" s="172"/>
    </row>
    <row r="250">
      <c r="A250" s="172"/>
    </row>
    <row r="251">
      <c r="A251" s="172"/>
    </row>
    <row r="252">
      <c r="A252" s="172"/>
    </row>
    <row r="253">
      <c r="A253" s="172"/>
    </row>
    <row r="254">
      <c r="A254" s="172"/>
    </row>
    <row r="255">
      <c r="A255" s="172"/>
    </row>
    <row r="256">
      <c r="A256" s="172"/>
    </row>
    <row r="257">
      <c r="A257" s="172"/>
    </row>
    <row r="258">
      <c r="A258" s="172"/>
    </row>
    <row r="259">
      <c r="A259" s="172"/>
    </row>
    <row r="260">
      <c r="A260" s="172"/>
    </row>
    <row r="261">
      <c r="A261" s="172"/>
    </row>
    <row r="262">
      <c r="A262" s="172"/>
    </row>
    <row r="263">
      <c r="A263" s="172"/>
    </row>
    <row r="264">
      <c r="A264" s="172"/>
    </row>
    <row r="265">
      <c r="A265" s="172"/>
    </row>
    <row r="266">
      <c r="A266" s="172"/>
    </row>
    <row r="267">
      <c r="A267" s="172"/>
    </row>
    <row r="268">
      <c r="A268" s="172"/>
    </row>
    <row r="269">
      <c r="A269" s="172"/>
    </row>
    <row r="270">
      <c r="A270" s="172"/>
    </row>
    <row r="271">
      <c r="A271" s="172"/>
    </row>
    <row r="272">
      <c r="A272" s="172"/>
    </row>
    <row r="273">
      <c r="A273" s="172"/>
    </row>
    <row r="274">
      <c r="A274" s="172"/>
    </row>
    <row r="275">
      <c r="A275" s="172"/>
    </row>
    <row r="276">
      <c r="A276" s="172"/>
    </row>
    <row r="277">
      <c r="A277" s="172"/>
    </row>
    <row r="278">
      <c r="A278" s="172"/>
    </row>
    <row r="279">
      <c r="A279" s="172"/>
    </row>
    <row r="280">
      <c r="A280" s="172"/>
    </row>
    <row r="281">
      <c r="A281" s="172"/>
    </row>
    <row r="282">
      <c r="A282" s="172"/>
    </row>
    <row r="283">
      <c r="A283" s="172"/>
    </row>
    <row r="284">
      <c r="A284" s="172"/>
    </row>
    <row r="285">
      <c r="A285" s="172"/>
    </row>
    <row r="286">
      <c r="A286" s="172"/>
    </row>
    <row r="287">
      <c r="A287" s="172"/>
    </row>
    <row r="288">
      <c r="A288" s="172"/>
    </row>
    <row r="289">
      <c r="A289" s="172"/>
    </row>
    <row r="290">
      <c r="A290" s="172"/>
    </row>
    <row r="291">
      <c r="A291" s="172"/>
    </row>
    <row r="292">
      <c r="A292" s="172"/>
    </row>
    <row r="293">
      <c r="A293" s="172"/>
    </row>
    <row r="294">
      <c r="A294" s="172"/>
    </row>
    <row r="295">
      <c r="A295" s="172"/>
    </row>
    <row r="296">
      <c r="A296" s="172"/>
    </row>
    <row r="297">
      <c r="A297" s="172"/>
    </row>
    <row r="298">
      <c r="A298" s="172"/>
    </row>
    <row r="299">
      <c r="A299" s="172"/>
    </row>
    <row r="300">
      <c r="A300" s="172"/>
    </row>
    <row r="301">
      <c r="A301" s="172"/>
    </row>
    <row r="302">
      <c r="A302" s="172"/>
    </row>
    <row r="303">
      <c r="A303" s="172"/>
    </row>
    <row r="304">
      <c r="A304" s="172"/>
    </row>
    <row r="305">
      <c r="A305" s="172"/>
    </row>
    <row r="306">
      <c r="A306" s="172"/>
    </row>
    <row r="307">
      <c r="A307" s="172"/>
    </row>
    <row r="308">
      <c r="A308" s="172"/>
    </row>
    <row r="309">
      <c r="A309" s="172"/>
    </row>
    <row r="310">
      <c r="A310" s="172"/>
    </row>
    <row r="311">
      <c r="A311" s="172"/>
    </row>
    <row r="312">
      <c r="A312" s="172"/>
    </row>
    <row r="313">
      <c r="A313" s="172"/>
    </row>
    <row r="314">
      <c r="A314" s="172"/>
    </row>
    <row r="315">
      <c r="A315" s="172"/>
    </row>
    <row r="316">
      <c r="A316" s="172"/>
    </row>
    <row r="317">
      <c r="A317" s="172"/>
    </row>
    <row r="318">
      <c r="A318" s="172"/>
    </row>
    <row r="319">
      <c r="A319" s="172"/>
    </row>
    <row r="320">
      <c r="A320" s="172"/>
    </row>
    <row r="321">
      <c r="A321" s="172"/>
    </row>
    <row r="322">
      <c r="A322" s="172"/>
    </row>
    <row r="323">
      <c r="A323" s="172"/>
    </row>
    <row r="324">
      <c r="A324" s="172"/>
    </row>
    <row r="325">
      <c r="A325" s="172"/>
    </row>
    <row r="326">
      <c r="A326" s="172"/>
    </row>
    <row r="327">
      <c r="A327" s="172"/>
    </row>
    <row r="328">
      <c r="A328" s="172"/>
    </row>
    <row r="329">
      <c r="A329" s="172"/>
    </row>
    <row r="330">
      <c r="A330" s="172"/>
    </row>
    <row r="331">
      <c r="A331" s="172"/>
    </row>
    <row r="332">
      <c r="A332" s="172"/>
    </row>
    <row r="333">
      <c r="A333" s="172"/>
    </row>
    <row r="334">
      <c r="A334" s="172"/>
    </row>
    <row r="335">
      <c r="A335" s="172"/>
    </row>
    <row r="336">
      <c r="A336" s="172"/>
    </row>
    <row r="337">
      <c r="A337" s="172"/>
    </row>
    <row r="338">
      <c r="A338" s="172"/>
    </row>
    <row r="339">
      <c r="A339" s="172"/>
    </row>
    <row r="340">
      <c r="A340" s="172"/>
    </row>
    <row r="341">
      <c r="A341" s="172"/>
    </row>
    <row r="342">
      <c r="A342" s="172"/>
    </row>
    <row r="343">
      <c r="A343" s="172"/>
    </row>
    <row r="344">
      <c r="A344" s="172"/>
    </row>
    <row r="345">
      <c r="A345" s="172"/>
    </row>
    <row r="346">
      <c r="A346" s="172"/>
    </row>
    <row r="347">
      <c r="A347" s="172"/>
    </row>
    <row r="348">
      <c r="A348" s="172"/>
    </row>
    <row r="349">
      <c r="A349" s="172"/>
    </row>
    <row r="350">
      <c r="A350" s="172"/>
    </row>
    <row r="351">
      <c r="A351" s="172"/>
    </row>
    <row r="352">
      <c r="A352" s="172"/>
    </row>
    <row r="353">
      <c r="A353" s="172"/>
    </row>
    <row r="354">
      <c r="A354" s="172"/>
    </row>
    <row r="355">
      <c r="A355" s="172"/>
    </row>
    <row r="356">
      <c r="A356" s="172"/>
    </row>
    <row r="357">
      <c r="A357" s="172"/>
    </row>
    <row r="358">
      <c r="A358" s="172"/>
    </row>
    <row r="359">
      <c r="A359" s="172"/>
    </row>
    <row r="360">
      <c r="A360" s="172"/>
    </row>
    <row r="361">
      <c r="A361" s="172"/>
    </row>
    <row r="362">
      <c r="A362" s="172"/>
    </row>
    <row r="363">
      <c r="A363" s="172"/>
    </row>
    <row r="364">
      <c r="A364" s="172"/>
    </row>
    <row r="365">
      <c r="A365" s="172"/>
    </row>
    <row r="366">
      <c r="A366" s="172"/>
    </row>
    <row r="367">
      <c r="A367" s="172"/>
    </row>
    <row r="368">
      <c r="A368" s="172"/>
    </row>
    <row r="369">
      <c r="A369" s="172"/>
    </row>
    <row r="370">
      <c r="A370" s="172"/>
    </row>
    <row r="371">
      <c r="A371" s="172"/>
    </row>
    <row r="372">
      <c r="A372" s="172"/>
    </row>
    <row r="373">
      <c r="A373" s="172"/>
    </row>
    <row r="374">
      <c r="A374" s="172"/>
    </row>
    <row r="375">
      <c r="A375" s="172"/>
    </row>
    <row r="376">
      <c r="A376" s="172"/>
    </row>
    <row r="377">
      <c r="A377" s="172"/>
    </row>
    <row r="378">
      <c r="A378" s="172"/>
    </row>
    <row r="379">
      <c r="A379" s="172"/>
    </row>
    <row r="380">
      <c r="A380" s="172"/>
    </row>
    <row r="381">
      <c r="A381" s="172"/>
    </row>
    <row r="382">
      <c r="A382" s="172"/>
    </row>
    <row r="383">
      <c r="A383" s="172"/>
    </row>
    <row r="384">
      <c r="A384" s="172"/>
    </row>
    <row r="385">
      <c r="A385" s="172"/>
    </row>
    <row r="386">
      <c r="A386" s="172"/>
    </row>
    <row r="387">
      <c r="A387" s="172"/>
    </row>
    <row r="388">
      <c r="A388" s="172"/>
    </row>
    <row r="389">
      <c r="A389" s="172"/>
    </row>
    <row r="390">
      <c r="A390" s="172"/>
    </row>
    <row r="391">
      <c r="A391" s="172"/>
    </row>
    <row r="392">
      <c r="A392" s="172"/>
    </row>
    <row r="393">
      <c r="A393" s="172"/>
    </row>
    <row r="394">
      <c r="A394" s="172"/>
    </row>
    <row r="395">
      <c r="A395" s="172"/>
    </row>
    <row r="396">
      <c r="A396" s="172"/>
    </row>
    <row r="397">
      <c r="A397" s="172"/>
    </row>
    <row r="398">
      <c r="A398" s="172"/>
    </row>
    <row r="399">
      <c r="A399" s="172"/>
    </row>
    <row r="400">
      <c r="A400" s="172"/>
    </row>
    <row r="401">
      <c r="A401" s="172"/>
    </row>
    <row r="402">
      <c r="A402" s="172"/>
    </row>
    <row r="403">
      <c r="A403" s="172"/>
    </row>
    <row r="404">
      <c r="A404" s="172"/>
    </row>
    <row r="405">
      <c r="A405" s="172"/>
    </row>
    <row r="406">
      <c r="A406" s="172"/>
    </row>
    <row r="407">
      <c r="A407" s="172"/>
    </row>
    <row r="408">
      <c r="A408" s="172"/>
    </row>
    <row r="409">
      <c r="A409" s="172"/>
    </row>
    <row r="410">
      <c r="A410" s="172"/>
    </row>
    <row r="411">
      <c r="A411" s="172"/>
    </row>
    <row r="412">
      <c r="A412" s="172"/>
    </row>
    <row r="413">
      <c r="A413" s="172"/>
    </row>
    <row r="414">
      <c r="A414" s="172"/>
    </row>
    <row r="415">
      <c r="A415" s="172"/>
    </row>
    <row r="416">
      <c r="A416" s="172"/>
    </row>
    <row r="417">
      <c r="A417" s="172"/>
    </row>
    <row r="418">
      <c r="A418" s="172"/>
    </row>
    <row r="419">
      <c r="A419" s="172"/>
    </row>
    <row r="420">
      <c r="A420" s="172"/>
    </row>
    <row r="421">
      <c r="A421" s="172"/>
    </row>
    <row r="422">
      <c r="A422" s="172"/>
    </row>
    <row r="423">
      <c r="A423" s="172"/>
    </row>
    <row r="424">
      <c r="A424" s="172"/>
    </row>
    <row r="425">
      <c r="A425" s="172"/>
    </row>
    <row r="426">
      <c r="A426" s="172"/>
    </row>
    <row r="427">
      <c r="A427" s="172"/>
    </row>
    <row r="428">
      <c r="A428" s="172"/>
    </row>
    <row r="429">
      <c r="A429" s="172"/>
    </row>
    <row r="430">
      <c r="A430" s="172"/>
    </row>
    <row r="431">
      <c r="A431" s="172"/>
    </row>
    <row r="432">
      <c r="A432" s="172"/>
    </row>
    <row r="433">
      <c r="A433" s="172"/>
    </row>
    <row r="434">
      <c r="A434" s="172"/>
    </row>
    <row r="435">
      <c r="A435" s="172"/>
    </row>
    <row r="436">
      <c r="A436" s="172"/>
    </row>
    <row r="437">
      <c r="A437" s="172"/>
    </row>
    <row r="438">
      <c r="A438" s="172"/>
    </row>
    <row r="439">
      <c r="A439" s="172"/>
    </row>
    <row r="440">
      <c r="A440" s="172"/>
    </row>
    <row r="441">
      <c r="A441" s="172"/>
    </row>
    <row r="442">
      <c r="A442" s="172"/>
    </row>
    <row r="443">
      <c r="A443" s="172"/>
    </row>
    <row r="444">
      <c r="A444" s="172"/>
    </row>
    <row r="445">
      <c r="A445" s="172"/>
    </row>
    <row r="446">
      <c r="A446" s="172"/>
    </row>
    <row r="447">
      <c r="A447" s="172"/>
    </row>
    <row r="448">
      <c r="A448" s="172"/>
    </row>
    <row r="449">
      <c r="A449" s="172"/>
    </row>
    <row r="450">
      <c r="A450" s="172"/>
    </row>
    <row r="451">
      <c r="A451" s="172"/>
    </row>
    <row r="452">
      <c r="A452" s="172"/>
    </row>
    <row r="453">
      <c r="A453" s="172"/>
    </row>
    <row r="454">
      <c r="A454" s="172"/>
    </row>
    <row r="455">
      <c r="A455" s="172"/>
    </row>
    <row r="456">
      <c r="A456" s="172"/>
    </row>
    <row r="457">
      <c r="A457" s="172"/>
    </row>
    <row r="458">
      <c r="A458" s="172"/>
    </row>
    <row r="459">
      <c r="A459" s="172"/>
    </row>
    <row r="460">
      <c r="A460" s="172"/>
    </row>
    <row r="461">
      <c r="A461" s="172"/>
    </row>
    <row r="462">
      <c r="A462" s="172"/>
    </row>
    <row r="463">
      <c r="A463" s="172"/>
    </row>
    <row r="464">
      <c r="A464" s="172"/>
    </row>
    <row r="465">
      <c r="A465" s="172"/>
    </row>
    <row r="466">
      <c r="A466" s="172"/>
    </row>
    <row r="467">
      <c r="A467" s="172"/>
    </row>
    <row r="468">
      <c r="A468" s="172"/>
    </row>
    <row r="469">
      <c r="A469" s="172"/>
    </row>
    <row r="470">
      <c r="A470" s="172"/>
    </row>
    <row r="471">
      <c r="A471" s="172"/>
    </row>
    <row r="472">
      <c r="A472" s="172"/>
    </row>
    <row r="473">
      <c r="A473" s="172"/>
    </row>
    <row r="474">
      <c r="A474" s="172"/>
    </row>
    <row r="475">
      <c r="A475" s="172"/>
    </row>
    <row r="476">
      <c r="A476" s="172"/>
    </row>
    <row r="477">
      <c r="A477" s="172"/>
    </row>
    <row r="478">
      <c r="A478" s="172"/>
    </row>
    <row r="479">
      <c r="A479" s="172"/>
    </row>
    <row r="480">
      <c r="A480" s="172"/>
    </row>
    <row r="481">
      <c r="A481" s="172"/>
    </row>
    <row r="482">
      <c r="A482" s="172"/>
    </row>
    <row r="483">
      <c r="A483" s="172"/>
    </row>
    <row r="484">
      <c r="A484" s="172"/>
    </row>
    <row r="485">
      <c r="A485" s="172"/>
    </row>
    <row r="486">
      <c r="A486" s="172"/>
    </row>
    <row r="487">
      <c r="A487" s="172"/>
    </row>
    <row r="488">
      <c r="A488" s="172"/>
    </row>
    <row r="489">
      <c r="A489" s="172"/>
    </row>
    <row r="490">
      <c r="A490" s="172"/>
    </row>
    <row r="491">
      <c r="A491" s="172"/>
    </row>
    <row r="492">
      <c r="A492" s="172"/>
    </row>
    <row r="493">
      <c r="A493" s="172"/>
    </row>
    <row r="494">
      <c r="A494" s="172"/>
    </row>
    <row r="495">
      <c r="A495" s="172"/>
    </row>
    <row r="496">
      <c r="A496" s="172"/>
    </row>
    <row r="497">
      <c r="A497" s="172"/>
    </row>
    <row r="498">
      <c r="A498" s="172"/>
    </row>
    <row r="499">
      <c r="A499" s="172"/>
    </row>
    <row r="500">
      <c r="A500" s="172"/>
    </row>
    <row r="501">
      <c r="A501" s="172"/>
    </row>
    <row r="502">
      <c r="A502" s="172"/>
    </row>
    <row r="503">
      <c r="A503" s="172"/>
    </row>
    <row r="504">
      <c r="A504" s="172"/>
    </row>
    <row r="505">
      <c r="A505" s="172"/>
    </row>
    <row r="506">
      <c r="A506" s="172"/>
    </row>
    <row r="507">
      <c r="A507" s="172"/>
    </row>
    <row r="508">
      <c r="A508" s="172"/>
    </row>
    <row r="509">
      <c r="A509" s="172"/>
    </row>
    <row r="510">
      <c r="A510" s="172"/>
    </row>
    <row r="511">
      <c r="A511" s="172"/>
    </row>
    <row r="512">
      <c r="A512" s="172"/>
    </row>
    <row r="513">
      <c r="A513" s="172"/>
    </row>
    <row r="514">
      <c r="A514" s="172"/>
    </row>
    <row r="515">
      <c r="A515" s="172"/>
    </row>
    <row r="516">
      <c r="A516" s="172"/>
    </row>
    <row r="517">
      <c r="A517" s="172"/>
    </row>
    <row r="518">
      <c r="A518" s="172"/>
    </row>
    <row r="519">
      <c r="A519" s="172"/>
    </row>
    <row r="520">
      <c r="A520" s="172"/>
    </row>
    <row r="521">
      <c r="A521" s="172"/>
    </row>
    <row r="522">
      <c r="A522" s="172"/>
    </row>
    <row r="523">
      <c r="A523" s="172"/>
    </row>
    <row r="524">
      <c r="A524" s="172"/>
    </row>
    <row r="525">
      <c r="A525" s="172"/>
    </row>
    <row r="526">
      <c r="A526" s="172"/>
    </row>
    <row r="527">
      <c r="A527" s="172"/>
    </row>
    <row r="528">
      <c r="A528" s="172"/>
    </row>
    <row r="529">
      <c r="A529" s="172"/>
    </row>
    <row r="530">
      <c r="A530" s="172"/>
    </row>
    <row r="531">
      <c r="A531" s="172"/>
    </row>
    <row r="532">
      <c r="A532" s="172"/>
    </row>
    <row r="533">
      <c r="A533" s="172"/>
    </row>
    <row r="534">
      <c r="A534" s="172"/>
    </row>
    <row r="535">
      <c r="A535" s="172"/>
    </row>
    <row r="536">
      <c r="A536" s="172"/>
    </row>
    <row r="537">
      <c r="A537" s="172"/>
    </row>
    <row r="538">
      <c r="A538" s="172"/>
    </row>
    <row r="539">
      <c r="A539" s="172"/>
    </row>
    <row r="540">
      <c r="A540" s="172"/>
    </row>
    <row r="541">
      <c r="A541" s="172"/>
    </row>
    <row r="542">
      <c r="A542" s="172"/>
    </row>
    <row r="543">
      <c r="A543" s="172"/>
    </row>
    <row r="544">
      <c r="A544" s="172"/>
    </row>
    <row r="545">
      <c r="A545" s="172"/>
    </row>
    <row r="546">
      <c r="A546" s="172"/>
    </row>
    <row r="547">
      <c r="A547" s="172"/>
    </row>
    <row r="548">
      <c r="A548" s="172"/>
    </row>
    <row r="549">
      <c r="A549" s="172"/>
    </row>
    <row r="550">
      <c r="A550" s="172"/>
    </row>
    <row r="551">
      <c r="A551" s="172"/>
    </row>
    <row r="552">
      <c r="A552" s="172"/>
    </row>
    <row r="553">
      <c r="A553" s="172"/>
    </row>
    <row r="554">
      <c r="A554" s="172"/>
    </row>
    <row r="555">
      <c r="A555" s="172"/>
    </row>
    <row r="556">
      <c r="A556" s="172"/>
    </row>
    <row r="557">
      <c r="A557" s="172"/>
    </row>
    <row r="558">
      <c r="A558" s="172"/>
    </row>
    <row r="559">
      <c r="A559" s="172"/>
    </row>
    <row r="560">
      <c r="A560" s="172"/>
    </row>
    <row r="561">
      <c r="A561" s="172"/>
    </row>
    <row r="562">
      <c r="A562" s="172"/>
    </row>
    <row r="563">
      <c r="A563" s="172"/>
    </row>
    <row r="564">
      <c r="A564" s="172"/>
    </row>
    <row r="565">
      <c r="A565" s="172"/>
    </row>
    <row r="566">
      <c r="A566" s="172"/>
    </row>
    <row r="567">
      <c r="A567" s="172"/>
    </row>
    <row r="568">
      <c r="A568" s="172"/>
    </row>
    <row r="569">
      <c r="A569" s="172"/>
    </row>
    <row r="570">
      <c r="A570" s="172"/>
    </row>
    <row r="571">
      <c r="A571" s="172"/>
    </row>
    <row r="572">
      <c r="A572" s="172"/>
    </row>
    <row r="573">
      <c r="A573" s="172"/>
    </row>
    <row r="574">
      <c r="A574" s="172"/>
    </row>
    <row r="575">
      <c r="A575" s="172"/>
    </row>
    <row r="576">
      <c r="A576" s="172"/>
    </row>
    <row r="577">
      <c r="A577" s="172"/>
    </row>
    <row r="578">
      <c r="A578" s="172"/>
    </row>
    <row r="579">
      <c r="A579" s="172"/>
    </row>
    <row r="580">
      <c r="A580" s="172"/>
    </row>
    <row r="581">
      <c r="A581" s="172"/>
    </row>
    <row r="582">
      <c r="A582" s="172"/>
    </row>
    <row r="583">
      <c r="A583" s="172"/>
    </row>
    <row r="584">
      <c r="A584" s="172"/>
    </row>
    <row r="585">
      <c r="A585" s="172"/>
    </row>
    <row r="586">
      <c r="A586" s="172"/>
    </row>
    <row r="587">
      <c r="A587" s="172"/>
    </row>
    <row r="588">
      <c r="A588" s="172"/>
    </row>
    <row r="589">
      <c r="A589" s="172"/>
    </row>
    <row r="590">
      <c r="A590" s="172"/>
    </row>
    <row r="591">
      <c r="A591" s="172"/>
    </row>
    <row r="592">
      <c r="A592" s="172"/>
    </row>
    <row r="593">
      <c r="A593" s="172"/>
    </row>
    <row r="594">
      <c r="A594" s="172"/>
    </row>
    <row r="595">
      <c r="A595" s="172"/>
    </row>
    <row r="596">
      <c r="A596" s="172"/>
    </row>
    <row r="597">
      <c r="A597" s="172"/>
    </row>
    <row r="598">
      <c r="A598" s="172"/>
    </row>
    <row r="599">
      <c r="A599" s="172"/>
    </row>
    <row r="600">
      <c r="A600" s="172"/>
    </row>
    <row r="601">
      <c r="A601" s="172"/>
    </row>
    <row r="602">
      <c r="A602" s="172"/>
    </row>
    <row r="603">
      <c r="A603" s="172"/>
    </row>
    <row r="604">
      <c r="A604" s="172"/>
    </row>
    <row r="605">
      <c r="A605" s="172"/>
    </row>
    <row r="606">
      <c r="A606" s="172"/>
    </row>
    <row r="607">
      <c r="A607" s="172"/>
    </row>
    <row r="608">
      <c r="A608" s="172"/>
    </row>
    <row r="609">
      <c r="A609" s="172"/>
    </row>
    <row r="610">
      <c r="A610" s="172"/>
    </row>
    <row r="611">
      <c r="A611" s="172"/>
    </row>
    <row r="612">
      <c r="A612" s="172"/>
    </row>
    <row r="613">
      <c r="A613" s="172"/>
    </row>
    <row r="614">
      <c r="A614" s="172"/>
    </row>
    <row r="615">
      <c r="A615" s="172"/>
    </row>
    <row r="616">
      <c r="A616" s="172"/>
    </row>
    <row r="617">
      <c r="A617" s="172"/>
    </row>
    <row r="618">
      <c r="A618" s="172"/>
    </row>
    <row r="619">
      <c r="A619" s="172"/>
    </row>
    <row r="620">
      <c r="A620" s="172"/>
    </row>
    <row r="621">
      <c r="A621" s="172"/>
    </row>
    <row r="622">
      <c r="A622" s="172"/>
    </row>
    <row r="623">
      <c r="A623" s="172"/>
    </row>
    <row r="624">
      <c r="A624" s="172"/>
    </row>
    <row r="625">
      <c r="A625" s="172"/>
    </row>
    <row r="626">
      <c r="A626" s="172"/>
    </row>
    <row r="627">
      <c r="A627" s="172"/>
    </row>
    <row r="628">
      <c r="A628" s="172"/>
    </row>
    <row r="629">
      <c r="A629" s="172"/>
    </row>
    <row r="630">
      <c r="A630" s="172"/>
    </row>
    <row r="631">
      <c r="A631" s="172"/>
    </row>
    <row r="632">
      <c r="A632" s="172"/>
    </row>
    <row r="633">
      <c r="A633" s="172"/>
    </row>
    <row r="634">
      <c r="A634" s="172"/>
    </row>
    <row r="635">
      <c r="A635" s="172"/>
    </row>
    <row r="636">
      <c r="A636" s="172"/>
    </row>
    <row r="637">
      <c r="A637" s="172"/>
    </row>
    <row r="638">
      <c r="A638" s="172"/>
    </row>
    <row r="639">
      <c r="A639" s="172"/>
    </row>
    <row r="640">
      <c r="A640" s="172"/>
    </row>
    <row r="641">
      <c r="A641" s="172"/>
    </row>
    <row r="642">
      <c r="A642" s="172"/>
    </row>
    <row r="643">
      <c r="A643" s="172"/>
    </row>
    <row r="644">
      <c r="A644" s="172"/>
    </row>
    <row r="645">
      <c r="A645" s="172"/>
    </row>
    <row r="646">
      <c r="A646" s="172"/>
    </row>
    <row r="647">
      <c r="A647" s="172"/>
    </row>
    <row r="648">
      <c r="A648" s="172"/>
    </row>
    <row r="649">
      <c r="A649" s="172"/>
    </row>
    <row r="650">
      <c r="A650" s="172"/>
    </row>
    <row r="651">
      <c r="A651" s="172"/>
    </row>
    <row r="652">
      <c r="A652" s="172"/>
    </row>
    <row r="653">
      <c r="A653" s="172"/>
    </row>
    <row r="654">
      <c r="A654" s="172"/>
    </row>
    <row r="655">
      <c r="A655" s="172"/>
    </row>
    <row r="656">
      <c r="A656" s="172"/>
    </row>
    <row r="657">
      <c r="A657" s="172"/>
    </row>
    <row r="658">
      <c r="A658" s="172"/>
    </row>
    <row r="659">
      <c r="A659" s="172"/>
    </row>
    <row r="660">
      <c r="A660" s="172"/>
    </row>
    <row r="661">
      <c r="A661" s="172"/>
    </row>
    <row r="662">
      <c r="A662" s="172"/>
    </row>
    <row r="663">
      <c r="A663" s="172"/>
    </row>
    <row r="664">
      <c r="A664" s="172"/>
    </row>
    <row r="665">
      <c r="A665" s="172"/>
    </row>
    <row r="666">
      <c r="A666" s="172"/>
    </row>
    <row r="667">
      <c r="A667" s="172"/>
    </row>
    <row r="668">
      <c r="A668" s="172"/>
    </row>
    <row r="669">
      <c r="A669" s="172"/>
    </row>
    <row r="670">
      <c r="A670" s="172"/>
    </row>
    <row r="671">
      <c r="A671" s="172"/>
    </row>
    <row r="672">
      <c r="A672" s="172"/>
    </row>
    <row r="673">
      <c r="A673" s="172"/>
    </row>
    <row r="674">
      <c r="A674" s="172"/>
    </row>
    <row r="675">
      <c r="A675" s="172"/>
    </row>
    <row r="676">
      <c r="A676" s="172"/>
    </row>
    <row r="677">
      <c r="A677" s="172"/>
    </row>
    <row r="678">
      <c r="A678" s="172"/>
    </row>
    <row r="679">
      <c r="A679" s="172"/>
    </row>
    <row r="680">
      <c r="A680" s="172"/>
    </row>
    <row r="681">
      <c r="A681" s="172"/>
    </row>
    <row r="682">
      <c r="A682" s="172"/>
    </row>
    <row r="683">
      <c r="A683" s="172"/>
    </row>
    <row r="684">
      <c r="A684" s="172"/>
    </row>
    <row r="685">
      <c r="A685" s="172"/>
    </row>
    <row r="686">
      <c r="A686" s="172"/>
    </row>
    <row r="687">
      <c r="A687" s="172"/>
    </row>
    <row r="688">
      <c r="A688" s="172"/>
    </row>
    <row r="689">
      <c r="A689" s="172"/>
    </row>
    <row r="690">
      <c r="A690" s="172"/>
    </row>
    <row r="691">
      <c r="A691" s="172"/>
    </row>
    <row r="692">
      <c r="A692" s="172"/>
    </row>
    <row r="693">
      <c r="A693" s="172"/>
    </row>
    <row r="694">
      <c r="A694" s="172"/>
    </row>
    <row r="695">
      <c r="A695" s="172"/>
    </row>
    <row r="696">
      <c r="A696" s="172"/>
    </row>
    <row r="697">
      <c r="A697" s="172"/>
    </row>
    <row r="698">
      <c r="A698" s="172"/>
    </row>
    <row r="699">
      <c r="A699" s="172"/>
    </row>
    <row r="700">
      <c r="A700" s="172"/>
    </row>
    <row r="701">
      <c r="A701" s="172"/>
    </row>
    <row r="702">
      <c r="A702" s="172"/>
    </row>
    <row r="703">
      <c r="A703" s="172"/>
    </row>
    <row r="704">
      <c r="A704" s="172"/>
    </row>
    <row r="705">
      <c r="A705" s="172"/>
    </row>
    <row r="706">
      <c r="A706" s="172"/>
    </row>
    <row r="707">
      <c r="A707" s="172"/>
    </row>
    <row r="708">
      <c r="A708" s="172"/>
    </row>
    <row r="709">
      <c r="A709" s="172"/>
    </row>
    <row r="710">
      <c r="A710" s="172"/>
    </row>
    <row r="711">
      <c r="A711" s="172"/>
    </row>
    <row r="712">
      <c r="A712" s="172"/>
    </row>
    <row r="713">
      <c r="A713" s="172"/>
    </row>
    <row r="714">
      <c r="A714" s="172"/>
    </row>
    <row r="715">
      <c r="A715" s="172"/>
    </row>
    <row r="716">
      <c r="A716" s="172"/>
    </row>
    <row r="717">
      <c r="A717" s="172"/>
    </row>
    <row r="718">
      <c r="A718" s="172"/>
    </row>
    <row r="719">
      <c r="A719" s="172"/>
    </row>
    <row r="720">
      <c r="A720" s="172"/>
    </row>
    <row r="721">
      <c r="A721" s="172"/>
    </row>
    <row r="722">
      <c r="A722" s="172"/>
    </row>
    <row r="723">
      <c r="A723" s="172"/>
    </row>
    <row r="724">
      <c r="A724" s="172"/>
    </row>
    <row r="725">
      <c r="A725" s="172"/>
    </row>
    <row r="726">
      <c r="A726" s="172"/>
    </row>
    <row r="727">
      <c r="A727" s="172"/>
    </row>
    <row r="728">
      <c r="A728" s="172"/>
    </row>
    <row r="729">
      <c r="A729" s="172"/>
    </row>
    <row r="730">
      <c r="A730" s="172"/>
    </row>
    <row r="731">
      <c r="A731" s="172"/>
    </row>
    <row r="732">
      <c r="A732" s="172"/>
    </row>
    <row r="733">
      <c r="A733" s="172"/>
    </row>
    <row r="734">
      <c r="A734" s="172"/>
    </row>
    <row r="735">
      <c r="A735" s="172"/>
    </row>
    <row r="736">
      <c r="A736" s="172"/>
    </row>
    <row r="737">
      <c r="A737" s="172"/>
    </row>
    <row r="738">
      <c r="A738" s="172"/>
    </row>
    <row r="739">
      <c r="A739" s="172"/>
    </row>
    <row r="740">
      <c r="A740" s="172"/>
    </row>
    <row r="741">
      <c r="A741" s="172"/>
    </row>
    <row r="742">
      <c r="A742" s="172"/>
    </row>
    <row r="743">
      <c r="A743" s="172"/>
    </row>
    <row r="744">
      <c r="A744" s="172"/>
    </row>
    <row r="745">
      <c r="A745" s="172"/>
    </row>
    <row r="746">
      <c r="A746" s="172"/>
    </row>
    <row r="747">
      <c r="A747" s="172"/>
    </row>
    <row r="748">
      <c r="A748" s="172"/>
    </row>
    <row r="749">
      <c r="A749" s="172"/>
    </row>
    <row r="750">
      <c r="A750" s="172"/>
    </row>
    <row r="751">
      <c r="A751" s="172"/>
    </row>
    <row r="752">
      <c r="A752" s="172"/>
    </row>
    <row r="753">
      <c r="A753" s="172"/>
    </row>
    <row r="754">
      <c r="A754" s="172"/>
    </row>
    <row r="755">
      <c r="A755" s="172"/>
    </row>
    <row r="756">
      <c r="A756" s="172"/>
    </row>
    <row r="757">
      <c r="A757" s="172"/>
    </row>
    <row r="758">
      <c r="A758" s="172"/>
    </row>
    <row r="759">
      <c r="A759" s="172"/>
    </row>
    <row r="760">
      <c r="A760" s="172"/>
    </row>
    <row r="761">
      <c r="A761" s="172"/>
    </row>
    <row r="762">
      <c r="A762" s="172"/>
    </row>
    <row r="763">
      <c r="A763" s="172"/>
    </row>
    <row r="764">
      <c r="A764" s="172"/>
    </row>
    <row r="765">
      <c r="A765" s="172"/>
    </row>
    <row r="766">
      <c r="A766" s="172"/>
    </row>
    <row r="767">
      <c r="A767" s="172"/>
    </row>
    <row r="768">
      <c r="A768" s="172"/>
    </row>
    <row r="769">
      <c r="A769" s="172"/>
    </row>
    <row r="770">
      <c r="A770" s="172"/>
    </row>
    <row r="771">
      <c r="A771" s="172"/>
    </row>
    <row r="772">
      <c r="A772" s="172"/>
    </row>
    <row r="773">
      <c r="A773" s="172"/>
    </row>
    <row r="774">
      <c r="A774" s="172"/>
    </row>
    <row r="775">
      <c r="A775" s="172"/>
    </row>
    <row r="776">
      <c r="A776" s="172"/>
    </row>
    <row r="777">
      <c r="A777" s="172"/>
    </row>
    <row r="778">
      <c r="A778" s="172"/>
    </row>
    <row r="779">
      <c r="A779" s="172"/>
    </row>
    <row r="780">
      <c r="A780" s="172"/>
    </row>
    <row r="781">
      <c r="A781" s="172"/>
    </row>
    <row r="782">
      <c r="A782" s="172"/>
    </row>
    <row r="783">
      <c r="A783" s="172"/>
    </row>
    <row r="784">
      <c r="A784" s="172"/>
    </row>
    <row r="785">
      <c r="A785" s="172"/>
    </row>
    <row r="786">
      <c r="A786" s="172"/>
    </row>
    <row r="787">
      <c r="A787" s="172"/>
    </row>
    <row r="788">
      <c r="A788" s="172"/>
    </row>
    <row r="789">
      <c r="A789" s="172"/>
    </row>
    <row r="790">
      <c r="A790" s="172"/>
    </row>
    <row r="791">
      <c r="A791" s="172"/>
    </row>
    <row r="792">
      <c r="A792" s="172"/>
    </row>
    <row r="793">
      <c r="A793" s="172"/>
    </row>
    <row r="794">
      <c r="A794" s="172"/>
    </row>
    <row r="795">
      <c r="A795" s="172"/>
    </row>
    <row r="796">
      <c r="A796" s="172"/>
    </row>
    <row r="797">
      <c r="A797" s="172"/>
    </row>
    <row r="798">
      <c r="A798" s="172"/>
    </row>
    <row r="799">
      <c r="A799" s="172"/>
    </row>
    <row r="800">
      <c r="A800" s="172"/>
    </row>
    <row r="801">
      <c r="A801" s="172"/>
    </row>
    <row r="802">
      <c r="A802" s="172"/>
    </row>
    <row r="803">
      <c r="A803" s="172"/>
    </row>
    <row r="804">
      <c r="A804" s="172"/>
    </row>
    <row r="805">
      <c r="A805" s="172"/>
    </row>
    <row r="806">
      <c r="A806" s="172"/>
    </row>
    <row r="807">
      <c r="A807" s="172"/>
    </row>
    <row r="808">
      <c r="A808" s="172"/>
    </row>
    <row r="809">
      <c r="A809" s="172"/>
    </row>
    <row r="810">
      <c r="A810" s="172"/>
    </row>
    <row r="811">
      <c r="A811" s="172"/>
    </row>
    <row r="812">
      <c r="A812" s="172"/>
    </row>
    <row r="813">
      <c r="A813" s="172"/>
    </row>
    <row r="814">
      <c r="A814" s="172"/>
    </row>
    <row r="815">
      <c r="A815" s="172"/>
    </row>
    <row r="816">
      <c r="A816" s="172"/>
    </row>
    <row r="817">
      <c r="A817" s="172"/>
    </row>
    <row r="818">
      <c r="A818" s="172"/>
    </row>
    <row r="819">
      <c r="A819" s="172"/>
    </row>
    <row r="820">
      <c r="A820" s="172"/>
    </row>
    <row r="821">
      <c r="A821" s="172"/>
    </row>
    <row r="822">
      <c r="A822" s="172"/>
    </row>
    <row r="823">
      <c r="A823" s="172"/>
    </row>
    <row r="824">
      <c r="A824" s="172"/>
    </row>
    <row r="825">
      <c r="A825" s="172"/>
    </row>
    <row r="826">
      <c r="A826" s="172"/>
    </row>
    <row r="827">
      <c r="A827" s="172"/>
    </row>
    <row r="828">
      <c r="A828" s="172"/>
    </row>
    <row r="829">
      <c r="A829" s="172"/>
    </row>
    <row r="830">
      <c r="A830" s="172"/>
    </row>
    <row r="831">
      <c r="A831" s="172"/>
    </row>
    <row r="832">
      <c r="A832" s="172"/>
    </row>
    <row r="833">
      <c r="A833" s="172"/>
    </row>
    <row r="834">
      <c r="A834" s="172"/>
    </row>
    <row r="835">
      <c r="A835" s="172"/>
    </row>
    <row r="836">
      <c r="A836" s="172"/>
    </row>
    <row r="837">
      <c r="A837" s="172"/>
    </row>
    <row r="838">
      <c r="A838" s="172"/>
    </row>
    <row r="839">
      <c r="A839" s="172"/>
    </row>
    <row r="840">
      <c r="A840" s="172"/>
    </row>
    <row r="841">
      <c r="A841" s="172"/>
    </row>
    <row r="842">
      <c r="A842" s="172"/>
    </row>
    <row r="843">
      <c r="A843" s="172"/>
    </row>
    <row r="844">
      <c r="A844" s="172"/>
    </row>
    <row r="845">
      <c r="A845" s="172"/>
    </row>
    <row r="846">
      <c r="A846" s="172"/>
    </row>
    <row r="847">
      <c r="A847" s="172"/>
    </row>
    <row r="848">
      <c r="A848" s="172"/>
    </row>
    <row r="849">
      <c r="A849" s="172"/>
    </row>
    <row r="850">
      <c r="A850" s="172"/>
    </row>
    <row r="851">
      <c r="A851" s="172"/>
    </row>
    <row r="852">
      <c r="A852" s="172"/>
    </row>
    <row r="853">
      <c r="A853" s="172"/>
    </row>
    <row r="854">
      <c r="A854" s="172"/>
    </row>
    <row r="855">
      <c r="A855" s="172"/>
    </row>
    <row r="856">
      <c r="A856" s="172"/>
    </row>
    <row r="857">
      <c r="A857" s="172"/>
    </row>
    <row r="858">
      <c r="A858" s="172"/>
    </row>
    <row r="859">
      <c r="A859" s="172"/>
    </row>
    <row r="860">
      <c r="A860" s="172"/>
    </row>
    <row r="861">
      <c r="A861" s="172"/>
    </row>
    <row r="862">
      <c r="A862" s="172"/>
    </row>
    <row r="863">
      <c r="A863" s="172"/>
    </row>
    <row r="864">
      <c r="A864" s="172"/>
    </row>
    <row r="865">
      <c r="A865" s="172"/>
    </row>
    <row r="866">
      <c r="A866" s="172"/>
    </row>
    <row r="867">
      <c r="A867" s="172"/>
    </row>
    <row r="868">
      <c r="A868" s="172"/>
    </row>
    <row r="869">
      <c r="A869" s="172"/>
    </row>
    <row r="870">
      <c r="A870" s="172"/>
    </row>
    <row r="871">
      <c r="A871" s="172"/>
    </row>
    <row r="872">
      <c r="A872" s="172"/>
    </row>
    <row r="873">
      <c r="A873" s="172"/>
    </row>
    <row r="874">
      <c r="A874" s="172"/>
    </row>
    <row r="875">
      <c r="A875" s="172"/>
    </row>
    <row r="876">
      <c r="A876" s="172"/>
    </row>
    <row r="877">
      <c r="A877" s="172"/>
    </row>
    <row r="878">
      <c r="A878" s="172"/>
    </row>
    <row r="879">
      <c r="A879" s="172"/>
    </row>
    <row r="880">
      <c r="A880" s="172"/>
    </row>
    <row r="881">
      <c r="A881" s="172"/>
    </row>
    <row r="882">
      <c r="A882" s="172"/>
    </row>
    <row r="883">
      <c r="A883" s="172"/>
    </row>
    <row r="884">
      <c r="A884" s="172"/>
    </row>
    <row r="885">
      <c r="A885" s="172"/>
    </row>
    <row r="886">
      <c r="A886" s="172"/>
    </row>
    <row r="887">
      <c r="A887" s="172"/>
    </row>
    <row r="888">
      <c r="A888" s="172"/>
    </row>
    <row r="889">
      <c r="A889" s="172"/>
    </row>
    <row r="890">
      <c r="A890" s="172"/>
    </row>
    <row r="891">
      <c r="A891" s="172"/>
    </row>
    <row r="892">
      <c r="A892" s="172"/>
    </row>
    <row r="893">
      <c r="A893" s="172"/>
    </row>
    <row r="894">
      <c r="A894" s="172"/>
    </row>
    <row r="895">
      <c r="A895" s="172"/>
    </row>
    <row r="896">
      <c r="A896" s="172"/>
    </row>
    <row r="897">
      <c r="A897" s="172"/>
    </row>
    <row r="898">
      <c r="A898" s="172"/>
    </row>
    <row r="899">
      <c r="A899" s="172"/>
    </row>
    <row r="900">
      <c r="A900" s="172"/>
    </row>
    <row r="901">
      <c r="A901" s="172"/>
    </row>
    <row r="902">
      <c r="A902" s="172"/>
    </row>
    <row r="903">
      <c r="A903" s="172"/>
    </row>
    <row r="904">
      <c r="A904" s="172"/>
    </row>
    <row r="905">
      <c r="A905" s="172"/>
    </row>
    <row r="906">
      <c r="A906" s="172"/>
    </row>
    <row r="907">
      <c r="A907" s="172"/>
    </row>
    <row r="908">
      <c r="A908" s="172"/>
    </row>
    <row r="909">
      <c r="A909" s="172"/>
    </row>
    <row r="910">
      <c r="A910" s="172"/>
    </row>
    <row r="911">
      <c r="A911" s="172"/>
    </row>
    <row r="912">
      <c r="A912" s="172"/>
    </row>
    <row r="913">
      <c r="A913" s="172"/>
    </row>
    <row r="914">
      <c r="A914" s="172"/>
    </row>
    <row r="915">
      <c r="A915" s="172"/>
    </row>
    <row r="916">
      <c r="A916" s="172"/>
    </row>
    <row r="917">
      <c r="A917" s="172"/>
    </row>
    <row r="918">
      <c r="A918" s="172"/>
    </row>
    <row r="919">
      <c r="A919" s="172"/>
    </row>
    <row r="920">
      <c r="A920" s="172"/>
    </row>
    <row r="921">
      <c r="A921" s="172"/>
    </row>
    <row r="922">
      <c r="A922" s="172"/>
    </row>
    <row r="923">
      <c r="A923" s="172"/>
    </row>
    <row r="924">
      <c r="A924" s="172"/>
    </row>
    <row r="925">
      <c r="A925" s="172"/>
    </row>
    <row r="926">
      <c r="A926" s="172"/>
    </row>
    <row r="927">
      <c r="A927" s="172"/>
    </row>
    <row r="928">
      <c r="A928" s="172"/>
    </row>
    <row r="929">
      <c r="A929" s="172"/>
    </row>
    <row r="930">
      <c r="A930" s="172"/>
    </row>
    <row r="931">
      <c r="A931" s="172"/>
    </row>
    <row r="932">
      <c r="A932" s="172"/>
    </row>
    <row r="933">
      <c r="A933" s="172"/>
    </row>
    <row r="934">
      <c r="A934" s="172"/>
    </row>
    <row r="935">
      <c r="A935" s="172"/>
    </row>
    <row r="936">
      <c r="A936" s="172"/>
    </row>
    <row r="937">
      <c r="A937" s="172"/>
    </row>
    <row r="938">
      <c r="A938" s="172"/>
    </row>
    <row r="939">
      <c r="A939" s="172"/>
    </row>
    <row r="940">
      <c r="A940" s="172"/>
    </row>
    <row r="941">
      <c r="A941" s="172"/>
    </row>
    <row r="942">
      <c r="A942" s="172"/>
    </row>
    <row r="943">
      <c r="A943" s="172"/>
    </row>
    <row r="944">
      <c r="A944" s="172"/>
    </row>
    <row r="945">
      <c r="A945" s="172"/>
    </row>
    <row r="946">
      <c r="A946" s="172"/>
    </row>
    <row r="947">
      <c r="A947" s="172"/>
    </row>
    <row r="948">
      <c r="A948" s="172"/>
    </row>
    <row r="949">
      <c r="A949" s="172"/>
    </row>
    <row r="950">
      <c r="A950" s="172"/>
    </row>
    <row r="951">
      <c r="A951" s="172"/>
    </row>
    <row r="952">
      <c r="A952" s="172"/>
    </row>
    <row r="953">
      <c r="A953" s="172"/>
    </row>
    <row r="954">
      <c r="A954" s="172"/>
    </row>
    <row r="955">
      <c r="A955" s="172"/>
    </row>
    <row r="956">
      <c r="A956" s="172"/>
    </row>
    <row r="957">
      <c r="A957" s="172"/>
    </row>
    <row r="958">
      <c r="A958" s="172"/>
    </row>
    <row r="959">
      <c r="A959" s="172"/>
    </row>
    <row r="960">
      <c r="A960" s="172"/>
    </row>
    <row r="961">
      <c r="A961" s="172"/>
    </row>
    <row r="962">
      <c r="A962" s="172"/>
    </row>
    <row r="963">
      <c r="A963" s="172"/>
    </row>
    <row r="964">
      <c r="A964" s="172"/>
    </row>
    <row r="965">
      <c r="A965" s="172"/>
    </row>
    <row r="966">
      <c r="A966" s="172"/>
    </row>
    <row r="967">
      <c r="A967" s="172"/>
    </row>
    <row r="968">
      <c r="A968" s="172"/>
    </row>
    <row r="969">
      <c r="A969" s="172"/>
    </row>
    <row r="970">
      <c r="A970" s="172"/>
    </row>
    <row r="971">
      <c r="A971" s="172"/>
    </row>
    <row r="972">
      <c r="A972" s="172"/>
    </row>
    <row r="973">
      <c r="A973" s="172"/>
    </row>
    <row r="974">
      <c r="A974" s="172"/>
    </row>
    <row r="975">
      <c r="A975" s="172"/>
    </row>
    <row r="976">
      <c r="A976" s="172"/>
    </row>
    <row r="977">
      <c r="A977" s="172"/>
    </row>
    <row r="978">
      <c r="A978" s="172"/>
    </row>
    <row r="979">
      <c r="A979" s="172"/>
    </row>
    <row r="980">
      <c r="A980" s="172"/>
    </row>
    <row r="981">
      <c r="A981" s="172"/>
    </row>
    <row r="982">
      <c r="A982" s="172"/>
    </row>
    <row r="983">
      <c r="A983" s="172"/>
    </row>
    <row r="984">
      <c r="A984" s="172"/>
    </row>
    <row r="985">
      <c r="A985" s="172"/>
    </row>
    <row r="986">
      <c r="A986" s="172"/>
    </row>
    <row r="987">
      <c r="A987" s="172"/>
    </row>
    <row r="988">
      <c r="A988" s="172"/>
    </row>
    <row r="989">
      <c r="A989" s="172"/>
    </row>
    <row r="990">
      <c r="A990" s="172"/>
    </row>
    <row r="991">
      <c r="A991" s="172"/>
    </row>
    <row r="992">
      <c r="A992" s="172"/>
    </row>
    <row r="993">
      <c r="A993" s="172"/>
    </row>
    <row r="994">
      <c r="A994" s="172"/>
    </row>
    <row r="995">
      <c r="A995" s="172"/>
    </row>
    <row r="996">
      <c r="A996" s="172"/>
    </row>
    <row r="997">
      <c r="A997" s="172"/>
    </row>
    <row r="998">
      <c r="A998" s="172"/>
    </row>
    <row r="999">
      <c r="A999" s="172"/>
    </row>
    <row r="1000">
      <c r="A1000" s="17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4.25"/>
    <col customWidth="1" min="3" max="3" width="6.88"/>
    <col customWidth="1" min="4" max="4" width="15.13"/>
    <col customWidth="1" min="5" max="5" width="15.88"/>
    <col customWidth="1" min="6" max="6" width="50.88"/>
    <col customWidth="1" min="7" max="7" width="5.25"/>
    <col customWidth="1" min="8" max="8" width="8.0"/>
    <col customWidth="1" min="9" max="9" width="6.13"/>
    <col customWidth="1" min="10" max="10" width="14.13"/>
    <col customWidth="1" min="11" max="18" width="12.63"/>
    <col customWidth="1" min="19" max="19" width="12.5"/>
    <col customWidth="1" min="20" max="23" width="12.63"/>
    <col customWidth="1" min="24" max="24" width="19.0"/>
    <col customWidth="1" min="25" max="25" width="19.25"/>
    <col customWidth="1" min="26" max="26" width="10.63"/>
    <col customWidth="1" min="27" max="27" width="8.38"/>
  </cols>
  <sheetData>
    <row r="1">
      <c r="A1" s="197" t="str">
        <f>IFERROR(__xludf.DUMMYFUNCTION("IMPORTRANGE( ""https://docs.google.com/spreadsheets/d/1vrBXqQBN6b7is-4EfHa8ePh8v-rwRhLgxx247RuWptU/edit?gid=1516417769#gid=1516417769"",""POR Config List!A1:AA200"")"),"Stage")</f>
        <v>Stage</v>
      </c>
      <c r="B1" s="198" t="str">
        <f>IFERROR(__xludf.DUMMYFUNCTION("""COMPUTED_VALUE"""),"Item")</f>
        <v>Item</v>
      </c>
      <c r="C1" s="174" t="str">
        <f>IFERROR(__xludf.DUMMYFUNCTION("""COMPUTED_VALUE"""),"Model")</f>
        <v>Model</v>
      </c>
      <c r="D1" s="174" t="str">
        <f>IFERROR(__xludf.DUMMYFUNCTION("""COMPUTED_VALUE"""),"Sales SKU")</f>
        <v>Sales SKU</v>
      </c>
      <c r="E1" s="174" t="str">
        <f>IFERROR(__xludf.DUMMYFUNCTION("""COMPUTED_VALUE"""),"Description")</f>
        <v>Description</v>
      </c>
      <c r="F1" s="174" t="str">
        <f>IFERROR(__xludf.DUMMYFUNCTION("""COMPUTED_VALUE"""),"External Description")</f>
        <v>External Description</v>
      </c>
      <c r="G1" s="174" t="str">
        <f>IFERROR(__xludf.DUMMYFUNCTION("""COMPUTED_VALUE"""),"Color")</f>
        <v>Color</v>
      </c>
      <c r="H1" s="174" t="str">
        <f>IFERROR(__xludf.DUMMYFUNCTION("""COMPUTED_VALUE"""),"Type")</f>
        <v>Type</v>
      </c>
      <c r="I1" s="174" t="str">
        <f>IFERROR(__xludf.DUMMYFUNCTION("""COMPUTED_VALUE"""),"UFS")</f>
        <v>UFS</v>
      </c>
      <c r="J1" s="174" t="str">
        <f>IFERROR(__xludf.DUMMYFUNCTION("""COMPUTED_VALUE"""),"Laser")</f>
        <v>Laser</v>
      </c>
      <c r="K1" s="174" t="str">
        <f>IFERROR(__xludf.DUMMYFUNCTION("""COMPUTED_VALUE"""),"Device")</f>
        <v>Device</v>
      </c>
      <c r="L1" s="174" t="str">
        <f>IFERROR(__xludf.DUMMYFUNCTION("""COMPUTED_VALUE"""),"Common")</f>
        <v>Common</v>
      </c>
      <c r="M1" s="174" t="str">
        <f>IFERROR(__xludf.DUMMYFUNCTION("""COMPUTED_VALUE"""),"CG")</f>
        <v>CG</v>
      </c>
      <c r="N1" s="174" t="str">
        <f>IFERROR(__xludf.DUMMYFUNCTION("""COMPUTED_VALUE"""),"BG")</f>
        <v>BG</v>
      </c>
      <c r="O1" s="174" t="str">
        <f>IFERROR(__xludf.DUMMYFUNCTION("""COMPUTED_VALUE"""),"Assy MLB")</f>
        <v>Assy MLB</v>
      </c>
      <c r="P1" s="174" t="str">
        <f>IFERROR(__xludf.DUMMYFUNCTION("""COMPUTED_VALUE"""),"MLB")</f>
        <v>MLB</v>
      </c>
      <c r="Q1" s="174" t="str">
        <f>IFERROR(__xludf.DUMMYFUNCTION("""COMPUTED_VALUE"""),"SLB")</f>
        <v>SLB</v>
      </c>
      <c r="R1" s="174" t="str">
        <f>IFERROR(__xludf.DUMMYFUNCTION("""COMPUTED_VALUE"""),"ANT1/3")</f>
        <v>ANT1/3</v>
      </c>
      <c r="S1" s="174" t="str">
        <f>IFERROR(__xludf.DUMMYFUNCTION("""COMPUTED_VALUE"""),"CLB")</f>
        <v>CLB</v>
      </c>
      <c r="T1" s="174" t="str">
        <f>IFERROR(__xludf.DUMMYFUNCTION("""COMPUTED_VALUE"""),"ANT4")</f>
        <v>ANT4</v>
      </c>
      <c r="U1" s="174" t="str">
        <f>IFERROR(__xludf.DUMMYFUNCTION("""COMPUTED_VALUE"""),"Prox Int.")</f>
        <v>Prox Int.</v>
      </c>
      <c r="V1" s="174" t="str">
        <f>IFERROR(__xludf.DUMMYFUNCTION("""COMPUTED_VALUE"""),"SM Int.")</f>
        <v>SM Int.</v>
      </c>
      <c r="W1" s="174" t="str">
        <f>IFERROR(__xludf.DUMMYFUNCTION("""COMPUTED_VALUE"""),"CLNR PKG")</f>
        <v>CLNR PKG</v>
      </c>
      <c r="X1" s="174" t="str">
        <f>IFERROR(__xludf.DUMMYFUNCTION("""COMPUTED_VALUE"""),"Regulatory Marking - LH")</f>
        <v>Regulatory Marking - LH</v>
      </c>
      <c r="Y1" s="174" t="str">
        <f>IFERROR(__xludf.DUMMYFUNCTION("""COMPUTED_VALUE"""),"Regulatory Marking - VN")</f>
        <v>Regulatory Marking - VN</v>
      </c>
      <c r="Z1" s="174" t="str">
        <f>IFERROR(__xludf.DUMMYFUNCTION("""COMPUTED_VALUE"""),"Physical SIM")</f>
        <v>Physical SIM</v>
      </c>
      <c r="AA1" s="174" t="str">
        <f>IFERROR(__xludf.DUMMYFUNCTION("""COMPUTED_VALUE"""),"eSIM chip")</f>
        <v>eSIM chip</v>
      </c>
      <c r="AB1" s="174"/>
      <c r="AC1" s="174"/>
      <c r="AD1" s="174"/>
      <c r="AE1" s="174"/>
      <c r="AF1" s="174"/>
      <c r="AG1" s="174"/>
      <c r="AH1" s="174"/>
      <c r="AI1" s="174"/>
      <c r="AJ1" s="174"/>
      <c r="AK1" s="174"/>
    </row>
    <row r="2">
      <c r="A2" s="182" t="str">
        <f>IFERROR(__xludf.DUMMYFUNCTION("""COMPUTED_VALUE"""),"PVT/MP")</f>
        <v>PVT/MP</v>
      </c>
      <c r="B2" s="182">
        <f>IFERROR(__xludf.DUMMYFUNCTION("""COMPUTED_VALUE"""),1.0)</f>
        <v>1</v>
      </c>
      <c r="C2" s="182" t="str">
        <f>IFERROR(__xludf.DUMMYFUNCTION("""COMPUTED_VALUE"""),"G4QUR")</f>
        <v>G4QUR</v>
      </c>
      <c r="D2" s="182" t="str">
        <f>IFERROR(__xludf.DUMMYFUNCTION("""COMPUTED_VALUE"""),"GA09187-US")</f>
        <v>GA09187-US</v>
      </c>
      <c r="E2" s="182" t="str">
        <f>IFERROR(__xludf.DUMMYFUNCTION("""COMPUTED_VALUE"""),"SKU, CLR1, GOOD, MMWAVE, VZW, BZ5")</f>
        <v>SKU, CLR1, GOOD, MMWAVE, VZW, BZ5</v>
      </c>
      <c r="F2" s="182" t="str">
        <f>IFERROR(__xludf.DUMMYFUNCTION("""COMPUTED_VALUE"""),"Pixel 10 Pro, Obsidian, 128GB, VZW, US")</f>
        <v>Pixel 10 Pro, Obsidian, 128GB, VZW, US</v>
      </c>
      <c r="G2" s="182" t="str">
        <f>IFERROR(__xludf.DUMMYFUNCTION("""COMPUTED_VALUE"""),"CLR1")</f>
        <v>CLR1</v>
      </c>
      <c r="H2" s="182" t="str">
        <f>IFERROR(__xludf.DUMMYFUNCTION("""COMPUTED_VALUE"""),"mmWave")</f>
        <v>mmWave</v>
      </c>
      <c r="I2" s="182" t="str">
        <f>IFERROR(__xludf.DUMMYFUNCTION("""COMPUTED_VALUE"""),"128GB")</f>
        <v>128GB</v>
      </c>
      <c r="J2" s="182"/>
      <c r="K2" s="182" t="str">
        <f>IFERROR(__xludf.DUMMYFUNCTION("""COMPUTED_VALUE"""),"G950-15986-01")</f>
        <v>G950-15986-01</v>
      </c>
      <c r="L2" s="182" t="str">
        <f>IFERROR(__xludf.DUMMYFUNCTION("""COMPUTED_VALUE"""),"G710-07821-01")</f>
        <v>G710-07821-01</v>
      </c>
      <c r="M2" s="182" t="str">
        <f>IFERROR(__xludf.DUMMYFUNCTION("""COMPUTED_VALUE"""),"G710-10000-40")</f>
        <v>G710-10000-40</v>
      </c>
      <c r="N2" s="182" t="str">
        <f>IFERROR(__xludf.DUMMYFUNCTION("""COMPUTED_VALUE"""),"G730-09466-11")</f>
        <v>G730-09466-11</v>
      </c>
      <c r="O2" s="182" t="str">
        <f>IFERROR(__xludf.DUMMYFUNCTION("""COMPUTED_VALUE"""),"G710-07813-00")</f>
        <v>G710-07813-00</v>
      </c>
      <c r="P2" s="182" t="str">
        <f>IFERROR(__xludf.DUMMYFUNCTION("""COMPUTED_VALUE"""),"G650-14410-06")</f>
        <v>G650-14410-06</v>
      </c>
      <c r="Q2" s="182" t="str">
        <f>IFERROR(__xludf.DUMMYFUNCTION("""COMPUTED_VALUE"""),"G650-14412-04")</f>
        <v>G650-14412-04</v>
      </c>
      <c r="R2" s="182" t="str">
        <f>IFERROR(__xludf.DUMMYFUNCTION("""COMPUTED_VALUE"""),"G650-14843-04")</f>
        <v>G650-14843-04</v>
      </c>
      <c r="S2" s="182" t="str">
        <f>IFERROR(__xludf.DUMMYFUNCTION("""COMPUTED_VALUE"""),"G650-14411-05")</f>
        <v>G650-14411-05</v>
      </c>
      <c r="T2" s="182" t="str">
        <f>IFERROR(__xludf.DUMMYFUNCTION("""COMPUTED_VALUE"""),"G650-14840-03")</f>
        <v>G650-14840-03</v>
      </c>
      <c r="U2" s="182" t="str">
        <f>IFERROR(__xludf.DUMMYFUNCTION("""COMPUTED_VALUE"""),"G650-14841-03")</f>
        <v>G650-14841-03</v>
      </c>
      <c r="V2" s="182" t="str">
        <f>IFERROR(__xludf.DUMMYFUNCTION("""COMPUTED_VALUE"""),"G650-14413-03")</f>
        <v>G650-14413-03</v>
      </c>
      <c r="W2" s="182"/>
      <c r="X2" s="182"/>
      <c r="Y2" s="182"/>
      <c r="Z2" s="182" t="str">
        <f>IFERROR(__xludf.DUMMYFUNCTION("""COMPUTED_VALUE"""),"N")</f>
        <v>N</v>
      </c>
      <c r="AA2" s="182" t="str">
        <f>IFERROR(__xludf.DUMMYFUNCTION("""COMPUTED_VALUE"""),"Y")</f>
        <v>Y</v>
      </c>
    </row>
    <row r="3">
      <c r="A3" s="182" t="str">
        <f>IFERROR(__xludf.DUMMYFUNCTION("""COMPUTED_VALUE"""),"PVT/MP")</f>
        <v>PVT/MP</v>
      </c>
      <c r="B3" s="182">
        <f>IFERROR(__xludf.DUMMYFUNCTION("""COMPUTED_VALUE"""),2.0)</f>
        <v>2</v>
      </c>
      <c r="C3" s="182" t="str">
        <f>IFERROR(__xludf.DUMMYFUNCTION("""COMPUTED_VALUE"""),"G4QUR")</f>
        <v>G4QUR</v>
      </c>
      <c r="D3" s="182" t="str">
        <f>IFERROR(__xludf.DUMMYFUNCTION("""COMPUTED_VALUE"""),"GA10276-US")</f>
        <v>GA10276-US</v>
      </c>
      <c r="E3" s="182" t="str">
        <f>IFERROR(__xludf.DUMMYFUNCTION("""COMPUTED_VALUE"""),"SKU, CLR3, GOOD, MMWAVE, VZW, US, BZ5")</f>
        <v>SKU, CLR3, GOOD, MMWAVE, VZW, US, BZ5</v>
      </c>
      <c r="F3" s="182" t="str">
        <f>IFERROR(__xludf.DUMMYFUNCTION("""COMPUTED_VALUE"""),"Pixel 10 Pro, Moonstone, 128GB, VZW, US")</f>
        <v>Pixel 10 Pro, Moonstone, 128GB, VZW, US</v>
      </c>
      <c r="G3" s="182" t="str">
        <f>IFERROR(__xludf.DUMMYFUNCTION("""COMPUTED_VALUE"""),"CLR3")</f>
        <v>CLR3</v>
      </c>
      <c r="H3" s="182" t="str">
        <f>IFERROR(__xludf.DUMMYFUNCTION("""COMPUTED_VALUE"""),"mmWave")</f>
        <v>mmWave</v>
      </c>
      <c r="I3" s="182" t="str">
        <f>IFERROR(__xludf.DUMMYFUNCTION("""COMPUTED_VALUE"""),"128GB")</f>
        <v>128GB</v>
      </c>
      <c r="J3" s="182"/>
      <c r="K3" s="182" t="str">
        <f>IFERROR(__xludf.DUMMYFUNCTION("""COMPUTED_VALUE"""),"G950-15986-03")</f>
        <v>G950-15986-03</v>
      </c>
      <c r="L3" s="182" t="str">
        <f>IFERROR(__xludf.DUMMYFUNCTION("""COMPUTED_VALUE"""),"G710-07821-01")</f>
        <v>G710-07821-01</v>
      </c>
      <c r="M3" s="182" t="str">
        <f>IFERROR(__xludf.DUMMYFUNCTION("""COMPUTED_VALUE"""),"G710-10000-40")</f>
        <v>G710-10000-40</v>
      </c>
      <c r="N3" s="182" t="str">
        <f>IFERROR(__xludf.DUMMYFUNCTION("""COMPUTED_VALUE"""),"G730-09466-13")</f>
        <v>G730-09466-13</v>
      </c>
      <c r="O3" s="182" t="str">
        <f>IFERROR(__xludf.DUMMYFUNCTION("""COMPUTED_VALUE"""),"G710-07813-00")</f>
        <v>G710-07813-00</v>
      </c>
      <c r="P3" s="182" t="str">
        <f>IFERROR(__xludf.DUMMYFUNCTION("""COMPUTED_VALUE"""),"G650-14410-06")</f>
        <v>G650-14410-06</v>
      </c>
      <c r="Q3" s="182" t="str">
        <f>IFERROR(__xludf.DUMMYFUNCTION("""COMPUTED_VALUE"""),"G650-14412-04")</f>
        <v>G650-14412-04</v>
      </c>
      <c r="R3" s="182" t="str">
        <f>IFERROR(__xludf.DUMMYFUNCTION("""COMPUTED_VALUE"""),"G650-14843-04")</f>
        <v>G650-14843-04</v>
      </c>
      <c r="S3" s="182" t="str">
        <f>IFERROR(__xludf.DUMMYFUNCTION("""COMPUTED_VALUE"""),"G650-14411-05")</f>
        <v>G650-14411-05</v>
      </c>
      <c r="T3" s="182" t="str">
        <f>IFERROR(__xludf.DUMMYFUNCTION("""COMPUTED_VALUE"""),"G650-14840-03")</f>
        <v>G650-14840-03</v>
      </c>
      <c r="U3" s="182" t="str">
        <f>IFERROR(__xludf.DUMMYFUNCTION("""COMPUTED_VALUE"""),"G650-14841-03")</f>
        <v>G650-14841-03</v>
      </c>
      <c r="V3" s="182" t="str">
        <f>IFERROR(__xludf.DUMMYFUNCTION("""COMPUTED_VALUE"""),"G650-14413-03")</f>
        <v>G650-14413-03</v>
      </c>
      <c r="W3" s="182"/>
      <c r="X3" s="182"/>
      <c r="Y3" s="182"/>
      <c r="Z3" s="182" t="str">
        <f>IFERROR(__xludf.DUMMYFUNCTION("""COMPUTED_VALUE"""),"N")</f>
        <v>N</v>
      </c>
      <c r="AA3" s="182" t="str">
        <f>IFERROR(__xludf.DUMMYFUNCTION("""COMPUTED_VALUE"""),"Y")</f>
        <v>Y</v>
      </c>
    </row>
    <row r="4">
      <c r="A4" s="182" t="str">
        <f>IFERROR(__xludf.DUMMYFUNCTION("""COMPUTED_VALUE"""),"PVT/MP")</f>
        <v>PVT/MP</v>
      </c>
      <c r="B4" s="182">
        <f>IFERROR(__xludf.DUMMYFUNCTION("""COMPUTED_VALUE"""),3.0)</f>
        <v>3</v>
      </c>
      <c r="C4" s="182" t="str">
        <f>IFERROR(__xludf.DUMMYFUNCTION("""COMPUTED_VALUE"""),"G4QUR")</f>
        <v>G4QUR</v>
      </c>
      <c r="D4" s="182" t="str">
        <f>IFERROR(__xludf.DUMMYFUNCTION("""COMPUTED_VALUE"""),"GA09896-US")</f>
        <v>GA09896-US</v>
      </c>
      <c r="E4" s="182" t="str">
        <f>IFERROR(__xludf.DUMMYFUNCTION("""COMPUTED_VALUE"""),"SKU, CLR1, BETTER, MMWAVE, VZW, BZ5")</f>
        <v>SKU, CLR1, BETTER, MMWAVE, VZW, BZ5</v>
      </c>
      <c r="F4" s="182" t="str">
        <f>IFERROR(__xludf.DUMMYFUNCTION("""COMPUTED_VALUE"""),"Pixel 10 Pro, Obsidian, 256GB, VZW, US")</f>
        <v>Pixel 10 Pro, Obsidian, 256GB, VZW, US</v>
      </c>
      <c r="G4" s="182" t="str">
        <f>IFERROR(__xludf.DUMMYFUNCTION("""COMPUTED_VALUE"""),"CLR1")</f>
        <v>CLR1</v>
      </c>
      <c r="H4" s="182" t="str">
        <f>IFERROR(__xludf.DUMMYFUNCTION("""COMPUTED_VALUE"""),"mmWave")</f>
        <v>mmWave</v>
      </c>
      <c r="I4" s="182" t="str">
        <f>IFERROR(__xludf.DUMMYFUNCTION("""COMPUTED_VALUE"""),"256GB")</f>
        <v>256GB</v>
      </c>
      <c r="J4" s="182"/>
      <c r="K4" s="182" t="str">
        <f>IFERROR(__xludf.DUMMYFUNCTION("""COMPUTED_VALUE"""),"G950-18289-01")</f>
        <v>G950-18289-01</v>
      </c>
      <c r="L4" s="182" t="str">
        <f>IFERROR(__xludf.DUMMYFUNCTION("""COMPUTED_VALUE"""),"G710-07821-01")</f>
        <v>G710-07821-01</v>
      </c>
      <c r="M4" s="182" t="str">
        <f>IFERROR(__xludf.DUMMYFUNCTION("""COMPUTED_VALUE"""),"G710-10000-40")</f>
        <v>G710-10000-40</v>
      </c>
      <c r="N4" s="182" t="str">
        <f>IFERROR(__xludf.DUMMYFUNCTION("""COMPUTED_VALUE"""),"G730-09466-11")</f>
        <v>G730-09466-11</v>
      </c>
      <c r="O4" s="182" t="str">
        <f>IFERROR(__xludf.DUMMYFUNCTION("""COMPUTED_VALUE"""),"G710-07813-10")</f>
        <v>G710-07813-10</v>
      </c>
      <c r="P4" s="182" t="str">
        <f>IFERROR(__xludf.DUMMYFUNCTION("""COMPUTED_VALUE"""),"G650-17429-06")</f>
        <v>G650-17429-06</v>
      </c>
      <c r="Q4" s="182" t="str">
        <f>IFERROR(__xludf.DUMMYFUNCTION("""COMPUTED_VALUE"""),"G650-14412-04")</f>
        <v>G650-14412-04</v>
      </c>
      <c r="R4" s="182" t="str">
        <f>IFERROR(__xludf.DUMMYFUNCTION("""COMPUTED_VALUE"""),"G650-14843-04")</f>
        <v>G650-14843-04</v>
      </c>
      <c r="S4" s="182" t="str">
        <f>IFERROR(__xludf.DUMMYFUNCTION("""COMPUTED_VALUE"""),"G650-14411-05")</f>
        <v>G650-14411-05</v>
      </c>
      <c r="T4" s="182" t="str">
        <f>IFERROR(__xludf.DUMMYFUNCTION("""COMPUTED_VALUE"""),"G650-14840-03")</f>
        <v>G650-14840-03</v>
      </c>
      <c r="U4" s="182" t="str">
        <f>IFERROR(__xludf.DUMMYFUNCTION("""COMPUTED_VALUE"""),"G650-14841-03")</f>
        <v>G650-14841-03</v>
      </c>
      <c r="V4" s="182" t="str">
        <f>IFERROR(__xludf.DUMMYFUNCTION("""COMPUTED_VALUE"""),"G650-14413-03")</f>
        <v>G650-14413-03</v>
      </c>
      <c r="W4" s="182"/>
      <c r="X4" s="182"/>
      <c r="Y4" s="182"/>
      <c r="Z4" s="182" t="str">
        <f>IFERROR(__xludf.DUMMYFUNCTION("""COMPUTED_VALUE"""),"N")</f>
        <v>N</v>
      </c>
      <c r="AA4" s="182" t="str">
        <f>IFERROR(__xludf.DUMMYFUNCTION("""COMPUTED_VALUE"""),"Y")</f>
        <v>Y</v>
      </c>
    </row>
    <row r="5">
      <c r="A5" s="182" t="str">
        <f>IFERROR(__xludf.DUMMYFUNCTION("""COMPUTED_VALUE"""),"MP")</f>
        <v>MP</v>
      </c>
      <c r="B5" s="182">
        <f>IFERROR(__xludf.DUMMYFUNCTION("""COMPUTED_VALUE"""),4.0)</f>
        <v>4</v>
      </c>
      <c r="C5" s="182" t="str">
        <f>IFERROR(__xludf.DUMMYFUNCTION("""COMPUTED_VALUE"""),"G4QUR")</f>
        <v>G4QUR</v>
      </c>
      <c r="D5" s="182" t="str">
        <f>IFERROR(__xludf.DUMMYFUNCTION("""COMPUTED_VALUE"""),"GA10278-US")</f>
        <v>GA10278-US</v>
      </c>
      <c r="E5" s="182" t="str">
        <f>IFERROR(__xludf.DUMMYFUNCTION("""COMPUTED_VALUE"""),"SKU, CLR3, BETTER, MMWAVE, VZW, US, BZ5")</f>
        <v>SKU, CLR3, BETTER, MMWAVE, VZW, US, BZ5</v>
      </c>
      <c r="F5" s="182" t="str">
        <f>IFERROR(__xludf.DUMMYFUNCTION("""COMPUTED_VALUE"""),"Pixel 10 Pro, Moonstone, 256GB, VZW, US")</f>
        <v>Pixel 10 Pro, Moonstone, 256GB, VZW, US</v>
      </c>
      <c r="G5" s="182" t="str">
        <f>IFERROR(__xludf.DUMMYFUNCTION("""COMPUTED_VALUE"""),"CLR3")</f>
        <v>CLR3</v>
      </c>
      <c r="H5" s="182" t="str">
        <f>IFERROR(__xludf.DUMMYFUNCTION("""COMPUTED_VALUE"""),"mmWave")</f>
        <v>mmWave</v>
      </c>
      <c r="I5" s="182" t="str">
        <f>IFERROR(__xludf.DUMMYFUNCTION("""COMPUTED_VALUE"""),"256GB")</f>
        <v>256GB</v>
      </c>
      <c r="J5" s="182"/>
      <c r="K5" s="182" t="str">
        <f>IFERROR(__xludf.DUMMYFUNCTION("""COMPUTED_VALUE"""),"G950-18289-03")</f>
        <v>G950-18289-03</v>
      </c>
      <c r="L5" s="182" t="str">
        <f>IFERROR(__xludf.DUMMYFUNCTION("""COMPUTED_VALUE"""),"G710-07821-01")</f>
        <v>G710-07821-01</v>
      </c>
      <c r="M5" s="182" t="str">
        <f>IFERROR(__xludf.DUMMYFUNCTION("""COMPUTED_VALUE"""),"G710-10000-40")</f>
        <v>G710-10000-40</v>
      </c>
      <c r="N5" s="182" t="str">
        <f>IFERROR(__xludf.DUMMYFUNCTION("""COMPUTED_VALUE"""),"G730-09466-13")</f>
        <v>G730-09466-13</v>
      </c>
      <c r="O5" s="182" t="str">
        <f>IFERROR(__xludf.DUMMYFUNCTION("""COMPUTED_VALUE"""),"G710-07813-10")</f>
        <v>G710-07813-10</v>
      </c>
      <c r="P5" s="182" t="str">
        <f>IFERROR(__xludf.DUMMYFUNCTION("""COMPUTED_VALUE"""),"G650-17429-06")</f>
        <v>G650-17429-06</v>
      </c>
      <c r="Q5" s="182" t="str">
        <f>IFERROR(__xludf.DUMMYFUNCTION("""COMPUTED_VALUE"""),"G650-14412-04")</f>
        <v>G650-14412-04</v>
      </c>
      <c r="R5" s="182" t="str">
        <f>IFERROR(__xludf.DUMMYFUNCTION("""COMPUTED_VALUE"""),"G650-14843-04")</f>
        <v>G650-14843-04</v>
      </c>
      <c r="S5" s="182" t="str">
        <f>IFERROR(__xludf.DUMMYFUNCTION("""COMPUTED_VALUE"""),"G650-14411-05")</f>
        <v>G650-14411-05</v>
      </c>
      <c r="T5" s="182" t="str">
        <f>IFERROR(__xludf.DUMMYFUNCTION("""COMPUTED_VALUE"""),"G650-14840-03")</f>
        <v>G650-14840-03</v>
      </c>
      <c r="U5" s="182" t="str">
        <f>IFERROR(__xludf.DUMMYFUNCTION("""COMPUTED_VALUE"""),"G650-14841-03")</f>
        <v>G650-14841-03</v>
      </c>
      <c r="V5" s="182" t="str">
        <f>IFERROR(__xludf.DUMMYFUNCTION("""COMPUTED_VALUE"""),"G650-14413-03")</f>
        <v>G650-14413-03</v>
      </c>
      <c r="W5" s="182"/>
      <c r="X5" s="182"/>
      <c r="Y5" s="182"/>
      <c r="Z5" s="182" t="str">
        <f>IFERROR(__xludf.DUMMYFUNCTION("""COMPUTED_VALUE"""),"N")</f>
        <v>N</v>
      </c>
      <c r="AA5" s="182" t="str">
        <f>IFERROR(__xludf.DUMMYFUNCTION("""COMPUTED_VALUE"""),"Y")</f>
        <v>Y</v>
      </c>
    </row>
    <row r="6">
      <c r="A6" s="182" t="str">
        <f>IFERROR(__xludf.DUMMYFUNCTION("""COMPUTED_VALUE"""),"PVT/MP")</f>
        <v>PVT/MP</v>
      </c>
      <c r="B6" s="182">
        <f>IFERROR(__xludf.DUMMYFUNCTION("""COMPUTED_VALUE"""),5.0)</f>
        <v>5</v>
      </c>
      <c r="C6" s="182" t="str">
        <f>IFERROR(__xludf.DUMMYFUNCTION("""COMPUTED_VALUE"""),"G4QUR")</f>
        <v>G4QUR</v>
      </c>
      <c r="D6" s="182" t="str">
        <f>IFERROR(__xludf.DUMMYFUNCTION("""COMPUTED_VALUE"""),"GA10279-US")</f>
        <v>GA10279-US</v>
      </c>
      <c r="E6" s="182" t="str">
        <f>IFERROR(__xludf.DUMMYFUNCTION("""COMPUTED_VALUE"""),"SKU, CLR4, BETTER, MMWAVE, VZW, US, BZ5")</f>
        <v>SKU, CLR4, BETTER, MMWAVE, VZW, US, BZ5</v>
      </c>
      <c r="F6" s="182" t="str">
        <f>IFERROR(__xludf.DUMMYFUNCTION("""COMPUTED_VALUE"""),"Pixel 10 Pro, Jade, 256GB, VZW, US")</f>
        <v>Pixel 10 Pro, Jade, 256GB, VZW, US</v>
      </c>
      <c r="G6" s="182" t="str">
        <f>IFERROR(__xludf.DUMMYFUNCTION("""COMPUTED_VALUE"""),"CLR4")</f>
        <v>CLR4</v>
      </c>
      <c r="H6" s="182" t="str">
        <f>IFERROR(__xludf.DUMMYFUNCTION("""COMPUTED_VALUE"""),"mmWave")</f>
        <v>mmWave</v>
      </c>
      <c r="I6" s="182" t="str">
        <f>IFERROR(__xludf.DUMMYFUNCTION("""COMPUTED_VALUE"""),"256GB")</f>
        <v>256GB</v>
      </c>
      <c r="J6" s="182"/>
      <c r="K6" s="182" t="str">
        <f>IFERROR(__xludf.DUMMYFUNCTION("""COMPUTED_VALUE"""),"G950-18289-04")</f>
        <v>G950-18289-04</v>
      </c>
      <c r="L6" s="182" t="str">
        <f>IFERROR(__xludf.DUMMYFUNCTION("""COMPUTED_VALUE"""),"G710-07821-01")</f>
        <v>G710-07821-01</v>
      </c>
      <c r="M6" s="182" t="str">
        <f>IFERROR(__xludf.DUMMYFUNCTION("""COMPUTED_VALUE"""),"G710-10000-40")</f>
        <v>G710-10000-40</v>
      </c>
      <c r="N6" s="182" t="str">
        <f>IFERROR(__xludf.DUMMYFUNCTION("""COMPUTED_VALUE"""),"G730-09466-14")</f>
        <v>G730-09466-14</v>
      </c>
      <c r="O6" s="182" t="str">
        <f>IFERROR(__xludf.DUMMYFUNCTION("""COMPUTED_VALUE"""),"G710-07813-10")</f>
        <v>G710-07813-10</v>
      </c>
      <c r="P6" s="182" t="str">
        <f>IFERROR(__xludf.DUMMYFUNCTION("""COMPUTED_VALUE"""),"G650-17429-06")</f>
        <v>G650-17429-06</v>
      </c>
      <c r="Q6" s="182" t="str">
        <f>IFERROR(__xludf.DUMMYFUNCTION("""COMPUTED_VALUE"""),"G650-14412-04")</f>
        <v>G650-14412-04</v>
      </c>
      <c r="R6" s="182" t="str">
        <f>IFERROR(__xludf.DUMMYFUNCTION("""COMPUTED_VALUE"""),"G650-14843-04")</f>
        <v>G650-14843-04</v>
      </c>
      <c r="S6" s="182" t="str">
        <f>IFERROR(__xludf.DUMMYFUNCTION("""COMPUTED_VALUE"""),"G650-14411-05")</f>
        <v>G650-14411-05</v>
      </c>
      <c r="T6" s="182" t="str">
        <f>IFERROR(__xludf.DUMMYFUNCTION("""COMPUTED_VALUE"""),"G650-14840-03")</f>
        <v>G650-14840-03</v>
      </c>
      <c r="U6" s="182" t="str">
        <f>IFERROR(__xludf.DUMMYFUNCTION("""COMPUTED_VALUE"""),"G650-14841-03")</f>
        <v>G650-14841-03</v>
      </c>
      <c r="V6" s="182" t="str">
        <f>IFERROR(__xludf.DUMMYFUNCTION("""COMPUTED_VALUE"""),"G650-14413-03")</f>
        <v>G650-14413-03</v>
      </c>
      <c r="W6" s="182"/>
      <c r="X6" s="182"/>
      <c r="Y6" s="182"/>
      <c r="Z6" s="182" t="str">
        <f>IFERROR(__xludf.DUMMYFUNCTION("""COMPUTED_VALUE"""),"N")</f>
        <v>N</v>
      </c>
      <c r="AA6" s="182" t="str">
        <f>IFERROR(__xludf.DUMMYFUNCTION("""COMPUTED_VALUE"""),"Y")</f>
        <v>Y</v>
      </c>
    </row>
    <row r="7">
      <c r="A7" s="182" t="str">
        <f>IFERROR(__xludf.DUMMYFUNCTION("""COMPUTED_VALUE"""),"PVT/MP")</f>
        <v>PVT/MP</v>
      </c>
      <c r="B7" s="182">
        <f>IFERROR(__xludf.DUMMYFUNCTION("""COMPUTED_VALUE"""),6.0)</f>
        <v>6</v>
      </c>
      <c r="C7" s="182" t="str">
        <f>IFERROR(__xludf.DUMMYFUNCTION("""COMPUTED_VALUE"""),"G4QUR")</f>
        <v>G4QUR</v>
      </c>
      <c r="D7" s="182" t="str">
        <f>IFERROR(__xludf.DUMMYFUNCTION("""COMPUTED_VALUE"""),"GA09905-US")</f>
        <v>GA09905-US</v>
      </c>
      <c r="E7" s="182" t="str">
        <f>IFERROR(__xludf.DUMMYFUNCTION("""COMPUTED_VALUE"""),"SKU, CLR1, BEST, MMWAVE, VZW, BZ5")</f>
        <v>SKU, CLR1, BEST, MMWAVE, VZW, BZ5</v>
      </c>
      <c r="F7" s="182" t="str">
        <f>IFERROR(__xludf.DUMMYFUNCTION("""COMPUTED_VALUE"""),"Pixel 10 Pro, Obsidian, 512GB, VZW, US")</f>
        <v>Pixel 10 Pro, Obsidian, 512GB, VZW, US</v>
      </c>
      <c r="G7" s="182" t="str">
        <f>IFERROR(__xludf.DUMMYFUNCTION("""COMPUTED_VALUE"""),"CLR1")</f>
        <v>CLR1</v>
      </c>
      <c r="H7" s="182" t="str">
        <f>IFERROR(__xludf.DUMMYFUNCTION("""COMPUTED_VALUE"""),"mmWave")</f>
        <v>mmWave</v>
      </c>
      <c r="I7" s="182" t="str">
        <f>IFERROR(__xludf.DUMMYFUNCTION("""COMPUTED_VALUE"""),"512GB")</f>
        <v>512GB</v>
      </c>
      <c r="J7" s="182"/>
      <c r="K7" s="182" t="str">
        <f>IFERROR(__xludf.DUMMYFUNCTION("""COMPUTED_VALUE"""),"G950-18291-01")</f>
        <v>G950-18291-01</v>
      </c>
      <c r="L7" s="182" t="str">
        <f>IFERROR(__xludf.DUMMYFUNCTION("""COMPUTED_VALUE"""),"G710-07821-01")</f>
        <v>G710-07821-01</v>
      </c>
      <c r="M7" s="182" t="str">
        <f>IFERROR(__xludf.DUMMYFUNCTION("""COMPUTED_VALUE"""),"G710-10000-40")</f>
        <v>G710-10000-40</v>
      </c>
      <c r="N7" s="182" t="str">
        <f>IFERROR(__xludf.DUMMYFUNCTION("""COMPUTED_VALUE"""),"G730-09466-11")</f>
        <v>G730-09466-11</v>
      </c>
      <c r="O7" s="182" t="str">
        <f>IFERROR(__xludf.DUMMYFUNCTION("""COMPUTED_VALUE"""),"G710-07813-20")</f>
        <v>G710-07813-20</v>
      </c>
      <c r="P7" s="182" t="str">
        <f>IFERROR(__xludf.DUMMYFUNCTION("""COMPUTED_VALUE"""),"G650-17431-06")</f>
        <v>G650-17431-06</v>
      </c>
      <c r="Q7" s="182" t="str">
        <f>IFERROR(__xludf.DUMMYFUNCTION("""COMPUTED_VALUE"""),"G650-14412-04")</f>
        <v>G650-14412-04</v>
      </c>
      <c r="R7" s="182" t="str">
        <f>IFERROR(__xludf.DUMMYFUNCTION("""COMPUTED_VALUE"""),"G650-14843-04")</f>
        <v>G650-14843-04</v>
      </c>
      <c r="S7" s="182" t="str">
        <f>IFERROR(__xludf.DUMMYFUNCTION("""COMPUTED_VALUE"""),"G650-14411-05")</f>
        <v>G650-14411-05</v>
      </c>
      <c r="T7" s="182" t="str">
        <f>IFERROR(__xludf.DUMMYFUNCTION("""COMPUTED_VALUE"""),"G650-14840-03")</f>
        <v>G650-14840-03</v>
      </c>
      <c r="U7" s="182" t="str">
        <f>IFERROR(__xludf.DUMMYFUNCTION("""COMPUTED_VALUE"""),"G650-14841-03")</f>
        <v>G650-14841-03</v>
      </c>
      <c r="V7" s="182" t="str">
        <f>IFERROR(__xludf.DUMMYFUNCTION("""COMPUTED_VALUE"""),"G650-14413-03")</f>
        <v>G650-14413-03</v>
      </c>
      <c r="W7" s="182"/>
      <c r="X7" s="182"/>
      <c r="Y7" s="182"/>
      <c r="Z7" s="182" t="str">
        <f>IFERROR(__xludf.DUMMYFUNCTION("""COMPUTED_VALUE"""),"N")</f>
        <v>N</v>
      </c>
      <c r="AA7" s="182" t="str">
        <f>IFERROR(__xludf.DUMMYFUNCTION("""COMPUTED_VALUE"""),"Y")</f>
        <v>Y</v>
      </c>
    </row>
    <row r="8">
      <c r="A8" s="182" t="str">
        <f>IFERROR(__xludf.DUMMYFUNCTION("""COMPUTED_VALUE"""),"MP")</f>
        <v>MP</v>
      </c>
      <c r="B8" s="182">
        <f>IFERROR(__xludf.DUMMYFUNCTION("""COMPUTED_VALUE"""),7.0)</f>
        <v>7</v>
      </c>
      <c r="C8" s="182" t="str">
        <f>IFERROR(__xludf.DUMMYFUNCTION("""COMPUTED_VALUE"""),"G4QUR")</f>
        <v>G4QUR</v>
      </c>
      <c r="D8" s="182" t="str">
        <f>IFERROR(__xludf.DUMMYFUNCTION("""COMPUTED_VALUE"""),"GA10281-US")</f>
        <v>GA10281-US</v>
      </c>
      <c r="E8" s="182" t="str">
        <f>IFERROR(__xludf.DUMMYFUNCTION("""COMPUTED_VALUE"""),"SKU, CLR3, BEST, MMWAVE, VZW, US, BZ5")</f>
        <v>SKU, CLR3, BEST, MMWAVE, VZW, US, BZ5</v>
      </c>
      <c r="F8" s="182" t="str">
        <f>IFERROR(__xludf.DUMMYFUNCTION("""COMPUTED_VALUE"""),"Pixel 10 Pro, Moonstone, 512GB, VZW, US")</f>
        <v>Pixel 10 Pro, Moonstone, 512GB, VZW, US</v>
      </c>
      <c r="G8" s="182" t="str">
        <f>IFERROR(__xludf.DUMMYFUNCTION("""COMPUTED_VALUE"""),"CLR3")</f>
        <v>CLR3</v>
      </c>
      <c r="H8" s="182" t="str">
        <f>IFERROR(__xludf.DUMMYFUNCTION("""COMPUTED_VALUE"""),"mmWave")</f>
        <v>mmWave</v>
      </c>
      <c r="I8" s="182" t="str">
        <f>IFERROR(__xludf.DUMMYFUNCTION("""COMPUTED_VALUE"""),"512GB")</f>
        <v>512GB</v>
      </c>
      <c r="J8" s="182"/>
      <c r="K8" s="182" t="str">
        <f>IFERROR(__xludf.DUMMYFUNCTION("""COMPUTED_VALUE"""),"G950-18291-03")</f>
        <v>G950-18291-03</v>
      </c>
      <c r="L8" s="182" t="str">
        <f>IFERROR(__xludf.DUMMYFUNCTION("""COMPUTED_VALUE"""),"G710-07821-01")</f>
        <v>G710-07821-01</v>
      </c>
      <c r="M8" s="182" t="str">
        <f>IFERROR(__xludf.DUMMYFUNCTION("""COMPUTED_VALUE"""),"G710-10000-40")</f>
        <v>G710-10000-40</v>
      </c>
      <c r="N8" s="182" t="str">
        <f>IFERROR(__xludf.DUMMYFUNCTION("""COMPUTED_VALUE"""),"G730-09466-13")</f>
        <v>G730-09466-13</v>
      </c>
      <c r="O8" s="182" t="str">
        <f>IFERROR(__xludf.DUMMYFUNCTION("""COMPUTED_VALUE"""),"G710-07813-20")</f>
        <v>G710-07813-20</v>
      </c>
      <c r="P8" s="182" t="str">
        <f>IFERROR(__xludf.DUMMYFUNCTION("""COMPUTED_VALUE"""),"G650-17431-06")</f>
        <v>G650-17431-06</v>
      </c>
      <c r="Q8" s="182" t="str">
        <f>IFERROR(__xludf.DUMMYFUNCTION("""COMPUTED_VALUE"""),"G650-14412-04")</f>
        <v>G650-14412-04</v>
      </c>
      <c r="R8" s="182" t="str">
        <f>IFERROR(__xludf.DUMMYFUNCTION("""COMPUTED_VALUE"""),"G650-14843-04")</f>
        <v>G650-14843-04</v>
      </c>
      <c r="S8" s="182" t="str">
        <f>IFERROR(__xludf.DUMMYFUNCTION("""COMPUTED_VALUE"""),"G650-14411-05")</f>
        <v>G650-14411-05</v>
      </c>
      <c r="T8" s="182" t="str">
        <f>IFERROR(__xludf.DUMMYFUNCTION("""COMPUTED_VALUE"""),"G650-14840-03")</f>
        <v>G650-14840-03</v>
      </c>
      <c r="U8" s="182" t="str">
        <f>IFERROR(__xludf.DUMMYFUNCTION("""COMPUTED_VALUE"""),"G650-14841-03")</f>
        <v>G650-14841-03</v>
      </c>
      <c r="V8" s="182" t="str">
        <f>IFERROR(__xludf.DUMMYFUNCTION("""COMPUTED_VALUE"""),"G650-14413-03")</f>
        <v>G650-14413-03</v>
      </c>
      <c r="W8" s="182"/>
      <c r="X8" s="182"/>
      <c r="Y8" s="182"/>
      <c r="Z8" s="182" t="str">
        <f>IFERROR(__xludf.DUMMYFUNCTION("""COMPUTED_VALUE"""),"N")</f>
        <v>N</v>
      </c>
      <c r="AA8" s="182" t="str">
        <f>IFERROR(__xludf.DUMMYFUNCTION("""COMPUTED_VALUE"""),"Y")</f>
        <v>Y</v>
      </c>
    </row>
    <row r="9">
      <c r="A9" s="182" t="str">
        <f>IFERROR(__xludf.DUMMYFUNCTION("""COMPUTED_VALUE"""),"PVT/MP")</f>
        <v>PVT/MP</v>
      </c>
      <c r="B9" s="182">
        <f>IFERROR(__xludf.DUMMYFUNCTION("""COMPUTED_VALUE"""),8.0)</f>
        <v>8</v>
      </c>
      <c r="C9" s="182" t="str">
        <f>IFERROR(__xludf.DUMMYFUNCTION("""COMPUTED_VALUE"""),"G4QUR")</f>
        <v>G4QUR</v>
      </c>
      <c r="D9" s="182" t="str">
        <f>IFERROR(__xludf.DUMMYFUNCTION("""COMPUTED_VALUE"""),"GA09885-US")</f>
        <v>GA09885-US</v>
      </c>
      <c r="E9" s="182" t="str">
        <f>IFERROR(__xludf.DUMMYFUNCTION("""COMPUTED_VALUE"""),"SKU, CLR1, GOOD, MMWAVE, ATT, BZ5")</f>
        <v>SKU, CLR1, GOOD, MMWAVE, ATT, BZ5</v>
      </c>
      <c r="F9" s="182" t="str">
        <f>IFERROR(__xludf.DUMMYFUNCTION("""COMPUTED_VALUE"""),"Pixel 10 Pro, Obsidian, 128GB, AT&amp;T, US")</f>
        <v>Pixel 10 Pro, Obsidian, 128GB, AT&amp;T, US</v>
      </c>
      <c r="G9" s="182" t="str">
        <f>IFERROR(__xludf.DUMMYFUNCTION("""COMPUTED_VALUE"""),"CLR1")</f>
        <v>CLR1</v>
      </c>
      <c r="H9" s="182" t="str">
        <f>IFERROR(__xludf.DUMMYFUNCTION("""COMPUTED_VALUE"""),"mmWave")</f>
        <v>mmWave</v>
      </c>
      <c r="I9" s="182" t="str">
        <f>IFERROR(__xludf.DUMMYFUNCTION("""COMPUTED_VALUE"""),"128GB")</f>
        <v>128GB</v>
      </c>
      <c r="J9" s="182"/>
      <c r="K9" s="182" t="str">
        <f>IFERROR(__xludf.DUMMYFUNCTION("""COMPUTED_VALUE"""),"G950-15986-01")</f>
        <v>G950-15986-01</v>
      </c>
      <c r="L9" s="182" t="str">
        <f>IFERROR(__xludf.DUMMYFUNCTION("""COMPUTED_VALUE"""),"G710-07821-01")</f>
        <v>G710-07821-01</v>
      </c>
      <c r="M9" s="182" t="str">
        <f>IFERROR(__xludf.DUMMYFUNCTION("""COMPUTED_VALUE"""),"G710-10000-40")</f>
        <v>G710-10000-40</v>
      </c>
      <c r="N9" s="182" t="str">
        <f>IFERROR(__xludf.DUMMYFUNCTION("""COMPUTED_VALUE"""),"G730-09466-11")</f>
        <v>G730-09466-11</v>
      </c>
      <c r="O9" s="182" t="str">
        <f>IFERROR(__xludf.DUMMYFUNCTION("""COMPUTED_VALUE"""),"G710-07813-00")</f>
        <v>G710-07813-00</v>
      </c>
      <c r="P9" s="182" t="str">
        <f>IFERROR(__xludf.DUMMYFUNCTION("""COMPUTED_VALUE"""),"G650-14410-06")</f>
        <v>G650-14410-06</v>
      </c>
      <c r="Q9" s="182" t="str">
        <f>IFERROR(__xludf.DUMMYFUNCTION("""COMPUTED_VALUE"""),"G650-14412-04")</f>
        <v>G650-14412-04</v>
      </c>
      <c r="R9" s="182" t="str">
        <f>IFERROR(__xludf.DUMMYFUNCTION("""COMPUTED_VALUE"""),"G650-14843-04")</f>
        <v>G650-14843-04</v>
      </c>
      <c r="S9" s="182" t="str">
        <f>IFERROR(__xludf.DUMMYFUNCTION("""COMPUTED_VALUE"""),"G650-14411-05")</f>
        <v>G650-14411-05</v>
      </c>
      <c r="T9" s="182" t="str">
        <f>IFERROR(__xludf.DUMMYFUNCTION("""COMPUTED_VALUE"""),"G650-14840-03")</f>
        <v>G650-14840-03</v>
      </c>
      <c r="U9" s="182" t="str">
        <f>IFERROR(__xludf.DUMMYFUNCTION("""COMPUTED_VALUE"""),"G650-14841-03")</f>
        <v>G650-14841-03</v>
      </c>
      <c r="V9" s="182" t="str">
        <f>IFERROR(__xludf.DUMMYFUNCTION("""COMPUTED_VALUE"""),"G650-14413-03")</f>
        <v>G650-14413-03</v>
      </c>
      <c r="W9" s="182"/>
      <c r="X9" s="182"/>
      <c r="Y9" s="182"/>
      <c r="Z9" s="182" t="str">
        <f>IFERROR(__xludf.DUMMYFUNCTION("""COMPUTED_VALUE"""),"N")</f>
        <v>N</v>
      </c>
      <c r="AA9" s="182" t="str">
        <f>IFERROR(__xludf.DUMMYFUNCTION("""COMPUTED_VALUE"""),"Y")</f>
        <v>Y</v>
      </c>
    </row>
    <row r="10">
      <c r="A10" s="182" t="str">
        <f>IFERROR(__xludf.DUMMYFUNCTION("""COMPUTED_VALUE"""),"PVT/MP")</f>
        <v>PVT/MP</v>
      </c>
      <c r="B10" s="182">
        <f>IFERROR(__xludf.DUMMYFUNCTION("""COMPUTED_VALUE"""),9.0)</f>
        <v>9</v>
      </c>
      <c r="C10" s="182" t="str">
        <f>IFERROR(__xludf.DUMMYFUNCTION("""COMPUTED_VALUE"""),"G4QUR")</f>
        <v>G4QUR</v>
      </c>
      <c r="D10" s="182" t="str">
        <f>IFERROR(__xludf.DUMMYFUNCTION("""COMPUTED_VALUE"""),"GA10285-US")</f>
        <v>GA10285-US</v>
      </c>
      <c r="E10" s="182" t="str">
        <f>IFERROR(__xludf.DUMMYFUNCTION("""COMPUTED_VALUE"""),"SKU, CLR3, GOOD, MMWAVE, ATT, US, BZ5")</f>
        <v>SKU, CLR3, GOOD, MMWAVE, ATT, US, BZ5</v>
      </c>
      <c r="F10" s="182" t="str">
        <f>IFERROR(__xludf.DUMMYFUNCTION("""COMPUTED_VALUE"""),"Pixel 10 Pro, Moonstone, 128GB, AT&amp;T, US")</f>
        <v>Pixel 10 Pro, Moonstone, 128GB, AT&amp;T, US</v>
      </c>
      <c r="G10" s="182" t="str">
        <f>IFERROR(__xludf.DUMMYFUNCTION("""COMPUTED_VALUE"""),"CLR3")</f>
        <v>CLR3</v>
      </c>
      <c r="H10" s="182" t="str">
        <f>IFERROR(__xludf.DUMMYFUNCTION("""COMPUTED_VALUE"""),"mmWave")</f>
        <v>mmWave</v>
      </c>
      <c r="I10" s="182" t="str">
        <f>IFERROR(__xludf.DUMMYFUNCTION("""COMPUTED_VALUE"""),"128GB")</f>
        <v>128GB</v>
      </c>
      <c r="J10" s="182"/>
      <c r="K10" s="182" t="str">
        <f>IFERROR(__xludf.DUMMYFUNCTION("""COMPUTED_VALUE"""),"G950-15986-03")</f>
        <v>G950-15986-03</v>
      </c>
      <c r="L10" s="182" t="str">
        <f>IFERROR(__xludf.DUMMYFUNCTION("""COMPUTED_VALUE"""),"G710-07821-01")</f>
        <v>G710-07821-01</v>
      </c>
      <c r="M10" s="182" t="str">
        <f>IFERROR(__xludf.DUMMYFUNCTION("""COMPUTED_VALUE"""),"G710-10000-40")</f>
        <v>G710-10000-40</v>
      </c>
      <c r="N10" s="182" t="str">
        <f>IFERROR(__xludf.DUMMYFUNCTION("""COMPUTED_VALUE"""),"G730-09466-13")</f>
        <v>G730-09466-13</v>
      </c>
      <c r="O10" s="182" t="str">
        <f>IFERROR(__xludf.DUMMYFUNCTION("""COMPUTED_VALUE"""),"G710-07813-00")</f>
        <v>G710-07813-00</v>
      </c>
      <c r="P10" s="182" t="str">
        <f>IFERROR(__xludf.DUMMYFUNCTION("""COMPUTED_VALUE"""),"G650-14410-06")</f>
        <v>G650-14410-06</v>
      </c>
      <c r="Q10" s="182" t="str">
        <f>IFERROR(__xludf.DUMMYFUNCTION("""COMPUTED_VALUE"""),"G650-14412-04")</f>
        <v>G650-14412-04</v>
      </c>
      <c r="R10" s="182" t="str">
        <f>IFERROR(__xludf.DUMMYFUNCTION("""COMPUTED_VALUE"""),"G650-14843-04")</f>
        <v>G650-14843-04</v>
      </c>
      <c r="S10" s="182" t="str">
        <f>IFERROR(__xludf.DUMMYFUNCTION("""COMPUTED_VALUE"""),"G650-14411-05")</f>
        <v>G650-14411-05</v>
      </c>
      <c r="T10" s="182" t="str">
        <f>IFERROR(__xludf.DUMMYFUNCTION("""COMPUTED_VALUE"""),"G650-14840-03")</f>
        <v>G650-14840-03</v>
      </c>
      <c r="U10" s="182" t="str">
        <f>IFERROR(__xludf.DUMMYFUNCTION("""COMPUTED_VALUE"""),"G650-14841-03")</f>
        <v>G650-14841-03</v>
      </c>
      <c r="V10" s="182" t="str">
        <f>IFERROR(__xludf.DUMMYFUNCTION("""COMPUTED_VALUE"""),"G650-14413-03")</f>
        <v>G650-14413-03</v>
      </c>
      <c r="W10" s="182"/>
      <c r="X10" s="182"/>
      <c r="Y10" s="182"/>
      <c r="Z10" s="182" t="str">
        <f>IFERROR(__xludf.DUMMYFUNCTION("""COMPUTED_VALUE"""),"N")</f>
        <v>N</v>
      </c>
      <c r="AA10" s="182" t="str">
        <f>IFERROR(__xludf.DUMMYFUNCTION("""COMPUTED_VALUE"""),"Y")</f>
        <v>Y</v>
      </c>
    </row>
    <row r="11">
      <c r="A11" s="182" t="str">
        <f>IFERROR(__xludf.DUMMYFUNCTION("""COMPUTED_VALUE"""),"MP")</f>
        <v>MP</v>
      </c>
      <c r="B11" s="182">
        <f>IFERROR(__xludf.DUMMYFUNCTION("""COMPUTED_VALUE"""),10.0)</f>
        <v>10</v>
      </c>
      <c r="C11" s="182" t="str">
        <f>IFERROR(__xludf.DUMMYFUNCTION("""COMPUTED_VALUE"""),"G4QUR")</f>
        <v>G4QUR</v>
      </c>
      <c r="D11" s="182" t="str">
        <f>IFERROR(__xludf.DUMMYFUNCTION("""COMPUTED_VALUE"""),"GA10287-US")</f>
        <v>GA10287-US</v>
      </c>
      <c r="E11" s="182" t="str">
        <f>IFERROR(__xludf.DUMMYFUNCTION("""COMPUTED_VALUE"""),"SKU, CLR3, BETTER, MMWAVE, AT&amp;T, US, BZ5")</f>
        <v>SKU, CLR3, BETTER, MMWAVE, AT&amp;T, US, BZ5</v>
      </c>
      <c r="F11" s="182" t="str">
        <f>IFERROR(__xludf.DUMMYFUNCTION("""COMPUTED_VALUE"""),"Pixel 10 Pro, Moonstone, 256GB, AT&amp;T, US")</f>
        <v>Pixel 10 Pro, Moonstone, 256GB, AT&amp;T, US</v>
      </c>
      <c r="G11" s="182" t="str">
        <f>IFERROR(__xludf.DUMMYFUNCTION("""COMPUTED_VALUE"""),"CLR3")</f>
        <v>CLR3</v>
      </c>
      <c r="H11" s="182" t="str">
        <f>IFERROR(__xludf.DUMMYFUNCTION("""COMPUTED_VALUE"""),"mmWave")</f>
        <v>mmWave</v>
      </c>
      <c r="I11" s="182" t="str">
        <f>IFERROR(__xludf.DUMMYFUNCTION("""COMPUTED_VALUE"""),"256GB")</f>
        <v>256GB</v>
      </c>
      <c r="J11" s="182"/>
      <c r="K11" s="182" t="str">
        <f>IFERROR(__xludf.DUMMYFUNCTION("""COMPUTED_VALUE"""),"G950-18289-03")</f>
        <v>G950-18289-03</v>
      </c>
      <c r="L11" s="182" t="str">
        <f>IFERROR(__xludf.DUMMYFUNCTION("""COMPUTED_VALUE"""),"G710-07821-01")</f>
        <v>G710-07821-01</v>
      </c>
      <c r="M11" s="182" t="str">
        <f>IFERROR(__xludf.DUMMYFUNCTION("""COMPUTED_VALUE"""),"G710-10000-40")</f>
        <v>G710-10000-40</v>
      </c>
      <c r="N11" s="182" t="str">
        <f>IFERROR(__xludf.DUMMYFUNCTION("""COMPUTED_VALUE"""),"G730-09466-13")</f>
        <v>G730-09466-13</v>
      </c>
      <c r="O11" s="182" t="str">
        <f>IFERROR(__xludf.DUMMYFUNCTION("""COMPUTED_VALUE"""),"G710-07813-10")</f>
        <v>G710-07813-10</v>
      </c>
      <c r="P11" s="182" t="str">
        <f>IFERROR(__xludf.DUMMYFUNCTION("""COMPUTED_VALUE"""),"G650-17429-06")</f>
        <v>G650-17429-06</v>
      </c>
      <c r="Q11" s="182" t="str">
        <f>IFERROR(__xludf.DUMMYFUNCTION("""COMPUTED_VALUE"""),"G650-14412-04")</f>
        <v>G650-14412-04</v>
      </c>
      <c r="R11" s="182" t="str">
        <f>IFERROR(__xludf.DUMMYFUNCTION("""COMPUTED_VALUE"""),"G650-14843-04")</f>
        <v>G650-14843-04</v>
      </c>
      <c r="S11" s="182" t="str">
        <f>IFERROR(__xludf.DUMMYFUNCTION("""COMPUTED_VALUE"""),"G650-14411-05")</f>
        <v>G650-14411-05</v>
      </c>
      <c r="T11" s="182" t="str">
        <f>IFERROR(__xludf.DUMMYFUNCTION("""COMPUTED_VALUE"""),"G650-14840-03")</f>
        <v>G650-14840-03</v>
      </c>
      <c r="U11" s="182" t="str">
        <f>IFERROR(__xludf.DUMMYFUNCTION("""COMPUTED_VALUE"""),"G650-14841-03")</f>
        <v>G650-14841-03</v>
      </c>
      <c r="V11" s="182" t="str">
        <f>IFERROR(__xludf.DUMMYFUNCTION("""COMPUTED_VALUE"""),"G650-14413-03")</f>
        <v>G650-14413-03</v>
      </c>
      <c r="W11" s="182"/>
      <c r="X11" s="182"/>
      <c r="Y11" s="182"/>
      <c r="Z11" s="182" t="str">
        <f>IFERROR(__xludf.DUMMYFUNCTION("""COMPUTED_VALUE"""),"N")</f>
        <v>N</v>
      </c>
      <c r="AA11" s="182" t="str">
        <f>IFERROR(__xludf.DUMMYFUNCTION("""COMPUTED_VALUE"""),"Y")</f>
        <v>Y</v>
      </c>
    </row>
    <row r="12">
      <c r="A12" s="182" t="str">
        <f>IFERROR(__xludf.DUMMYFUNCTION("""COMPUTED_VALUE"""),"PVT/MP")</f>
        <v>PVT/MP</v>
      </c>
      <c r="B12" s="182">
        <f>IFERROR(__xludf.DUMMYFUNCTION("""COMPUTED_VALUE"""),11.0)</f>
        <v>11</v>
      </c>
      <c r="C12" s="182" t="str">
        <f>IFERROR(__xludf.DUMMYFUNCTION("""COMPUTED_VALUE"""),"G4QUR")</f>
        <v>G4QUR</v>
      </c>
      <c r="D12" s="182" t="str">
        <f>IFERROR(__xludf.DUMMYFUNCTION("""COMPUTED_VALUE"""),"GA09886-US")</f>
        <v>GA09886-US</v>
      </c>
      <c r="E12" s="182" t="str">
        <f>IFERROR(__xludf.DUMMYFUNCTION("""COMPUTED_VALUE"""),"SKU, CLR1, GOOD, MMWAVE, TMO, BZ5")</f>
        <v>SKU, CLR1, GOOD, MMWAVE, TMO, BZ5</v>
      </c>
      <c r="F12" s="182" t="str">
        <f>IFERROR(__xludf.DUMMYFUNCTION("""COMPUTED_VALUE"""),"Pixel 10 Pro, Obsidian, 128GB, TMO, US")</f>
        <v>Pixel 10 Pro, Obsidian, 128GB, TMO, US</v>
      </c>
      <c r="G12" s="182" t="str">
        <f>IFERROR(__xludf.DUMMYFUNCTION("""COMPUTED_VALUE"""),"CLR1")</f>
        <v>CLR1</v>
      </c>
      <c r="H12" s="182" t="str">
        <f>IFERROR(__xludf.DUMMYFUNCTION("""COMPUTED_VALUE"""),"mmWave")</f>
        <v>mmWave</v>
      </c>
      <c r="I12" s="182" t="str">
        <f>IFERROR(__xludf.DUMMYFUNCTION("""COMPUTED_VALUE"""),"128GB")</f>
        <v>128GB</v>
      </c>
      <c r="J12" s="182"/>
      <c r="K12" s="182" t="str">
        <f>IFERROR(__xludf.DUMMYFUNCTION("""COMPUTED_VALUE"""),"G950-15986-01")</f>
        <v>G950-15986-01</v>
      </c>
      <c r="L12" s="182" t="str">
        <f>IFERROR(__xludf.DUMMYFUNCTION("""COMPUTED_VALUE"""),"G710-07821-01")</f>
        <v>G710-07821-01</v>
      </c>
      <c r="M12" s="182" t="str">
        <f>IFERROR(__xludf.DUMMYFUNCTION("""COMPUTED_VALUE"""),"G710-10000-40")</f>
        <v>G710-10000-40</v>
      </c>
      <c r="N12" s="182" t="str">
        <f>IFERROR(__xludf.DUMMYFUNCTION("""COMPUTED_VALUE"""),"G730-09466-11")</f>
        <v>G730-09466-11</v>
      </c>
      <c r="O12" s="182" t="str">
        <f>IFERROR(__xludf.DUMMYFUNCTION("""COMPUTED_VALUE"""),"G710-07813-00")</f>
        <v>G710-07813-00</v>
      </c>
      <c r="P12" s="182" t="str">
        <f>IFERROR(__xludf.DUMMYFUNCTION("""COMPUTED_VALUE"""),"G650-14410-06")</f>
        <v>G650-14410-06</v>
      </c>
      <c r="Q12" s="182" t="str">
        <f>IFERROR(__xludf.DUMMYFUNCTION("""COMPUTED_VALUE"""),"G650-14412-04")</f>
        <v>G650-14412-04</v>
      </c>
      <c r="R12" s="182" t="str">
        <f>IFERROR(__xludf.DUMMYFUNCTION("""COMPUTED_VALUE"""),"G650-14843-04")</f>
        <v>G650-14843-04</v>
      </c>
      <c r="S12" s="182" t="str">
        <f>IFERROR(__xludf.DUMMYFUNCTION("""COMPUTED_VALUE"""),"G650-14411-05")</f>
        <v>G650-14411-05</v>
      </c>
      <c r="T12" s="182" t="str">
        <f>IFERROR(__xludf.DUMMYFUNCTION("""COMPUTED_VALUE"""),"G650-14840-03")</f>
        <v>G650-14840-03</v>
      </c>
      <c r="U12" s="182" t="str">
        <f>IFERROR(__xludf.DUMMYFUNCTION("""COMPUTED_VALUE"""),"G650-14841-03")</f>
        <v>G650-14841-03</v>
      </c>
      <c r="V12" s="182" t="str">
        <f>IFERROR(__xludf.DUMMYFUNCTION("""COMPUTED_VALUE"""),"G650-14413-03")</f>
        <v>G650-14413-03</v>
      </c>
      <c r="W12" s="182"/>
      <c r="X12" s="182"/>
      <c r="Y12" s="182"/>
      <c r="Z12" s="182" t="str">
        <f>IFERROR(__xludf.DUMMYFUNCTION("""COMPUTED_VALUE"""),"N")</f>
        <v>N</v>
      </c>
      <c r="AA12" s="182" t="str">
        <f>IFERROR(__xludf.DUMMYFUNCTION("""COMPUTED_VALUE"""),"Y")</f>
        <v>Y</v>
      </c>
    </row>
    <row r="13">
      <c r="A13" s="182" t="str">
        <f>IFERROR(__xludf.DUMMYFUNCTION("""COMPUTED_VALUE"""),"PVT/MP")</f>
        <v>PVT/MP</v>
      </c>
      <c r="B13" s="182">
        <f>IFERROR(__xludf.DUMMYFUNCTION("""COMPUTED_VALUE"""),12.0)</f>
        <v>12</v>
      </c>
      <c r="C13" s="182" t="str">
        <f>IFERROR(__xludf.DUMMYFUNCTION("""COMPUTED_VALUE"""),"G4QUR")</f>
        <v>G4QUR</v>
      </c>
      <c r="D13" s="182" t="str">
        <f>IFERROR(__xludf.DUMMYFUNCTION("""COMPUTED_VALUE"""),"GA10293-US")</f>
        <v>GA10293-US</v>
      </c>
      <c r="E13" s="182" t="str">
        <f>IFERROR(__xludf.DUMMYFUNCTION("""COMPUTED_VALUE"""),"SKU, CLR2, GOOD, MMWAVE, TMO, US, BZ5")</f>
        <v>SKU, CLR2, GOOD, MMWAVE, TMO, US, BZ5</v>
      </c>
      <c r="F13" s="182" t="str">
        <f>IFERROR(__xludf.DUMMYFUNCTION("""COMPUTED_VALUE"""),"Pixel 10 Pro, Porcelain, 128GB, TMO, US")</f>
        <v>Pixel 10 Pro, Porcelain, 128GB, TMO, US</v>
      </c>
      <c r="G13" s="182" t="str">
        <f>IFERROR(__xludf.DUMMYFUNCTION("""COMPUTED_VALUE"""),"CLR2")</f>
        <v>CLR2</v>
      </c>
      <c r="H13" s="182" t="str">
        <f>IFERROR(__xludf.DUMMYFUNCTION("""COMPUTED_VALUE"""),"mmWave")</f>
        <v>mmWave</v>
      </c>
      <c r="I13" s="182" t="str">
        <f>IFERROR(__xludf.DUMMYFUNCTION("""COMPUTED_VALUE"""),"128GB")</f>
        <v>128GB</v>
      </c>
      <c r="J13" s="182"/>
      <c r="K13" s="182" t="str">
        <f>IFERROR(__xludf.DUMMYFUNCTION("""COMPUTED_VALUE"""),"G950-15986-02")</f>
        <v>G950-15986-02</v>
      </c>
      <c r="L13" s="182" t="str">
        <f>IFERROR(__xludf.DUMMYFUNCTION("""COMPUTED_VALUE"""),"G710-07821-01")</f>
        <v>G710-07821-01</v>
      </c>
      <c r="M13" s="182" t="str">
        <f>IFERROR(__xludf.DUMMYFUNCTION("""COMPUTED_VALUE"""),"G710-10000-40")</f>
        <v>G710-10000-40</v>
      </c>
      <c r="N13" s="182" t="str">
        <f>IFERROR(__xludf.DUMMYFUNCTION("""COMPUTED_VALUE"""),"G730-09466-12")</f>
        <v>G730-09466-12</v>
      </c>
      <c r="O13" s="182" t="str">
        <f>IFERROR(__xludf.DUMMYFUNCTION("""COMPUTED_VALUE"""),"G710-07813-00")</f>
        <v>G710-07813-00</v>
      </c>
      <c r="P13" s="182" t="str">
        <f>IFERROR(__xludf.DUMMYFUNCTION("""COMPUTED_VALUE"""),"G650-14410-06")</f>
        <v>G650-14410-06</v>
      </c>
      <c r="Q13" s="182" t="str">
        <f>IFERROR(__xludf.DUMMYFUNCTION("""COMPUTED_VALUE"""),"G650-14412-04")</f>
        <v>G650-14412-04</v>
      </c>
      <c r="R13" s="182" t="str">
        <f>IFERROR(__xludf.DUMMYFUNCTION("""COMPUTED_VALUE"""),"G650-14843-04")</f>
        <v>G650-14843-04</v>
      </c>
      <c r="S13" s="182" t="str">
        <f>IFERROR(__xludf.DUMMYFUNCTION("""COMPUTED_VALUE"""),"G650-14411-05")</f>
        <v>G650-14411-05</v>
      </c>
      <c r="T13" s="182" t="str">
        <f>IFERROR(__xludf.DUMMYFUNCTION("""COMPUTED_VALUE"""),"G650-14840-03")</f>
        <v>G650-14840-03</v>
      </c>
      <c r="U13" s="182" t="str">
        <f>IFERROR(__xludf.DUMMYFUNCTION("""COMPUTED_VALUE"""),"G650-14841-03")</f>
        <v>G650-14841-03</v>
      </c>
      <c r="V13" s="182" t="str">
        <f>IFERROR(__xludf.DUMMYFUNCTION("""COMPUTED_VALUE"""),"G650-14413-03")</f>
        <v>G650-14413-03</v>
      </c>
      <c r="W13" s="182"/>
      <c r="X13" s="182"/>
      <c r="Y13" s="182"/>
      <c r="Z13" s="182" t="str">
        <f>IFERROR(__xludf.DUMMYFUNCTION("""COMPUTED_VALUE"""),"N")</f>
        <v>N</v>
      </c>
      <c r="AA13" s="182" t="str">
        <f>IFERROR(__xludf.DUMMYFUNCTION("""COMPUTED_VALUE"""),"Y")</f>
        <v>Y</v>
      </c>
    </row>
    <row r="14">
      <c r="A14" s="182" t="str">
        <f>IFERROR(__xludf.DUMMYFUNCTION("""COMPUTED_VALUE"""),"PVT/MP")</f>
        <v>PVT/MP</v>
      </c>
      <c r="B14" s="182">
        <f>IFERROR(__xludf.DUMMYFUNCTION("""COMPUTED_VALUE"""),13.0)</f>
        <v>13</v>
      </c>
      <c r="C14" s="182" t="str">
        <f>IFERROR(__xludf.DUMMYFUNCTION("""COMPUTED_VALUE"""),"G4QUR")</f>
        <v>G4QUR</v>
      </c>
      <c r="D14" s="182" t="str">
        <f>IFERROR(__xludf.DUMMYFUNCTION("""COMPUTED_VALUE"""),"GA10294-US")</f>
        <v>GA10294-US</v>
      </c>
      <c r="E14" s="182" t="str">
        <f>IFERROR(__xludf.DUMMYFUNCTION("""COMPUTED_VALUE"""),"SKU, CLR3, GOOD, MMWAVE, TMO, US, BZ5")</f>
        <v>SKU, CLR3, GOOD, MMWAVE, TMO, US, BZ5</v>
      </c>
      <c r="F14" s="182" t="str">
        <f>IFERROR(__xludf.DUMMYFUNCTION("""COMPUTED_VALUE"""),"Pixel 10 Pro, Moonstone, 128GB, TMO, US")</f>
        <v>Pixel 10 Pro, Moonstone, 128GB, TMO, US</v>
      </c>
      <c r="G14" s="182" t="str">
        <f>IFERROR(__xludf.DUMMYFUNCTION("""COMPUTED_VALUE"""),"CLR3")</f>
        <v>CLR3</v>
      </c>
      <c r="H14" s="182" t="str">
        <f>IFERROR(__xludf.DUMMYFUNCTION("""COMPUTED_VALUE"""),"mmWave")</f>
        <v>mmWave</v>
      </c>
      <c r="I14" s="182" t="str">
        <f>IFERROR(__xludf.DUMMYFUNCTION("""COMPUTED_VALUE"""),"128GB")</f>
        <v>128GB</v>
      </c>
      <c r="J14" s="182"/>
      <c r="K14" s="182" t="str">
        <f>IFERROR(__xludf.DUMMYFUNCTION("""COMPUTED_VALUE"""),"G950-15986-03")</f>
        <v>G950-15986-03</v>
      </c>
      <c r="L14" s="182" t="str">
        <f>IFERROR(__xludf.DUMMYFUNCTION("""COMPUTED_VALUE"""),"G710-07821-01")</f>
        <v>G710-07821-01</v>
      </c>
      <c r="M14" s="182" t="str">
        <f>IFERROR(__xludf.DUMMYFUNCTION("""COMPUTED_VALUE"""),"G710-10000-40")</f>
        <v>G710-10000-40</v>
      </c>
      <c r="N14" s="182" t="str">
        <f>IFERROR(__xludf.DUMMYFUNCTION("""COMPUTED_VALUE"""),"G730-09466-13")</f>
        <v>G730-09466-13</v>
      </c>
      <c r="O14" s="182" t="str">
        <f>IFERROR(__xludf.DUMMYFUNCTION("""COMPUTED_VALUE"""),"G710-07813-00")</f>
        <v>G710-07813-00</v>
      </c>
      <c r="P14" s="182" t="str">
        <f>IFERROR(__xludf.DUMMYFUNCTION("""COMPUTED_VALUE"""),"G650-14410-06")</f>
        <v>G650-14410-06</v>
      </c>
      <c r="Q14" s="182" t="str">
        <f>IFERROR(__xludf.DUMMYFUNCTION("""COMPUTED_VALUE"""),"G650-14412-04")</f>
        <v>G650-14412-04</v>
      </c>
      <c r="R14" s="182" t="str">
        <f>IFERROR(__xludf.DUMMYFUNCTION("""COMPUTED_VALUE"""),"G650-14843-04")</f>
        <v>G650-14843-04</v>
      </c>
      <c r="S14" s="182" t="str">
        <f>IFERROR(__xludf.DUMMYFUNCTION("""COMPUTED_VALUE"""),"G650-14411-05")</f>
        <v>G650-14411-05</v>
      </c>
      <c r="T14" s="182" t="str">
        <f>IFERROR(__xludf.DUMMYFUNCTION("""COMPUTED_VALUE"""),"G650-14840-03")</f>
        <v>G650-14840-03</v>
      </c>
      <c r="U14" s="182" t="str">
        <f>IFERROR(__xludf.DUMMYFUNCTION("""COMPUTED_VALUE"""),"G650-14841-03")</f>
        <v>G650-14841-03</v>
      </c>
      <c r="V14" s="182" t="str">
        <f>IFERROR(__xludf.DUMMYFUNCTION("""COMPUTED_VALUE"""),"G650-14413-03")</f>
        <v>G650-14413-03</v>
      </c>
      <c r="W14" s="182"/>
      <c r="X14" s="182"/>
      <c r="Y14" s="182"/>
      <c r="Z14" s="182" t="str">
        <f>IFERROR(__xludf.DUMMYFUNCTION("""COMPUTED_VALUE"""),"N")</f>
        <v>N</v>
      </c>
      <c r="AA14" s="182" t="str">
        <f>IFERROR(__xludf.DUMMYFUNCTION("""COMPUTED_VALUE"""),"Y")</f>
        <v>Y</v>
      </c>
    </row>
    <row r="15">
      <c r="A15" s="182" t="str">
        <f>IFERROR(__xludf.DUMMYFUNCTION("""COMPUTED_VALUE"""),"MP")</f>
        <v>MP</v>
      </c>
      <c r="B15" s="182">
        <f>IFERROR(__xludf.DUMMYFUNCTION("""COMPUTED_VALUE"""),14.0)</f>
        <v>14</v>
      </c>
      <c r="C15" s="182" t="str">
        <f>IFERROR(__xludf.DUMMYFUNCTION("""COMPUTED_VALUE"""),"G4QUR")</f>
        <v>G4QUR</v>
      </c>
      <c r="D15" s="182" t="str">
        <f>IFERROR(__xludf.DUMMYFUNCTION("""COMPUTED_VALUE"""),"GA09898-US")</f>
        <v>GA09898-US</v>
      </c>
      <c r="E15" s="182" t="str">
        <f>IFERROR(__xludf.DUMMYFUNCTION("""COMPUTED_VALUE"""),"SKU, CLR1, BETTER, MMWAVE, TMO, BZ5")</f>
        <v>SKU, CLR1, BETTER, MMWAVE, TMO, BZ5</v>
      </c>
      <c r="F15" s="182" t="str">
        <f>IFERROR(__xludf.DUMMYFUNCTION("""COMPUTED_VALUE"""),"Pixel 10 Pro, Obsidian, 256GB, TMO, US")</f>
        <v>Pixel 10 Pro, Obsidian, 256GB, TMO, US</v>
      </c>
      <c r="G15" s="182" t="str">
        <f>IFERROR(__xludf.DUMMYFUNCTION("""COMPUTED_VALUE"""),"CLR1")</f>
        <v>CLR1</v>
      </c>
      <c r="H15" s="182" t="str">
        <f>IFERROR(__xludf.DUMMYFUNCTION("""COMPUTED_VALUE"""),"mmWave")</f>
        <v>mmWave</v>
      </c>
      <c r="I15" s="182" t="str">
        <f>IFERROR(__xludf.DUMMYFUNCTION("""COMPUTED_VALUE"""),"256GB")</f>
        <v>256GB</v>
      </c>
      <c r="J15" s="182"/>
      <c r="K15" s="182" t="str">
        <f>IFERROR(__xludf.DUMMYFUNCTION("""COMPUTED_VALUE"""),"G950-18289-01")</f>
        <v>G950-18289-01</v>
      </c>
      <c r="L15" s="182" t="str">
        <f>IFERROR(__xludf.DUMMYFUNCTION("""COMPUTED_VALUE"""),"G710-07821-01")</f>
        <v>G710-07821-01</v>
      </c>
      <c r="M15" s="182" t="str">
        <f>IFERROR(__xludf.DUMMYFUNCTION("""COMPUTED_VALUE"""),"G710-10000-40")</f>
        <v>G710-10000-40</v>
      </c>
      <c r="N15" s="182" t="str">
        <f>IFERROR(__xludf.DUMMYFUNCTION("""COMPUTED_VALUE"""),"G730-09466-11")</f>
        <v>G730-09466-11</v>
      </c>
      <c r="O15" s="182" t="str">
        <f>IFERROR(__xludf.DUMMYFUNCTION("""COMPUTED_VALUE"""),"G710-07813-10")</f>
        <v>G710-07813-10</v>
      </c>
      <c r="P15" s="182" t="str">
        <f>IFERROR(__xludf.DUMMYFUNCTION("""COMPUTED_VALUE"""),"G650-17429-06")</f>
        <v>G650-17429-06</v>
      </c>
      <c r="Q15" s="182" t="str">
        <f>IFERROR(__xludf.DUMMYFUNCTION("""COMPUTED_VALUE"""),"G650-14412-04")</f>
        <v>G650-14412-04</v>
      </c>
      <c r="R15" s="182" t="str">
        <f>IFERROR(__xludf.DUMMYFUNCTION("""COMPUTED_VALUE"""),"G650-14843-04")</f>
        <v>G650-14843-04</v>
      </c>
      <c r="S15" s="182" t="str">
        <f>IFERROR(__xludf.DUMMYFUNCTION("""COMPUTED_VALUE"""),"G650-14411-05")</f>
        <v>G650-14411-05</v>
      </c>
      <c r="T15" s="182" t="str">
        <f>IFERROR(__xludf.DUMMYFUNCTION("""COMPUTED_VALUE"""),"G650-14840-03")</f>
        <v>G650-14840-03</v>
      </c>
      <c r="U15" s="182" t="str">
        <f>IFERROR(__xludf.DUMMYFUNCTION("""COMPUTED_VALUE"""),"G650-14841-03")</f>
        <v>G650-14841-03</v>
      </c>
      <c r="V15" s="182" t="str">
        <f>IFERROR(__xludf.DUMMYFUNCTION("""COMPUTED_VALUE"""),"G650-14413-03")</f>
        <v>G650-14413-03</v>
      </c>
      <c r="W15" s="182"/>
      <c r="X15" s="182"/>
      <c r="Y15" s="182"/>
      <c r="Z15" s="182" t="str">
        <f>IFERROR(__xludf.DUMMYFUNCTION("""COMPUTED_VALUE"""),"N")</f>
        <v>N</v>
      </c>
      <c r="AA15" s="182" t="str">
        <f>IFERROR(__xludf.DUMMYFUNCTION("""COMPUTED_VALUE"""),"Y")</f>
        <v>Y</v>
      </c>
    </row>
    <row r="16">
      <c r="A16" s="182" t="str">
        <f>IFERROR(__xludf.DUMMYFUNCTION("""COMPUTED_VALUE"""),"PVT/MP")</f>
        <v>PVT/MP</v>
      </c>
      <c r="B16" s="182">
        <f>IFERROR(__xludf.DUMMYFUNCTION("""COMPUTED_VALUE"""),15.0)</f>
        <v>15</v>
      </c>
      <c r="C16" s="182" t="str">
        <f>IFERROR(__xludf.DUMMYFUNCTION("""COMPUTED_VALUE"""),"G4QUR")</f>
        <v>G4QUR</v>
      </c>
      <c r="D16" s="182" t="str">
        <f>IFERROR(__xludf.DUMMYFUNCTION("""COMPUTED_VALUE"""),"GA09887-US")</f>
        <v>GA09887-US</v>
      </c>
      <c r="E16" s="182" t="str">
        <f>IFERROR(__xludf.DUMMYFUNCTION("""COMPUTED_VALUE"""),"SKU, CLR1, GOOD, MMWAVE, US GSTORE, BZ5")</f>
        <v>SKU, CLR1, GOOD, MMWAVE, US GSTORE, BZ5</v>
      </c>
      <c r="F16" s="182" t="str">
        <f>IFERROR(__xludf.DUMMYFUNCTION("""COMPUTED_VALUE"""),"Pixel 10 Pro, Obsidian, 128GB, GStore, US")</f>
        <v>Pixel 10 Pro, Obsidian, 128GB, GStore, US</v>
      </c>
      <c r="G16" s="182" t="str">
        <f>IFERROR(__xludf.DUMMYFUNCTION("""COMPUTED_VALUE"""),"CLR1")</f>
        <v>CLR1</v>
      </c>
      <c r="H16" s="182" t="str">
        <f>IFERROR(__xludf.DUMMYFUNCTION("""COMPUTED_VALUE"""),"mmWave")</f>
        <v>mmWave</v>
      </c>
      <c r="I16" s="182" t="str">
        <f>IFERROR(__xludf.DUMMYFUNCTION("""COMPUTED_VALUE"""),"128GB")</f>
        <v>128GB</v>
      </c>
      <c r="J16" s="182"/>
      <c r="K16" s="182" t="str">
        <f>IFERROR(__xludf.DUMMYFUNCTION("""COMPUTED_VALUE"""),"G950-15986-01")</f>
        <v>G950-15986-01</v>
      </c>
      <c r="L16" s="182" t="str">
        <f>IFERROR(__xludf.DUMMYFUNCTION("""COMPUTED_VALUE"""),"G710-07821-01")</f>
        <v>G710-07821-01</v>
      </c>
      <c r="M16" s="182" t="str">
        <f>IFERROR(__xludf.DUMMYFUNCTION("""COMPUTED_VALUE"""),"G710-10000-40")</f>
        <v>G710-10000-40</v>
      </c>
      <c r="N16" s="182" t="str">
        <f>IFERROR(__xludf.DUMMYFUNCTION("""COMPUTED_VALUE"""),"G730-09466-11")</f>
        <v>G730-09466-11</v>
      </c>
      <c r="O16" s="182" t="str">
        <f>IFERROR(__xludf.DUMMYFUNCTION("""COMPUTED_VALUE"""),"G710-07813-00")</f>
        <v>G710-07813-00</v>
      </c>
      <c r="P16" s="182" t="str">
        <f>IFERROR(__xludf.DUMMYFUNCTION("""COMPUTED_VALUE"""),"G650-14410-06")</f>
        <v>G650-14410-06</v>
      </c>
      <c r="Q16" s="182" t="str">
        <f>IFERROR(__xludf.DUMMYFUNCTION("""COMPUTED_VALUE"""),"G650-14412-04")</f>
        <v>G650-14412-04</v>
      </c>
      <c r="R16" s="182" t="str">
        <f>IFERROR(__xludf.DUMMYFUNCTION("""COMPUTED_VALUE"""),"G650-14843-04")</f>
        <v>G650-14843-04</v>
      </c>
      <c r="S16" s="182" t="str">
        <f>IFERROR(__xludf.DUMMYFUNCTION("""COMPUTED_VALUE"""),"G650-14411-05")</f>
        <v>G650-14411-05</v>
      </c>
      <c r="T16" s="182" t="str">
        <f>IFERROR(__xludf.DUMMYFUNCTION("""COMPUTED_VALUE"""),"G650-14840-03")</f>
        <v>G650-14840-03</v>
      </c>
      <c r="U16" s="182" t="str">
        <f>IFERROR(__xludf.DUMMYFUNCTION("""COMPUTED_VALUE"""),"G650-14841-03")</f>
        <v>G650-14841-03</v>
      </c>
      <c r="V16" s="182" t="str">
        <f>IFERROR(__xludf.DUMMYFUNCTION("""COMPUTED_VALUE"""),"G650-14413-03")</f>
        <v>G650-14413-03</v>
      </c>
      <c r="W16" s="182"/>
      <c r="X16" s="182"/>
      <c r="Y16" s="182"/>
      <c r="Z16" s="182" t="str">
        <f>IFERROR(__xludf.DUMMYFUNCTION("""COMPUTED_VALUE"""),"N")</f>
        <v>N</v>
      </c>
      <c r="AA16" s="182" t="str">
        <f>IFERROR(__xludf.DUMMYFUNCTION("""COMPUTED_VALUE"""),"Y")</f>
        <v>Y</v>
      </c>
    </row>
    <row r="17">
      <c r="A17" s="182" t="str">
        <f>IFERROR(__xludf.DUMMYFUNCTION("""COMPUTED_VALUE"""),"PVT/MP")</f>
        <v>PVT/MP</v>
      </c>
      <c r="B17" s="182">
        <f>IFERROR(__xludf.DUMMYFUNCTION("""COMPUTED_VALUE"""),16.0)</f>
        <v>16</v>
      </c>
      <c r="C17" s="182" t="str">
        <f>IFERROR(__xludf.DUMMYFUNCTION("""COMPUTED_VALUE"""),"G4QUR")</f>
        <v>G4QUR</v>
      </c>
      <c r="D17" s="182" t="str">
        <f>IFERROR(__xludf.DUMMYFUNCTION("""COMPUTED_VALUE"""),"GA10302-US")</f>
        <v>GA10302-US</v>
      </c>
      <c r="E17" s="182" t="str">
        <f>IFERROR(__xludf.DUMMYFUNCTION("""COMPUTED_VALUE"""),"SKU, CLR2, GOOD, MMWAVE, GSTORE, US, BZ5")</f>
        <v>SKU, CLR2, GOOD, MMWAVE, GSTORE, US, BZ5</v>
      </c>
      <c r="F17" s="182" t="str">
        <f>IFERROR(__xludf.DUMMYFUNCTION("""COMPUTED_VALUE"""),"Pixel 10 Pro, Porcelain, 128GB, GStore, US")</f>
        <v>Pixel 10 Pro, Porcelain, 128GB, GStore, US</v>
      </c>
      <c r="G17" s="182" t="str">
        <f>IFERROR(__xludf.DUMMYFUNCTION("""COMPUTED_VALUE"""),"CLR2")</f>
        <v>CLR2</v>
      </c>
      <c r="H17" s="182" t="str">
        <f>IFERROR(__xludf.DUMMYFUNCTION("""COMPUTED_VALUE"""),"mmWave")</f>
        <v>mmWave</v>
      </c>
      <c r="I17" s="182" t="str">
        <f>IFERROR(__xludf.DUMMYFUNCTION("""COMPUTED_VALUE"""),"128GB")</f>
        <v>128GB</v>
      </c>
      <c r="J17" s="182"/>
      <c r="K17" s="182" t="str">
        <f>IFERROR(__xludf.DUMMYFUNCTION("""COMPUTED_VALUE"""),"G950-15986-02")</f>
        <v>G950-15986-02</v>
      </c>
      <c r="L17" s="182" t="str">
        <f>IFERROR(__xludf.DUMMYFUNCTION("""COMPUTED_VALUE"""),"G710-07821-01")</f>
        <v>G710-07821-01</v>
      </c>
      <c r="M17" s="182" t="str">
        <f>IFERROR(__xludf.DUMMYFUNCTION("""COMPUTED_VALUE"""),"G710-10000-40")</f>
        <v>G710-10000-40</v>
      </c>
      <c r="N17" s="182" t="str">
        <f>IFERROR(__xludf.DUMMYFUNCTION("""COMPUTED_VALUE"""),"G730-09466-12")</f>
        <v>G730-09466-12</v>
      </c>
      <c r="O17" s="182" t="str">
        <f>IFERROR(__xludf.DUMMYFUNCTION("""COMPUTED_VALUE"""),"G710-07813-00")</f>
        <v>G710-07813-00</v>
      </c>
      <c r="P17" s="182" t="str">
        <f>IFERROR(__xludf.DUMMYFUNCTION("""COMPUTED_VALUE"""),"G650-14410-06")</f>
        <v>G650-14410-06</v>
      </c>
      <c r="Q17" s="182" t="str">
        <f>IFERROR(__xludf.DUMMYFUNCTION("""COMPUTED_VALUE"""),"G650-14412-04")</f>
        <v>G650-14412-04</v>
      </c>
      <c r="R17" s="182" t="str">
        <f>IFERROR(__xludf.DUMMYFUNCTION("""COMPUTED_VALUE"""),"G650-14843-04")</f>
        <v>G650-14843-04</v>
      </c>
      <c r="S17" s="182" t="str">
        <f>IFERROR(__xludf.DUMMYFUNCTION("""COMPUTED_VALUE"""),"G650-14411-05")</f>
        <v>G650-14411-05</v>
      </c>
      <c r="T17" s="182" t="str">
        <f>IFERROR(__xludf.DUMMYFUNCTION("""COMPUTED_VALUE"""),"G650-14840-03")</f>
        <v>G650-14840-03</v>
      </c>
      <c r="U17" s="182" t="str">
        <f>IFERROR(__xludf.DUMMYFUNCTION("""COMPUTED_VALUE"""),"G650-14841-03")</f>
        <v>G650-14841-03</v>
      </c>
      <c r="V17" s="182" t="str">
        <f>IFERROR(__xludf.DUMMYFUNCTION("""COMPUTED_VALUE"""),"G650-14413-03")</f>
        <v>G650-14413-03</v>
      </c>
      <c r="W17" s="182"/>
      <c r="X17" s="182"/>
      <c r="Y17" s="182"/>
      <c r="Z17" s="182" t="str">
        <f>IFERROR(__xludf.DUMMYFUNCTION("""COMPUTED_VALUE"""),"N")</f>
        <v>N</v>
      </c>
      <c r="AA17" s="182" t="str">
        <f>IFERROR(__xludf.DUMMYFUNCTION("""COMPUTED_VALUE"""),"Y")</f>
        <v>Y</v>
      </c>
    </row>
    <row r="18">
      <c r="A18" s="182" t="str">
        <f>IFERROR(__xludf.DUMMYFUNCTION("""COMPUTED_VALUE"""),"MP")</f>
        <v>MP</v>
      </c>
      <c r="B18" s="182">
        <f>IFERROR(__xludf.DUMMYFUNCTION("""COMPUTED_VALUE"""),17.0)</f>
        <v>17</v>
      </c>
      <c r="C18" s="182" t="str">
        <f>IFERROR(__xludf.DUMMYFUNCTION("""COMPUTED_VALUE"""),"G4QUR")</f>
        <v>G4QUR</v>
      </c>
      <c r="D18" s="182" t="str">
        <f>IFERROR(__xludf.DUMMYFUNCTION("""COMPUTED_VALUE"""),"GA10303-US")</f>
        <v>GA10303-US</v>
      </c>
      <c r="E18" s="182" t="str">
        <f>IFERROR(__xludf.DUMMYFUNCTION("""COMPUTED_VALUE"""),"SKU, CLR3, GOOD, MMWAVE, GSTORE, US, BZ5")</f>
        <v>SKU, CLR3, GOOD, MMWAVE, GSTORE, US, BZ5</v>
      </c>
      <c r="F18" s="182" t="str">
        <f>IFERROR(__xludf.DUMMYFUNCTION("""COMPUTED_VALUE"""),"Pixel 10 Pro, Moonstone, 128GB, GStore, US")</f>
        <v>Pixel 10 Pro, Moonstone, 128GB, GStore, US</v>
      </c>
      <c r="G18" s="182" t="str">
        <f>IFERROR(__xludf.DUMMYFUNCTION("""COMPUTED_VALUE"""),"CLR3")</f>
        <v>CLR3</v>
      </c>
      <c r="H18" s="182" t="str">
        <f>IFERROR(__xludf.DUMMYFUNCTION("""COMPUTED_VALUE"""),"mmWave")</f>
        <v>mmWave</v>
      </c>
      <c r="I18" s="182" t="str">
        <f>IFERROR(__xludf.DUMMYFUNCTION("""COMPUTED_VALUE"""),"128GB")</f>
        <v>128GB</v>
      </c>
      <c r="J18" s="182"/>
      <c r="K18" s="182" t="str">
        <f>IFERROR(__xludf.DUMMYFUNCTION("""COMPUTED_VALUE"""),"G950-15986-03")</f>
        <v>G950-15986-03</v>
      </c>
      <c r="L18" s="182" t="str">
        <f>IFERROR(__xludf.DUMMYFUNCTION("""COMPUTED_VALUE"""),"G710-07821-01")</f>
        <v>G710-07821-01</v>
      </c>
      <c r="M18" s="182" t="str">
        <f>IFERROR(__xludf.DUMMYFUNCTION("""COMPUTED_VALUE"""),"G710-10000-40")</f>
        <v>G710-10000-40</v>
      </c>
      <c r="N18" s="182" t="str">
        <f>IFERROR(__xludf.DUMMYFUNCTION("""COMPUTED_VALUE"""),"G730-09466-13")</f>
        <v>G730-09466-13</v>
      </c>
      <c r="O18" s="182" t="str">
        <f>IFERROR(__xludf.DUMMYFUNCTION("""COMPUTED_VALUE"""),"G710-07813-00")</f>
        <v>G710-07813-00</v>
      </c>
      <c r="P18" s="182" t="str">
        <f>IFERROR(__xludf.DUMMYFUNCTION("""COMPUTED_VALUE"""),"G650-14410-06")</f>
        <v>G650-14410-06</v>
      </c>
      <c r="Q18" s="182" t="str">
        <f>IFERROR(__xludf.DUMMYFUNCTION("""COMPUTED_VALUE"""),"G650-14412-04")</f>
        <v>G650-14412-04</v>
      </c>
      <c r="R18" s="182" t="str">
        <f>IFERROR(__xludf.DUMMYFUNCTION("""COMPUTED_VALUE"""),"G650-14843-04")</f>
        <v>G650-14843-04</v>
      </c>
      <c r="S18" s="182" t="str">
        <f>IFERROR(__xludf.DUMMYFUNCTION("""COMPUTED_VALUE"""),"G650-14411-05")</f>
        <v>G650-14411-05</v>
      </c>
      <c r="T18" s="182" t="str">
        <f>IFERROR(__xludf.DUMMYFUNCTION("""COMPUTED_VALUE"""),"G650-14840-03")</f>
        <v>G650-14840-03</v>
      </c>
      <c r="U18" s="182" t="str">
        <f>IFERROR(__xludf.DUMMYFUNCTION("""COMPUTED_VALUE"""),"G650-14841-03")</f>
        <v>G650-14841-03</v>
      </c>
      <c r="V18" s="182" t="str">
        <f>IFERROR(__xludf.DUMMYFUNCTION("""COMPUTED_VALUE"""),"G650-14413-03")</f>
        <v>G650-14413-03</v>
      </c>
      <c r="W18" s="182"/>
      <c r="X18" s="182"/>
      <c r="Y18" s="182"/>
      <c r="Z18" s="182" t="str">
        <f>IFERROR(__xludf.DUMMYFUNCTION("""COMPUTED_VALUE"""),"N")</f>
        <v>N</v>
      </c>
      <c r="AA18" s="182" t="str">
        <f>IFERROR(__xludf.DUMMYFUNCTION("""COMPUTED_VALUE"""),"Y")</f>
        <v>Y</v>
      </c>
    </row>
    <row r="19">
      <c r="A19" s="182" t="str">
        <f>IFERROR(__xludf.DUMMYFUNCTION("""COMPUTED_VALUE"""),"MP")</f>
        <v>MP</v>
      </c>
      <c r="B19" s="182">
        <f>IFERROR(__xludf.DUMMYFUNCTION("""COMPUTED_VALUE"""),18.0)</f>
        <v>18</v>
      </c>
      <c r="C19" s="182" t="str">
        <f>IFERROR(__xludf.DUMMYFUNCTION("""COMPUTED_VALUE"""),"G4QUR")</f>
        <v>G4QUR</v>
      </c>
      <c r="D19" s="182" t="str">
        <f>IFERROR(__xludf.DUMMYFUNCTION("""COMPUTED_VALUE"""),"GA09899-US")</f>
        <v>GA09899-US</v>
      </c>
      <c r="E19" s="182" t="str">
        <f>IFERROR(__xludf.DUMMYFUNCTION("""COMPUTED_VALUE"""),"SKU, CLR1, BETTER, MMWAVE, US GSTORE, BZ5")</f>
        <v>SKU, CLR1, BETTER, MMWAVE, US GSTORE, BZ5</v>
      </c>
      <c r="F19" s="182" t="str">
        <f>IFERROR(__xludf.DUMMYFUNCTION("""COMPUTED_VALUE"""),"Pixel 10 Pro, Obsidian, 256GB, GStore, US")</f>
        <v>Pixel 10 Pro, Obsidian, 256GB, GStore, US</v>
      </c>
      <c r="G19" s="182" t="str">
        <f>IFERROR(__xludf.DUMMYFUNCTION("""COMPUTED_VALUE"""),"CLR1")</f>
        <v>CLR1</v>
      </c>
      <c r="H19" s="182" t="str">
        <f>IFERROR(__xludf.DUMMYFUNCTION("""COMPUTED_VALUE"""),"mmWave")</f>
        <v>mmWave</v>
      </c>
      <c r="I19" s="182" t="str">
        <f>IFERROR(__xludf.DUMMYFUNCTION("""COMPUTED_VALUE"""),"256GB")</f>
        <v>256GB</v>
      </c>
      <c r="J19" s="182"/>
      <c r="K19" s="182" t="str">
        <f>IFERROR(__xludf.DUMMYFUNCTION("""COMPUTED_VALUE"""),"G950-18289-01")</f>
        <v>G950-18289-01</v>
      </c>
      <c r="L19" s="182" t="str">
        <f>IFERROR(__xludf.DUMMYFUNCTION("""COMPUTED_VALUE"""),"G710-07821-01")</f>
        <v>G710-07821-01</v>
      </c>
      <c r="M19" s="182" t="str">
        <f>IFERROR(__xludf.DUMMYFUNCTION("""COMPUTED_VALUE"""),"G710-10000-40")</f>
        <v>G710-10000-40</v>
      </c>
      <c r="N19" s="182" t="str">
        <f>IFERROR(__xludf.DUMMYFUNCTION("""COMPUTED_VALUE"""),"G730-09466-11")</f>
        <v>G730-09466-11</v>
      </c>
      <c r="O19" s="182" t="str">
        <f>IFERROR(__xludf.DUMMYFUNCTION("""COMPUTED_VALUE"""),"G710-07813-10")</f>
        <v>G710-07813-10</v>
      </c>
      <c r="P19" s="182" t="str">
        <f>IFERROR(__xludf.DUMMYFUNCTION("""COMPUTED_VALUE"""),"G650-17429-06")</f>
        <v>G650-17429-06</v>
      </c>
      <c r="Q19" s="182" t="str">
        <f>IFERROR(__xludf.DUMMYFUNCTION("""COMPUTED_VALUE"""),"G650-14412-04")</f>
        <v>G650-14412-04</v>
      </c>
      <c r="R19" s="182" t="str">
        <f>IFERROR(__xludf.DUMMYFUNCTION("""COMPUTED_VALUE"""),"G650-14843-04")</f>
        <v>G650-14843-04</v>
      </c>
      <c r="S19" s="182" t="str">
        <f>IFERROR(__xludf.DUMMYFUNCTION("""COMPUTED_VALUE"""),"G650-14411-05")</f>
        <v>G650-14411-05</v>
      </c>
      <c r="T19" s="182" t="str">
        <f>IFERROR(__xludf.DUMMYFUNCTION("""COMPUTED_VALUE"""),"G650-14840-03")</f>
        <v>G650-14840-03</v>
      </c>
      <c r="U19" s="182" t="str">
        <f>IFERROR(__xludf.DUMMYFUNCTION("""COMPUTED_VALUE"""),"G650-14841-03")</f>
        <v>G650-14841-03</v>
      </c>
      <c r="V19" s="182" t="str">
        <f>IFERROR(__xludf.DUMMYFUNCTION("""COMPUTED_VALUE"""),"G650-14413-03")</f>
        <v>G650-14413-03</v>
      </c>
      <c r="W19" s="182"/>
      <c r="X19" s="182"/>
      <c r="Y19" s="182"/>
      <c r="Z19" s="182" t="str">
        <f>IFERROR(__xludf.DUMMYFUNCTION("""COMPUTED_VALUE"""),"N")</f>
        <v>N</v>
      </c>
      <c r="AA19" s="182" t="str">
        <f>IFERROR(__xludf.DUMMYFUNCTION("""COMPUTED_VALUE"""),"Y")</f>
        <v>Y</v>
      </c>
    </row>
    <row r="20">
      <c r="A20" s="182" t="str">
        <f>IFERROR(__xludf.DUMMYFUNCTION("""COMPUTED_VALUE"""),"MP")</f>
        <v>MP</v>
      </c>
      <c r="B20" s="182">
        <f>IFERROR(__xludf.DUMMYFUNCTION("""COMPUTED_VALUE"""),19.0)</f>
        <v>19</v>
      </c>
      <c r="C20" s="182" t="str">
        <f>IFERROR(__xludf.DUMMYFUNCTION("""COMPUTED_VALUE"""),"G4QUR")</f>
        <v>G4QUR</v>
      </c>
      <c r="D20" s="182" t="str">
        <f>IFERROR(__xludf.DUMMYFUNCTION("""COMPUTED_VALUE"""),"GA10304-US")</f>
        <v>GA10304-US</v>
      </c>
      <c r="E20" s="182" t="str">
        <f>IFERROR(__xludf.DUMMYFUNCTION("""COMPUTED_VALUE"""),"SKU, CLR2, BETTER, MMWAVE, GSTORE, US, BZ5")</f>
        <v>SKU, CLR2, BETTER, MMWAVE, GSTORE, US, BZ5</v>
      </c>
      <c r="F20" s="182" t="str">
        <f>IFERROR(__xludf.DUMMYFUNCTION("""COMPUTED_VALUE"""),"Pixel 10 Pro, Porcelain, 256GB, GStore, US")</f>
        <v>Pixel 10 Pro, Porcelain, 256GB, GStore, US</v>
      </c>
      <c r="G20" s="182" t="str">
        <f>IFERROR(__xludf.DUMMYFUNCTION("""COMPUTED_VALUE"""),"CLR2")</f>
        <v>CLR2</v>
      </c>
      <c r="H20" s="182" t="str">
        <f>IFERROR(__xludf.DUMMYFUNCTION("""COMPUTED_VALUE"""),"mmWave")</f>
        <v>mmWave</v>
      </c>
      <c r="I20" s="182" t="str">
        <f>IFERROR(__xludf.DUMMYFUNCTION("""COMPUTED_VALUE"""),"256GB")</f>
        <v>256GB</v>
      </c>
      <c r="J20" s="182"/>
      <c r="K20" s="182" t="str">
        <f>IFERROR(__xludf.DUMMYFUNCTION("""COMPUTED_VALUE"""),"G950-18289-02")</f>
        <v>G950-18289-02</v>
      </c>
      <c r="L20" s="182" t="str">
        <f>IFERROR(__xludf.DUMMYFUNCTION("""COMPUTED_VALUE"""),"G710-07821-01")</f>
        <v>G710-07821-01</v>
      </c>
      <c r="M20" s="182" t="str">
        <f>IFERROR(__xludf.DUMMYFUNCTION("""COMPUTED_VALUE"""),"G710-10000-40")</f>
        <v>G710-10000-40</v>
      </c>
      <c r="N20" s="182" t="str">
        <f>IFERROR(__xludf.DUMMYFUNCTION("""COMPUTED_VALUE"""),"G730-09466-12")</f>
        <v>G730-09466-12</v>
      </c>
      <c r="O20" s="182" t="str">
        <f>IFERROR(__xludf.DUMMYFUNCTION("""COMPUTED_VALUE"""),"G710-07813-10")</f>
        <v>G710-07813-10</v>
      </c>
      <c r="P20" s="182" t="str">
        <f>IFERROR(__xludf.DUMMYFUNCTION("""COMPUTED_VALUE"""),"G650-17429-06")</f>
        <v>G650-17429-06</v>
      </c>
      <c r="Q20" s="182" t="str">
        <f>IFERROR(__xludf.DUMMYFUNCTION("""COMPUTED_VALUE"""),"G650-14412-04")</f>
        <v>G650-14412-04</v>
      </c>
      <c r="R20" s="182" t="str">
        <f>IFERROR(__xludf.DUMMYFUNCTION("""COMPUTED_VALUE"""),"G650-14843-04")</f>
        <v>G650-14843-04</v>
      </c>
      <c r="S20" s="182" t="str">
        <f>IFERROR(__xludf.DUMMYFUNCTION("""COMPUTED_VALUE"""),"G650-14411-05")</f>
        <v>G650-14411-05</v>
      </c>
      <c r="T20" s="182" t="str">
        <f>IFERROR(__xludf.DUMMYFUNCTION("""COMPUTED_VALUE"""),"G650-14840-03")</f>
        <v>G650-14840-03</v>
      </c>
      <c r="U20" s="182" t="str">
        <f>IFERROR(__xludf.DUMMYFUNCTION("""COMPUTED_VALUE"""),"G650-14841-03")</f>
        <v>G650-14841-03</v>
      </c>
      <c r="V20" s="182" t="str">
        <f>IFERROR(__xludf.DUMMYFUNCTION("""COMPUTED_VALUE"""),"G650-14413-03")</f>
        <v>G650-14413-03</v>
      </c>
      <c r="W20" s="182"/>
      <c r="X20" s="182"/>
      <c r="Y20" s="182"/>
      <c r="Z20" s="182" t="str">
        <f>IFERROR(__xludf.DUMMYFUNCTION("""COMPUTED_VALUE"""),"N")</f>
        <v>N</v>
      </c>
      <c r="AA20" s="182" t="str">
        <f>IFERROR(__xludf.DUMMYFUNCTION("""COMPUTED_VALUE"""),"Y")</f>
        <v>Y</v>
      </c>
    </row>
    <row r="21">
      <c r="A21" s="182" t="str">
        <f>IFERROR(__xludf.DUMMYFUNCTION("""COMPUTED_VALUE"""),"PVT/MP")</f>
        <v>PVT/MP</v>
      </c>
      <c r="B21" s="182">
        <f>IFERROR(__xludf.DUMMYFUNCTION("""COMPUTED_VALUE"""),20.0)</f>
        <v>20</v>
      </c>
      <c r="C21" s="182" t="str">
        <f>IFERROR(__xludf.DUMMYFUNCTION("""COMPUTED_VALUE"""),"G4QUR")</f>
        <v>G4QUR</v>
      </c>
      <c r="D21" s="182" t="str">
        <f>IFERROR(__xludf.DUMMYFUNCTION("""COMPUTED_VALUE"""),"GA10305-US")</f>
        <v>GA10305-US</v>
      </c>
      <c r="E21" s="182" t="str">
        <f>IFERROR(__xludf.DUMMYFUNCTION("""COMPUTED_VALUE"""),"SKU, CLR3, BETTER, MMWAVE, GSTORE, US, BZ5")</f>
        <v>SKU, CLR3, BETTER, MMWAVE, GSTORE, US, BZ5</v>
      </c>
      <c r="F21" s="182" t="str">
        <f>IFERROR(__xludf.DUMMYFUNCTION("""COMPUTED_VALUE"""),"Pixel 10 Pro, Moonstone, 256GB, GStore, US")</f>
        <v>Pixel 10 Pro, Moonstone, 256GB, GStore, US</v>
      </c>
      <c r="G21" s="182" t="str">
        <f>IFERROR(__xludf.DUMMYFUNCTION("""COMPUTED_VALUE"""),"CLR3")</f>
        <v>CLR3</v>
      </c>
      <c r="H21" s="182" t="str">
        <f>IFERROR(__xludf.DUMMYFUNCTION("""COMPUTED_VALUE"""),"mmWave")</f>
        <v>mmWave</v>
      </c>
      <c r="I21" s="182" t="str">
        <f>IFERROR(__xludf.DUMMYFUNCTION("""COMPUTED_VALUE"""),"256GB")</f>
        <v>256GB</v>
      </c>
      <c r="J21" s="182"/>
      <c r="K21" s="182" t="str">
        <f>IFERROR(__xludf.DUMMYFUNCTION("""COMPUTED_VALUE"""),"G950-18289-03")</f>
        <v>G950-18289-03</v>
      </c>
      <c r="L21" s="182" t="str">
        <f>IFERROR(__xludf.DUMMYFUNCTION("""COMPUTED_VALUE"""),"G710-07821-01")</f>
        <v>G710-07821-01</v>
      </c>
      <c r="M21" s="182" t="str">
        <f>IFERROR(__xludf.DUMMYFUNCTION("""COMPUTED_VALUE"""),"G710-10000-40")</f>
        <v>G710-10000-40</v>
      </c>
      <c r="N21" s="182" t="str">
        <f>IFERROR(__xludf.DUMMYFUNCTION("""COMPUTED_VALUE"""),"G730-09466-13")</f>
        <v>G730-09466-13</v>
      </c>
      <c r="O21" s="182" t="str">
        <f>IFERROR(__xludf.DUMMYFUNCTION("""COMPUTED_VALUE"""),"G710-07813-10")</f>
        <v>G710-07813-10</v>
      </c>
      <c r="P21" s="182" t="str">
        <f>IFERROR(__xludf.DUMMYFUNCTION("""COMPUTED_VALUE"""),"G650-17429-06")</f>
        <v>G650-17429-06</v>
      </c>
      <c r="Q21" s="182" t="str">
        <f>IFERROR(__xludf.DUMMYFUNCTION("""COMPUTED_VALUE"""),"G650-14412-04")</f>
        <v>G650-14412-04</v>
      </c>
      <c r="R21" s="182" t="str">
        <f>IFERROR(__xludf.DUMMYFUNCTION("""COMPUTED_VALUE"""),"G650-14843-04")</f>
        <v>G650-14843-04</v>
      </c>
      <c r="S21" s="182" t="str">
        <f>IFERROR(__xludf.DUMMYFUNCTION("""COMPUTED_VALUE"""),"G650-14411-05")</f>
        <v>G650-14411-05</v>
      </c>
      <c r="T21" s="182" t="str">
        <f>IFERROR(__xludf.DUMMYFUNCTION("""COMPUTED_VALUE"""),"G650-14840-03")</f>
        <v>G650-14840-03</v>
      </c>
      <c r="U21" s="182" t="str">
        <f>IFERROR(__xludf.DUMMYFUNCTION("""COMPUTED_VALUE"""),"G650-14841-03")</f>
        <v>G650-14841-03</v>
      </c>
      <c r="V21" s="182" t="str">
        <f>IFERROR(__xludf.DUMMYFUNCTION("""COMPUTED_VALUE"""),"G650-14413-03")</f>
        <v>G650-14413-03</v>
      </c>
      <c r="W21" s="182"/>
      <c r="X21" s="182"/>
      <c r="Y21" s="182"/>
      <c r="Z21" s="182" t="str">
        <f>IFERROR(__xludf.DUMMYFUNCTION("""COMPUTED_VALUE"""),"N")</f>
        <v>N</v>
      </c>
      <c r="AA21" s="182" t="str">
        <f>IFERROR(__xludf.DUMMYFUNCTION("""COMPUTED_VALUE"""),"Y")</f>
        <v>Y</v>
      </c>
    </row>
    <row r="22">
      <c r="A22" s="182" t="str">
        <f>IFERROR(__xludf.DUMMYFUNCTION("""COMPUTED_VALUE"""),"PVT/MP")</f>
        <v>PVT/MP</v>
      </c>
      <c r="B22" s="182">
        <f>IFERROR(__xludf.DUMMYFUNCTION("""COMPUTED_VALUE"""),21.0)</f>
        <v>21</v>
      </c>
      <c r="C22" s="182" t="str">
        <f>IFERROR(__xludf.DUMMYFUNCTION("""COMPUTED_VALUE"""),"G4QUR")</f>
        <v>G4QUR</v>
      </c>
      <c r="D22" s="182" t="str">
        <f>IFERROR(__xludf.DUMMYFUNCTION("""COMPUTED_VALUE"""),"GA10306-US")</f>
        <v>GA10306-US</v>
      </c>
      <c r="E22" s="182" t="str">
        <f>IFERROR(__xludf.DUMMYFUNCTION("""COMPUTED_VALUE"""),"SKU, CLR4, BETTER, MMWAVE, GSTORE, US, BZ5")</f>
        <v>SKU, CLR4, BETTER, MMWAVE, GSTORE, US, BZ5</v>
      </c>
      <c r="F22" s="182" t="str">
        <f>IFERROR(__xludf.DUMMYFUNCTION("""COMPUTED_VALUE"""),"Pixel 10 Pro, Jade, 256GB, GStore, US")</f>
        <v>Pixel 10 Pro, Jade, 256GB, GStore, US</v>
      </c>
      <c r="G22" s="182" t="str">
        <f>IFERROR(__xludf.DUMMYFUNCTION("""COMPUTED_VALUE"""),"CLR4")</f>
        <v>CLR4</v>
      </c>
      <c r="H22" s="182" t="str">
        <f>IFERROR(__xludf.DUMMYFUNCTION("""COMPUTED_VALUE"""),"mmWave")</f>
        <v>mmWave</v>
      </c>
      <c r="I22" s="182" t="str">
        <f>IFERROR(__xludf.DUMMYFUNCTION("""COMPUTED_VALUE"""),"256GB")</f>
        <v>256GB</v>
      </c>
      <c r="J22" s="182"/>
      <c r="K22" s="182" t="str">
        <f>IFERROR(__xludf.DUMMYFUNCTION("""COMPUTED_VALUE"""),"G950-18289-04")</f>
        <v>G950-18289-04</v>
      </c>
      <c r="L22" s="182" t="str">
        <f>IFERROR(__xludf.DUMMYFUNCTION("""COMPUTED_VALUE"""),"G710-07821-01")</f>
        <v>G710-07821-01</v>
      </c>
      <c r="M22" s="182" t="str">
        <f>IFERROR(__xludf.DUMMYFUNCTION("""COMPUTED_VALUE"""),"G710-10000-40")</f>
        <v>G710-10000-40</v>
      </c>
      <c r="N22" s="182" t="str">
        <f>IFERROR(__xludf.DUMMYFUNCTION("""COMPUTED_VALUE"""),"G730-09466-14")</f>
        <v>G730-09466-14</v>
      </c>
      <c r="O22" s="182" t="str">
        <f>IFERROR(__xludf.DUMMYFUNCTION("""COMPUTED_VALUE"""),"G710-07813-10")</f>
        <v>G710-07813-10</v>
      </c>
      <c r="P22" s="182" t="str">
        <f>IFERROR(__xludf.DUMMYFUNCTION("""COMPUTED_VALUE"""),"G650-17429-06")</f>
        <v>G650-17429-06</v>
      </c>
      <c r="Q22" s="182" t="str">
        <f>IFERROR(__xludf.DUMMYFUNCTION("""COMPUTED_VALUE"""),"G650-14412-04")</f>
        <v>G650-14412-04</v>
      </c>
      <c r="R22" s="182" t="str">
        <f>IFERROR(__xludf.DUMMYFUNCTION("""COMPUTED_VALUE"""),"G650-14843-04")</f>
        <v>G650-14843-04</v>
      </c>
      <c r="S22" s="182" t="str">
        <f>IFERROR(__xludf.DUMMYFUNCTION("""COMPUTED_VALUE"""),"G650-14411-05")</f>
        <v>G650-14411-05</v>
      </c>
      <c r="T22" s="182" t="str">
        <f>IFERROR(__xludf.DUMMYFUNCTION("""COMPUTED_VALUE"""),"G650-14840-03")</f>
        <v>G650-14840-03</v>
      </c>
      <c r="U22" s="182" t="str">
        <f>IFERROR(__xludf.DUMMYFUNCTION("""COMPUTED_VALUE"""),"G650-14841-03")</f>
        <v>G650-14841-03</v>
      </c>
      <c r="V22" s="182" t="str">
        <f>IFERROR(__xludf.DUMMYFUNCTION("""COMPUTED_VALUE"""),"G650-14413-03")</f>
        <v>G650-14413-03</v>
      </c>
      <c r="W22" s="182"/>
      <c r="X22" s="182"/>
      <c r="Y22" s="182"/>
      <c r="Z22" s="182" t="str">
        <f>IFERROR(__xludf.DUMMYFUNCTION("""COMPUTED_VALUE"""),"N")</f>
        <v>N</v>
      </c>
      <c r="AA22" s="182" t="str">
        <f>IFERROR(__xludf.DUMMYFUNCTION("""COMPUTED_VALUE"""),"Y")</f>
        <v>Y</v>
      </c>
    </row>
    <row r="23">
      <c r="A23" s="182" t="str">
        <f>IFERROR(__xludf.DUMMYFUNCTION("""COMPUTED_VALUE"""),"PVT/MP")</f>
        <v>PVT/MP</v>
      </c>
      <c r="B23" s="182">
        <f>IFERROR(__xludf.DUMMYFUNCTION("""COMPUTED_VALUE"""),22.0)</f>
        <v>22</v>
      </c>
      <c r="C23" s="182" t="str">
        <f>IFERROR(__xludf.DUMMYFUNCTION("""COMPUTED_VALUE"""),"G4QUR")</f>
        <v>G4QUR</v>
      </c>
      <c r="D23" s="182" t="str">
        <f>IFERROR(__xludf.DUMMYFUNCTION("""COMPUTED_VALUE"""),"GA09908-US")</f>
        <v>GA09908-US</v>
      </c>
      <c r="E23" s="182" t="str">
        <f>IFERROR(__xludf.DUMMYFUNCTION("""COMPUTED_VALUE"""),"SKU, CLR1, BEST, MMWAVE, US GSTORE, BZ5")</f>
        <v>SKU, CLR1, BEST, MMWAVE, US GSTORE, BZ5</v>
      </c>
      <c r="F23" s="182" t="str">
        <f>IFERROR(__xludf.DUMMYFUNCTION("""COMPUTED_VALUE"""),"Pixel 10 Pro, Obsidian, 512GB, GStore, US")</f>
        <v>Pixel 10 Pro, Obsidian, 512GB, GStore, US</v>
      </c>
      <c r="G23" s="182" t="str">
        <f>IFERROR(__xludf.DUMMYFUNCTION("""COMPUTED_VALUE"""),"CLR1")</f>
        <v>CLR1</v>
      </c>
      <c r="H23" s="182" t="str">
        <f>IFERROR(__xludf.DUMMYFUNCTION("""COMPUTED_VALUE"""),"mmWave")</f>
        <v>mmWave</v>
      </c>
      <c r="I23" s="182" t="str">
        <f>IFERROR(__xludf.DUMMYFUNCTION("""COMPUTED_VALUE"""),"512GB")</f>
        <v>512GB</v>
      </c>
      <c r="J23" s="182"/>
      <c r="K23" s="182" t="str">
        <f>IFERROR(__xludf.DUMMYFUNCTION("""COMPUTED_VALUE"""),"G950-18291-01")</f>
        <v>G950-18291-01</v>
      </c>
      <c r="L23" s="182" t="str">
        <f>IFERROR(__xludf.DUMMYFUNCTION("""COMPUTED_VALUE"""),"G710-07821-01")</f>
        <v>G710-07821-01</v>
      </c>
      <c r="M23" s="182" t="str">
        <f>IFERROR(__xludf.DUMMYFUNCTION("""COMPUTED_VALUE"""),"G710-10000-40")</f>
        <v>G710-10000-40</v>
      </c>
      <c r="N23" s="182" t="str">
        <f>IFERROR(__xludf.DUMMYFUNCTION("""COMPUTED_VALUE"""),"G730-09466-11")</f>
        <v>G730-09466-11</v>
      </c>
      <c r="O23" s="182" t="str">
        <f>IFERROR(__xludf.DUMMYFUNCTION("""COMPUTED_VALUE"""),"G710-07813-20")</f>
        <v>G710-07813-20</v>
      </c>
      <c r="P23" s="182" t="str">
        <f>IFERROR(__xludf.DUMMYFUNCTION("""COMPUTED_VALUE"""),"G650-17431-06")</f>
        <v>G650-17431-06</v>
      </c>
      <c r="Q23" s="182" t="str">
        <f>IFERROR(__xludf.DUMMYFUNCTION("""COMPUTED_VALUE"""),"G650-14412-04")</f>
        <v>G650-14412-04</v>
      </c>
      <c r="R23" s="182" t="str">
        <f>IFERROR(__xludf.DUMMYFUNCTION("""COMPUTED_VALUE"""),"G650-14843-04")</f>
        <v>G650-14843-04</v>
      </c>
      <c r="S23" s="182" t="str">
        <f>IFERROR(__xludf.DUMMYFUNCTION("""COMPUTED_VALUE"""),"G650-14411-05")</f>
        <v>G650-14411-05</v>
      </c>
      <c r="T23" s="182" t="str">
        <f>IFERROR(__xludf.DUMMYFUNCTION("""COMPUTED_VALUE"""),"G650-14840-03")</f>
        <v>G650-14840-03</v>
      </c>
      <c r="U23" s="182" t="str">
        <f>IFERROR(__xludf.DUMMYFUNCTION("""COMPUTED_VALUE"""),"G650-14841-03")</f>
        <v>G650-14841-03</v>
      </c>
      <c r="V23" s="182" t="str">
        <f>IFERROR(__xludf.DUMMYFUNCTION("""COMPUTED_VALUE"""),"G650-14413-03")</f>
        <v>G650-14413-03</v>
      </c>
      <c r="W23" s="182"/>
      <c r="X23" s="182"/>
      <c r="Y23" s="182"/>
      <c r="Z23" s="182" t="str">
        <f>IFERROR(__xludf.DUMMYFUNCTION("""COMPUTED_VALUE"""),"N")</f>
        <v>N</v>
      </c>
      <c r="AA23" s="182" t="str">
        <f>IFERROR(__xludf.DUMMYFUNCTION("""COMPUTED_VALUE"""),"Y")</f>
        <v>Y</v>
      </c>
    </row>
    <row r="24">
      <c r="A24" s="182" t="str">
        <f>IFERROR(__xludf.DUMMYFUNCTION("""COMPUTED_VALUE"""),"PVT/MP")</f>
        <v>PVT/MP</v>
      </c>
      <c r="B24" s="182">
        <f>IFERROR(__xludf.DUMMYFUNCTION("""COMPUTED_VALUE"""),23.0)</f>
        <v>23</v>
      </c>
      <c r="C24" s="182" t="str">
        <f>IFERROR(__xludf.DUMMYFUNCTION("""COMPUTED_VALUE"""),"G4QUR")</f>
        <v>G4QUR</v>
      </c>
      <c r="D24" s="182" t="str">
        <f>IFERROR(__xludf.DUMMYFUNCTION("""COMPUTED_VALUE"""),"GA10307-US")</f>
        <v>GA10307-US</v>
      </c>
      <c r="E24" s="182" t="str">
        <f>IFERROR(__xludf.DUMMYFUNCTION("""COMPUTED_VALUE"""),"SKU, CLR2, BEST, MMWAVE, GSTORE, US, BZ5")</f>
        <v>SKU, CLR2, BEST, MMWAVE, GSTORE, US, BZ5</v>
      </c>
      <c r="F24" s="182" t="str">
        <f>IFERROR(__xludf.DUMMYFUNCTION("""COMPUTED_VALUE"""),"Pixel 10 Pro, Porcelain, 512GB, GStore, US")</f>
        <v>Pixel 10 Pro, Porcelain, 512GB, GStore, US</v>
      </c>
      <c r="G24" s="182" t="str">
        <f>IFERROR(__xludf.DUMMYFUNCTION("""COMPUTED_VALUE"""),"CLR2")</f>
        <v>CLR2</v>
      </c>
      <c r="H24" s="182" t="str">
        <f>IFERROR(__xludf.DUMMYFUNCTION("""COMPUTED_VALUE"""),"mmWave")</f>
        <v>mmWave</v>
      </c>
      <c r="I24" s="182" t="str">
        <f>IFERROR(__xludf.DUMMYFUNCTION("""COMPUTED_VALUE"""),"512GB")</f>
        <v>512GB</v>
      </c>
      <c r="J24" s="182"/>
      <c r="K24" s="182" t="str">
        <f>IFERROR(__xludf.DUMMYFUNCTION("""COMPUTED_VALUE"""),"G950-18291-02")</f>
        <v>G950-18291-02</v>
      </c>
      <c r="L24" s="182" t="str">
        <f>IFERROR(__xludf.DUMMYFUNCTION("""COMPUTED_VALUE"""),"G710-07821-01")</f>
        <v>G710-07821-01</v>
      </c>
      <c r="M24" s="182" t="str">
        <f>IFERROR(__xludf.DUMMYFUNCTION("""COMPUTED_VALUE"""),"G710-10000-40")</f>
        <v>G710-10000-40</v>
      </c>
      <c r="N24" s="182" t="str">
        <f>IFERROR(__xludf.DUMMYFUNCTION("""COMPUTED_VALUE"""),"G730-09466-12")</f>
        <v>G730-09466-12</v>
      </c>
      <c r="O24" s="182" t="str">
        <f>IFERROR(__xludf.DUMMYFUNCTION("""COMPUTED_VALUE"""),"G710-07813-20")</f>
        <v>G710-07813-20</v>
      </c>
      <c r="P24" s="182" t="str">
        <f>IFERROR(__xludf.DUMMYFUNCTION("""COMPUTED_VALUE"""),"G650-17431-06")</f>
        <v>G650-17431-06</v>
      </c>
      <c r="Q24" s="182" t="str">
        <f>IFERROR(__xludf.DUMMYFUNCTION("""COMPUTED_VALUE"""),"G650-14412-04")</f>
        <v>G650-14412-04</v>
      </c>
      <c r="R24" s="182" t="str">
        <f>IFERROR(__xludf.DUMMYFUNCTION("""COMPUTED_VALUE"""),"G650-14843-04")</f>
        <v>G650-14843-04</v>
      </c>
      <c r="S24" s="182" t="str">
        <f>IFERROR(__xludf.DUMMYFUNCTION("""COMPUTED_VALUE"""),"G650-14411-05")</f>
        <v>G650-14411-05</v>
      </c>
      <c r="T24" s="182" t="str">
        <f>IFERROR(__xludf.DUMMYFUNCTION("""COMPUTED_VALUE"""),"G650-14840-03")</f>
        <v>G650-14840-03</v>
      </c>
      <c r="U24" s="182" t="str">
        <f>IFERROR(__xludf.DUMMYFUNCTION("""COMPUTED_VALUE"""),"G650-14841-03")</f>
        <v>G650-14841-03</v>
      </c>
      <c r="V24" s="182" t="str">
        <f>IFERROR(__xludf.DUMMYFUNCTION("""COMPUTED_VALUE"""),"G650-14413-03")</f>
        <v>G650-14413-03</v>
      </c>
      <c r="W24" s="182"/>
      <c r="X24" s="182"/>
      <c r="Y24" s="182"/>
      <c r="Z24" s="182" t="str">
        <f>IFERROR(__xludf.DUMMYFUNCTION("""COMPUTED_VALUE"""),"N")</f>
        <v>N</v>
      </c>
      <c r="AA24" s="182" t="str">
        <f>IFERROR(__xludf.DUMMYFUNCTION("""COMPUTED_VALUE"""),"Y")</f>
        <v>Y</v>
      </c>
    </row>
    <row r="25">
      <c r="A25" s="182" t="str">
        <f>IFERROR(__xludf.DUMMYFUNCTION("""COMPUTED_VALUE"""),"MP")</f>
        <v>MP</v>
      </c>
      <c r="B25" s="182">
        <f>IFERROR(__xludf.DUMMYFUNCTION("""COMPUTED_VALUE"""),24.0)</f>
        <v>24</v>
      </c>
      <c r="C25" s="182" t="str">
        <f>IFERROR(__xludf.DUMMYFUNCTION("""COMPUTED_VALUE"""),"G4QUR")</f>
        <v>G4QUR</v>
      </c>
      <c r="D25" s="182" t="str">
        <f>IFERROR(__xludf.DUMMYFUNCTION("""COMPUTED_VALUE"""),"GA10308-US")</f>
        <v>GA10308-US</v>
      </c>
      <c r="E25" s="182" t="str">
        <f>IFERROR(__xludf.DUMMYFUNCTION("""COMPUTED_VALUE"""),"SKU, CLR3, BEST, MMWAVE, GSTORE, US, BZ5")</f>
        <v>SKU, CLR3, BEST, MMWAVE, GSTORE, US, BZ5</v>
      </c>
      <c r="F25" s="182" t="str">
        <f>IFERROR(__xludf.DUMMYFUNCTION("""COMPUTED_VALUE"""),"Pixel 10 Pro, Moonstone, 512GB, GStore, US")</f>
        <v>Pixel 10 Pro, Moonstone, 512GB, GStore, US</v>
      </c>
      <c r="G25" s="182" t="str">
        <f>IFERROR(__xludf.DUMMYFUNCTION("""COMPUTED_VALUE"""),"CLR3")</f>
        <v>CLR3</v>
      </c>
      <c r="H25" s="182" t="str">
        <f>IFERROR(__xludf.DUMMYFUNCTION("""COMPUTED_VALUE"""),"mmWave")</f>
        <v>mmWave</v>
      </c>
      <c r="I25" s="182" t="str">
        <f>IFERROR(__xludf.DUMMYFUNCTION("""COMPUTED_VALUE"""),"512GB")</f>
        <v>512GB</v>
      </c>
      <c r="J25" s="182"/>
      <c r="K25" s="182" t="str">
        <f>IFERROR(__xludf.DUMMYFUNCTION("""COMPUTED_VALUE"""),"G950-18291-03")</f>
        <v>G950-18291-03</v>
      </c>
      <c r="L25" s="182" t="str">
        <f>IFERROR(__xludf.DUMMYFUNCTION("""COMPUTED_VALUE"""),"G710-07821-01")</f>
        <v>G710-07821-01</v>
      </c>
      <c r="M25" s="182" t="str">
        <f>IFERROR(__xludf.DUMMYFUNCTION("""COMPUTED_VALUE"""),"G710-10000-40")</f>
        <v>G710-10000-40</v>
      </c>
      <c r="N25" s="182" t="str">
        <f>IFERROR(__xludf.DUMMYFUNCTION("""COMPUTED_VALUE"""),"G730-09466-13")</f>
        <v>G730-09466-13</v>
      </c>
      <c r="O25" s="182" t="str">
        <f>IFERROR(__xludf.DUMMYFUNCTION("""COMPUTED_VALUE"""),"G710-07813-20")</f>
        <v>G710-07813-20</v>
      </c>
      <c r="P25" s="182" t="str">
        <f>IFERROR(__xludf.DUMMYFUNCTION("""COMPUTED_VALUE"""),"G650-17431-06")</f>
        <v>G650-17431-06</v>
      </c>
      <c r="Q25" s="182" t="str">
        <f>IFERROR(__xludf.DUMMYFUNCTION("""COMPUTED_VALUE"""),"G650-14412-04")</f>
        <v>G650-14412-04</v>
      </c>
      <c r="R25" s="182" t="str">
        <f>IFERROR(__xludf.DUMMYFUNCTION("""COMPUTED_VALUE"""),"G650-14843-04")</f>
        <v>G650-14843-04</v>
      </c>
      <c r="S25" s="182" t="str">
        <f>IFERROR(__xludf.DUMMYFUNCTION("""COMPUTED_VALUE"""),"G650-14411-05")</f>
        <v>G650-14411-05</v>
      </c>
      <c r="T25" s="182" t="str">
        <f>IFERROR(__xludf.DUMMYFUNCTION("""COMPUTED_VALUE"""),"G650-14840-03")</f>
        <v>G650-14840-03</v>
      </c>
      <c r="U25" s="182" t="str">
        <f>IFERROR(__xludf.DUMMYFUNCTION("""COMPUTED_VALUE"""),"G650-14841-03")</f>
        <v>G650-14841-03</v>
      </c>
      <c r="V25" s="182" t="str">
        <f>IFERROR(__xludf.DUMMYFUNCTION("""COMPUTED_VALUE"""),"G650-14413-03")</f>
        <v>G650-14413-03</v>
      </c>
      <c r="W25" s="182"/>
      <c r="X25" s="182"/>
      <c r="Y25" s="182"/>
      <c r="Z25" s="182" t="str">
        <f>IFERROR(__xludf.DUMMYFUNCTION("""COMPUTED_VALUE"""),"N")</f>
        <v>N</v>
      </c>
      <c r="AA25" s="182" t="str">
        <f>IFERROR(__xludf.DUMMYFUNCTION("""COMPUTED_VALUE"""),"Y")</f>
        <v>Y</v>
      </c>
    </row>
    <row r="26">
      <c r="A26" s="182" t="str">
        <f>IFERROR(__xludf.DUMMYFUNCTION("""COMPUTED_VALUE"""),"MP")</f>
        <v>MP</v>
      </c>
      <c r="B26" s="182">
        <f>IFERROR(__xludf.DUMMYFUNCTION("""COMPUTED_VALUE"""),25.0)</f>
        <v>25</v>
      </c>
      <c r="C26" s="182" t="str">
        <f>IFERROR(__xludf.DUMMYFUNCTION("""COMPUTED_VALUE"""),"G4QUR")</f>
        <v>G4QUR</v>
      </c>
      <c r="D26" s="182" t="str">
        <f>IFERROR(__xludf.DUMMYFUNCTION("""COMPUTED_VALUE"""),"GA09933-US")</f>
        <v>GA09933-US</v>
      </c>
      <c r="E26" s="182" t="str">
        <f>IFERROR(__xludf.DUMMYFUNCTION("""COMPUTED_VALUE"""),"SKU, CLR1, ULTRA, MMWAVE, US GSTORE, BZ5")</f>
        <v>SKU, CLR1, ULTRA, MMWAVE, US GSTORE, BZ5</v>
      </c>
      <c r="F26" s="182" t="str">
        <f>IFERROR(__xludf.DUMMYFUNCTION("""COMPUTED_VALUE"""),"Pixel 10 Pro, Obsidian, 1TB, GStore, US")</f>
        <v>Pixel 10 Pro, Obsidian, 1TB, GStore, US</v>
      </c>
      <c r="G26" s="182" t="str">
        <f>IFERROR(__xludf.DUMMYFUNCTION("""COMPUTED_VALUE"""),"CLR1")</f>
        <v>CLR1</v>
      </c>
      <c r="H26" s="182" t="str">
        <f>IFERROR(__xludf.DUMMYFUNCTION("""COMPUTED_VALUE"""),"mmWave")</f>
        <v>mmWave</v>
      </c>
      <c r="I26" s="182" t="str">
        <f>IFERROR(__xludf.DUMMYFUNCTION("""COMPUTED_VALUE"""),"1TB")</f>
        <v>1TB</v>
      </c>
      <c r="J26" s="182"/>
      <c r="K26" s="182" t="str">
        <f>IFERROR(__xludf.DUMMYFUNCTION("""COMPUTED_VALUE"""),"G950-18293-01")</f>
        <v>G950-18293-01</v>
      </c>
      <c r="L26" s="182" t="str">
        <f>IFERROR(__xludf.DUMMYFUNCTION("""COMPUTED_VALUE"""),"G710-07821-01")</f>
        <v>G710-07821-01</v>
      </c>
      <c r="M26" s="182" t="str">
        <f>IFERROR(__xludf.DUMMYFUNCTION("""COMPUTED_VALUE"""),"G710-10000-40")</f>
        <v>G710-10000-40</v>
      </c>
      <c r="N26" s="182" t="str">
        <f>IFERROR(__xludf.DUMMYFUNCTION("""COMPUTED_VALUE"""),"G730-09466-11")</f>
        <v>G730-09466-11</v>
      </c>
      <c r="O26" s="182" t="str">
        <f>IFERROR(__xludf.DUMMYFUNCTION("""COMPUTED_VALUE"""),"G710-07813-30")</f>
        <v>G710-07813-30</v>
      </c>
      <c r="P26" s="182" t="str">
        <f>IFERROR(__xludf.DUMMYFUNCTION("""COMPUTED_VALUE"""),"G650-17433-06")</f>
        <v>G650-17433-06</v>
      </c>
      <c r="Q26" s="182" t="str">
        <f>IFERROR(__xludf.DUMMYFUNCTION("""COMPUTED_VALUE"""),"G650-14412-04")</f>
        <v>G650-14412-04</v>
      </c>
      <c r="R26" s="182" t="str">
        <f>IFERROR(__xludf.DUMMYFUNCTION("""COMPUTED_VALUE"""),"G650-14843-04")</f>
        <v>G650-14843-04</v>
      </c>
      <c r="S26" s="182" t="str">
        <f>IFERROR(__xludf.DUMMYFUNCTION("""COMPUTED_VALUE"""),"G650-14411-05")</f>
        <v>G650-14411-05</v>
      </c>
      <c r="T26" s="182" t="str">
        <f>IFERROR(__xludf.DUMMYFUNCTION("""COMPUTED_VALUE"""),"G650-14840-03")</f>
        <v>G650-14840-03</v>
      </c>
      <c r="U26" s="182" t="str">
        <f>IFERROR(__xludf.DUMMYFUNCTION("""COMPUTED_VALUE"""),"G650-14841-03")</f>
        <v>G650-14841-03</v>
      </c>
      <c r="V26" s="182" t="str">
        <f>IFERROR(__xludf.DUMMYFUNCTION("""COMPUTED_VALUE"""),"G650-14413-03")</f>
        <v>G650-14413-03</v>
      </c>
      <c r="W26" s="182"/>
      <c r="X26" s="182"/>
      <c r="Y26" s="182"/>
      <c r="Z26" s="182" t="str">
        <f>IFERROR(__xludf.DUMMYFUNCTION("""COMPUTED_VALUE"""),"N")</f>
        <v>N</v>
      </c>
      <c r="AA26" s="182" t="str">
        <f>IFERROR(__xludf.DUMMYFUNCTION("""COMPUTED_VALUE"""),"Y")</f>
        <v>Y</v>
      </c>
    </row>
    <row r="27">
      <c r="A27" s="182" t="str">
        <f>IFERROR(__xludf.DUMMYFUNCTION("""COMPUTED_VALUE"""),"PVT/MP")</f>
        <v>PVT/MP</v>
      </c>
      <c r="B27" s="182">
        <f>IFERROR(__xludf.DUMMYFUNCTION("""COMPUTED_VALUE"""),26.0)</f>
        <v>26</v>
      </c>
      <c r="C27" s="182" t="str">
        <f>IFERROR(__xludf.DUMMYFUNCTION("""COMPUTED_VALUE"""),"GEHN3")</f>
        <v>GEHN3</v>
      </c>
      <c r="D27" s="182" t="str">
        <f>IFERROR(__xludf.DUMMYFUNCTION("""COMPUTED_VALUE"""),"GA09601-CA")</f>
        <v>GA09601-CA</v>
      </c>
      <c r="E27" s="182" t="str">
        <f>IFERROR(__xludf.DUMMYFUNCTION("""COMPUTED_VALUE"""),"SKU, CLR1, GOOD, SUB6, CA/TW/SG/AU/MY/MX, BZ5")</f>
        <v>SKU, CLR1, GOOD, SUB6, CA/TW/SG/AU/MY/MX, BZ5</v>
      </c>
      <c r="F27" s="182" t="str">
        <f>IFERROR(__xludf.DUMMYFUNCTION("""COMPUTED_VALUE"""),"Pixel 10 Pro, Obsidian, 128GB, CA/TW/SG/AU/MY/MX")</f>
        <v>Pixel 10 Pro, Obsidian, 128GB, CA/TW/SG/AU/MY/MX</v>
      </c>
      <c r="G27" s="182" t="str">
        <f>IFERROR(__xludf.DUMMYFUNCTION("""COMPUTED_VALUE"""),"CLR1")</f>
        <v>CLR1</v>
      </c>
      <c r="H27" s="182" t="str">
        <f>IFERROR(__xludf.DUMMYFUNCTION("""COMPUTED_VALUE"""),"SUB6")</f>
        <v>SUB6</v>
      </c>
      <c r="I27" s="182" t="str">
        <f>IFERROR(__xludf.DUMMYFUNCTION("""COMPUTED_VALUE"""),"128GB")</f>
        <v>128GB</v>
      </c>
      <c r="J27" s="182"/>
      <c r="K27" s="182" t="str">
        <f>IFERROR(__xludf.DUMMYFUNCTION("""COMPUTED_VALUE"""),"G950-15987-01")</f>
        <v>G950-15987-01</v>
      </c>
      <c r="L27" s="182" t="str">
        <f>IFERROR(__xludf.DUMMYFUNCTION("""COMPUTED_VALUE"""),"G710-07822-01")</f>
        <v>G710-07822-01</v>
      </c>
      <c r="M27" s="182" t="str">
        <f>IFERROR(__xludf.DUMMYFUNCTION("""COMPUTED_VALUE"""),"G710-10000-40")</f>
        <v>G710-10000-40</v>
      </c>
      <c r="N27" s="182" t="str">
        <f>IFERROR(__xludf.DUMMYFUNCTION("""COMPUTED_VALUE"""),"G730-09466-11")</f>
        <v>G730-09466-11</v>
      </c>
      <c r="O27" s="182" t="str">
        <f>IFERROR(__xludf.DUMMYFUNCTION("""COMPUTED_VALUE"""),"G710-07813-02")</f>
        <v>G710-07813-02</v>
      </c>
      <c r="P27" s="182" t="str">
        <f>IFERROR(__xludf.DUMMYFUNCTION("""COMPUTED_VALUE"""),"G650-14972-06")</f>
        <v>G650-14972-06</v>
      </c>
      <c r="Q27" s="182" t="str">
        <f>IFERROR(__xludf.DUMMYFUNCTION("""COMPUTED_VALUE"""),"G650-15596-04")</f>
        <v>G650-15596-04</v>
      </c>
      <c r="R27" s="182" t="str">
        <f>IFERROR(__xludf.DUMMYFUNCTION("""COMPUTED_VALUE"""),"G650-14843-04")</f>
        <v>G650-14843-04</v>
      </c>
      <c r="S27" s="182" t="str">
        <f>IFERROR(__xludf.DUMMYFUNCTION("""COMPUTED_VALUE"""),"G650-14411-05")</f>
        <v>G650-14411-05</v>
      </c>
      <c r="T27" s="182" t="str">
        <f>IFERROR(__xludf.DUMMYFUNCTION("""COMPUTED_VALUE"""),"G650-14840-03")</f>
        <v>G650-14840-03</v>
      </c>
      <c r="U27" s="182" t="str">
        <f>IFERROR(__xludf.DUMMYFUNCTION("""COMPUTED_VALUE"""),"G650-14841-03")</f>
        <v>G650-14841-03</v>
      </c>
      <c r="V27" s="182" t="str">
        <f>IFERROR(__xludf.DUMMYFUNCTION("""COMPUTED_VALUE"""),"G650-14413-03")</f>
        <v>G650-14413-03</v>
      </c>
      <c r="W27" s="182"/>
      <c r="X27" s="182"/>
      <c r="Y27" s="182"/>
      <c r="Z27" s="182" t="str">
        <f>IFERROR(__xludf.DUMMYFUNCTION("""COMPUTED_VALUE"""),"Y")</f>
        <v>Y</v>
      </c>
      <c r="AA27" s="182" t="str">
        <f>IFERROR(__xludf.DUMMYFUNCTION("""COMPUTED_VALUE"""),"Y")</f>
        <v>Y</v>
      </c>
    </row>
    <row r="28">
      <c r="A28" s="182" t="str">
        <f>IFERROR(__xludf.DUMMYFUNCTION("""COMPUTED_VALUE"""),"MP")</f>
        <v>MP</v>
      </c>
      <c r="B28" s="182">
        <f>IFERROR(__xludf.DUMMYFUNCTION("""COMPUTED_VALUE"""),27.0)</f>
        <v>27</v>
      </c>
      <c r="C28" s="182" t="str">
        <f>IFERROR(__xludf.DUMMYFUNCTION("""COMPUTED_VALUE"""),"GEHN3")</f>
        <v>GEHN3</v>
      </c>
      <c r="D28" s="182" t="str">
        <f>IFERROR(__xludf.DUMMYFUNCTION("""COMPUTED_VALUE"""),"GA10312-CA")</f>
        <v>GA10312-CA</v>
      </c>
      <c r="E28" s="182" t="str">
        <f>IFERROR(__xludf.DUMMYFUNCTION("""COMPUTED_VALUE"""),"SKU, CLR2, GOOD, SUB6, CA/TW/SG/AU/MY/MX, BZ5")</f>
        <v>SKU, CLR2, GOOD, SUB6, CA/TW/SG/AU/MY/MX, BZ5</v>
      </c>
      <c r="F28" s="182" t="str">
        <f>IFERROR(__xludf.DUMMYFUNCTION("""COMPUTED_VALUE"""),"Pixel 10 Pro, Porcelain, 128GB, CA/TW/SG/AU/MY/MX")</f>
        <v>Pixel 10 Pro, Porcelain, 128GB, CA/TW/SG/AU/MY/MX</v>
      </c>
      <c r="G28" s="182" t="str">
        <f>IFERROR(__xludf.DUMMYFUNCTION("""COMPUTED_VALUE"""),"CLR2")</f>
        <v>CLR2</v>
      </c>
      <c r="H28" s="182" t="str">
        <f>IFERROR(__xludf.DUMMYFUNCTION("""COMPUTED_VALUE"""),"SUB6")</f>
        <v>SUB6</v>
      </c>
      <c r="I28" s="182" t="str">
        <f>IFERROR(__xludf.DUMMYFUNCTION("""COMPUTED_VALUE"""),"128GB")</f>
        <v>128GB</v>
      </c>
      <c r="J28" s="182"/>
      <c r="K28" s="182" t="str">
        <f>IFERROR(__xludf.DUMMYFUNCTION("""COMPUTED_VALUE"""),"G950-15987-02")</f>
        <v>G950-15987-02</v>
      </c>
      <c r="L28" s="182" t="str">
        <f>IFERROR(__xludf.DUMMYFUNCTION("""COMPUTED_VALUE"""),"G710-07822-01")</f>
        <v>G710-07822-01</v>
      </c>
      <c r="M28" s="182" t="str">
        <f>IFERROR(__xludf.DUMMYFUNCTION("""COMPUTED_VALUE"""),"G710-10000-40")</f>
        <v>G710-10000-40</v>
      </c>
      <c r="N28" s="182" t="str">
        <f>IFERROR(__xludf.DUMMYFUNCTION("""COMPUTED_VALUE"""),"G730-09466-12")</f>
        <v>G730-09466-12</v>
      </c>
      <c r="O28" s="182" t="str">
        <f>IFERROR(__xludf.DUMMYFUNCTION("""COMPUTED_VALUE"""),"G710-07813-02")</f>
        <v>G710-07813-02</v>
      </c>
      <c r="P28" s="182" t="str">
        <f>IFERROR(__xludf.DUMMYFUNCTION("""COMPUTED_VALUE"""),"G650-14972-06")</f>
        <v>G650-14972-06</v>
      </c>
      <c r="Q28" s="182" t="str">
        <f>IFERROR(__xludf.DUMMYFUNCTION("""COMPUTED_VALUE"""),"G650-15596-04")</f>
        <v>G650-15596-04</v>
      </c>
      <c r="R28" s="182" t="str">
        <f>IFERROR(__xludf.DUMMYFUNCTION("""COMPUTED_VALUE"""),"G650-14843-04")</f>
        <v>G650-14843-04</v>
      </c>
      <c r="S28" s="182" t="str">
        <f>IFERROR(__xludf.DUMMYFUNCTION("""COMPUTED_VALUE"""),"G650-14411-05")</f>
        <v>G650-14411-05</v>
      </c>
      <c r="T28" s="182" t="str">
        <f>IFERROR(__xludf.DUMMYFUNCTION("""COMPUTED_VALUE"""),"G650-14840-03")</f>
        <v>G650-14840-03</v>
      </c>
      <c r="U28" s="182" t="str">
        <f>IFERROR(__xludf.DUMMYFUNCTION("""COMPUTED_VALUE"""),"G650-14841-03")</f>
        <v>G650-14841-03</v>
      </c>
      <c r="V28" s="182" t="str">
        <f>IFERROR(__xludf.DUMMYFUNCTION("""COMPUTED_VALUE"""),"G650-14413-03")</f>
        <v>G650-14413-03</v>
      </c>
      <c r="W28" s="182"/>
      <c r="X28" s="182"/>
      <c r="Y28" s="182"/>
      <c r="Z28" s="182" t="str">
        <f>IFERROR(__xludf.DUMMYFUNCTION("""COMPUTED_VALUE"""),"Y")</f>
        <v>Y</v>
      </c>
      <c r="AA28" s="182" t="str">
        <f>IFERROR(__xludf.DUMMYFUNCTION("""COMPUTED_VALUE"""),"Y")</f>
        <v>Y</v>
      </c>
    </row>
    <row r="29">
      <c r="A29" s="182" t="str">
        <f>IFERROR(__xludf.DUMMYFUNCTION("""COMPUTED_VALUE"""),"MP")</f>
        <v>MP</v>
      </c>
      <c r="B29" s="182">
        <f>IFERROR(__xludf.DUMMYFUNCTION("""COMPUTED_VALUE"""),28.0)</f>
        <v>28</v>
      </c>
      <c r="C29" s="182" t="str">
        <f>IFERROR(__xludf.DUMMYFUNCTION("""COMPUTED_VALUE"""),"GEHN3")</f>
        <v>GEHN3</v>
      </c>
      <c r="D29" s="182" t="str">
        <f>IFERROR(__xludf.DUMMYFUNCTION("""COMPUTED_VALUE"""),"GA10313-CA")</f>
        <v>GA10313-CA</v>
      </c>
      <c r="E29" s="182" t="str">
        <f>IFERROR(__xludf.DUMMYFUNCTION("""COMPUTED_VALUE"""),"SKU, CLR3, GOOD, SUB6, CA/TW/SG/AU/MY/MX, BZ5")</f>
        <v>SKU, CLR3, GOOD, SUB6, CA/TW/SG/AU/MY/MX, BZ5</v>
      </c>
      <c r="F29" s="182" t="str">
        <f>IFERROR(__xludf.DUMMYFUNCTION("""COMPUTED_VALUE"""),"Pixel 10 Pro, Moonstone, 128GB, CA/TW/SG/AU/MY/MX")</f>
        <v>Pixel 10 Pro, Moonstone, 128GB, CA/TW/SG/AU/MY/MX</v>
      </c>
      <c r="G29" s="182" t="str">
        <f>IFERROR(__xludf.DUMMYFUNCTION("""COMPUTED_VALUE"""),"CLR3")</f>
        <v>CLR3</v>
      </c>
      <c r="H29" s="182" t="str">
        <f>IFERROR(__xludf.DUMMYFUNCTION("""COMPUTED_VALUE"""),"SUB6")</f>
        <v>SUB6</v>
      </c>
      <c r="I29" s="182" t="str">
        <f>IFERROR(__xludf.DUMMYFUNCTION("""COMPUTED_VALUE"""),"128GB")</f>
        <v>128GB</v>
      </c>
      <c r="J29" s="182"/>
      <c r="K29" s="182" t="str">
        <f>IFERROR(__xludf.DUMMYFUNCTION("""COMPUTED_VALUE"""),"G950-15987-03")</f>
        <v>G950-15987-03</v>
      </c>
      <c r="L29" s="182" t="str">
        <f>IFERROR(__xludf.DUMMYFUNCTION("""COMPUTED_VALUE"""),"G710-07822-01")</f>
        <v>G710-07822-01</v>
      </c>
      <c r="M29" s="182" t="str">
        <f>IFERROR(__xludf.DUMMYFUNCTION("""COMPUTED_VALUE"""),"G710-10000-40")</f>
        <v>G710-10000-40</v>
      </c>
      <c r="N29" s="182" t="str">
        <f>IFERROR(__xludf.DUMMYFUNCTION("""COMPUTED_VALUE"""),"G730-09466-13")</f>
        <v>G730-09466-13</v>
      </c>
      <c r="O29" s="182" t="str">
        <f>IFERROR(__xludf.DUMMYFUNCTION("""COMPUTED_VALUE"""),"G710-07813-02")</f>
        <v>G710-07813-02</v>
      </c>
      <c r="P29" s="182" t="str">
        <f>IFERROR(__xludf.DUMMYFUNCTION("""COMPUTED_VALUE"""),"G650-14972-06")</f>
        <v>G650-14972-06</v>
      </c>
      <c r="Q29" s="182" t="str">
        <f>IFERROR(__xludf.DUMMYFUNCTION("""COMPUTED_VALUE"""),"G650-15596-04")</f>
        <v>G650-15596-04</v>
      </c>
      <c r="R29" s="182" t="str">
        <f>IFERROR(__xludf.DUMMYFUNCTION("""COMPUTED_VALUE"""),"G650-14843-04")</f>
        <v>G650-14843-04</v>
      </c>
      <c r="S29" s="182" t="str">
        <f>IFERROR(__xludf.DUMMYFUNCTION("""COMPUTED_VALUE"""),"G650-14411-05")</f>
        <v>G650-14411-05</v>
      </c>
      <c r="T29" s="182" t="str">
        <f>IFERROR(__xludf.DUMMYFUNCTION("""COMPUTED_VALUE"""),"G650-14840-03")</f>
        <v>G650-14840-03</v>
      </c>
      <c r="U29" s="182" t="str">
        <f>IFERROR(__xludf.DUMMYFUNCTION("""COMPUTED_VALUE"""),"G650-14841-03")</f>
        <v>G650-14841-03</v>
      </c>
      <c r="V29" s="182" t="str">
        <f>IFERROR(__xludf.DUMMYFUNCTION("""COMPUTED_VALUE"""),"G650-14413-03")</f>
        <v>G650-14413-03</v>
      </c>
      <c r="W29" s="182"/>
      <c r="X29" s="182"/>
      <c r="Y29" s="182"/>
      <c r="Z29" s="182" t="str">
        <f>IFERROR(__xludf.DUMMYFUNCTION("""COMPUTED_VALUE"""),"Y")</f>
        <v>Y</v>
      </c>
      <c r="AA29" s="182" t="str">
        <f>IFERROR(__xludf.DUMMYFUNCTION("""COMPUTED_VALUE"""),"Y")</f>
        <v>Y</v>
      </c>
    </row>
    <row r="30">
      <c r="A30" s="182" t="str">
        <f>IFERROR(__xludf.DUMMYFUNCTION("""COMPUTED_VALUE"""),"PVT/MP")</f>
        <v>PVT/MP</v>
      </c>
      <c r="B30" s="182">
        <f>IFERROR(__xludf.DUMMYFUNCTION("""COMPUTED_VALUE"""),29.0)</f>
        <v>29</v>
      </c>
      <c r="C30" s="182" t="str">
        <f>IFERROR(__xludf.DUMMYFUNCTION("""COMPUTED_VALUE"""),"GEHN3")</f>
        <v>GEHN3</v>
      </c>
      <c r="D30" s="182" t="str">
        <f>IFERROR(__xludf.DUMMYFUNCTION("""COMPUTED_VALUE"""),"GA09900-CA")</f>
        <v>GA09900-CA</v>
      </c>
      <c r="E30" s="182" t="str">
        <f>IFERROR(__xludf.DUMMYFUNCTION("""COMPUTED_VALUE"""),"SKU, CLR1, BETTER, SUB6, CA/TW/SG/AU/MY/MX, BZ5")</f>
        <v>SKU, CLR1, BETTER, SUB6, CA/TW/SG/AU/MY/MX, BZ5</v>
      </c>
      <c r="F30" s="182" t="str">
        <f>IFERROR(__xludf.DUMMYFUNCTION("""COMPUTED_VALUE"""),"Pixel 10 Pro, Obsidian, 256GB, CA/TW/SG/AU/MY/MX")</f>
        <v>Pixel 10 Pro, Obsidian, 256GB, CA/TW/SG/AU/MY/MX</v>
      </c>
      <c r="G30" s="182" t="str">
        <f>IFERROR(__xludf.DUMMYFUNCTION("""COMPUTED_VALUE"""),"CLR1")</f>
        <v>CLR1</v>
      </c>
      <c r="H30" s="182" t="str">
        <f>IFERROR(__xludf.DUMMYFUNCTION("""COMPUTED_VALUE"""),"SUB6")</f>
        <v>SUB6</v>
      </c>
      <c r="I30" s="182" t="str">
        <f>IFERROR(__xludf.DUMMYFUNCTION("""COMPUTED_VALUE"""),"256GB")</f>
        <v>256GB</v>
      </c>
      <c r="J30" s="182"/>
      <c r="K30" s="182" t="str">
        <f>IFERROR(__xludf.DUMMYFUNCTION("""COMPUTED_VALUE"""),"G950-18290-01")</f>
        <v>G950-18290-01</v>
      </c>
      <c r="L30" s="182" t="str">
        <f>IFERROR(__xludf.DUMMYFUNCTION("""COMPUTED_VALUE"""),"G710-07822-01")</f>
        <v>G710-07822-01</v>
      </c>
      <c r="M30" s="182" t="str">
        <f>IFERROR(__xludf.DUMMYFUNCTION("""COMPUTED_VALUE"""),"G710-10000-40")</f>
        <v>G710-10000-40</v>
      </c>
      <c r="N30" s="182" t="str">
        <f>IFERROR(__xludf.DUMMYFUNCTION("""COMPUTED_VALUE"""),"G730-09466-11")</f>
        <v>G730-09466-11</v>
      </c>
      <c r="O30" s="182" t="str">
        <f>IFERROR(__xludf.DUMMYFUNCTION("""COMPUTED_VALUE"""),"G710-07813-12")</f>
        <v>G710-07813-12</v>
      </c>
      <c r="P30" s="182" t="str">
        <f>IFERROR(__xludf.DUMMYFUNCTION("""COMPUTED_VALUE"""),"G650-17430-06")</f>
        <v>G650-17430-06</v>
      </c>
      <c r="Q30" s="182" t="str">
        <f>IFERROR(__xludf.DUMMYFUNCTION("""COMPUTED_VALUE"""),"G650-15596-04")</f>
        <v>G650-15596-04</v>
      </c>
      <c r="R30" s="182" t="str">
        <f>IFERROR(__xludf.DUMMYFUNCTION("""COMPUTED_VALUE"""),"G650-14843-04")</f>
        <v>G650-14843-04</v>
      </c>
      <c r="S30" s="182" t="str">
        <f>IFERROR(__xludf.DUMMYFUNCTION("""COMPUTED_VALUE"""),"G650-14411-05")</f>
        <v>G650-14411-05</v>
      </c>
      <c r="T30" s="182" t="str">
        <f>IFERROR(__xludf.DUMMYFUNCTION("""COMPUTED_VALUE"""),"G650-14840-03")</f>
        <v>G650-14840-03</v>
      </c>
      <c r="U30" s="182" t="str">
        <f>IFERROR(__xludf.DUMMYFUNCTION("""COMPUTED_VALUE"""),"G650-14841-03")</f>
        <v>G650-14841-03</v>
      </c>
      <c r="V30" s="182" t="str">
        <f>IFERROR(__xludf.DUMMYFUNCTION("""COMPUTED_VALUE"""),"G650-14413-03")</f>
        <v>G650-14413-03</v>
      </c>
      <c r="W30" s="182"/>
      <c r="X30" s="182"/>
      <c r="Y30" s="182"/>
      <c r="Z30" s="182" t="str">
        <f>IFERROR(__xludf.DUMMYFUNCTION("""COMPUTED_VALUE"""),"Y")</f>
        <v>Y</v>
      </c>
      <c r="AA30" s="182" t="str">
        <f>IFERROR(__xludf.DUMMYFUNCTION("""COMPUTED_VALUE"""),"Y")</f>
        <v>Y</v>
      </c>
    </row>
    <row r="31">
      <c r="A31" s="182" t="str">
        <f>IFERROR(__xludf.DUMMYFUNCTION("""COMPUTED_VALUE"""),"PVT/MP")</f>
        <v>PVT/MP</v>
      </c>
      <c r="B31" s="182">
        <f>IFERROR(__xludf.DUMMYFUNCTION("""COMPUTED_VALUE"""),30.0)</f>
        <v>30</v>
      </c>
      <c r="C31" s="182" t="str">
        <f>IFERROR(__xludf.DUMMYFUNCTION("""COMPUTED_VALUE"""),"GEHN3")</f>
        <v>GEHN3</v>
      </c>
      <c r="D31" s="182" t="str">
        <f>IFERROR(__xludf.DUMMYFUNCTION("""COMPUTED_VALUE"""),"GA10314-CA")</f>
        <v>GA10314-CA</v>
      </c>
      <c r="E31" s="182" t="str">
        <f>IFERROR(__xludf.DUMMYFUNCTION("""COMPUTED_VALUE"""),"SKU, CLR2, BETTER, SUB6, CA/TW/SG/AU/MY/MX, BZ5")</f>
        <v>SKU, CLR2, BETTER, SUB6, CA/TW/SG/AU/MY/MX, BZ5</v>
      </c>
      <c r="F31" s="182" t="str">
        <f>IFERROR(__xludf.DUMMYFUNCTION("""COMPUTED_VALUE"""),"Pixel 10 Pro, Porcelain, 256GB, CA/TW/SG/AU/MY/MX")</f>
        <v>Pixel 10 Pro, Porcelain, 256GB, CA/TW/SG/AU/MY/MX</v>
      </c>
      <c r="G31" s="182" t="str">
        <f>IFERROR(__xludf.DUMMYFUNCTION("""COMPUTED_VALUE"""),"CLR2")</f>
        <v>CLR2</v>
      </c>
      <c r="H31" s="182" t="str">
        <f>IFERROR(__xludf.DUMMYFUNCTION("""COMPUTED_VALUE"""),"SUB6")</f>
        <v>SUB6</v>
      </c>
      <c r="I31" s="182" t="str">
        <f>IFERROR(__xludf.DUMMYFUNCTION("""COMPUTED_VALUE"""),"256GB")</f>
        <v>256GB</v>
      </c>
      <c r="J31" s="182"/>
      <c r="K31" s="182" t="str">
        <f>IFERROR(__xludf.DUMMYFUNCTION("""COMPUTED_VALUE"""),"G950-18290-02")</f>
        <v>G950-18290-02</v>
      </c>
      <c r="L31" s="182" t="str">
        <f>IFERROR(__xludf.DUMMYFUNCTION("""COMPUTED_VALUE"""),"G710-07822-01")</f>
        <v>G710-07822-01</v>
      </c>
      <c r="M31" s="182" t="str">
        <f>IFERROR(__xludf.DUMMYFUNCTION("""COMPUTED_VALUE"""),"G710-10000-40")</f>
        <v>G710-10000-40</v>
      </c>
      <c r="N31" s="182" t="str">
        <f>IFERROR(__xludf.DUMMYFUNCTION("""COMPUTED_VALUE"""),"G730-09466-12")</f>
        <v>G730-09466-12</v>
      </c>
      <c r="O31" s="182" t="str">
        <f>IFERROR(__xludf.DUMMYFUNCTION("""COMPUTED_VALUE"""),"G710-07813-12")</f>
        <v>G710-07813-12</v>
      </c>
      <c r="P31" s="182" t="str">
        <f>IFERROR(__xludf.DUMMYFUNCTION("""COMPUTED_VALUE"""),"G650-17430-06")</f>
        <v>G650-17430-06</v>
      </c>
      <c r="Q31" s="182" t="str">
        <f>IFERROR(__xludf.DUMMYFUNCTION("""COMPUTED_VALUE"""),"G650-15596-04")</f>
        <v>G650-15596-04</v>
      </c>
      <c r="R31" s="182" t="str">
        <f>IFERROR(__xludf.DUMMYFUNCTION("""COMPUTED_VALUE"""),"G650-14843-04")</f>
        <v>G650-14843-04</v>
      </c>
      <c r="S31" s="182" t="str">
        <f>IFERROR(__xludf.DUMMYFUNCTION("""COMPUTED_VALUE"""),"G650-14411-05")</f>
        <v>G650-14411-05</v>
      </c>
      <c r="T31" s="182" t="str">
        <f>IFERROR(__xludf.DUMMYFUNCTION("""COMPUTED_VALUE"""),"G650-14840-03")</f>
        <v>G650-14840-03</v>
      </c>
      <c r="U31" s="182" t="str">
        <f>IFERROR(__xludf.DUMMYFUNCTION("""COMPUTED_VALUE"""),"G650-14841-03")</f>
        <v>G650-14841-03</v>
      </c>
      <c r="V31" s="182" t="str">
        <f>IFERROR(__xludf.DUMMYFUNCTION("""COMPUTED_VALUE"""),"G650-14413-03")</f>
        <v>G650-14413-03</v>
      </c>
      <c r="W31" s="182"/>
      <c r="X31" s="182"/>
      <c r="Y31" s="182"/>
      <c r="Z31" s="182" t="str">
        <f>IFERROR(__xludf.DUMMYFUNCTION("""COMPUTED_VALUE"""),"Y")</f>
        <v>Y</v>
      </c>
      <c r="AA31" s="182" t="str">
        <f>IFERROR(__xludf.DUMMYFUNCTION("""COMPUTED_VALUE"""),"Y")</f>
        <v>Y</v>
      </c>
    </row>
    <row r="32">
      <c r="A32" s="182" t="str">
        <f>IFERROR(__xludf.DUMMYFUNCTION("""COMPUTED_VALUE"""),"PVT/MP")</f>
        <v>PVT/MP</v>
      </c>
      <c r="B32" s="182">
        <f>IFERROR(__xludf.DUMMYFUNCTION("""COMPUTED_VALUE"""),31.0)</f>
        <v>31</v>
      </c>
      <c r="C32" s="182" t="str">
        <f>IFERROR(__xludf.DUMMYFUNCTION("""COMPUTED_VALUE"""),"GEHN3")</f>
        <v>GEHN3</v>
      </c>
      <c r="D32" s="182" t="str">
        <f>IFERROR(__xludf.DUMMYFUNCTION("""COMPUTED_VALUE"""),"GA10315-CA")</f>
        <v>GA10315-CA</v>
      </c>
      <c r="E32" s="182" t="str">
        <f>IFERROR(__xludf.DUMMYFUNCTION("""COMPUTED_VALUE"""),"SKU, CLR3, BETTER, SUB6, CA/TW/SG/AU/MY/MX, BZ5")</f>
        <v>SKU, CLR3, BETTER, SUB6, CA/TW/SG/AU/MY/MX, BZ5</v>
      </c>
      <c r="F32" s="182" t="str">
        <f>IFERROR(__xludf.DUMMYFUNCTION("""COMPUTED_VALUE"""),"Pixel 10 Pro, Moonstone, 256GB, CA/TW/SG/AU/MY/MX")</f>
        <v>Pixel 10 Pro, Moonstone, 256GB, CA/TW/SG/AU/MY/MX</v>
      </c>
      <c r="G32" s="182" t="str">
        <f>IFERROR(__xludf.DUMMYFUNCTION("""COMPUTED_VALUE"""),"CLR3")</f>
        <v>CLR3</v>
      </c>
      <c r="H32" s="182" t="str">
        <f>IFERROR(__xludf.DUMMYFUNCTION("""COMPUTED_VALUE"""),"SUB6")</f>
        <v>SUB6</v>
      </c>
      <c r="I32" s="182" t="str">
        <f>IFERROR(__xludf.DUMMYFUNCTION("""COMPUTED_VALUE"""),"256GB")</f>
        <v>256GB</v>
      </c>
      <c r="J32" s="182"/>
      <c r="K32" s="182" t="str">
        <f>IFERROR(__xludf.DUMMYFUNCTION("""COMPUTED_VALUE"""),"G950-18290-03")</f>
        <v>G950-18290-03</v>
      </c>
      <c r="L32" s="182" t="str">
        <f>IFERROR(__xludf.DUMMYFUNCTION("""COMPUTED_VALUE"""),"G710-07822-01")</f>
        <v>G710-07822-01</v>
      </c>
      <c r="M32" s="182" t="str">
        <f>IFERROR(__xludf.DUMMYFUNCTION("""COMPUTED_VALUE"""),"G710-10000-40")</f>
        <v>G710-10000-40</v>
      </c>
      <c r="N32" s="182" t="str">
        <f>IFERROR(__xludf.DUMMYFUNCTION("""COMPUTED_VALUE"""),"G730-09466-13")</f>
        <v>G730-09466-13</v>
      </c>
      <c r="O32" s="182" t="str">
        <f>IFERROR(__xludf.DUMMYFUNCTION("""COMPUTED_VALUE"""),"G710-07813-12")</f>
        <v>G710-07813-12</v>
      </c>
      <c r="P32" s="182" t="str">
        <f>IFERROR(__xludf.DUMMYFUNCTION("""COMPUTED_VALUE"""),"G650-17430-06")</f>
        <v>G650-17430-06</v>
      </c>
      <c r="Q32" s="182" t="str">
        <f>IFERROR(__xludf.DUMMYFUNCTION("""COMPUTED_VALUE"""),"G650-15596-04")</f>
        <v>G650-15596-04</v>
      </c>
      <c r="R32" s="182" t="str">
        <f>IFERROR(__xludf.DUMMYFUNCTION("""COMPUTED_VALUE"""),"G650-14843-04")</f>
        <v>G650-14843-04</v>
      </c>
      <c r="S32" s="182" t="str">
        <f>IFERROR(__xludf.DUMMYFUNCTION("""COMPUTED_VALUE"""),"G650-14411-05")</f>
        <v>G650-14411-05</v>
      </c>
      <c r="T32" s="182" t="str">
        <f>IFERROR(__xludf.DUMMYFUNCTION("""COMPUTED_VALUE"""),"G650-14840-03")</f>
        <v>G650-14840-03</v>
      </c>
      <c r="U32" s="182" t="str">
        <f>IFERROR(__xludf.DUMMYFUNCTION("""COMPUTED_VALUE"""),"G650-14841-03")</f>
        <v>G650-14841-03</v>
      </c>
      <c r="V32" s="182" t="str">
        <f>IFERROR(__xludf.DUMMYFUNCTION("""COMPUTED_VALUE"""),"G650-14413-03")</f>
        <v>G650-14413-03</v>
      </c>
      <c r="W32" s="182"/>
      <c r="X32" s="182"/>
      <c r="Y32" s="182"/>
      <c r="Z32" s="182" t="str">
        <f>IFERROR(__xludf.DUMMYFUNCTION("""COMPUTED_VALUE"""),"Y")</f>
        <v>Y</v>
      </c>
      <c r="AA32" s="182" t="str">
        <f>IFERROR(__xludf.DUMMYFUNCTION("""COMPUTED_VALUE"""),"Y")</f>
        <v>Y</v>
      </c>
    </row>
    <row r="33">
      <c r="A33" s="182" t="str">
        <f>IFERROR(__xludf.DUMMYFUNCTION("""COMPUTED_VALUE"""),"PVT/MP")</f>
        <v>PVT/MP</v>
      </c>
      <c r="B33" s="182">
        <f>IFERROR(__xludf.DUMMYFUNCTION("""COMPUTED_VALUE"""),32.0)</f>
        <v>32</v>
      </c>
      <c r="C33" s="182" t="str">
        <f>IFERROR(__xludf.DUMMYFUNCTION("""COMPUTED_VALUE"""),"GEHN3")</f>
        <v>GEHN3</v>
      </c>
      <c r="D33" s="182" t="str">
        <f>IFERROR(__xludf.DUMMYFUNCTION("""COMPUTED_VALUE"""),"GA10316-CA")</f>
        <v>GA10316-CA</v>
      </c>
      <c r="E33" s="182" t="str">
        <f>IFERROR(__xludf.DUMMYFUNCTION("""COMPUTED_VALUE"""),"SKU, CLR4, BETTER, SUB6, CA/TW/SG/AU/MY/MX, BZ5")</f>
        <v>SKU, CLR4, BETTER, SUB6, CA/TW/SG/AU/MY/MX, BZ5</v>
      </c>
      <c r="F33" s="182" t="str">
        <f>IFERROR(__xludf.DUMMYFUNCTION("""COMPUTED_VALUE"""),"Pixel 10 Pro, Jade, 256GB, CA/TW/SG/AU/MY/MX")</f>
        <v>Pixel 10 Pro, Jade, 256GB, CA/TW/SG/AU/MY/MX</v>
      </c>
      <c r="G33" s="182" t="str">
        <f>IFERROR(__xludf.DUMMYFUNCTION("""COMPUTED_VALUE"""),"CLR4")</f>
        <v>CLR4</v>
      </c>
      <c r="H33" s="182" t="str">
        <f>IFERROR(__xludf.DUMMYFUNCTION("""COMPUTED_VALUE"""),"SUB6")</f>
        <v>SUB6</v>
      </c>
      <c r="I33" s="182" t="str">
        <f>IFERROR(__xludf.DUMMYFUNCTION("""COMPUTED_VALUE"""),"256GB")</f>
        <v>256GB</v>
      </c>
      <c r="J33" s="182"/>
      <c r="K33" s="182" t="str">
        <f>IFERROR(__xludf.DUMMYFUNCTION("""COMPUTED_VALUE"""),"G950-18290-04")</f>
        <v>G950-18290-04</v>
      </c>
      <c r="L33" s="182" t="str">
        <f>IFERROR(__xludf.DUMMYFUNCTION("""COMPUTED_VALUE"""),"G710-07822-01")</f>
        <v>G710-07822-01</v>
      </c>
      <c r="M33" s="182" t="str">
        <f>IFERROR(__xludf.DUMMYFUNCTION("""COMPUTED_VALUE"""),"G710-10000-40")</f>
        <v>G710-10000-40</v>
      </c>
      <c r="N33" s="182" t="str">
        <f>IFERROR(__xludf.DUMMYFUNCTION("""COMPUTED_VALUE"""),"G730-09466-14")</f>
        <v>G730-09466-14</v>
      </c>
      <c r="O33" s="182" t="str">
        <f>IFERROR(__xludf.DUMMYFUNCTION("""COMPUTED_VALUE"""),"G710-07813-12")</f>
        <v>G710-07813-12</v>
      </c>
      <c r="P33" s="182" t="str">
        <f>IFERROR(__xludf.DUMMYFUNCTION("""COMPUTED_VALUE"""),"G650-17430-06")</f>
        <v>G650-17430-06</v>
      </c>
      <c r="Q33" s="182" t="str">
        <f>IFERROR(__xludf.DUMMYFUNCTION("""COMPUTED_VALUE"""),"G650-15596-04")</f>
        <v>G650-15596-04</v>
      </c>
      <c r="R33" s="182" t="str">
        <f>IFERROR(__xludf.DUMMYFUNCTION("""COMPUTED_VALUE"""),"G650-14843-04")</f>
        <v>G650-14843-04</v>
      </c>
      <c r="S33" s="182" t="str">
        <f>IFERROR(__xludf.DUMMYFUNCTION("""COMPUTED_VALUE"""),"G650-14411-05")</f>
        <v>G650-14411-05</v>
      </c>
      <c r="T33" s="182" t="str">
        <f>IFERROR(__xludf.DUMMYFUNCTION("""COMPUTED_VALUE"""),"G650-14840-03")</f>
        <v>G650-14840-03</v>
      </c>
      <c r="U33" s="182" t="str">
        <f>IFERROR(__xludf.DUMMYFUNCTION("""COMPUTED_VALUE"""),"G650-14841-03")</f>
        <v>G650-14841-03</v>
      </c>
      <c r="V33" s="182" t="str">
        <f>IFERROR(__xludf.DUMMYFUNCTION("""COMPUTED_VALUE"""),"G650-14413-03")</f>
        <v>G650-14413-03</v>
      </c>
      <c r="W33" s="182"/>
      <c r="X33" s="182"/>
      <c r="Y33" s="182"/>
      <c r="Z33" s="182" t="str">
        <f>IFERROR(__xludf.DUMMYFUNCTION("""COMPUTED_VALUE"""),"Y")</f>
        <v>Y</v>
      </c>
      <c r="AA33" s="182" t="str">
        <f>IFERROR(__xludf.DUMMYFUNCTION("""COMPUTED_VALUE"""),"Y")</f>
        <v>Y</v>
      </c>
    </row>
    <row r="34">
      <c r="A34" s="182" t="str">
        <f>IFERROR(__xludf.DUMMYFUNCTION("""COMPUTED_VALUE"""),"MP")</f>
        <v>MP</v>
      </c>
      <c r="B34" s="182">
        <f>IFERROR(__xludf.DUMMYFUNCTION("""COMPUTED_VALUE"""),33.0)</f>
        <v>33</v>
      </c>
      <c r="C34" s="182" t="str">
        <f>IFERROR(__xludf.DUMMYFUNCTION("""COMPUTED_VALUE"""),"GEHN3")</f>
        <v>GEHN3</v>
      </c>
      <c r="D34" s="182" t="str">
        <f>IFERROR(__xludf.DUMMYFUNCTION("""COMPUTED_VALUE"""),"GA09909-CA")</f>
        <v>GA09909-CA</v>
      </c>
      <c r="E34" s="182" t="str">
        <f>IFERROR(__xludf.DUMMYFUNCTION("""COMPUTED_VALUE"""),"SKU, CLR1, BEST, SUB6, CA/TW/SG/AU/MY/MX, BZ5")</f>
        <v>SKU, CLR1, BEST, SUB6, CA/TW/SG/AU/MY/MX, BZ5</v>
      </c>
      <c r="F34" s="182" t="str">
        <f>IFERROR(__xludf.DUMMYFUNCTION("""COMPUTED_VALUE"""),"Pixel 10 Pro, Obsidian, 512GB, CA/TW/SG/AU/MY/MX")</f>
        <v>Pixel 10 Pro, Obsidian, 512GB, CA/TW/SG/AU/MY/MX</v>
      </c>
      <c r="G34" s="182" t="str">
        <f>IFERROR(__xludf.DUMMYFUNCTION("""COMPUTED_VALUE"""),"CLR1")</f>
        <v>CLR1</v>
      </c>
      <c r="H34" s="182" t="str">
        <f>IFERROR(__xludf.DUMMYFUNCTION("""COMPUTED_VALUE"""),"SUB6")</f>
        <v>SUB6</v>
      </c>
      <c r="I34" s="182" t="str">
        <f>IFERROR(__xludf.DUMMYFUNCTION("""COMPUTED_VALUE"""),"512GB")</f>
        <v>512GB</v>
      </c>
      <c r="J34" s="182"/>
      <c r="K34" s="182" t="str">
        <f>IFERROR(__xludf.DUMMYFUNCTION("""COMPUTED_VALUE"""),"G950-18292-01")</f>
        <v>G950-18292-01</v>
      </c>
      <c r="L34" s="182" t="str">
        <f>IFERROR(__xludf.DUMMYFUNCTION("""COMPUTED_VALUE"""),"G710-07822-01")</f>
        <v>G710-07822-01</v>
      </c>
      <c r="M34" s="182" t="str">
        <f>IFERROR(__xludf.DUMMYFUNCTION("""COMPUTED_VALUE"""),"G710-10000-40")</f>
        <v>G710-10000-40</v>
      </c>
      <c r="N34" s="182" t="str">
        <f>IFERROR(__xludf.DUMMYFUNCTION("""COMPUTED_VALUE"""),"G730-09466-11")</f>
        <v>G730-09466-11</v>
      </c>
      <c r="O34" s="182" t="str">
        <f>IFERROR(__xludf.DUMMYFUNCTION("""COMPUTED_VALUE"""),"G710-07813-22")</f>
        <v>G710-07813-22</v>
      </c>
      <c r="P34" s="182" t="str">
        <f>IFERROR(__xludf.DUMMYFUNCTION("""COMPUTED_VALUE"""),"G650-17432-06")</f>
        <v>G650-17432-06</v>
      </c>
      <c r="Q34" s="182" t="str">
        <f>IFERROR(__xludf.DUMMYFUNCTION("""COMPUTED_VALUE"""),"G650-15596-04")</f>
        <v>G650-15596-04</v>
      </c>
      <c r="R34" s="182" t="str">
        <f>IFERROR(__xludf.DUMMYFUNCTION("""COMPUTED_VALUE"""),"G650-14843-04")</f>
        <v>G650-14843-04</v>
      </c>
      <c r="S34" s="182" t="str">
        <f>IFERROR(__xludf.DUMMYFUNCTION("""COMPUTED_VALUE"""),"G650-14411-05")</f>
        <v>G650-14411-05</v>
      </c>
      <c r="T34" s="182" t="str">
        <f>IFERROR(__xludf.DUMMYFUNCTION("""COMPUTED_VALUE"""),"G650-14840-03")</f>
        <v>G650-14840-03</v>
      </c>
      <c r="U34" s="182" t="str">
        <f>IFERROR(__xludf.DUMMYFUNCTION("""COMPUTED_VALUE"""),"G650-14841-03")</f>
        <v>G650-14841-03</v>
      </c>
      <c r="V34" s="182" t="str">
        <f>IFERROR(__xludf.DUMMYFUNCTION("""COMPUTED_VALUE"""),"G650-14413-03")</f>
        <v>G650-14413-03</v>
      </c>
      <c r="W34" s="182"/>
      <c r="X34" s="182"/>
      <c r="Y34" s="182"/>
      <c r="Z34" s="182" t="str">
        <f>IFERROR(__xludf.DUMMYFUNCTION("""COMPUTED_VALUE"""),"Y")</f>
        <v>Y</v>
      </c>
      <c r="AA34" s="182" t="str">
        <f>IFERROR(__xludf.DUMMYFUNCTION("""COMPUTED_VALUE"""),"Y")</f>
        <v>Y</v>
      </c>
    </row>
    <row r="35">
      <c r="A35" s="182" t="str">
        <f>IFERROR(__xludf.DUMMYFUNCTION("""COMPUTED_VALUE"""),"MP")</f>
        <v>MP</v>
      </c>
      <c r="B35" s="182">
        <f>IFERROR(__xludf.DUMMYFUNCTION("""COMPUTED_VALUE"""),34.0)</f>
        <v>34</v>
      </c>
      <c r="C35" s="182" t="str">
        <f>IFERROR(__xludf.DUMMYFUNCTION("""COMPUTED_VALUE"""),"GEHN3")</f>
        <v>GEHN3</v>
      </c>
      <c r="D35" s="182" t="str">
        <f>IFERROR(__xludf.DUMMYFUNCTION("""COMPUTED_VALUE"""),"GA10318-CA")</f>
        <v>GA10318-CA</v>
      </c>
      <c r="E35" s="182" t="str">
        <f>IFERROR(__xludf.DUMMYFUNCTION("""COMPUTED_VALUE"""),"SKU, CLR3, BEST, SUB6, CA/TW/SG/AU/MY/MX, BZ5")</f>
        <v>SKU, CLR3, BEST, SUB6, CA/TW/SG/AU/MY/MX, BZ5</v>
      </c>
      <c r="F35" s="182" t="str">
        <f>IFERROR(__xludf.DUMMYFUNCTION("""COMPUTED_VALUE"""),"Pixel 10 Pro, Moonstone, 512GB, CA/TW/SG/AU/MY/MX")</f>
        <v>Pixel 10 Pro, Moonstone, 512GB, CA/TW/SG/AU/MY/MX</v>
      </c>
      <c r="G35" s="182" t="str">
        <f>IFERROR(__xludf.DUMMYFUNCTION("""COMPUTED_VALUE"""),"CLR3")</f>
        <v>CLR3</v>
      </c>
      <c r="H35" s="182" t="str">
        <f>IFERROR(__xludf.DUMMYFUNCTION("""COMPUTED_VALUE"""),"SUB6")</f>
        <v>SUB6</v>
      </c>
      <c r="I35" s="182" t="str">
        <f>IFERROR(__xludf.DUMMYFUNCTION("""COMPUTED_VALUE"""),"512GB")</f>
        <v>512GB</v>
      </c>
      <c r="J35" s="182"/>
      <c r="K35" s="182" t="str">
        <f>IFERROR(__xludf.DUMMYFUNCTION("""COMPUTED_VALUE"""),"G950-18292-03")</f>
        <v>G950-18292-03</v>
      </c>
      <c r="L35" s="182" t="str">
        <f>IFERROR(__xludf.DUMMYFUNCTION("""COMPUTED_VALUE"""),"G710-07822-01")</f>
        <v>G710-07822-01</v>
      </c>
      <c r="M35" s="182" t="str">
        <f>IFERROR(__xludf.DUMMYFUNCTION("""COMPUTED_VALUE"""),"G710-10000-40")</f>
        <v>G710-10000-40</v>
      </c>
      <c r="N35" s="182" t="str">
        <f>IFERROR(__xludf.DUMMYFUNCTION("""COMPUTED_VALUE"""),"G730-09466-13")</f>
        <v>G730-09466-13</v>
      </c>
      <c r="O35" s="182" t="str">
        <f>IFERROR(__xludf.DUMMYFUNCTION("""COMPUTED_VALUE"""),"G710-07813-22")</f>
        <v>G710-07813-22</v>
      </c>
      <c r="P35" s="182" t="str">
        <f>IFERROR(__xludf.DUMMYFUNCTION("""COMPUTED_VALUE"""),"G650-17432-06")</f>
        <v>G650-17432-06</v>
      </c>
      <c r="Q35" s="182" t="str">
        <f>IFERROR(__xludf.DUMMYFUNCTION("""COMPUTED_VALUE"""),"G650-15596-04")</f>
        <v>G650-15596-04</v>
      </c>
      <c r="R35" s="182" t="str">
        <f>IFERROR(__xludf.DUMMYFUNCTION("""COMPUTED_VALUE"""),"G650-14843-04")</f>
        <v>G650-14843-04</v>
      </c>
      <c r="S35" s="182" t="str">
        <f>IFERROR(__xludf.DUMMYFUNCTION("""COMPUTED_VALUE"""),"G650-14411-05")</f>
        <v>G650-14411-05</v>
      </c>
      <c r="T35" s="182" t="str">
        <f>IFERROR(__xludf.DUMMYFUNCTION("""COMPUTED_VALUE"""),"G650-14840-03")</f>
        <v>G650-14840-03</v>
      </c>
      <c r="U35" s="182" t="str">
        <f>IFERROR(__xludf.DUMMYFUNCTION("""COMPUTED_VALUE"""),"G650-14841-03")</f>
        <v>G650-14841-03</v>
      </c>
      <c r="V35" s="182" t="str">
        <f>IFERROR(__xludf.DUMMYFUNCTION("""COMPUTED_VALUE"""),"G650-14413-03")</f>
        <v>G650-14413-03</v>
      </c>
      <c r="W35" s="182"/>
      <c r="X35" s="182"/>
      <c r="Y35" s="182"/>
      <c r="Z35" s="182" t="str">
        <f>IFERROR(__xludf.DUMMYFUNCTION("""COMPUTED_VALUE"""),"Y")</f>
        <v>Y</v>
      </c>
      <c r="AA35" s="182" t="str">
        <f>IFERROR(__xludf.DUMMYFUNCTION("""COMPUTED_VALUE"""),"Y")</f>
        <v>Y</v>
      </c>
    </row>
    <row r="36">
      <c r="A36" s="182" t="str">
        <f>IFERROR(__xludf.DUMMYFUNCTION("""COMPUTED_VALUE"""),"MP")</f>
        <v>MP</v>
      </c>
      <c r="B36" s="182">
        <f>IFERROR(__xludf.DUMMYFUNCTION("""COMPUTED_VALUE"""),35.0)</f>
        <v>35</v>
      </c>
      <c r="C36" s="182" t="str">
        <f>IFERROR(__xludf.DUMMYFUNCTION("""COMPUTED_VALUE"""),"GEHN3")</f>
        <v>GEHN3</v>
      </c>
      <c r="D36" s="182" t="str">
        <f>IFERROR(__xludf.DUMMYFUNCTION("""COMPUTED_VALUE"""),"GA09934-CA")</f>
        <v>GA09934-CA</v>
      </c>
      <c r="E36" s="182" t="str">
        <f>IFERROR(__xludf.DUMMYFUNCTION("""COMPUTED_VALUE"""),"SKU, CLR1, ULTRA, SUB6, CA/TW/SG/AU/MY/MX, BZ5")</f>
        <v>SKU, CLR1, ULTRA, SUB6, CA/TW/SG/AU/MY/MX, BZ5</v>
      </c>
      <c r="F36" s="182" t="str">
        <f>IFERROR(__xludf.DUMMYFUNCTION("""COMPUTED_VALUE"""),"Pixel 10 Pro, Obsidian, 1TB, CA/TW/SG/AU/MY/MX")</f>
        <v>Pixel 10 Pro, Obsidian, 1TB, CA/TW/SG/AU/MY/MX</v>
      </c>
      <c r="G36" s="182" t="str">
        <f>IFERROR(__xludf.DUMMYFUNCTION("""COMPUTED_VALUE"""),"CLR1")</f>
        <v>CLR1</v>
      </c>
      <c r="H36" s="182" t="str">
        <f>IFERROR(__xludf.DUMMYFUNCTION("""COMPUTED_VALUE"""),"SUB6")</f>
        <v>SUB6</v>
      </c>
      <c r="I36" s="182" t="str">
        <f>IFERROR(__xludf.DUMMYFUNCTION("""COMPUTED_VALUE"""),"1TB")</f>
        <v>1TB</v>
      </c>
      <c r="J36" s="182"/>
      <c r="K36" s="182" t="str">
        <f>IFERROR(__xludf.DUMMYFUNCTION("""COMPUTED_VALUE"""),"G950-18294-01")</f>
        <v>G950-18294-01</v>
      </c>
      <c r="L36" s="182" t="str">
        <f>IFERROR(__xludf.DUMMYFUNCTION("""COMPUTED_VALUE"""),"G710-07822-01")</f>
        <v>G710-07822-01</v>
      </c>
      <c r="M36" s="182" t="str">
        <f>IFERROR(__xludf.DUMMYFUNCTION("""COMPUTED_VALUE"""),"G710-10000-40")</f>
        <v>G710-10000-40</v>
      </c>
      <c r="N36" s="182" t="str">
        <f>IFERROR(__xludf.DUMMYFUNCTION("""COMPUTED_VALUE"""),"G730-09466-11")</f>
        <v>G730-09466-11</v>
      </c>
      <c r="O36" s="182" t="str">
        <f>IFERROR(__xludf.DUMMYFUNCTION("""COMPUTED_VALUE"""),"G710-07813-32")</f>
        <v>G710-07813-32</v>
      </c>
      <c r="P36" s="182" t="str">
        <f>IFERROR(__xludf.DUMMYFUNCTION("""COMPUTED_VALUE"""),"G650-17434-06")</f>
        <v>G650-17434-06</v>
      </c>
      <c r="Q36" s="182" t="str">
        <f>IFERROR(__xludf.DUMMYFUNCTION("""COMPUTED_VALUE"""),"G650-15596-04")</f>
        <v>G650-15596-04</v>
      </c>
      <c r="R36" s="182" t="str">
        <f>IFERROR(__xludf.DUMMYFUNCTION("""COMPUTED_VALUE"""),"G650-14843-04")</f>
        <v>G650-14843-04</v>
      </c>
      <c r="S36" s="182" t="str">
        <f>IFERROR(__xludf.DUMMYFUNCTION("""COMPUTED_VALUE"""),"G650-14411-05")</f>
        <v>G650-14411-05</v>
      </c>
      <c r="T36" s="182" t="str">
        <f>IFERROR(__xludf.DUMMYFUNCTION("""COMPUTED_VALUE"""),"G650-14840-03")</f>
        <v>G650-14840-03</v>
      </c>
      <c r="U36" s="182" t="str">
        <f>IFERROR(__xludf.DUMMYFUNCTION("""COMPUTED_VALUE"""),"G650-14841-03")</f>
        <v>G650-14841-03</v>
      </c>
      <c r="V36" s="182" t="str">
        <f>IFERROR(__xludf.DUMMYFUNCTION("""COMPUTED_VALUE"""),"G650-14413-03")</f>
        <v>G650-14413-03</v>
      </c>
      <c r="W36" s="182"/>
      <c r="X36" s="182"/>
      <c r="Y36" s="182"/>
      <c r="Z36" s="182" t="str">
        <f>IFERROR(__xludf.DUMMYFUNCTION("""COMPUTED_VALUE"""),"Y")</f>
        <v>Y</v>
      </c>
      <c r="AA36" s="182" t="str">
        <f>IFERROR(__xludf.DUMMYFUNCTION("""COMPUTED_VALUE"""),"Y")</f>
        <v>Y</v>
      </c>
    </row>
    <row r="37">
      <c r="A37" s="182" t="str">
        <f>IFERROR(__xludf.DUMMYFUNCTION("""COMPUTED_VALUE"""),"PVT/MP")</f>
        <v>PVT/MP</v>
      </c>
      <c r="B37" s="182">
        <f>IFERROR(__xludf.DUMMYFUNCTION("""COMPUTED_VALUE"""),36.0)</f>
        <v>36</v>
      </c>
      <c r="C37" s="182" t="str">
        <f>IFERROR(__xludf.DUMMYFUNCTION("""COMPUTED_VALUE"""),"GEHN3")</f>
        <v>GEHN3</v>
      </c>
      <c r="D37" s="182" t="str">
        <f>IFERROR(__xludf.DUMMYFUNCTION("""COMPUTED_VALUE"""),"GA09601-GB")</f>
        <v>GA09601-GB</v>
      </c>
      <c r="E37" s="182" t="str">
        <f>IFERROR(__xludf.DUMMYFUNCTION("""COMPUTED_VALUE"""),"SKU, CLR1, GOOD, SUB6, EU/UK, BZ5")</f>
        <v>SKU, CLR1, GOOD, SUB6, EU/UK, BZ5</v>
      </c>
      <c r="F37" s="182" t="str">
        <f>IFERROR(__xludf.DUMMYFUNCTION("""COMPUTED_VALUE"""),"Pixel 10 Pro, Obsidian, 128GB, EU/UK")</f>
        <v>Pixel 10 Pro, Obsidian, 128GB, EU/UK</v>
      </c>
      <c r="G37" s="182" t="str">
        <f>IFERROR(__xludf.DUMMYFUNCTION("""COMPUTED_VALUE"""),"CLR1")</f>
        <v>CLR1</v>
      </c>
      <c r="H37" s="182" t="str">
        <f>IFERROR(__xludf.DUMMYFUNCTION("""COMPUTED_VALUE"""),"SUB6")</f>
        <v>SUB6</v>
      </c>
      <c r="I37" s="182" t="str">
        <f>IFERROR(__xludf.DUMMYFUNCTION("""COMPUTED_VALUE"""),"128GB")</f>
        <v>128GB</v>
      </c>
      <c r="J37" s="182" t="str">
        <f>IFERROR(__xludf.DUMMYFUNCTION("""COMPUTED_VALUE"""),"G950-15987-01-L")</f>
        <v>G950-15987-01-L</v>
      </c>
      <c r="K37" s="182" t="str">
        <f>IFERROR(__xludf.DUMMYFUNCTION("""COMPUTED_VALUE"""),"G950-15987-01")</f>
        <v>G950-15987-01</v>
      </c>
      <c r="L37" s="182" t="str">
        <f>IFERROR(__xludf.DUMMYFUNCTION("""COMPUTED_VALUE"""),"G710-07822-01")</f>
        <v>G710-07822-01</v>
      </c>
      <c r="M37" s="182" t="str">
        <f>IFERROR(__xludf.DUMMYFUNCTION("""COMPUTED_VALUE"""),"G710-10000-40")</f>
        <v>G710-10000-40</v>
      </c>
      <c r="N37" s="182" t="str">
        <f>IFERROR(__xludf.DUMMYFUNCTION("""COMPUTED_VALUE"""),"G730-09466-11")</f>
        <v>G730-09466-11</v>
      </c>
      <c r="O37" s="182" t="str">
        <f>IFERROR(__xludf.DUMMYFUNCTION("""COMPUTED_VALUE"""),"G710-07813-02")</f>
        <v>G710-07813-02</v>
      </c>
      <c r="P37" s="182" t="str">
        <f>IFERROR(__xludf.DUMMYFUNCTION("""COMPUTED_VALUE"""),"G650-14972-06")</f>
        <v>G650-14972-06</v>
      </c>
      <c r="Q37" s="182" t="str">
        <f>IFERROR(__xludf.DUMMYFUNCTION("""COMPUTED_VALUE"""),"G650-15596-04")</f>
        <v>G650-15596-04</v>
      </c>
      <c r="R37" s="182" t="str">
        <f>IFERROR(__xludf.DUMMYFUNCTION("""COMPUTED_VALUE"""),"G650-14843-04")</f>
        <v>G650-14843-04</v>
      </c>
      <c r="S37" s="182" t="str">
        <f>IFERROR(__xludf.DUMMYFUNCTION("""COMPUTED_VALUE"""),"G650-14411-05")</f>
        <v>G650-14411-05</v>
      </c>
      <c r="T37" s="182" t="str">
        <f>IFERROR(__xludf.DUMMYFUNCTION("""COMPUTED_VALUE"""),"G650-14840-03")</f>
        <v>G650-14840-03</v>
      </c>
      <c r="U37" s="182" t="str">
        <f>IFERROR(__xludf.DUMMYFUNCTION("""COMPUTED_VALUE"""),"G650-14841-03")</f>
        <v>G650-14841-03</v>
      </c>
      <c r="V37" s="182" t="str">
        <f>IFERROR(__xludf.DUMMYFUNCTION("""COMPUTED_VALUE"""),"G650-14413-03")</f>
        <v>G650-14413-03</v>
      </c>
      <c r="W37" s="182"/>
      <c r="X37" s="182" t="str">
        <f>IFERROR(__xludf.DUMMYFUNCTION("""COMPUTED_VALUE"""),"G990-07758-00")</f>
        <v>G990-07758-00</v>
      </c>
      <c r="Y37" s="182" t="str">
        <f>IFERROR(__xludf.DUMMYFUNCTION("""COMPUTED_VALUE"""),"G990-07758-00")</f>
        <v>G990-07758-00</v>
      </c>
      <c r="Z37" s="182" t="str">
        <f>IFERROR(__xludf.DUMMYFUNCTION("""COMPUTED_VALUE"""),"Y")</f>
        <v>Y</v>
      </c>
      <c r="AA37" s="182" t="str">
        <f>IFERROR(__xludf.DUMMYFUNCTION("""COMPUTED_VALUE"""),"Y")</f>
        <v>Y</v>
      </c>
    </row>
    <row r="38">
      <c r="A38" s="182" t="str">
        <f>IFERROR(__xludf.DUMMYFUNCTION("""COMPUTED_VALUE"""),"MP")</f>
        <v>MP</v>
      </c>
      <c r="B38" s="182">
        <f>IFERROR(__xludf.DUMMYFUNCTION("""COMPUTED_VALUE"""),37.0)</f>
        <v>37</v>
      </c>
      <c r="C38" s="182" t="str">
        <f>IFERROR(__xludf.DUMMYFUNCTION("""COMPUTED_VALUE"""),"GEHN3")</f>
        <v>GEHN3</v>
      </c>
      <c r="D38" s="182" t="str">
        <f>IFERROR(__xludf.DUMMYFUNCTION("""COMPUTED_VALUE"""),"GA09909-GB")</f>
        <v>GA09909-GB</v>
      </c>
      <c r="E38" s="182" t="str">
        <f>IFERROR(__xludf.DUMMYFUNCTION("""COMPUTED_VALUE"""),"SKU, CLR1, BEST, SUB6, EU/UK, BZ5")</f>
        <v>SKU, CLR1, BEST, SUB6, EU/UK, BZ5</v>
      </c>
      <c r="F38" s="182" t="str">
        <f>IFERROR(__xludf.DUMMYFUNCTION("""COMPUTED_VALUE"""),"Pixel 10 Pro, Obsidian, 512GB, EU/UK")</f>
        <v>Pixel 10 Pro, Obsidian, 512GB, EU/UK</v>
      </c>
      <c r="G38" s="182" t="str">
        <f>IFERROR(__xludf.DUMMYFUNCTION("""COMPUTED_VALUE"""),"CLR1")</f>
        <v>CLR1</v>
      </c>
      <c r="H38" s="182" t="str">
        <f>IFERROR(__xludf.DUMMYFUNCTION("""COMPUTED_VALUE"""),"SUB6")</f>
        <v>SUB6</v>
      </c>
      <c r="I38" s="182" t="str">
        <f>IFERROR(__xludf.DUMMYFUNCTION("""COMPUTED_VALUE"""),"512GB")</f>
        <v>512GB</v>
      </c>
      <c r="J38" s="182" t="str">
        <f>IFERROR(__xludf.DUMMYFUNCTION("""COMPUTED_VALUE"""),"G950-18292-01-L")</f>
        <v>G950-18292-01-L</v>
      </c>
      <c r="K38" s="182" t="str">
        <f>IFERROR(__xludf.DUMMYFUNCTION("""COMPUTED_VALUE"""),"G950-18292-01")</f>
        <v>G950-18292-01</v>
      </c>
      <c r="L38" s="182" t="str">
        <f>IFERROR(__xludf.DUMMYFUNCTION("""COMPUTED_VALUE"""),"G710-07822-01")</f>
        <v>G710-07822-01</v>
      </c>
      <c r="M38" s="182" t="str">
        <f>IFERROR(__xludf.DUMMYFUNCTION("""COMPUTED_VALUE"""),"G710-10000-40")</f>
        <v>G710-10000-40</v>
      </c>
      <c r="N38" s="182" t="str">
        <f>IFERROR(__xludf.DUMMYFUNCTION("""COMPUTED_VALUE"""),"G730-09466-11")</f>
        <v>G730-09466-11</v>
      </c>
      <c r="O38" s="182" t="str">
        <f>IFERROR(__xludf.DUMMYFUNCTION("""COMPUTED_VALUE"""),"G710-07813-22")</f>
        <v>G710-07813-22</v>
      </c>
      <c r="P38" s="182" t="str">
        <f>IFERROR(__xludf.DUMMYFUNCTION("""COMPUTED_VALUE"""),"G650-17432-06")</f>
        <v>G650-17432-06</v>
      </c>
      <c r="Q38" s="182" t="str">
        <f>IFERROR(__xludf.DUMMYFUNCTION("""COMPUTED_VALUE"""),"G650-15596-04")</f>
        <v>G650-15596-04</v>
      </c>
      <c r="R38" s="182" t="str">
        <f>IFERROR(__xludf.DUMMYFUNCTION("""COMPUTED_VALUE"""),"G650-14843-04")</f>
        <v>G650-14843-04</v>
      </c>
      <c r="S38" s="182" t="str">
        <f>IFERROR(__xludf.DUMMYFUNCTION("""COMPUTED_VALUE"""),"G650-14411-05")</f>
        <v>G650-14411-05</v>
      </c>
      <c r="T38" s="182" t="str">
        <f>IFERROR(__xludf.DUMMYFUNCTION("""COMPUTED_VALUE"""),"G650-14840-03")</f>
        <v>G650-14840-03</v>
      </c>
      <c r="U38" s="182" t="str">
        <f>IFERROR(__xludf.DUMMYFUNCTION("""COMPUTED_VALUE"""),"G650-14841-03")</f>
        <v>G650-14841-03</v>
      </c>
      <c r="V38" s="182" t="str">
        <f>IFERROR(__xludf.DUMMYFUNCTION("""COMPUTED_VALUE"""),"G650-14413-03")</f>
        <v>G650-14413-03</v>
      </c>
      <c r="W38" s="182"/>
      <c r="X38" s="182" t="str">
        <f>IFERROR(__xludf.DUMMYFUNCTION("""COMPUTED_VALUE"""),"G990-07758-00")</f>
        <v>G990-07758-00</v>
      </c>
      <c r="Y38" s="182" t="str">
        <f>IFERROR(__xludf.DUMMYFUNCTION("""COMPUTED_VALUE"""),"G990-07758-00")</f>
        <v>G990-07758-00</v>
      </c>
      <c r="Z38" s="182" t="str">
        <f>IFERROR(__xludf.DUMMYFUNCTION("""COMPUTED_VALUE"""),"Y")</f>
        <v>Y</v>
      </c>
      <c r="AA38" s="182" t="str">
        <f>IFERROR(__xludf.DUMMYFUNCTION("""COMPUTED_VALUE"""),"Y")</f>
        <v>Y</v>
      </c>
    </row>
    <row r="39">
      <c r="A39" s="182" t="str">
        <f>IFERROR(__xludf.DUMMYFUNCTION("""COMPUTED_VALUE"""),"MP")</f>
        <v>MP</v>
      </c>
      <c r="B39" s="182">
        <f>IFERROR(__xludf.DUMMYFUNCTION("""COMPUTED_VALUE"""),38.0)</f>
        <v>38</v>
      </c>
      <c r="C39" s="182" t="str">
        <f>IFERROR(__xludf.DUMMYFUNCTION("""COMPUTED_VALUE"""),"GEHN3")</f>
        <v>GEHN3</v>
      </c>
      <c r="D39" s="182" t="str">
        <f>IFERROR(__xludf.DUMMYFUNCTION("""COMPUTED_VALUE"""),"GA09900-GB")</f>
        <v>GA09900-GB</v>
      </c>
      <c r="E39" s="182" t="str">
        <f>IFERROR(__xludf.DUMMYFUNCTION("""COMPUTED_VALUE"""),"SKU, CLR1, BETTER, SUB6, EU/UK, BZ5")</f>
        <v>SKU, CLR1, BETTER, SUB6, EU/UK, BZ5</v>
      </c>
      <c r="F39" s="182" t="str">
        <f>IFERROR(__xludf.DUMMYFUNCTION("""COMPUTED_VALUE"""),"Pixel 10 Pro, Obsidian, 256GB, EU/UK")</f>
        <v>Pixel 10 Pro, Obsidian, 256GB, EU/UK</v>
      </c>
      <c r="G39" s="182" t="str">
        <f>IFERROR(__xludf.DUMMYFUNCTION("""COMPUTED_VALUE"""),"CLR1")</f>
        <v>CLR1</v>
      </c>
      <c r="H39" s="182" t="str">
        <f>IFERROR(__xludf.DUMMYFUNCTION("""COMPUTED_VALUE"""),"SUB6")</f>
        <v>SUB6</v>
      </c>
      <c r="I39" s="182" t="str">
        <f>IFERROR(__xludf.DUMMYFUNCTION("""COMPUTED_VALUE"""),"256GB")</f>
        <v>256GB</v>
      </c>
      <c r="J39" s="182" t="str">
        <f>IFERROR(__xludf.DUMMYFUNCTION("""COMPUTED_VALUE"""),"G950-18290-01-L")</f>
        <v>G950-18290-01-L</v>
      </c>
      <c r="K39" s="182" t="str">
        <f>IFERROR(__xludf.DUMMYFUNCTION("""COMPUTED_VALUE"""),"G950-18290-01")</f>
        <v>G950-18290-01</v>
      </c>
      <c r="L39" s="182" t="str">
        <f>IFERROR(__xludf.DUMMYFUNCTION("""COMPUTED_VALUE"""),"G710-07822-01")</f>
        <v>G710-07822-01</v>
      </c>
      <c r="M39" s="182" t="str">
        <f>IFERROR(__xludf.DUMMYFUNCTION("""COMPUTED_VALUE"""),"G710-10000-40")</f>
        <v>G710-10000-40</v>
      </c>
      <c r="N39" s="182" t="str">
        <f>IFERROR(__xludf.DUMMYFUNCTION("""COMPUTED_VALUE"""),"G730-09466-11")</f>
        <v>G730-09466-11</v>
      </c>
      <c r="O39" s="182" t="str">
        <f>IFERROR(__xludf.DUMMYFUNCTION("""COMPUTED_VALUE"""),"G710-07813-12")</f>
        <v>G710-07813-12</v>
      </c>
      <c r="P39" s="182" t="str">
        <f>IFERROR(__xludf.DUMMYFUNCTION("""COMPUTED_VALUE"""),"G650-17430-06")</f>
        <v>G650-17430-06</v>
      </c>
      <c r="Q39" s="182" t="str">
        <f>IFERROR(__xludf.DUMMYFUNCTION("""COMPUTED_VALUE"""),"G650-15596-04")</f>
        <v>G650-15596-04</v>
      </c>
      <c r="R39" s="182" t="str">
        <f>IFERROR(__xludf.DUMMYFUNCTION("""COMPUTED_VALUE"""),"G650-14843-04")</f>
        <v>G650-14843-04</v>
      </c>
      <c r="S39" s="182" t="str">
        <f>IFERROR(__xludf.DUMMYFUNCTION("""COMPUTED_VALUE"""),"G650-14411-05")</f>
        <v>G650-14411-05</v>
      </c>
      <c r="T39" s="182" t="str">
        <f>IFERROR(__xludf.DUMMYFUNCTION("""COMPUTED_VALUE"""),"G650-14840-03")</f>
        <v>G650-14840-03</v>
      </c>
      <c r="U39" s="182" t="str">
        <f>IFERROR(__xludf.DUMMYFUNCTION("""COMPUTED_VALUE"""),"G650-14841-03")</f>
        <v>G650-14841-03</v>
      </c>
      <c r="V39" s="182" t="str">
        <f>IFERROR(__xludf.DUMMYFUNCTION("""COMPUTED_VALUE"""),"G650-14413-03")</f>
        <v>G650-14413-03</v>
      </c>
      <c r="W39" s="182"/>
      <c r="X39" s="182" t="str">
        <f>IFERROR(__xludf.DUMMYFUNCTION("""COMPUTED_VALUE"""),"G990-07758-00")</f>
        <v>G990-07758-00</v>
      </c>
      <c r="Y39" s="182" t="str">
        <f>IFERROR(__xludf.DUMMYFUNCTION("""COMPUTED_VALUE"""),"G990-07758-00")</f>
        <v>G990-07758-00</v>
      </c>
      <c r="Z39" s="182" t="str">
        <f>IFERROR(__xludf.DUMMYFUNCTION("""COMPUTED_VALUE"""),"Y")</f>
        <v>Y</v>
      </c>
      <c r="AA39" s="182" t="str">
        <f>IFERROR(__xludf.DUMMYFUNCTION("""COMPUTED_VALUE"""),"Y")</f>
        <v>Y</v>
      </c>
    </row>
    <row r="40">
      <c r="A40" s="182" t="str">
        <f>IFERROR(__xludf.DUMMYFUNCTION("""COMPUTED_VALUE"""),"MP")</f>
        <v>MP</v>
      </c>
      <c r="B40" s="182">
        <f>IFERROR(__xludf.DUMMYFUNCTION("""COMPUTED_VALUE"""),39.0)</f>
        <v>39</v>
      </c>
      <c r="C40" s="182" t="str">
        <f>IFERROR(__xludf.DUMMYFUNCTION("""COMPUTED_VALUE"""),"GEHN3")</f>
        <v>GEHN3</v>
      </c>
      <c r="D40" s="182" t="str">
        <f>IFERROR(__xludf.DUMMYFUNCTION("""COMPUTED_VALUE"""),"GA09934-GB")</f>
        <v>GA09934-GB</v>
      </c>
      <c r="E40" s="182" t="str">
        <f>IFERROR(__xludf.DUMMYFUNCTION("""COMPUTED_VALUE"""),"SKU, CLR1, ULTRA, SUB6, EU/UK, BZ5")</f>
        <v>SKU, CLR1, ULTRA, SUB6, EU/UK, BZ5</v>
      </c>
      <c r="F40" s="182" t="str">
        <f>IFERROR(__xludf.DUMMYFUNCTION("""COMPUTED_VALUE"""),"Pixel 10 Pro, Obsidian, 1TB, EU/UK")</f>
        <v>Pixel 10 Pro, Obsidian, 1TB, EU/UK</v>
      </c>
      <c r="G40" s="182" t="str">
        <f>IFERROR(__xludf.DUMMYFUNCTION("""COMPUTED_VALUE"""),"CLR1")</f>
        <v>CLR1</v>
      </c>
      <c r="H40" s="182" t="str">
        <f>IFERROR(__xludf.DUMMYFUNCTION("""COMPUTED_VALUE"""),"SUB6")</f>
        <v>SUB6</v>
      </c>
      <c r="I40" s="182" t="str">
        <f>IFERROR(__xludf.DUMMYFUNCTION("""COMPUTED_VALUE"""),"1TB")</f>
        <v>1TB</v>
      </c>
      <c r="J40" s="182" t="str">
        <f>IFERROR(__xludf.DUMMYFUNCTION("""COMPUTED_VALUE"""),"G950-18294-01-L")</f>
        <v>G950-18294-01-L</v>
      </c>
      <c r="K40" s="182" t="str">
        <f>IFERROR(__xludf.DUMMYFUNCTION("""COMPUTED_VALUE"""),"G950-18294-01")</f>
        <v>G950-18294-01</v>
      </c>
      <c r="L40" s="182" t="str">
        <f>IFERROR(__xludf.DUMMYFUNCTION("""COMPUTED_VALUE"""),"G710-07822-01")</f>
        <v>G710-07822-01</v>
      </c>
      <c r="M40" s="182" t="str">
        <f>IFERROR(__xludf.DUMMYFUNCTION("""COMPUTED_VALUE"""),"G710-10000-40")</f>
        <v>G710-10000-40</v>
      </c>
      <c r="N40" s="182" t="str">
        <f>IFERROR(__xludf.DUMMYFUNCTION("""COMPUTED_VALUE"""),"G730-09466-11")</f>
        <v>G730-09466-11</v>
      </c>
      <c r="O40" s="182" t="str">
        <f>IFERROR(__xludf.DUMMYFUNCTION("""COMPUTED_VALUE"""),"G710-07813-32")</f>
        <v>G710-07813-32</v>
      </c>
      <c r="P40" s="182" t="str">
        <f>IFERROR(__xludf.DUMMYFUNCTION("""COMPUTED_VALUE"""),"G650-17434-06")</f>
        <v>G650-17434-06</v>
      </c>
      <c r="Q40" s="182" t="str">
        <f>IFERROR(__xludf.DUMMYFUNCTION("""COMPUTED_VALUE"""),"G650-15596-04")</f>
        <v>G650-15596-04</v>
      </c>
      <c r="R40" s="182" t="str">
        <f>IFERROR(__xludf.DUMMYFUNCTION("""COMPUTED_VALUE"""),"G650-14843-04")</f>
        <v>G650-14843-04</v>
      </c>
      <c r="S40" s="182" t="str">
        <f>IFERROR(__xludf.DUMMYFUNCTION("""COMPUTED_VALUE"""),"G650-14411-05")</f>
        <v>G650-14411-05</v>
      </c>
      <c r="T40" s="182" t="str">
        <f>IFERROR(__xludf.DUMMYFUNCTION("""COMPUTED_VALUE"""),"G650-14840-03")</f>
        <v>G650-14840-03</v>
      </c>
      <c r="U40" s="182" t="str">
        <f>IFERROR(__xludf.DUMMYFUNCTION("""COMPUTED_VALUE"""),"G650-14841-03")</f>
        <v>G650-14841-03</v>
      </c>
      <c r="V40" s="182" t="str">
        <f>IFERROR(__xludf.DUMMYFUNCTION("""COMPUTED_VALUE"""),"G650-14413-03")</f>
        <v>G650-14413-03</v>
      </c>
      <c r="W40" s="182"/>
      <c r="X40" s="182" t="str">
        <f>IFERROR(__xludf.DUMMYFUNCTION("""COMPUTED_VALUE"""),"G990-07758-00")</f>
        <v>G990-07758-00</v>
      </c>
      <c r="Y40" s="182" t="str">
        <f>IFERROR(__xludf.DUMMYFUNCTION("""COMPUTED_VALUE"""),"G990-07758-00")</f>
        <v>G990-07758-00</v>
      </c>
      <c r="Z40" s="182" t="str">
        <f>IFERROR(__xludf.DUMMYFUNCTION("""COMPUTED_VALUE"""),"Y")</f>
        <v>Y</v>
      </c>
      <c r="AA40" s="182" t="str">
        <f>IFERROR(__xludf.DUMMYFUNCTION("""COMPUTED_VALUE"""),"Y")</f>
        <v>Y</v>
      </c>
    </row>
    <row r="41">
      <c r="A41" s="182" t="str">
        <f>IFERROR(__xludf.DUMMYFUNCTION("""COMPUTED_VALUE"""),"MP")</f>
        <v>MP</v>
      </c>
      <c r="B41" s="182">
        <f>IFERROR(__xludf.DUMMYFUNCTION("""COMPUTED_VALUE"""),40.0)</f>
        <v>40</v>
      </c>
      <c r="C41" s="182" t="str">
        <f>IFERROR(__xludf.DUMMYFUNCTION("""COMPUTED_VALUE"""),"GEHN3")</f>
        <v>GEHN3</v>
      </c>
      <c r="D41" s="182" t="str">
        <f>IFERROR(__xludf.DUMMYFUNCTION("""COMPUTED_VALUE"""),"GA10313-GB")</f>
        <v>GA10313-GB</v>
      </c>
      <c r="E41" s="182" t="str">
        <f>IFERROR(__xludf.DUMMYFUNCTION("""COMPUTED_VALUE"""),"SKU, CLR3, GOOD, SUB6, EU/UK, BZ5")</f>
        <v>SKU, CLR3, GOOD, SUB6, EU/UK, BZ5</v>
      </c>
      <c r="F41" s="182" t="str">
        <f>IFERROR(__xludf.DUMMYFUNCTION("""COMPUTED_VALUE"""),"Pixel 10 Pro, Moonstone, 128GB, EU/UK")</f>
        <v>Pixel 10 Pro, Moonstone, 128GB, EU/UK</v>
      </c>
      <c r="G41" s="182" t="str">
        <f>IFERROR(__xludf.DUMMYFUNCTION("""COMPUTED_VALUE"""),"CLR3")</f>
        <v>CLR3</v>
      </c>
      <c r="H41" s="182" t="str">
        <f>IFERROR(__xludf.DUMMYFUNCTION("""COMPUTED_VALUE"""),"SUB6")</f>
        <v>SUB6</v>
      </c>
      <c r="I41" s="182" t="str">
        <f>IFERROR(__xludf.DUMMYFUNCTION("""COMPUTED_VALUE"""),"128GB")</f>
        <v>128GB</v>
      </c>
      <c r="J41" s="182" t="str">
        <f>IFERROR(__xludf.DUMMYFUNCTION("""COMPUTED_VALUE"""),"G950-15987-03-L")</f>
        <v>G950-15987-03-L</v>
      </c>
      <c r="K41" s="182" t="str">
        <f>IFERROR(__xludf.DUMMYFUNCTION("""COMPUTED_VALUE"""),"G950-15987-03")</f>
        <v>G950-15987-03</v>
      </c>
      <c r="L41" s="182" t="str">
        <f>IFERROR(__xludf.DUMMYFUNCTION("""COMPUTED_VALUE"""),"G710-07822-01")</f>
        <v>G710-07822-01</v>
      </c>
      <c r="M41" s="182" t="str">
        <f>IFERROR(__xludf.DUMMYFUNCTION("""COMPUTED_VALUE"""),"G710-10000-40")</f>
        <v>G710-10000-40</v>
      </c>
      <c r="N41" s="182" t="str">
        <f>IFERROR(__xludf.DUMMYFUNCTION("""COMPUTED_VALUE"""),"G730-09466-13")</f>
        <v>G730-09466-13</v>
      </c>
      <c r="O41" s="182" t="str">
        <f>IFERROR(__xludf.DUMMYFUNCTION("""COMPUTED_VALUE"""),"G710-07813-02")</f>
        <v>G710-07813-02</v>
      </c>
      <c r="P41" s="182" t="str">
        <f>IFERROR(__xludf.DUMMYFUNCTION("""COMPUTED_VALUE"""),"G650-14972-06")</f>
        <v>G650-14972-06</v>
      </c>
      <c r="Q41" s="182" t="str">
        <f>IFERROR(__xludf.DUMMYFUNCTION("""COMPUTED_VALUE"""),"G650-15596-04")</f>
        <v>G650-15596-04</v>
      </c>
      <c r="R41" s="182" t="str">
        <f>IFERROR(__xludf.DUMMYFUNCTION("""COMPUTED_VALUE"""),"G650-14843-04")</f>
        <v>G650-14843-04</v>
      </c>
      <c r="S41" s="182" t="str">
        <f>IFERROR(__xludf.DUMMYFUNCTION("""COMPUTED_VALUE"""),"G650-14411-05")</f>
        <v>G650-14411-05</v>
      </c>
      <c r="T41" s="182" t="str">
        <f>IFERROR(__xludf.DUMMYFUNCTION("""COMPUTED_VALUE"""),"G650-14840-03")</f>
        <v>G650-14840-03</v>
      </c>
      <c r="U41" s="182" t="str">
        <f>IFERROR(__xludf.DUMMYFUNCTION("""COMPUTED_VALUE"""),"G650-14841-03")</f>
        <v>G650-14841-03</v>
      </c>
      <c r="V41" s="182" t="str">
        <f>IFERROR(__xludf.DUMMYFUNCTION("""COMPUTED_VALUE"""),"G650-14413-03")</f>
        <v>G650-14413-03</v>
      </c>
      <c r="W41" s="182"/>
      <c r="X41" s="182" t="str">
        <f>IFERROR(__xludf.DUMMYFUNCTION("""COMPUTED_VALUE"""),"G990-07758-00")</f>
        <v>G990-07758-00</v>
      </c>
      <c r="Y41" s="182" t="str">
        <f>IFERROR(__xludf.DUMMYFUNCTION("""COMPUTED_VALUE"""),"G990-07758-00")</f>
        <v>G990-07758-00</v>
      </c>
      <c r="Z41" s="182" t="str">
        <f>IFERROR(__xludf.DUMMYFUNCTION("""COMPUTED_VALUE"""),"Y")</f>
        <v>Y</v>
      </c>
      <c r="AA41" s="182" t="str">
        <f>IFERROR(__xludf.DUMMYFUNCTION("""COMPUTED_VALUE"""),"Y")</f>
        <v>Y</v>
      </c>
    </row>
    <row r="42">
      <c r="A42" s="182" t="str">
        <f>IFERROR(__xludf.DUMMYFUNCTION("""COMPUTED_VALUE"""),"PVT/MP")</f>
        <v>PVT/MP</v>
      </c>
      <c r="B42" s="182">
        <f>IFERROR(__xludf.DUMMYFUNCTION("""COMPUTED_VALUE"""),41.0)</f>
        <v>41</v>
      </c>
      <c r="C42" s="182" t="str">
        <f>IFERROR(__xludf.DUMMYFUNCTION("""COMPUTED_VALUE"""),"GEHN3")</f>
        <v>GEHN3</v>
      </c>
      <c r="D42" s="182" t="str">
        <f>IFERROR(__xludf.DUMMYFUNCTION("""COMPUTED_VALUE"""),"GA10314-GB")</f>
        <v>GA10314-GB</v>
      </c>
      <c r="E42" s="182" t="str">
        <f>IFERROR(__xludf.DUMMYFUNCTION("""COMPUTED_VALUE"""),"SKU, CLR2, BETTER, SUB6, EU/UK, BZ5")</f>
        <v>SKU, CLR2, BETTER, SUB6, EU/UK, BZ5</v>
      </c>
      <c r="F42" s="182" t="str">
        <f>IFERROR(__xludf.DUMMYFUNCTION("""COMPUTED_VALUE"""),"Pixel 10 Pro, Porcelain, 256GB, EU/UK")</f>
        <v>Pixel 10 Pro, Porcelain, 256GB, EU/UK</v>
      </c>
      <c r="G42" s="182" t="str">
        <f>IFERROR(__xludf.DUMMYFUNCTION("""COMPUTED_VALUE"""),"CLR2")</f>
        <v>CLR2</v>
      </c>
      <c r="H42" s="182" t="str">
        <f>IFERROR(__xludf.DUMMYFUNCTION("""COMPUTED_VALUE"""),"SUB6")</f>
        <v>SUB6</v>
      </c>
      <c r="I42" s="182" t="str">
        <f>IFERROR(__xludf.DUMMYFUNCTION("""COMPUTED_VALUE"""),"256GB")</f>
        <v>256GB</v>
      </c>
      <c r="J42" s="182" t="str">
        <f>IFERROR(__xludf.DUMMYFUNCTION("""COMPUTED_VALUE"""),"G950-18290-02-L")</f>
        <v>G950-18290-02-L</v>
      </c>
      <c r="K42" s="182" t="str">
        <f>IFERROR(__xludf.DUMMYFUNCTION("""COMPUTED_VALUE"""),"G950-18290-02")</f>
        <v>G950-18290-02</v>
      </c>
      <c r="L42" s="182" t="str">
        <f>IFERROR(__xludf.DUMMYFUNCTION("""COMPUTED_VALUE"""),"G710-07822-01")</f>
        <v>G710-07822-01</v>
      </c>
      <c r="M42" s="182" t="str">
        <f>IFERROR(__xludf.DUMMYFUNCTION("""COMPUTED_VALUE"""),"G710-10000-40")</f>
        <v>G710-10000-40</v>
      </c>
      <c r="N42" s="182" t="str">
        <f>IFERROR(__xludf.DUMMYFUNCTION("""COMPUTED_VALUE"""),"G730-09466-12")</f>
        <v>G730-09466-12</v>
      </c>
      <c r="O42" s="182" t="str">
        <f>IFERROR(__xludf.DUMMYFUNCTION("""COMPUTED_VALUE"""),"G710-07813-12")</f>
        <v>G710-07813-12</v>
      </c>
      <c r="P42" s="182" t="str">
        <f>IFERROR(__xludf.DUMMYFUNCTION("""COMPUTED_VALUE"""),"G650-17430-06")</f>
        <v>G650-17430-06</v>
      </c>
      <c r="Q42" s="182" t="str">
        <f>IFERROR(__xludf.DUMMYFUNCTION("""COMPUTED_VALUE"""),"G650-15596-04")</f>
        <v>G650-15596-04</v>
      </c>
      <c r="R42" s="182" t="str">
        <f>IFERROR(__xludf.DUMMYFUNCTION("""COMPUTED_VALUE"""),"G650-14843-04")</f>
        <v>G650-14843-04</v>
      </c>
      <c r="S42" s="182" t="str">
        <f>IFERROR(__xludf.DUMMYFUNCTION("""COMPUTED_VALUE"""),"G650-14411-05")</f>
        <v>G650-14411-05</v>
      </c>
      <c r="T42" s="182" t="str">
        <f>IFERROR(__xludf.DUMMYFUNCTION("""COMPUTED_VALUE"""),"G650-14840-03")</f>
        <v>G650-14840-03</v>
      </c>
      <c r="U42" s="182" t="str">
        <f>IFERROR(__xludf.DUMMYFUNCTION("""COMPUTED_VALUE"""),"G650-14841-03")</f>
        <v>G650-14841-03</v>
      </c>
      <c r="V42" s="182" t="str">
        <f>IFERROR(__xludf.DUMMYFUNCTION("""COMPUTED_VALUE"""),"G650-14413-03")</f>
        <v>G650-14413-03</v>
      </c>
      <c r="W42" s="182"/>
      <c r="X42" s="182" t="str">
        <f>IFERROR(__xludf.DUMMYFUNCTION("""COMPUTED_VALUE"""),"G990-07758-00")</f>
        <v>G990-07758-00</v>
      </c>
      <c r="Y42" s="182" t="str">
        <f>IFERROR(__xludf.DUMMYFUNCTION("""COMPUTED_VALUE"""),"G990-07758-00")</f>
        <v>G990-07758-00</v>
      </c>
      <c r="Z42" s="182" t="str">
        <f>IFERROR(__xludf.DUMMYFUNCTION("""COMPUTED_VALUE"""),"Y")</f>
        <v>Y</v>
      </c>
      <c r="AA42" s="182" t="str">
        <f>IFERROR(__xludf.DUMMYFUNCTION("""COMPUTED_VALUE"""),"Y")</f>
        <v>Y</v>
      </c>
    </row>
    <row r="43">
      <c r="A43" s="182" t="str">
        <f>IFERROR(__xludf.DUMMYFUNCTION("""COMPUTED_VALUE"""),"MP")</f>
        <v>MP</v>
      </c>
      <c r="B43" s="182">
        <f>IFERROR(__xludf.DUMMYFUNCTION("""COMPUTED_VALUE"""),42.0)</f>
        <v>42</v>
      </c>
      <c r="C43" s="182" t="str">
        <f>IFERROR(__xludf.DUMMYFUNCTION("""COMPUTED_VALUE"""),"GEHN3")</f>
        <v>GEHN3</v>
      </c>
      <c r="D43" s="182" t="str">
        <f>IFERROR(__xludf.DUMMYFUNCTION("""COMPUTED_VALUE"""),"GA10317-GB")</f>
        <v>GA10317-GB</v>
      </c>
      <c r="E43" s="182" t="str">
        <f>IFERROR(__xludf.DUMMYFUNCTION("""COMPUTED_VALUE"""),"SKU, CLR2, BEST, SUB6, EU/UK, BZ5")</f>
        <v>SKU, CLR2, BEST, SUB6, EU/UK, BZ5</v>
      </c>
      <c r="F43" s="182" t="str">
        <f>IFERROR(__xludf.DUMMYFUNCTION("""COMPUTED_VALUE"""),"Pixel 10 Pro, Porcelain, 512GB, EU/UK")</f>
        <v>Pixel 10 Pro, Porcelain, 512GB, EU/UK</v>
      </c>
      <c r="G43" s="182" t="str">
        <f>IFERROR(__xludf.DUMMYFUNCTION("""COMPUTED_VALUE"""),"CLR2")</f>
        <v>CLR2</v>
      </c>
      <c r="H43" s="182" t="str">
        <f>IFERROR(__xludf.DUMMYFUNCTION("""COMPUTED_VALUE"""),"SUB6")</f>
        <v>SUB6</v>
      </c>
      <c r="I43" s="182" t="str">
        <f>IFERROR(__xludf.DUMMYFUNCTION("""COMPUTED_VALUE"""),"512GB")</f>
        <v>512GB</v>
      </c>
      <c r="J43" s="182" t="str">
        <f>IFERROR(__xludf.DUMMYFUNCTION("""COMPUTED_VALUE"""),"G950-18292-02-L")</f>
        <v>G950-18292-02-L</v>
      </c>
      <c r="K43" s="182" t="str">
        <f>IFERROR(__xludf.DUMMYFUNCTION("""COMPUTED_VALUE"""),"G950-18292-02")</f>
        <v>G950-18292-02</v>
      </c>
      <c r="L43" s="182" t="str">
        <f>IFERROR(__xludf.DUMMYFUNCTION("""COMPUTED_VALUE"""),"G710-07822-01")</f>
        <v>G710-07822-01</v>
      </c>
      <c r="M43" s="182" t="str">
        <f>IFERROR(__xludf.DUMMYFUNCTION("""COMPUTED_VALUE"""),"G710-10000-40")</f>
        <v>G710-10000-40</v>
      </c>
      <c r="N43" s="182" t="str">
        <f>IFERROR(__xludf.DUMMYFUNCTION("""COMPUTED_VALUE"""),"G730-09466-12")</f>
        <v>G730-09466-12</v>
      </c>
      <c r="O43" s="182" t="str">
        <f>IFERROR(__xludf.DUMMYFUNCTION("""COMPUTED_VALUE"""),"G710-07813-22")</f>
        <v>G710-07813-22</v>
      </c>
      <c r="P43" s="182" t="str">
        <f>IFERROR(__xludf.DUMMYFUNCTION("""COMPUTED_VALUE"""),"G650-17432-06")</f>
        <v>G650-17432-06</v>
      </c>
      <c r="Q43" s="182" t="str">
        <f>IFERROR(__xludf.DUMMYFUNCTION("""COMPUTED_VALUE"""),"G650-15596-04")</f>
        <v>G650-15596-04</v>
      </c>
      <c r="R43" s="182" t="str">
        <f>IFERROR(__xludf.DUMMYFUNCTION("""COMPUTED_VALUE"""),"G650-14843-04")</f>
        <v>G650-14843-04</v>
      </c>
      <c r="S43" s="182" t="str">
        <f>IFERROR(__xludf.DUMMYFUNCTION("""COMPUTED_VALUE"""),"G650-14411-05")</f>
        <v>G650-14411-05</v>
      </c>
      <c r="T43" s="182" t="str">
        <f>IFERROR(__xludf.DUMMYFUNCTION("""COMPUTED_VALUE"""),"G650-14840-03")</f>
        <v>G650-14840-03</v>
      </c>
      <c r="U43" s="182" t="str">
        <f>IFERROR(__xludf.DUMMYFUNCTION("""COMPUTED_VALUE"""),"G650-14841-03")</f>
        <v>G650-14841-03</v>
      </c>
      <c r="V43" s="182" t="str">
        <f>IFERROR(__xludf.DUMMYFUNCTION("""COMPUTED_VALUE"""),"G650-14413-03")</f>
        <v>G650-14413-03</v>
      </c>
      <c r="W43" s="182"/>
      <c r="X43" s="182" t="str">
        <f>IFERROR(__xludf.DUMMYFUNCTION("""COMPUTED_VALUE"""),"G990-07758-00")</f>
        <v>G990-07758-00</v>
      </c>
      <c r="Y43" s="182" t="str">
        <f>IFERROR(__xludf.DUMMYFUNCTION("""COMPUTED_VALUE"""),"G990-07758-00")</f>
        <v>G990-07758-00</v>
      </c>
      <c r="Z43" s="182" t="str">
        <f>IFERROR(__xludf.DUMMYFUNCTION("""COMPUTED_VALUE"""),"Y")</f>
        <v>Y</v>
      </c>
      <c r="AA43" s="182" t="str">
        <f>IFERROR(__xludf.DUMMYFUNCTION("""COMPUTED_VALUE"""),"Y")</f>
        <v>Y</v>
      </c>
    </row>
    <row r="44">
      <c r="A44" s="182" t="str">
        <f>IFERROR(__xludf.DUMMYFUNCTION("""COMPUTED_VALUE"""),"MP")</f>
        <v>MP</v>
      </c>
      <c r="B44" s="182">
        <f>IFERROR(__xludf.DUMMYFUNCTION("""COMPUTED_VALUE"""),43.0)</f>
        <v>43</v>
      </c>
      <c r="C44" s="182" t="str">
        <f>IFERROR(__xludf.DUMMYFUNCTION("""COMPUTED_VALUE"""),"GEHN3")</f>
        <v>GEHN3</v>
      </c>
      <c r="D44" s="182" t="str">
        <f>IFERROR(__xludf.DUMMYFUNCTION("""COMPUTED_VALUE"""),"GA10312-GB")</f>
        <v>GA10312-GB</v>
      </c>
      <c r="E44" s="182" t="str">
        <f>IFERROR(__xludf.DUMMYFUNCTION("""COMPUTED_VALUE"""),"SKU, CLR2, GOOD, SUB6, EU/UK, BZ5")</f>
        <v>SKU, CLR2, GOOD, SUB6, EU/UK, BZ5</v>
      </c>
      <c r="F44" s="182" t="str">
        <f>IFERROR(__xludf.DUMMYFUNCTION("""COMPUTED_VALUE"""),"Pixel 10 Pro, Porcelain, 128GB, EU/UK")</f>
        <v>Pixel 10 Pro, Porcelain, 128GB, EU/UK</v>
      </c>
      <c r="G44" s="182" t="str">
        <f>IFERROR(__xludf.DUMMYFUNCTION("""COMPUTED_VALUE"""),"CLR2")</f>
        <v>CLR2</v>
      </c>
      <c r="H44" s="182" t="str">
        <f>IFERROR(__xludf.DUMMYFUNCTION("""COMPUTED_VALUE"""),"SUB6")</f>
        <v>SUB6</v>
      </c>
      <c r="I44" s="182" t="str">
        <f>IFERROR(__xludf.DUMMYFUNCTION("""COMPUTED_VALUE"""),"128GB")</f>
        <v>128GB</v>
      </c>
      <c r="J44" s="182" t="str">
        <f>IFERROR(__xludf.DUMMYFUNCTION("""COMPUTED_VALUE"""),"G950-15987-02-L")</f>
        <v>G950-15987-02-L</v>
      </c>
      <c r="K44" s="182" t="str">
        <f>IFERROR(__xludf.DUMMYFUNCTION("""COMPUTED_VALUE"""),"G950-15987-02")</f>
        <v>G950-15987-02</v>
      </c>
      <c r="L44" s="182" t="str">
        <f>IFERROR(__xludf.DUMMYFUNCTION("""COMPUTED_VALUE"""),"G710-07822-01")</f>
        <v>G710-07822-01</v>
      </c>
      <c r="M44" s="182" t="str">
        <f>IFERROR(__xludf.DUMMYFUNCTION("""COMPUTED_VALUE"""),"G710-10000-40")</f>
        <v>G710-10000-40</v>
      </c>
      <c r="N44" s="182" t="str">
        <f>IFERROR(__xludf.DUMMYFUNCTION("""COMPUTED_VALUE"""),"G730-09466-12")</f>
        <v>G730-09466-12</v>
      </c>
      <c r="O44" s="182" t="str">
        <f>IFERROR(__xludf.DUMMYFUNCTION("""COMPUTED_VALUE"""),"G710-07813-02")</f>
        <v>G710-07813-02</v>
      </c>
      <c r="P44" s="182" t="str">
        <f>IFERROR(__xludf.DUMMYFUNCTION("""COMPUTED_VALUE"""),"G650-14972-06")</f>
        <v>G650-14972-06</v>
      </c>
      <c r="Q44" s="182" t="str">
        <f>IFERROR(__xludf.DUMMYFUNCTION("""COMPUTED_VALUE"""),"G650-15596-04")</f>
        <v>G650-15596-04</v>
      </c>
      <c r="R44" s="182" t="str">
        <f>IFERROR(__xludf.DUMMYFUNCTION("""COMPUTED_VALUE"""),"G650-14843-04")</f>
        <v>G650-14843-04</v>
      </c>
      <c r="S44" s="182" t="str">
        <f>IFERROR(__xludf.DUMMYFUNCTION("""COMPUTED_VALUE"""),"G650-14411-05")</f>
        <v>G650-14411-05</v>
      </c>
      <c r="T44" s="182" t="str">
        <f>IFERROR(__xludf.DUMMYFUNCTION("""COMPUTED_VALUE"""),"G650-14840-03")</f>
        <v>G650-14840-03</v>
      </c>
      <c r="U44" s="182" t="str">
        <f>IFERROR(__xludf.DUMMYFUNCTION("""COMPUTED_VALUE"""),"G650-14841-03")</f>
        <v>G650-14841-03</v>
      </c>
      <c r="V44" s="182" t="str">
        <f>IFERROR(__xludf.DUMMYFUNCTION("""COMPUTED_VALUE"""),"G650-14413-03")</f>
        <v>G650-14413-03</v>
      </c>
      <c r="W44" s="182"/>
      <c r="X44" s="182" t="str">
        <f>IFERROR(__xludf.DUMMYFUNCTION("""COMPUTED_VALUE"""),"G990-07758-00")</f>
        <v>G990-07758-00</v>
      </c>
      <c r="Y44" s="182" t="str">
        <f>IFERROR(__xludf.DUMMYFUNCTION("""COMPUTED_VALUE"""),"G990-07758-00")</f>
        <v>G990-07758-00</v>
      </c>
      <c r="Z44" s="182" t="str">
        <f>IFERROR(__xludf.DUMMYFUNCTION("""COMPUTED_VALUE"""),"Y")</f>
        <v>Y</v>
      </c>
      <c r="AA44" s="182" t="str">
        <f>IFERROR(__xludf.DUMMYFUNCTION("""COMPUTED_VALUE"""),"Y")</f>
        <v>Y</v>
      </c>
    </row>
    <row r="45">
      <c r="A45" s="182" t="str">
        <f>IFERROR(__xludf.DUMMYFUNCTION("""COMPUTED_VALUE"""),"PVT/MP")</f>
        <v>PVT/MP</v>
      </c>
      <c r="B45" s="182">
        <f>IFERROR(__xludf.DUMMYFUNCTION("""COMPUTED_VALUE"""),44.0)</f>
        <v>44</v>
      </c>
      <c r="C45" s="182" t="str">
        <f>IFERROR(__xludf.DUMMYFUNCTION("""COMPUTED_VALUE"""),"GEHN3")</f>
        <v>GEHN3</v>
      </c>
      <c r="D45" s="182" t="str">
        <f>IFERROR(__xludf.DUMMYFUNCTION("""COMPUTED_VALUE"""),"GA10318-GB")</f>
        <v>GA10318-GB</v>
      </c>
      <c r="E45" s="182" t="str">
        <f>IFERROR(__xludf.DUMMYFUNCTION("""COMPUTED_VALUE"""),"SKU, CLR3, BEST, SUB6, EU/UK, BZ5")</f>
        <v>SKU, CLR3, BEST, SUB6, EU/UK, BZ5</v>
      </c>
      <c r="F45" s="182" t="str">
        <f>IFERROR(__xludf.DUMMYFUNCTION("""COMPUTED_VALUE"""),"Pixel 10 Pro, Moonstone, 512GB, EU/UK")</f>
        <v>Pixel 10 Pro, Moonstone, 512GB, EU/UK</v>
      </c>
      <c r="G45" s="182" t="str">
        <f>IFERROR(__xludf.DUMMYFUNCTION("""COMPUTED_VALUE"""),"CLR3")</f>
        <v>CLR3</v>
      </c>
      <c r="H45" s="182" t="str">
        <f>IFERROR(__xludf.DUMMYFUNCTION("""COMPUTED_VALUE"""),"SUB6")</f>
        <v>SUB6</v>
      </c>
      <c r="I45" s="182" t="str">
        <f>IFERROR(__xludf.DUMMYFUNCTION("""COMPUTED_VALUE"""),"512GB")</f>
        <v>512GB</v>
      </c>
      <c r="J45" s="182" t="str">
        <f>IFERROR(__xludf.DUMMYFUNCTION("""COMPUTED_VALUE"""),"G950-18292-03-L")</f>
        <v>G950-18292-03-L</v>
      </c>
      <c r="K45" s="182" t="str">
        <f>IFERROR(__xludf.DUMMYFUNCTION("""COMPUTED_VALUE"""),"G950-18292-03")</f>
        <v>G950-18292-03</v>
      </c>
      <c r="L45" s="182" t="str">
        <f>IFERROR(__xludf.DUMMYFUNCTION("""COMPUTED_VALUE"""),"G710-07822-01")</f>
        <v>G710-07822-01</v>
      </c>
      <c r="M45" s="182" t="str">
        <f>IFERROR(__xludf.DUMMYFUNCTION("""COMPUTED_VALUE"""),"G710-10000-40")</f>
        <v>G710-10000-40</v>
      </c>
      <c r="N45" s="182" t="str">
        <f>IFERROR(__xludf.DUMMYFUNCTION("""COMPUTED_VALUE"""),"G730-09466-13")</f>
        <v>G730-09466-13</v>
      </c>
      <c r="O45" s="182" t="str">
        <f>IFERROR(__xludf.DUMMYFUNCTION("""COMPUTED_VALUE"""),"G710-07813-22")</f>
        <v>G710-07813-22</v>
      </c>
      <c r="P45" s="182" t="str">
        <f>IFERROR(__xludf.DUMMYFUNCTION("""COMPUTED_VALUE"""),"G650-17432-06")</f>
        <v>G650-17432-06</v>
      </c>
      <c r="Q45" s="182" t="str">
        <f>IFERROR(__xludf.DUMMYFUNCTION("""COMPUTED_VALUE"""),"G650-15596-04")</f>
        <v>G650-15596-04</v>
      </c>
      <c r="R45" s="182" t="str">
        <f>IFERROR(__xludf.DUMMYFUNCTION("""COMPUTED_VALUE"""),"G650-14843-04")</f>
        <v>G650-14843-04</v>
      </c>
      <c r="S45" s="182" t="str">
        <f>IFERROR(__xludf.DUMMYFUNCTION("""COMPUTED_VALUE"""),"G650-14411-05")</f>
        <v>G650-14411-05</v>
      </c>
      <c r="T45" s="182" t="str">
        <f>IFERROR(__xludf.DUMMYFUNCTION("""COMPUTED_VALUE"""),"G650-14840-03")</f>
        <v>G650-14840-03</v>
      </c>
      <c r="U45" s="182" t="str">
        <f>IFERROR(__xludf.DUMMYFUNCTION("""COMPUTED_VALUE"""),"G650-14841-03")</f>
        <v>G650-14841-03</v>
      </c>
      <c r="V45" s="182" t="str">
        <f>IFERROR(__xludf.DUMMYFUNCTION("""COMPUTED_VALUE"""),"G650-14413-03")</f>
        <v>G650-14413-03</v>
      </c>
      <c r="W45" s="182"/>
      <c r="X45" s="182" t="str">
        <f>IFERROR(__xludf.DUMMYFUNCTION("""COMPUTED_VALUE"""),"G990-07758-00")</f>
        <v>G990-07758-00</v>
      </c>
      <c r="Y45" s="182" t="str">
        <f>IFERROR(__xludf.DUMMYFUNCTION("""COMPUTED_VALUE"""),"G990-07758-00")</f>
        <v>G990-07758-00</v>
      </c>
      <c r="Z45" s="182" t="str">
        <f>IFERROR(__xludf.DUMMYFUNCTION("""COMPUTED_VALUE"""),"Y")</f>
        <v>Y</v>
      </c>
      <c r="AA45" s="182" t="str">
        <f>IFERROR(__xludf.DUMMYFUNCTION("""COMPUTED_VALUE"""),"Y")</f>
        <v>Y</v>
      </c>
    </row>
    <row r="46">
      <c r="A46" s="182" t="str">
        <f>IFERROR(__xludf.DUMMYFUNCTION("""COMPUTED_VALUE"""),"MP")</f>
        <v>MP</v>
      </c>
      <c r="B46" s="182">
        <f>IFERROR(__xludf.DUMMYFUNCTION("""COMPUTED_VALUE"""),45.0)</f>
        <v>45</v>
      </c>
      <c r="C46" s="182" t="str">
        <f>IFERROR(__xludf.DUMMYFUNCTION("""COMPUTED_VALUE"""),"GEHN3")</f>
        <v>GEHN3</v>
      </c>
      <c r="D46" s="182" t="str">
        <f>IFERROR(__xludf.DUMMYFUNCTION("""COMPUTED_VALUE"""),"GA10315-GB")</f>
        <v>GA10315-GB</v>
      </c>
      <c r="E46" s="182" t="str">
        <f>IFERROR(__xludf.DUMMYFUNCTION("""COMPUTED_VALUE"""),"SKU, CLR3, BETTER, SUB6, EU/UK, BZ5")</f>
        <v>SKU, CLR3, BETTER, SUB6, EU/UK, BZ5</v>
      </c>
      <c r="F46" s="182" t="str">
        <f>IFERROR(__xludf.DUMMYFUNCTION("""COMPUTED_VALUE"""),"Pixel 10 Pro, Moonstone, 256GB, EU/UK")</f>
        <v>Pixel 10 Pro, Moonstone, 256GB, EU/UK</v>
      </c>
      <c r="G46" s="182" t="str">
        <f>IFERROR(__xludf.DUMMYFUNCTION("""COMPUTED_VALUE"""),"CLR3")</f>
        <v>CLR3</v>
      </c>
      <c r="H46" s="182" t="str">
        <f>IFERROR(__xludf.DUMMYFUNCTION("""COMPUTED_VALUE"""),"SUB6")</f>
        <v>SUB6</v>
      </c>
      <c r="I46" s="182" t="str">
        <f>IFERROR(__xludf.DUMMYFUNCTION("""COMPUTED_VALUE"""),"256GB")</f>
        <v>256GB</v>
      </c>
      <c r="J46" s="182" t="str">
        <f>IFERROR(__xludf.DUMMYFUNCTION("""COMPUTED_VALUE"""),"G950-18290-03-L")</f>
        <v>G950-18290-03-L</v>
      </c>
      <c r="K46" s="182" t="str">
        <f>IFERROR(__xludf.DUMMYFUNCTION("""COMPUTED_VALUE"""),"G950-18290-03")</f>
        <v>G950-18290-03</v>
      </c>
      <c r="L46" s="182" t="str">
        <f>IFERROR(__xludf.DUMMYFUNCTION("""COMPUTED_VALUE"""),"G710-07822-01")</f>
        <v>G710-07822-01</v>
      </c>
      <c r="M46" s="182" t="str">
        <f>IFERROR(__xludf.DUMMYFUNCTION("""COMPUTED_VALUE"""),"G710-10000-40")</f>
        <v>G710-10000-40</v>
      </c>
      <c r="N46" s="182" t="str">
        <f>IFERROR(__xludf.DUMMYFUNCTION("""COMPUTED_VALUE"""),"G730-09466-13")</f>
        <v>G730-09466-13</v>
      </c>
      <c r="O46" s="182" t="str">
        <f>IFERROR(__xludf.DUMMYFUNCTION("""COMPUTED_VALUE"""),"G710-07813-12")</f>
        <v>G710-07813-12</v>
      </c>
      <c r="P46" s="182" t="str">
        <f>IFERROR(__xludf.DUMMYFUNCTION("""COMPUTED_VALUE"""),"G650-17430-06")</f>
        <v>G650-17430-06</v>
      </c>
      <c r="Q46" s="182" t="str">
        <f>IFERROR(__xludf.DUMMYFUNCTION("""COMPUTED_VALUE"""),"G650-15596-04")</f>
        <v>G650-15596-04</v>
      </c>
      <c r="R46" s="182" t="str">
        <f>IFERROR(__xludf.DUMMYFUNCTION("""COMPUTED_VALUE"""),"G650-14843-04")</f>
        <v>G650-14843-04</v>
      </c>
      <c r="S46" s="182" t="str">
        <f>IFERROR(__xludf.DUMMYFUNCTION("""COMPUTED_VALUE"""),"G650-14411-05")</f>
        <v>G650-14411-05</v>
      </c>
      <c r="T46" s="182" t="str">
        <f>IFERROR(__xludf.DUMMYFUNCTION("""COMPUTED_VALUE"""),"G650-14840-03")</f>
        <v>G650-14840-03</v>
      </c>
      <c r="U46" s="182" t="str">
        <f>IFERROR(__xludf.DUMMYFUNCTION("""COMPUTED_VALUE"""),"G650-14841-03")</f>
        <v>G650-14841-03</v>
      </c>
      <c r="V46" s="182" t="str">
        <f>IFERROR(__xludf.DUMMYFUNCTION("""COMPUTED_VALUE"""),"G650-14413-03")</f>
        <v>G650-14413-03</v>
      </c>
      <c r="W46" s="182"/>
      <c r="X46" s="182" t="str">
        <f>IFERROR(__xludf.DUMMYFUNCTION("""COMPUTED_VALUE"""),"G990-07758-00")</f>
        <v>G990-07758-00</v>
      </c>
      <c r="Y46" s="182" t="str">
        <f>IFERROR(__xludf.DUMMYFUNCTION("""COMPUTED_VALUE"""),"G990-07758-00")</f>
        <v>G990-07758-00</v>
      </c>
      <c r="Z46" s="182" t="str">
        <f>IFERROR(__xludf.DUMMYFUNCTION("""COMPUTED_VALUE"""),"Y")</f>
        <v>Y</v>
      </c>
      <c r="AA46" s="182" t="str">
        <f>IFERROR(__xludf.DUMMYFUNCTION("""COMPUTED_VALUE"""),"Y")</f>
        <v>Y</v>
      </c>
    </row>
    <row r="47">
      <c r="A47" s="182" t="str">
        <f>IFERROR(__xludf.DUMMYFUNCTION("""COMPUTED_VALUE"""),"MP")</f>
        <v>MP</v>
      </c>
      <c r="B47" s="182">
        <f>IFERROR(__xludf.DUMMYFUNCTION("""COMPUTED_VALUE"""),46.0)</f>
        <v>46</v>
      </c>
      <c r="C47" s="182" t="str">
        <f>IFERROR(__xludf.DUMMYFUNCTION("""COMPUTED_VALUE"""),"GEHN3")</f>
        <v>GEHN3</v>
      </c>
      <c r="D47" s="182" t="str">
        <f>IFERROR(__xludf.DUMMYFUNCTION("""COMPUTED_VALUE"""),"GA10316-GB")</f>
        <v>GA10316-GB</v>
      </c>
      <c r="E47" s="182" t="str">
        <f>IFERROR(__xludf.DUMMYFUNCTION("""COMPUTED_VALUE"""),"SKU, CLR4, BETTER, SUB6, EU/UK, BZ5")</f>
        <v>SKU, CLR4, BETTER, SUB6, EU/UK, BZ5</v>
      </c>
      <c r="F47" s="182" t="str">
        <f>IFERROR(__xludf.DUMMYFUNCTION("""COMPUTED_VALUE"""),"Pixel 10 Pro, Jade, 256GB, EU/UK")</f>
        <v>Pixel 10 Pro, Jade, 256GB, EU/UK</v>
      </c>
      <c r="G47" s="182" t="str">
        <f>IFERROR(__xludf.DUMMYFUNCTION("""COMPUTED_VALUE"""),"CLR4")</f>
        <v>CLR4</v>
      </c>
      <c r="H47" s="182" t="str">
        <f>IFERROR(__xludf.DUMMYFUNCTION("""COMPUTED_VALUE"""),"SUB6")</f>
        <v>SUB6</v>
      </c>
      <c r="I47" s="182" t="str">
        <f>IFERROR(__xludf.DUMMYFUNCTION("""COMPUTED_VALUE"""),"256GB")</f>
        <v>256GB</v>
      </c>
      <c r="J47" s="182" t="str">
        <f>IFERROR(__xludf.DUMMYFUNCTION("""COMPUTED_VALUE"""),"G950-18290-04-L")</f>
        <v>G950-18290-04-L</v>
      </c>
      <c r="K47" s="182" t="str">
        <f>IFERROR(__xludf.DUMMYFUNCTION("""COMPUTED_VALUE"""),"G950-18290-04")</f>
        <v>G950-18290-04</v>
      </c>
      <c r="L47" s="182" t="str">
        <f>IFERROR(__xludf.DUMMYFUNCTION("""COMPUTED_VALUE"""),"G710-07822-01")</f>
        <v>G710-07822-01</v>
      </c>
      <c r="M47" s="182" t="str">
        <f>IFERROR(__xludf.DUMMYFUNCTION("""COMPUTED_VALUE"""),"G710-10000-40")</f>
        <v>G710-10000-40</v>
      </c>
      <c r="N47" s="182" t="str">
        <f>IFERROR(__xludf.DUMMYFUNCTION("""COMPUTED_VALUE"""),"G730-09466-14")</f>
        <v>G730-09466-14</v>
      </c>
      <c r="O47" s="182" t="str">
        <f>IFERROR(__xludf.DUMMYFUNCTION("""COMPUTED_VALUE"""),"G710-07813-12")</f>
        <v>G710-07813-12</v>
      </c>
      <c r="P47" s="182" t="str">
        <f>IFERROR(__xludf.DUMMYFUNCTION("""COMPUTED_VALUE"""),"G650-17430-06")</f>
        <v>G650-17430-06</v>
      </c>
      <c r="Q47" s="182" t="str">
        <f>IFERROR(__xludf.DUMMYFUNCTION("""COMPUTED_VALUE"""),"G650-15596-04")</f>
        <v>G650-15596-04</v>
      </c>
      <c r="R47" s="182" t="str">
        <f>IFERROR(__xludf.DUMMYFUNCTION("""COMPUTED_VALUE"""),"G650-14843-04")</f>
        <v>G650-14843-04</v>
      </c>
      <c r="S47" s="182" t="str">
        <f>IFERROR(__xludf.DUMMYFUNCTION("""COMPUTED_VALUE"""),"G650-14411-05")</f>
        <v>G650-14411-05</v>
      </c>
      <c r="T47" s="182" t="str">
        <f>IFERROR(__xludf.DUMMYFUNCTION("""COMPUTED_VALUE"""),"G650-14840-03")</f>
        <v>G650-14840-03</v>
      </c>
      <c r="U47" s="182" t="str">
        <f>IFERROR(__xludf.DUMMYFUNCTION("""COMPUTED_VALUE"""),"G650-14841-03")</f>
        <v>G650-14841-03</v>
      </c>
      <c r="V47" s="182" t="str">
        <f>IFERROR(__xludf.DUMMYFUNCTION("""COMPUTED_VALUE"""),"G650-14413-03")</f>
        <v>G650-14413-03</v>
      </c>
      <c r="W47" s="182"/>
      <c r="X47" s="182" t="str">
        <f>IFERROR(__xludf.DUMMYFUNCTION("""COMPUTED_VALUE"""),"G990-07758-00")</f>
        <v>G990-07758-00</v>
      </c>
      <c r="Y47" s="182" t="str">
        <f>IFERROR(__xludf.DUMMYFUNCTION("""COMPUTED_VALUE"""),"G990-07758-00")</f>
        <v>G990-07758-00</v>
      </c>
      <c r="Z47" s="182" t="str">
        <f>IFERROR(__xludf.DUMMYFUNCTION("""COMPUTED_VALUE"""),"Y")</f>
        <v>Y</v>
      </c>
      <c r="AA47" s="182" t="str">
        <f>IFERROR(__xludf.DUMMYFUNCTION("""COMPUTED_VALUE"""),"Y")</f>
        <v>Y</v>
      </c>
    </row>
    <row r="48">
      <c r="A48" s="182" t="str">
        <f>IFERROR(__xludf.DUMMYFUNCTION("""COMPUTED_VALUE"""),"PVT/MP")</f>
        <v>PVT/MP</v>
      </c>
      <c r="B48" s="182">
        <f>IFERROR(__xludf.DUMMYFUNCTION("""COMPUTED_VALUE"""),47.0)</f>
        <v>47</v>
      </c>
      <c r="C48" s="182" t="str">
        <f>IFERROR(__xludf.DUMMYFUNCTION("""COMPUTED_VALUE"""),"GN4F5")</f>
        <v>GN4F5</v>
      </c>
      <c r="D48" s="182" t="str">
        <f>IFERROR(__xludf.DUMMYFUNCTION("""COMPUTED_VALUE"""),"GA09900-JP")</f>
        <v>GA09900-JP</v>
      </c>
      <c r="E48" s="182" t="str">
        <f>IFERROR(__xludf.DUMMYFUNCTION("""COMPUTED_VALUE"""),"SKU, CLR1, BETTER, SUB6, JP, BZ5")</f>
        <v>SKU, CLR1, BETTER, SUB6, JP, BZ5</v>
      </c>
      <c r="F48" s="182" t="str">
        <f>IFERROR(__xludf.DUMMYFUNCTION("""COMPUTED_VALUE"""),"Pixel 10 Pro, Obsidian, 256GB, JP")</f>
        <v>Pixel 10 Pro, Obsidian, 256GB, JP</v>
      </c>
      <c r="G48" s="182" t="str">
        <f>IFERROR(__xludf.DUMMYFUNCTION("""COMPUTED_VALUE"""),"CLR1")</f>
        <v>CLR1</v>
      </c>
      <c r="H48" s="182" t="str">
        <f>IFERROR(__xludf.DUMMYFUNCTION("""COMPUTED_VALUE"""),"SUB6")</f>
        <v>SUB6</v>
      </c>
      <c r="I48" s="182" t="str">
        <f>IFERROR(__xludf.DUMMYFUNCTION("""COMPUTED_VALUE"""),"256GB")</f>
        <v>256GB</v>
      </c>
      <c r="J48" s="182"/>
      <c r="K48" s="182" t="str">
        <f>IFERROR(__xludf.DUMMYFUNCTION("""COMPUTED_VALUE"""),"G950-18290-01")</f>
        <v>G950-18290-01</v>
      </c>
      <c r="L48" s="182" t="str">
        <f>IFERROR(__xludf.DUMMYFUNCTION("""COMPUTED_VALUE"""),"G710-07822-01")</f>
        <v>G710-07822-01</v>
      </c>
      <c r="M48" s="182" t="str">
        <f>IFERROR(__xludf.DUMMYFUNCTION("""COMPUTED_VALUE"""),"G710-10000-40")</f>
        <v>G710-10000-40</v>
      </c>
      <c r="N48" s="182" t="str">
        <f>IFERROR(__xludf.DUMMYFUNCTION("""COMPUTED_VALUE"""),"G730-09466-11")</f>
        <v>G730-09466-11</v>
      </c>
      <c r="O48" s="182" t="str">
        <f>IFERROR(__xludf.DUMMYFUNCTION("""COMPUTED_VALUE"""),"G710-07813-12")</f>
        <v>G710-07813-12</v>
      </c>
      <c r="P48" s="182" t="str">
        <f>IFERROR(__xludf.DUMMYFUNCTION("""COMPUTED_VALUE"""),"G650-17430-06")</f>
        <v>G650-17430-06</v>
      </c>
      <c r="Q48" s="182" t="str">
        <f>IFERROR(__xludf.DUMMYFUNCTION("""COMPUTED_VALUE"""),"G650-15596-04")</f>
        <v>G650-15596-04</v>
      </c>
      <c r="R48" s="182" t="str">
        <f>IFERROR(__xludf.DUMMYFUNCTION("""COMPUTED_VALUE"""),"G650-14843-04")</f>
        <v>G650-14843-04</v>
      </c>
      <c r="S48" s="182" t="str">
        <f>IFERROR(__xludf.DUMMYFUNCTION("""COMPUTED_VALUE"""),"G650-14411-05")</f>
        <v>G650-14411-05</v>
      </c>
      <c r="T48" s="182" t="str">
        <f>IFERROR(__xludf.DUMMYFUNCTION("""COMPUTED_VALUE"""),"G650-14840-03")</f>
        <v>G650-14840-03</v>
      </c>
      <c r="U48" s="182" t="str">
        <f>IFERROR(__xludf.DUMMYFUNCTION("""COMPUTED_VALUE"""),"G650-14841-03")</f>
        <v>G650-14841-03</v>
      </c>
      <c r="V48" s="182" t="str">
        <f>IFERROR(__xludf.DUMMYFUNCTION("""COMPUTED_VALUE"""),"G650-14413-03")</f>
        <v>G650-14413-03</v>
      </c>
      <c r="W48" s="182"/>
      <c r="X48" s="182"/>
      <c r="Y48" s="182"/>
      <c r="Z48" s="182" t="str">
        <f>IFERROR(__xludf.DUMMYFUNCTION("""COMPUTED_VALUE"""),"Y")</f>
        <v>Y</v>
      </c>
      <c r="AA48" s="182" t="str">
        <f>IFERROR(__xludf.DUMMYFUNCTION("""COMPUTED_VALUE"""),"Y")</f>
        <v>Y</v>
      </c>
    </row>
    <row r="49">
      <c r="A49" s="182" t="str">
        <f>IFERROR(__xludf.DUMMYFUNCTION("""COMPUTED_VALUE"""),"PVT/MP")</f>
        <v>PVT/MP</v>
      </c>
      <c r="B49" s="182">
        <f>IFERROR(__xludf.DUMMYFUNCTION("""COMPUTED_VALUE"""),48.0)</f>
        <v>48</v>
      </c>
      <c r="C49" s="182" t="str">
        <f>IFERROR(__xludf.DUMMYFUNCTION("""COMPUTED_VALUE"""),"GN4F5")</f>
        <v>GN4F5</v>
      </c>
      <c r="D49" s="182" t="str">
        <f>IFERROR(__xludf.DUMMYFUNCTION("""COMPUTED_VALUE"""),"GA10314-JP")</f>
        <v>GA10314-JP</v>
      </c>
      <c r="E49" s="182" t="str">
        <f>IFERROR(__xludf.DUMMYFUNCTION("""COMPUTED_VALUE"""),"SKU, CLR2, BETTER, SUB6, JP, BZ5")</f>
        <v>SKU, CLR2, BETTER, SUB6, JP, BZ5</v>
      </c>
      <c r="F49" s="182" t="str">
        <f>IFERROR(__xludf.DUMMYFUNCTION("""COMPUTED_VALUE"""),"Pixel 10 Pro, Porcelain, 256GB, JP")</f>
        <v>Pixel 10 Pro, Porcelain, 256GB, JP</v>
      </c>
      <c r="G49" s="182" t="str">
        <f>IFERROR(__xludf.DUMMYFUNCTION("""COMPUTED_VALUE"""),"CLR2")</f>
        <v>CLR2</v>
      </c>
      <c r="H49" s="182" t="str">
        <f>IFERROR(__xludf.DUMMYFUNCTION("""COMPUTED_VALUE"""),"SUB6")</f>
        <v>SUB6</v>
      </c>
      <c r="I49" s="182" t="str">
        <f>IFERROR(__xludf.DUMMYFUNCTION("""COMPUTED_VALUE"""),"256GB")</f>
        <v>256GB</v>
      </c>
      <c r="J49" s="182"/>
      <c r="K49" s="182" t="str">
        <f>IFERROR(__xludf.DUMMYFUNCTION("""COMPUTED_VALUE"""),"G950-18290-02")</f>
        <v>G950-18290-02</v>
      </c>
      <c r="L49" s="182" t="str">
        <f>IFERROR(__xludf.DUMMYFUNCTION("""COMPUTED_VALUE"""),"G710-07822-01")</f>
        <v>G710-07822-01</v>
      </c>
      <c r="M49" s="182" t="str">
        <f>IFERROR(__xludf.DUMMYFUNCTION("""COMPUTED_VALUE"""),"G710-10000-40")</f>
        <v>G710-10000-40</v>
      </c>
      <c r="N49" s="182" t="str">
        <f>IFERROR(__xludf.DUMMYFUNCTION("""COMPUTED_VALUE"""),"G730-09466-12")</f>
        <v>G730-09466-12</v>
      </c>
      <c r="O49" s="182" t="str">
        <f>IFERROR(__xludf.DUMMYFUNCTION("""COMPUTED_VALUE"""),"G710-07813-12")</f>
        <v>G710-07813-12</v>
      </c>
      <c r="P49" s="182" t="str">
        <f>IFERROR(__xludf.DUMMYFUNCTION("""COMPUTED_VALUE"""),"G650-17430-06")</f>
        <v>G650-17430-06</v>
      </c>
      <c r="Q49" s="182" t="str">
        <f>IFERROR(__xludf.DUMMYFUNCTION("""COMPUTED_VALUE"""),"G650-15596-04")</f>
        <v>G650-15596-04</v>
      </c>
      <c r="R49" s="182" t="str">
        <f>IFERROR(__xludf.DUMMYFUNCTION("""COMPUTED_VALUE"""),"G650-14843-04")</f>
        <v>G650-14843-04</v>
      </c>
      <c r="S49" s="182" t="str">
        <f>IFERROR(__xludf.DUMMYFUNCTION("""COMPUTED_VALUE"""),"G650-14411-05")</f>
        <v>G650-14411-05</v>
      </c>
      <c r="T49" s="182" t="str">
        <f>IFERROR(__xludf.DUMMYFUNCTION("""COMPUTED_VALUE"""),"G650-14840-03")</f>
        <v>G650-14840-03</v>
      </c>
      <c r="U49" s="182" t="str">
        <f>IFERROR(__xludf.DUMMYFUNCTION("""COMPUTED_VALUE"""),"G650-14841-03")</f>
        <v>G650-14841-03</v>
      </c>
      <c r="V49" s="182" t="str">
        <f>IFERROR(__xludf.DUMMYFUNCTION("""COMPUTED_VALUE"""),"G650-14413-03")</f>
        <v>G650-14413-03</v>
      </c>
      <c r="W49" s="182"/>
      <c r="X49" s="182"/>
      <c r="Y49" s="182"/>
      <c r="Z49" s="182" t="str">
        <f>IFERROR(__xludf.DUMMYFUNCTION("""COMPUTED_VALUE"""),"Y")</f>
        <v>Y</v>
      </c>
      <c r="AA49" s="182" t="str">
        <f>IFERROR(__xludf.DUMMYFUNCTION("""COMPUTED_VALUE"""),"Y")</f>
        <v>Y</v>
      </c>
    </row>
    <row r="50">
      <c r="A50" s="182" t="str">
        <f>IFERROR(__xludf.DUMMYFUNCTION("""COMPUTED_VALUE"""),"PVT/MP")</f>
        <v>PVT/MP</v>
      </c>
      <c r="B50" s="182">
        <f>IFERROR(__xludf.DUMMYFUNCTION("""COMPUTED_VALUE"""),49.0)</f>
        <v>49</v>
      </c>
      <c r="C50" s="182" t="str">
        <f>IFERROR(__xludf.DUMMYFUNCTION("""COMPUTED_VALUE"""),"GN4F5")</f>
        <v>GN4F5</v>
      </c>
      <c r="D50" s="182" t="str">
        <f>IFERROR(__xludf.DUMMYFUNCTION("""COMPUTED_VALUE"""),"GA10315-JP")</f>
        <v>GA10315-JP</v>
      </c>
      <c r="E50" s="182" t="str">
        <f>IFERROR(__xludf.DUMMYFUNCTION("""COMPUTED_VALUE"""),"SKU, CLR3, BETTER, SUB6, JP, BZ5")</f>
        <v>SKU, CLR3, BETTER, SUB6, JP, BZ5</v>
      </c>
      <c r="F50" s="182" t="str">
        <f>IFERROR(__xludf.DUMMYFUNCTION("""COMPUTED_VALUE"""),"Pixel 10 Pro, Moonstone, 256GB, JP")</f>
        <v>Pixel 10 Pro, Moonstone, 256GB, JP</v>
      </c>
      <c r="G50" s="182" t="str">
        <f>IFERROR(__xludf.DUMMYFUNCTION("""COMPUTED_VALUE"""),"CLR3")</f>
        <v>CLR3</v>
      </c>
      <c r="H50" s="182" t="str">
        <f>IFERROR(__xludf.DUMMYFUNCTION("""COMPUTED_VALUE"""),"SUB6")</f>
        <v>SUB6</v>
      </c>
      <c r="I50" s="182" t="str">
        <f>IFERROR(__xludf.DUMMYFUNCTION("""COMPUTED_VALUE"""),"256GB")</f>
        <v>256GB</v>
      </c>
      <c r="J50" s="182"/>
      <c r="K50" s="182" t="str">
        <f>IFERROR(__xludf.DUMMYFUNCTION("""COMPUTED_VALUE"""),"G950-18290-03")</f>
        <v>G950-18290-03</v>
      </c>
      <c r="L50" s="182" t="str">
        <f>IFERROR(__xludf.DUMMYFUNCTION("""COMPUTED_VALUE"""),"G710-07822-01")</f>
        <v>G710-07822-01</v>
      </c>
      <c r="M50" s="182" t="str">
        <f>IFERROR(__xludf.DUMMYFUNCTION("""COMPUTED_VALUE"""),"G710-10000-40")</f>
        <v>G710-10000-40</v>
      </c>
      <c r="N50" s="182" t="str">
        <f>IFERROR(__xludf.DUMMYFUNCTION("""COMPUTED_VALUE"""),"G730-09466-13")</f>
        <v>G730-09466-13</v>
      </c>
      <c r="O50" s="182" t="str">
        <f>IFERROR(__xludf.DUMMYFUNCTION("""COMPUTED_VALUE"""),"G710-07813-12")</f>
        <v>G710-07813-12</v>
      </c>
      <c r="P50" s="182" t="str">
        <f>IFERROR(__xludf.DUMMYFUNCTION("""COMPUTED_VALUE"""),"G650-17430-06")</f>
        <v>G650-17430-06</v>
      </c>
      <c r="Q50" s="182" t="str">
        <f>IFERROR(__xludf.DUMMYFUNCTION("""COMPUTED_VALUE"""),"G650-15596-04")</f>
        <v>G650-15596-04</v>
      </c>
      <c r="R50" s="182" t="str">
        <f>IFERROR(__xludf.DUMMYFUNCTION("""COMPUTED_VALUE"""),"G650-14843-04")</f>
        <v>G650-14843-04</v>
      </c>
      <c r="S50" s="182" t="str">
        <f>IFERROR(__xludf.DUMMYFUNCTION("""COMPUTED_VALUE"""),"G650-14411-05")</f>
        <v>G650-14411-05</v>
      </c>
      <c r="T50" s="182" t="str">
        <f>IFERROR(__xludf.DUMMYFUNCTION("""COMPUTED_VALUE"""),"G650-14840-03")</f>
        <v>G650-14840-03</v>
      </c>
      <c r="U50" s="182" t="str">
        <f>IFERROR(__xludf.DUMMYFUNCTION("""COMPUTED_VALUE"""),"G650-14841-03")</f>
        <v>G650-14841-03</v>
      </c>
      <c r="V50" s="182" t="str">
        <f>IFERROR(__xludf.DUMMYFUNCTION("""COMPUTED_VALUE"""),"G650-14413-03")</f>
        <v>G650-14413-03</v>
      </c>
      <c r="W50" s="182"/>
      <c r="X50" s="182"/>
      <c r="Y50" s="182"/>
      <c r="Z50" s="182" t="str">
        <f>IFERROR(__xludf.DUMMYFUNCTION("""COMPUTED_VALUE"""),"Y")</f>
        <v>Y</v>
      </c>
      <c r="AA50" s="182" t="str">
        <f>IFERROR(__xludf.DUMMYFUNCTION("""COMPUTED_VALUE"""),"Y")</f>
        <v>Y</v>
      </c>
    </row>
    <row r="51">
      <c r="A51" s="182" t="str">
        <f>IFERROR(__xludf.DUMMYFUNCTION("""COMPUTED_VALUE"""),"PVT/MP")</f>
        <v>PVT/MP</v>
      </c>
      <c r="B51" s="182">
        <f>IFERROR(__xludf.DUMMYFUNCTION("""COMPUTED_VALUE"""),50.0)</f>
        <v>50</v>
      </c>
      <c r="C51" s="182" t="str">
        <f>IFERROR(__xludf.DUMMYFUNCTION("""COMPUTED_VALUE"""),"GN4F5")</f>
        <v>GN4F5</v>
      </c>
      <c r="D51" s="182" t="str">
        <f>IFERROR(__xludf.DUMMYFUNCTION("""COMPUTED_VALUE"""),"GA10316-JP")</f>
        <v>GA10316-JP</v>
      </c>
      <c r="E51" s="182" t="str">
        <f>IFERROR(__xludf.DUMMYFUNCTION("""COMPUTED_VALUE"""),"SKU, CLR4, BETTER, SUB6, JP, BZ5")</f>
        <v>SKU, CLR4, BETTER, SUB6, JP, BZ5</v>
      </c>
      <c r="F51" s="182" t="str">
        <f>IFERROR(__xludf.DUMMYFUNCTION("""COMPUTED_VALUE"""),"Pixel 10 Pro, Jade, 256GB, JP")</f>
        <v>Pixel 10 Pro, Jade, 256GB, JP</v>
      </c>
      <c r="G51" s="182" t="str">
        <f>IFERROR(__xludf.DUMMYFUNCTION("""COMPUTED_VALUE"""),"CLR4")</f>
        <v>CLR4</v>
      </c>
      <c r="H51" s="182" t="str">
        <f>IFERROR(__xludf.DUMMYFUNCTION("""COMPUTED_VALUE"""),"SUB6")</f>
        <v>SUB6</v>
      </c>
      <c r="I51" s="182" t="str">
        <f>IFERROR(__xludf.DUMMYFUNCTION("""COMPUTED_VALUE"""),"256GB")</f>
        <v>256GB</v>
      </c>
      <c r="J51" s="182"/>
      <c r="K51" s="182" t="str">
        <f>IFERROR(__xludf.DUMMYFUNCTION("""COMPUTED_VALUE"""),"G950-18290-04")</f>
        <v>G950-18290-04</v>
      </c>
      <c r="L51" s="182" t="str">
        <f>IFERROR(__xludf.DUMMYFUNCTION("""COMPUTED_VALUE"""),"G710-07822-01")</f>
        <v>G710-07822-01</v>
      </c>
      <c r="M51" s="182" t="str">
        <f>IFERROR(__xludf.DUMMYFUNCTION("""COMPUTED_VALUE"""),"G710-10000-40")</f>
        <v>G710-10000-40</v>
      </c>
      <c r="N51" s="182" t="str">
        <f>IFERROR(__xludf.DUMMYFUNCTION("""COMPUTED_VALUE"""),"G730-09466-14")</f>
        <v>G730-09466-14</v>
      </c>
      <c r="O51" s="182" t="str">
        <f>IFERROR(__xludf.DUMMYFUNCTION("""COMPUTED_VALUE"""),"G710-07813-12")</f>
        <v>G710-07813-12</v>
      </c>
      <c r="P51" s="182" t="str">
        <f>IFERROR(__xludf.DUMMYFUNCTION("""COMPUTED_VALUE"""),"G650-17430-06")</f>
        <v>G650-17430-06</v>
      </c>
      <c r="Q51" s="182" t="str">
        <f>IFERROR(__xludf.DUMMYFUNCTION("""COMPUTED_VALUE"""),"G650-15596-04")</f>
        <v>G650-15596-04</v>
      </c>
      <c r="R51" s="182" t="str">
        <f>IFERROR(__xludf.DUMMYFUNCTION("""COMPUTED_VALUE"""),"G650-14843-04")</f>
        <v>G650-14843-04</v>
      </c>
      <c r="S51" s="182" t="str">
        <f>IFERROR(__xludf.DUMMYFUNCTION("""COMPUTED_VALUE"""),"G650-14411-05")</f>
        <v>G650-14411-05</v>
      </c>
      <c r="T51" s="182" t="str">
        <f>IFERROR(__xludf.DUMMYFUNCTION("""COMPUTED_VALUE"""),"G650-14840-03")</f>
        <v>G650-14840-03</v>
      </c>
      <c r="U51" s="182" t="str">
        <f>IFERROR(__xludf.DUMMYFUNCTION("""COMPUTED_VALUE"""),"G650-14841-03")</f>
        <v>G650-14841-03</v>
      </c>
      <c r="V51" s="182" t="str">
        <f>IFERROR(__xludf.DUMMYFUNCTION("""COMPUTED_VALUE"""),"G650-14413-03")</f>
        <v>G650-14413-03</v>
      </c>
      <c r="W51" s="182"/>
      <c r="X51" s="182"/>
      <c r="Y51" s="182"/>
      <c r="Z51" s="182" t="str">
        <f>IFERROR(__xludf.DUMMYFUNCTION("""COMPUTED_VALUE"""),"Y")</f>
        <v>Y</v>
      </c>
      <c r="AA51" s="182" t="str">
        <f>IFERROR(__xludf.DUMMYFUNCTION("""COMPUTED_VALUE"""),"Y")</f>
        <v>Y</v>
      </c>
    </row>
    <row r="52">
      <c r="A52" s="182" t="str">
        <f>IFERROR(__xludf.DUMMYFUNCTION("""COMPUTED_VALUE"""),"MP")</f>
        <v>MP</v>
      </c>
      <c r="B52" s="182">
        <f>IFERROR(__xludf.DUMMYFUNCTION("""COMPUTED_VALUE"""),51.0)</f>
        <v>51</v>
      </c>
      <c r="C52" s="182" t="str">
        <f>IFERROR(__xludf.DUMMYFUNCTION("""COMPUTED_VALUE"""),"GN4F5")</f>
        <v>GN4F5</v>
      </c>
      <c r="D52" s="182" t="str">
        <f>IFERROR(__xludf.DUMMYFUNCTION("""COMPUTED_VALUE"""),"GA09909-JP")</f>
        <v>GA09909-JP</v>
      </c>
      <c r="E52" s="182" t="str">
        <f>IFERROR(__xludf.DUMMYFUNCTION("""COMPUTED_VALUE"""),"SKU, CLR1, BEST, SUB6, JP, BZ5")</f>
        <v>SKU, CLR1, BEST, SUB6, JP, BZ5</v>
      </c>
      <c r="F52" s="182" t="str">
        <f>IFERROR(__xludf.DUMMYFUNCTION("""COMPUTED_VALUE"""),"Pixel 10 Pro, Obsidian, 512GB, JP")</f>
        <v>Pixel 10 Pro, Obsidian, 512GB, JP</v>
      </c>
      <c r="G52" s="182" t="str">
        <f>IFERROR(__xludf.DUMMYFUNCTION("""COMPUTED_VALUE"""),"CLR1")</f>
        <v>CLR1</v>
      </c>
      <c r="H52" s="182" t="str">
        <f>IFERROR(__xludf.DUMMYFUNCTION("""COMPUTED_VALUE"""),"SUB6")</f>
        <v>SUB6</v>
      </c>
      <c r="I52" s="182" t="str">
        <f>IFERROR(__xludf.DUMMYFUNCTION("""COMPUTED_VALUE"""),"512GB")</f>
        <v>512GB</v>
      </c>
      <c r="J52" s="182"/>
      <c r="K52" s="182" t="str">
        <f>IFERROR(__xludf.DUMMYFUNCTION("""COMPUTED_VALUE"""),"G950-18292-01")</f>
        <v>G950-18292-01</v>
      </c>
      <c r="L52" s="182" t="str">
        <f>IFERROR(__xludf.DUMMYFUNCTION("""COMPUTED_VALUE"""),"G710-07822-01")</f>
        <v>G710-07822-01</v>
      </c>
      <c r="M52" s="182" t="str">
        <f>IFERROR(__xludf.DUMMYFUNCTION("""COMPUTED_VALUE"""),"G710-10000-40")</f>
        <v>G710-10000-40</v>
      </c>
      <c r="N52" s="182" t="str">
        <f>IFERROR(__xludf.DUMMYFUNCTION("""COMPUTED_VALUE"""),"G730-09466-11")</f>
        <v>G730-09466-11</v>
      </c>
      <c r="O52" s="182" t="str">
        <f>IFERROR(__xludf.DUMMYFUNCTION("""COMPUTED_VALUE"""),"G710-07813-22")</f>
        <v>G710-07813-22</v>
      </c>
      <c r="P52" s="182" t="str">
        <f>IFERROR(__xludf.DUMMYFUNCTION("""COMPUTED_VALUE"""),"G650-17432-06")</f>
        <v>G650-17432-06</v>
      </c>
      <c r="Q52" s="182" t="str">
        <f>IFERROR(__xludf.DUMMYFUNCTION("""COMPUTED_VALUE"""),"G650-15596-04")</f>
        <v>G650-15596-04</v>
      </c>
      <c r="R52" s="182" t="str">
        <f>IFERROR(__xludf.DUMMYFUNCTION("""COMPUTED_VALUE"""),"G650-14843-04")</f>
        <v>G650-14843-04</v>
      </c>
      <c r="S52" s="182" t="str">
        <f>IFERROR(__xludf.DUMMYFUNCTION("""COMPUTED_VALUE"""),"G650-14411-05")</f>
        <v>G650-14411-05</v>
      </c>
      <c r="T52" s="182" t="str">
        <f>IFERROR(__xludf.DUMMYFUNCTION("""COMPUTED_VALUE"""),"G650-14840-03")</f>
        <v>G650-14840-03</v>
      </c>
      <c r="U52" s="182" t="str">
        <f>IFERROR(__xludf.DUMMYFUNCTION("""COMPUTED_VALUE"""),"G650-14841-03")</f>
        <v>G650-14841-03</v>
      </c>
      <c r="V52" s="182" t="str">
        <f>IFERROR(__xludf.DUMMYFUNCTION("""COMPUTED_VALUE"""),"G650-14413-03")</f>
        <v>G650-14413-03</v>
      </c>
      <c r="W52" s="182"/>
      <c r="X52" s="182"/>
      <c r="Y52" s="182"/>
      <c r="Z52" s="182" t="str">
        <f>IFERROR(__xludf.DUMMYFUNCTION("""COMPUTED_VALUE"""),"Y")</f>
        <v>Y</v>
      </c>
      <c r="AA52" s="182" t="str">
        <f>IFERROR(__xludf.DUMMYFUNCTION("""COMPUTED_VALUE"""),"Y")</f>
        <v>Y</v>
      </c>
    </row>
    <row r="53">
      <c r="A53" s="182" t="str">
        <f>IFERROR(__xludf.DUMMYFUNCTION("""COMPUTED_VALUE"""),"MP")</f>
        <v>MP</v>
      </c>
      <c r="B53" s="182">
        <f>IFERROR(__xludf.DUMMYFUNCTION("""COMPUTED_VALUE"""),52.0)</f>
        <v>52</v>
      </c>
      <c r="C53" s="182" t="str">
        <f>IFERROR(__xludf.DUMMYFUNCTION("""COMPUTED_VALUE"""),"GEHN3")</f>
        <v>GEHN3</v>
      </c>
      <c r="D53" s="182" t="str">
        <f>IFERROR(__xludf.DUMMYFUNCTION("""COMPUTED_VALUE"""),"GA09900-IN")</f>
        <v>GA09900-IN</v>
      </c>
      <c r="E53" s="182" t="str">
        <f>IFERROR(__xludf.DUMMYFUNCTION("""COMPUTED_VALUE"""),"SKU, CLR1, BETTER, SUB6, IN, BZ5")</f>
        <v>SKU, CLR1, BETTER, SUB6, IN, BZ5</v>
      </c>
      <c r="F53" s="182" t="str">
        <f>IFERROR(__xludf.DUMMYFUNCTION("""COMPUTED_VALUE"""),"Pixel 10 Pro, Obsidian, 256GB, IN")</f>
        <v>Pixel 10 Pro, Obsidian, 256GB, IN</v>
      </c>
      <c r="G53" s="182" t="str">
        <f>IFERROR(__xludf.DUMMYFUNCTION("""COMPUTED_VALUE"""),"CLR1")</f>
        <v>CLR1</v>
      </c>
      <c r="H53" s="182" t="str">
        <f>IFERROR(__xludf.DUMMYFUNCTION("""COMPUTED_VALUE"""),"SUB6")</f>
        <v>SUB6</v>
      </c>
      <c r="I53" s="182" t="str">
        <f>IFERROR(__xludf.DUMMYFUNCTION("""COMPUTED_VALUE"""),"256GB")</f>
        <v>256GB</v>
      </c>
      <c r="J53" s="182" t="str">
        <f>IFERROR(__xludf.DUMMYFUNCTION("""COMPUTED_VALUE"""),"G950-18290-01-I")</f>
        <v>G950-18290-01-I</v>
      </c>
      <c r="K53" s="182" t="str">
        <f>IFERROR(__xludf.DUMMYFUNCTION("""COMPUTED_VALUE"""),"G950-18290-01")</f>
        <v>G950-18290-01</v>
      </c>
      <c r="L53" s="182" t="str">
        <f>IFERROR(__xludf.DUMMYFUNCTION("""COMPUTED_VALUE"""),"G710-07822-01")</f>
        <v>G710-07822-01</v>
      </c>
      <c r="M53" s="182" t="str">
        <f>IFERROR(__xludf.DUMMYFUNCTION("""COMPUTED_VALUE"""),"G710-10000-40")</f>
        <v>G710-10000-40</v>
      </c>
      <c r="N53" s="182" t="str">
        <f>IFERROR(__xludf.DUMMYFUNCTION("""COMPUTED_VALUE"""),"G730-09466-11")</f>
        <v>G730-09466-11</v>
      </c>
      <c r="O53" s="182" t="str">
        <f>IFERROR(__xludf.DUMMYFUNCTION("""COMPUTED_VALUE"""),"G710-07813-12")</f>
        <v>G710-07813-12</v>
      </c>
      <c r="P53" s="182" t="str">
        <f>IFERROR(__xludf.DUMMYFUNCTION("""COMPUTED_VALUE"""),"G650-17430-06")</f>
        <v>G650-17430-06</v>
      </c>
      <c r="Q53" s="182" t="str">
        <f>IFERROR(__xludf.DUMMYFUNCTION("""COMPUTED_VALUE"""),"G650-15596-04")</f>
        <v>G650-15596-04</v>
      </c>
      <c r="R53" s="182" t="str">
        <f>IFERROR(__xludf.DUMMYFUNCTION("""COMPUTED_VALUE"""),"G650-14843-04")</f>
        <v>G650-14843-04</v>
      </c>
      <c r="S53" s="182" t="str">
        <f>IFERROR(__xludf.DUMMYFUNCTION("""COMPUTED_VALUE"""),"G650-14411-05")</f>
        <v>G650-14411-05</v>
      </c>
      <c r="T53" s="182" t="str">
        <f>IFERROR(__xludf.DUMMYFUNCTION("""COMPUTED_VALUE"""),"G650-14840-03")</f>
        <v>G650-14840-03</v>
      </c>
      <c r="U53" s="182" t="str">
        <f>IFERROR(__xludf.DUMMYFUNCTION("""COMPUTED_VALUE"""),"G650-14841-03")</f>
        <v>G650-14841-03</v>
      </c>
      <c r="V53" s="182" t="str">
        <f>IFERROR(__xludf.DUMMYFUNCTION("""COMPUTED_VALUE"""),"G650-14413-03")</f>
        <v>G650-14413-03</v>
      </c>
      <c r="W53" s="182"/>
      <c r="X53" s="182" t="str">
        <f>IFERROR(__xludf.DUMMYFUNCTION("""COMPUTED_VALUE"""),"G990-07759-00")</f>
        <v>G990-07759-00</v>
      </c>
      <c r="Y53" s="182" t="str">
        <f>IFERROR(__xludf.DUMMYFUNCTION("""COMPUTED_VALUE"""),"G990-09782-00")</f>
        <v>G990-09782-00</v>
      </c>
      <c r="Z53" s="182" t="str">
        <f>IFERROR(__xludf.DUMMYFUNCTION("""COMPUTED_VALUE"""),"Y")</f>
        <v>Y</v>
      </c>
      <c r="AA53" s="182" t="str">
        <f>IFERROR(__xludf.DUMMYFUNCTION("""COMPUTED_VALUE"""),"Y")</f>
        <v>Y</v>
      </c>
    </row>
    <row r="54">
      <c r="A54" s="182" t="str">
        <f>IFERROR(__xludf.DUMMYFUNCTION("""COMPUTED_VALUE"""),"MP")</f>
        <v>MP</v>
      </c>
      <c r="B54" s="182">
        <f>IFERROR(__xludf.DUMMYFUNCTION("""COMPUTED_VALUE"""),53.0)</f>
        <v>53</v>
      </c>
      <c r="C54" s="182" t="str">
        <f>IFERROR(__xludf.DUMMYFUNCTION("""COMPUTED_VALUE"""),"GEHN3")</f>
        <v>GEHN3</v>
      </c>
      <c r="D54" s="182" t="str">
        <f>IFERROR(__xludf.DUMMYFUNCTION("""COMPUTED_VALUE"""),"GA10314-IN")</f>
        <v>GA10314-IN</v>
      </c>
      <c r="E54" s="182" t="str">
        <f>IFERROR(__xludf.DUMMYFUNCTION("""COMPUTED_VALUE"""),"SKU, CLR2, BETTER, SUB6, IN, BZ5")</f>
        <v>SKU, CLR2, BETTER, SUB6, IN, BZ5</v>
      </c>
      <c r="F54" s="182" t="str">
        <f>IFERROR(__xludf.DUMMYFUNCTION("""COMPUTED_VALUE"""),"Pixel 10 Pro, Porcelain, 256GB, IN")</f>
        <v>Pixel 10 Pro, Porcelain, 256GB, IN</v>
      </c>
      <c r="G54" s="182" t="str">
        <f>IFERROR(__xludf.DUMMYFUNCTION("""COMPUTED_VALUE"""),"CLR2")</f>
        <v>CLR2</v>
      </c>
      <c r="H54" s="182" t="str">
        <f>IFERROR(__xludf.DUMMYFUNCTION("""COMPUTED_VALUE"""),"SUB6")</f>
        <v>SUB6</v>
      </c>
      <c r="I54" s="182" t="str">
        <f>IFERROR(__xludf.DUMMYFUNCTION("""COMPUTED_VALUE"""),"256GB")</f>
        <v>256GB</v>
      </c>
      <c r="J54" s="182" t="str">
        <f>IFERROR(__xludf.DUMMYFUNCTION("""COMPUTED_VALUE"""),"G950-18290-02-I")</f>
        <v>G950-18290-02-I</v>
      </c>
      <c r="K54" s="182" t="str">
        <f>IFERROR(__xludf.DUMMYFUNCTION("""COMPUTED_VALUE"""),"G950-18290-02")</f>
        <v>G950-18290-02</v>
      </c>
      <c r="L54" s="182" t="str">
        <f>IFERROR(__xludf.DUMMYFUNCTION("""COMPUTED_VALUE"""),"G710-07822-01")</f>
        <v>G710-07822-01</v>
      </c>
      <c r="M54" s="182" t="str">
        <f>IFERROR(__xludf.DUMMYFUNCTION("""COMPUTED_VALUE"""),"G710-10000-40")</f>
        <v>G710-10000-40</v>
      </c>
      <c r="N54" s="182" t="str">
        <f>IFERROR(__xludf.DUMMYFUNCTION("""COMPUTED_VALUE"""),"G730-09466-12")</f>
        <v>G730-09466-12</v>
      </c>
      <c r="O54" s="182" t="str">
        <f>IFERROR(__xludf.DUMMYFUNCTION("""COMPUTED_VALUE"""),"G710-07813-12")</f>
        <v>G710-07813-12</v>
      </c>
      <c r="P54" s="182" t="str">
        <f>IFERROR(__xludf.DUMMYFUNCTION("""COMPUTED_VALUE"""),"G650-17430-06")</f>
        <v>G650-17430-06</v>
      </c>
      <c r="Q54" s="182" t="str">
        <f>IFERROR(__xludf.DUMMYFUNCTION("""COMPUTED_VALUE"""),"G650-15596-04")</f>
        <v>G650-15596-04</v>
      </c>
      <c r="R54" s="182" t="str">
        <f>IFERROR(__xludf.DUMMYFUNCTION("""COMPUTED_VALUE"""),"G650-14843-04")</f>
        <v>G650-14843-04</v>
      </c>
      <c r="S54" s="182" t="str">
        <f>IFERROR(__xludf.DUMMYFUNCTION("""COMPUTED_VALUE"""),"G650-14411-05")</f>
        <v>G650-14411-05</v>
      </c>
      <c r="T54" s="182" t="str">
        <f>IFERROR(__xludf.DUMMYFUNCTION("""COMPUTED_VALUE"""),"G650-14840-03")</f>
        <v>G650-14840-03</v>
      </c>
      <c r="U54" s="182" t="str">
        <f>IFERROR(__xludf.DUMMYFUNCTION("""COMPUTED_VALUE"""),"G650-14841-03")</f>
        <v>G650-14841-03</v>
      </c>
      <c r="V54" s="182" t="str">
        <f>IFERROR(__xludf.DUMMYFUNCTION("""COMPUTED_VALUE"""),"G650-14413-03")</f>
        <v>G650-14413-03</v>
      </c>
      <c r="W54" s="182"/>
      <c r="X54" s="182" t="str">
        <f>IFERROR(__xludf.DUMMYFUNCTION("""COMPUTED_VALUE"""),"G990-07759-00")</f>
        <v>G990-07759-00</v>
      </c>
      <c r="Y54" s="182" t="str">
        <f>IFERROR(__xludf.DUMMYFUNCTION("""COMPUTED_VALUE"""),"G990-09782-00")</f>
        <v>G990-09782-00</v>
      </c>
      <c r="Z54" s="182" t="str">
        <f>IFERROR(__xludf.DUMMYFUNCTION("""COMPUTED_VALUE"""),"Y")</f>
        <v>Y</v>
      </c>
      <c r="AA54" s="182" t="str">
        <f>IFERROR(__xludf.DUMMYFUNCTION("""COMPUTED_VALUE"""),"Y")</f>
        <v>Y</v>
      </c>
    </row>
    <row r="55">
      <c r="A55" s="182" t="str">
        <f>IFERROR(__xludf.DUMMYFUNCTION("""COMPUTED_VALUE"""),"PVT/MP")</f>
        <v>PVT/MP</v>
      </c>
      <c r="B55" s="182">
        <f>IFERROR(__xludf.DUMMYFUNCTION("""COMPUTED_VALUE"""),54.0)</f>
        <v>54</v>
      </c>
      <c r="C55" s="182" t="str">
        <f>IFERROR(__xludf.DUMMYFUNCTION("""COMPUTED_VALUE"""),"GEHN3")</f>
        <v>GEHN3</v>
      </c>
      <c r="D55" s="182" t="str">
        <f>IFERROR(__xludf.DUMMYFUNCTION("""COMPUTED_VALUE"""),"GA10315-IN")</f>
        <v>GA10315-IN</v>
      </c>
      <c r="E55" s="182" t="str">
        <f>IFERROR(__xludf.DUMMYFUNCTION("""COMPUTED_VALUE"""),"SKU, CLR3, BETTER, SUB6, IN, BZ5")</f>
        <v>SKU, CLR3, BETTER, SUB6, IN, BZ5</v>
      </c>
      <c r="F55" s="182" t="str">
        <f>IFERROR(__xludf.DUMMYFUNCTION("""COMPUTED_VALUE"""),"Pixel 10 Pro, Moonstone, 256GB, IN")</f>
        <v>Pixel 10 Pro, Moonstone, 256GB, IN</v>
      </c>
      <c r="G55" s="182" t="str">
        <f>IFERROR(__xludf.DUMMYFUNCTION("""COMPUTED_VALUE"""),"CLR3")</f>
        <v>CLR3</v>
      </c>
      <c r="H55" s="182" t="str">
        <f>IFERROR(__xludf.DUMMYFUNCTION("""COMPUTED_VALUE"""),"SUB6")</f>
        <v>SUB6</v>
      </c>
      <c r="I55" s="182" t="str">
        <f>IFERROR(__xludf.DUMMYFUNCTION("""COMPUTED_VALUE"""),"256GB")</f>
        <v>256GB</v>
      </c>
      <c r="J55" s="182" t="str">
        <f>IFERROR(__xludf.DUMMYFUNCTION("""COMPUTED_VALUE"""),"G950-18290-03-I")</f>
        <v>G950-18290-03-I</v>
      </c>
      <c r="K55" s="182" t="str">
        <f>IFERROR(__xludf.DUMMYFUNCTION("""COMPUTED_VALUE"""),"G950-18290-03")</f>
        <v>G950-18290-03</v>
      </c>
      <c r="L55" s="182" t="str">
        <f>IFERROR(__xludf.DUMMYFUNCTION("""COMPUTED_VALUE"""),"G710-07822-01")</f>
        <v>G710-07822-01</v>
      </c>
      <c r="M55" s="182" t="str">
        <f>IFERROR(__xludf.DUMMYFUNCTION("""COMPUTED_VALUE"""),"G710-10000-40")</f>
        <v>G710-10000-40</v>
      </c>
      <c r="N55" s="182" t="str">
        <f>IFERROR(__xludf.DUMMYFUNCTION("""COMPUTED_VALUE"""),"G730-09466-13")</f>
        <v>G730-09466-13</v>
      </c>
      <c r="O55" s="182" t="str">
        <f>IFERROR(__xludf.DUMMYFUNCTION("""COMPUTED_VALUE"""),"G710-07813-12")</f>
        <v>G710-07813-12</v>
      </c>
      <c r="P55" s="182" t="str">
        <f>IFERROR(__xludf.DUMMYFUNCTION("""COMPUTED_VALUE"""),"G650-17430-06")</f>
        <v>G650-17430-06</v>
      </c>
      <c r="Q55" s="182" t="str">
        <f>IFERROR(__xludf.DUMMYFUNCTION("""COMPUTED_VALUE"""),"G650-15596-04")</f>
        <v>G650-15596-04</v>
      </c>
      <c r="R55" s="182" t="str">
        <f>IFERROR(__xludf.DUMMYFUNCTION("""COMPUTED_VALUE"""),"G650-14843-04")</f>
        <v>G650-14843-04</v>
      </c>
      <c r="S55" s="182" t="str">
        <f>IFERROR(__xludf.DUMMYFUNCTION("""COMPUTED_VALUE"""),"G650-14411-05")</f>
        <v>G650-14411-05</v>
      </c>
      <c r="T55" s="182" t="str">
        <f>IFERROR(__xludf.DUMMYFUNCTION("""COMPUTED_VALUE"""),"G650-14840-03")</f>
        <v>G650-14840-03</v>
      </c>
      <c r="U55" s="182" t="str">
        <f>IFERROR(__xludf.DUMMYFUNCTION("""COMPUTED_VALUE"""),"G650-14841-03")</f>
        <v>G650-14841-03</v>
      </c>
      <c r="V55" s="182" t="str">
        <f>IFERROR(__xludf.DUMMYFUNCTION("""COMPUTED_VALUE"""),"G650-14413-03")</f>
        <v>G650-14413-03</v>
      </c>
      <c r="W55" s="182"/>
      <c r="X55" s="182" t="str">
        <f>IFERROR(__xludf.DUMMYFUNCTION("""COMPUTED_VALUE"""),"G990-07759-00")</f>
        <v>G990-07759-00</v>
      </c>
      <c r="Y55" s="182" t="str">
        <f>IFERROR(__xludf.DUMMYFUNCTION("""COMPUTED_VALUE"""),"G990-09782-00")</f>
        <v>G990-09782-00</v>
      </c>
      <c r="Z55" s="182" t="str">
        <f>IFERROR(__xludf.DUMMYFUNCTION("""COMPUTED_VALUE"""),"Y")</f>
        <v>Y</v>
      </c>
      <c r="AA55" s="182" t="str">
        <f>IFERROR(__xludf.DUMMYFUNCTION("""COMPUTED_VALUE"""),"Y")</f>
        <v>Y</v>
      </c>
    </row>
    <row r="56">
      <c r="A56" s="182" t="str">
        <f>IFERROR(__xludf.DUMMYFUNCTION("""COMPUTED_VALUE"""),"PVT/MP")</f>
        <v>PVT/MP</v>
      </c>
      <c r="B56" s="182">
        <f>IFERROR(__xludf.DUMMYFUNCTION("""COMPUTED_VALUE"""),55.0)</f>
        <v>55</v>
      </c>
      <c r="C56" s="182" t="str">
        <f>IFERROR(__xludf.DUMMYFUNCTION("""COMPUTED_VALUE"""),"GEHN3")</f>
        <v>GEHN3</v>
      </c>
      <c r="D56" s="182" t="str">
        <f>IFERROR(__xludf.DUMMYFUNCTION("""COMPUTED_VALUE"""),"GA10316-IN")</f>
        <v>GA10316-IN</v>
      </c>
      <c r="E56" s="182" t="str">
        <f>IFERROR(__xludf.DUMMYFUNCTION("""COMPUTED_VALUE"""),"SKU, CLR4, BETTER, SUB6, IN, BZ5")</f>
        <v>SKU, CLR4, BETTER, SUB6, IN, BZ5</v>
      </c>
      <c r="F56" s="182" t="str">
        <f>IFERROR(__xludf.DUMMYFUNCTION("""COMPUTED_VALUE"""),"Pixel 10 Pro, Jade, 256GB, IN")</f>
        <v>Pixel 10 Pro, Jade, 256GB, IN</v>
      </c>
      <c r="G56" s="182" t="str">
        <f>IFERROR(__xludf.DUMMYFUNCTION("""COMPUTED_VALUE"""),"CLR4")</f>
        <v>CLR4</v>
      </c>
      <c r="H56" s="182" t="str">
        <f>IFERROR(__xludf.DUMMYFUNCTION("""COMPUTED_VALUE"""),"SUB6")</f>
        <v>SUB6</v>
      </c>
      <c r="I56" s="182" t="str">
        <f>IFERROR(__xludf.DUMMYFUNCTION("""COMPUTED_VALUE"""),"256GB")</f>
        <v>256GB</v>
      </c>
      <c r="J56" s="182" t="str">
        <f>IFERROR(__xludf.DUMMYFUNCTION("""COMPUTED_VALUE"""),"G950-18290-04-I")</f>
        <v>G950-18290-04-I</v>
      </c>
      <c r="K56" s="182" t="str">
        <f>IFERROR(__xludf.DUMMYFUNCTION("""COMPUTED_VALUE"""),"G950-18290-04")</f>
        <v>G950-18290-04</v>
      </c>
      <c r="L56" s="182" t="str">
        <f>IFERROR(__xludf.DUMMYFUNCTION("""COMPUTED_VALUE"""),"G710-07822-01")</f>
        <v>G710-07822-01</v>
      </c>
      <c r="M56" s="182" t="str">
        <f>IFERROR(__xludf.DUMMYFUNCTION("""COMPUTED_VALUE"""),"G710-10000-40")</f>
        <v>G710-10000-40</v>
      </c>
      <c r="N56" s="182" t="str">
        <f>IFERROR(__xludf.DUMMYFUNCTION("""COMPUTED_VALUE"""),"G730-09466-14")</f>
        <v>G730-09466-14</v>
      </c>
      <c r="O56" s="182" t="str">
        <f>IFERROR(__xludf.DUMMYFUNCTION("""COMPUTED_VALUE"""),"G710-07813-12")</f>
        <v>G710-07813-12</v>
      </c>
      <c r="P56" s="182" t="str">
        <f>IFERROR(__xludf.DUMMYFUNCTION("""COMPUTED_VALUE"""),"G650-17430-06")</f>
        <v>G650-17430-06</v>
      </c>
      <c r="Q56" s="182" t="str">
        <f>IFERROR(__xludf.DUMMYFUNCTION("""COMPUTED_VALUE"""),"G650-15596-04")</f>
        <v>G650-15596-04</v>
      </c>
      <c r="R56" s="182" t="str">
        <f>IFERROR(__xludf.DUMMYFUNCTION("""COMPUTED_VALUE"""),"G650-14843-04")</f>
        <v>G650-14843-04</v>
      </c>
      <c r="S56" s="182" t="str">
        <f>IFERROR(__xludf.DUMMYFUNCTION("""COMPUTED_VALUE"""),"G650-14411-05")</f>
        <v>G650-14411-05</v>
      </c>
      <c r="T56" s="182" t="str">
        <f>IFERROR(__xludf.DUMMYFUNCTION("""COMPUTED_VALUE"""),"G650-14840-03")</f>
        <v>G650-14840-03</v>
      </c>
      <c r="U56" s="182" t="str">
        <f>IFERROR(__xludf.DUMMYFUNCTION("""COMPUTED_VALUE"""),"G650-14841-03")</f>
        <v>G650-14841-03</v>
      </c>
      <c r="V56" s="182" t="str">
        <f>IFERROR(__xludf.DUMMYFUNCTION("""COMPUTED_VALUE"""),"G650-14413-03")</f>
        <v>G650-14413-03</v>
      </c>
      <c r="W56" s="182"/>
      <c r="X56" s="182" t="str">
        <f>IFERROR(__xludf.DUMMYFUNCTION("""COMPUTED_VALUE"""),"G990-07759-00")</f>
        <v>G990-07759-00</v>
      </c>
      <c r="Y56" s="182" t="str">
        <f>IFERROR(__xludf.DUMMYFUNCTION("""COMPUTED_VALUE"""),"G990-09782-00")</f>
        <v>G990-09782-00</v>
      </c>
      <c r="Z56" s="182" t="str">
        <f>IFERROR(__xludf.DUMMYFUNCTION("""COMPUTED_VALUE"""),"Y")</f>
        <v>Y</v>
      </c>
      <c r="AA56" s="182" t="str">
        <f>IFERROR(__xludf.DUMMYFUNCTION("""COMPUTED_VALUE"""),"Y")</f>
        <v>Y</v>
      </c>
    </row>
    <row r="57">
      <c r="A57" s="182" t="str">
        <f>IFERROR(__xludf.DUMMYFUNCTION("""COMPUTED_VALUE"""),"IQ")</f>
        <v>IQ</v>
      </c>
      <c r="B57" s="182">
        <f>IFERROR(__xludf.DUMMYFUNCTION("""COMPUTED_VALUE"""),56.0)</f>
        <v>56</v>
      </c>
      <c r="C57" s="182" t="str">
        <f>IFERROR(__xludf.DUMMYFUNCTION("""COMPUTED_VALUE"""),"G4QUR")</f>
        <v>G4QUR</v>
      </c>
      <c r="D57" s="182" t="str">
        <f>IFERROR(__xludf.DUMMYFUNCTION("""COMPUTED_VALUE"""),"IQGA10276-US")</f>
        <v>IQGA10276-US</v>
      </c>
      <c r="E57" s="182" t="str">
        <f>IFERROR(__xludf.DUMMYFUNCTION("""COMPUTED_VALUE"""),"SKU, CLR3, GOOD, MMWAVE, VZW, IQ, US, BZ5")</f>
        <v>SKU, CLR3, GOOD, MMWAVE, VZW, IQ, US, BZ5</v>
      </c>
      <c r="F57" s="182" t="str">
        <f>IFERROR(__xludf.DUMMYFUNCTION("""COMPUTED_VALUE"""),"Pixel 10 Pro, Moonstone, 128GB, VZW, US, IQ")</f>
        <v>Pixel 10 Pro, Moonstone, 128GB, VZW, US, IQ</v>
      </c>
      <c r="G57" s="182" t="str">
        <f>IFERROR(__xludf.DUMMYFUNCTION("""COMPUTED_VALUE"""),"CLR3")</f>
        <v>CLR3</v>
      </c>
      <c r="H57" s="182" t="str">
        <f>IFERROR(__xludf.DUMMYFUNCTION("""COMPUTED_VALUE"""),"mmWave")</f>
        <v>mmWave</v>
      </c>
      <c r="I57" s="182" t="str">
        <f>IFERROR(__xludf.DUMMYFUNCTION("""COMPUTED_VALUE"""),"128GB")</f>
        <v>128GB</v>
      </c>
      <c r="J57" s="182"/>
      <c r="K57" s="182" t="str">
        <f>IFERROR(__xludf.DUMMYFUNCTION("""COMPUTED_VALUE"""),"G950-15986-03")</f>
        <v>G950-15986-03</v>
      </c>
      <c r="L57" s="182" t="str">
        <f>IFERROR(__xludf.DUMMYFUNCTION("""COMPUTED_VALUE"""),"G710-07821-01")</f>
        <v>G710-07821-01</v>
      </c>
      <c r="M57" s="182" t="str">
        <f>IFERROR(__xludf.DUMMYFUNCTION("""COMPUTED_VALUE"""),"G710-10000-40")</f>
        <v>G710-10000-40</v>
      </c>
      <c r="N57" s="182" t="str">
        <f>IFERROR(__xludf.DUMMYFUNCTION("""COMPUTED_VALUE"""),"G730-09466-13")</f>
        <v>G730-09466-13</v>
      </c>
      <c r="O57" s="182" t="str">
        <f>IFERROR(__xludf.DUMMYFUNCTION("""COMPUTED_VALUE"""),"G710-07813-00")</f>
        <v>G710-07813-00</v>
      </c>
      <c r="P57" s="182" t="str">
        <f>IFERROR(__xludf.DUMMYFUNCTION("""COMPUTED_VALUE"""),"G650-14410-06")</f>
        <v>G650-14410-06</v>
      </c>
      <c r="Q57" s="182" t="str">
        <f>IFERROR(__xludf.DUMMYFUNCTION("""COMPUTED_VALUE"""),"G650-14412-04")</f>
        <v>G650-14412-04</v>
      </c>
      <c r="R57" s="182" t="str">
        <f>IFERROR(__xludf.DUMMYFUNCTION("""COMPUTED_VALUE"""),"G650-14843-04")</f>
        <v>G650-14843-04</v>
      </c>
      <c r="S57" s="182" t="str">
        <f>IFERROR(__xludf.DUMMYFUNCTION("""COMPUTED_VALUE"""),"G650-14411-05")</f>
        <v>G650-14411-05</v>
      </c>
      <c r="T57" s="182" t="str">
        <f>IFERROR(__xludf.DUMMYFUNCTION("""COMPUTED_VALUE"""),"G650-14840-03")</f>
        <v>G650-14840-03</v>
      </c>
      <c r="U57" s="182" t="str">
        <f>IFERROR(__xludf.DUMMYFUNCTION("""COMPUTED_VALUE"""),"G650-14841-03")</f>
        <v>G650-14841-03</v>
      </c>
      <c r="V57" s="182" t="str">
        <f>IFERROR(__xludf.DUMMYFUNCTION("""COMPUTED_VALUE"""),"G650-14413-03")</f>
        <v>G650-14413-03</v>
      </c>
      <c r="W57" s="182"/>
      <c r="X57" s="182"/>
      <c r="Y57" s="182"/>
      <c r="Z57" s="182" t="str">
        <f>IFERROR(__xludf.DUMMYFUNCTION("""COMPUTED_VALUE"""),"N")</f>
        <v>N</v>
      </c>
      <c r="AA57" s="182" t="str">
        <f>IFERROR(__xludf.DUMMYFUNCTION("""COMPUTED_VALUE"""),"Y")</f>
        <v>Y</v>
      </c>
    </row>
    <row r="58">
      <c r="A58" s="182" t="str">
        <f>IFERROR(__xludf.DUMMYFUNCTION("""COMPUTED_VALUE"""),"IQ")</f>
        <v>IQ</v>
      </c>
      <c r="B58" s="182">
        <f>IFERROR(__xludf.DUMMYFUNCTION("""COMPUTED_VALUE"""),57.0)</f>
        <v>57</v>
      </c>
      <c r="C58" s="182" t="str">
        <f>IFERROR(__xludf.DUMMYFUNCTION("""COMPUTED_VALUE"""),"G4QUR")</f>
        <v>G4QUR</v>
      </c>
      <c r="D58" s="182" t="str">
        <f>IFERROR(__xludf.DUMMYFUNCTION("""COMPUTED_VALUE"""),"IQGA09905-US")</f>
        <v>IQGA09905-US</v>
      </c>
      <c r="E58" s="182" t="str">
        <f>IFERROR(__xludf.DUMMYFUNCTION("""COMPUTED_VALUE"""),"SKU, CLR1, BEST, MMWAVE, VZW, IQ, US, BZ5")</f>
        <v>SKU, CLR1, BEST, MMWAVE, VZW, IQ, US, BZ5</v>
      </c>
      <c r="F58" s="182" t="str">
        <f>IFERROR(__xludf.DUMMYFUNCTION("""COMPUTED_VALUE"""),"Pixel 10 Pro, Obsidian, 512GB, VZW, US, IQ")</f>
        <v>Pixel 10 Pro, Obsidian, 512GB, VZW, US, IQ</v>
      </c>
      <c r="G58" s="182" t="str">
        <f>IFERROR(__xludf.DUMMYFUNCTION("""COMPUTED_VALUE"""),"CLR1")</f>
        <v>CLR1</v>
      </c>
      <c r="H58" s="182" t="str">
        <f>IFERROR(__xludf.DUMMYFUNCTION("""COMPUTED_VALUE"""),"mmWave")</f>
        <v>mmWave</v>
      </c>
      <c r="I58" s="182" t="str">
        <f>IFERROR(__xludf.DUMMYFUNCTION("""COMPUTED_VALUE"""),"512GB")</f>
        <v>512GB</v>
      </c>
      <c r="J58" s="182"/>
      <c r="K58" s="182" t="str">
        <f>IFERROR(__xludf.DUMMYFUNCTION("""COMPUTED_VALUE"""),"G950-18291-01")</f>
        <v>G950-18291-01</v>
      </c>
      <c r="L58" s="182" t="str">
        <f>IFERROR(__xludf.DUMMYFUNCTION("""COMPUTED_VALUE"""),"G710-07821-01")</f>
        <v>G710-07821-01</v>
      </c>
      <c r="M58" s="182" t="str">
        <f>IFERROR(__xludf.DUMMYFUNCTION("""COMPUTED_VALUE"""),"G710-10000-40")</f>
        <v>G710-10000-40</v>
      </c>
      <c r="N58" s="182" t="str">
        <f>IFERROR(__xludf.DUMMYFUNCTION("""COMPUTED_VALUE"""),"G730-09466-11")</f>
        <v>G730-09466-11</v>
      </c>
      <c r="O58" s="182" t="str">
        <f>IFERROR(__xludf.DUMMYFUNCTION("""COMPUTED_VALUE"""),"G710-07813-20")</f>
        <v>G710-07813-20</v>
      </c>
      <c r="P58" s="182" t="str">
        <f>IFERROR(__xludf.DUMMYFUNCTION("""COMPUTED_VALUE"""),"G650-17431-06")</f>
        <v>G650-17431-06</v>
      </c>
      <c r="Q58" s="182" t="str">
        <f>IFERROR(__xludf.DUMMYFUNCTION("""COMPUTED_VALUE"""),"G650-14412-04")</f>
        <v>G650-14412-04</v>
      </c>
      <c r="R58" s="182" t="str">
        <f>IFERROR(__xludf.DUMMYFUNCTION("""COMPUTED_VALUE"""),"G650-14843-04")</f>
        <v>G650-14843-04</v>
      </c>
      <c r="S58" s="182" t="str">
        <f>IFERROR(__xludf.DUMMYFUNCTION("""COMPUTED_VALUE"""),"G650-14411-05")</f>
        <v>G650-14411-05</v>
      </c>
      <c r="T58" s="182" t="str">
        <f>IFERROR(__xludf.DUMMYFUNCTION("""COMPUTED_VALUE"""),"G650-14840-03")</f>
        <v>G650-14840-03</v>
      </c>
      <c r="U58" s="182" t="str">
        <f>IFERROR(__xludf.DUMMYFUNCTION("""COMPUTED_VALUE"""),"G650-14841-03")</f>
        <v>G650-14841-03</v>
      </c>
      <c r="V58" s="182" t="str">
        <f>IFERROR(__xludf.DUMMYFUNCTION("""COMPUTED_VALUE"""),"G650-14413-03")</f>
        <v>G650-14413-03</v>
      </c>
      <c r="W58" s="182"/>
      <c r="X58" s="182"/>
      <c r="Y58" s="182"/>
      <c r="Z58" s="182" t="str">
        <f>IFERROR(__xludf.DUMMYFUNCTION("""COMPUTED_VALUE"""),"N")</f>
        <v>N</v>
      </c>
      <c r="AA58" s="182" t="str">
        <f>IFERROR(__xludf.DUMMYFUNCTION("""COMPUTED_VALUE"""),"Y")</f>
        <v>Y</v>
      </c>
    </row>
    <row r="59">
      <c r="A59" s="182" t="str">
        <f>IFERROR(__xludf.DUMMYFUNCTION("""COMPUTED_VALUE"""),"IQ")</f>
        <v>IQ</v>
      </c>
      <c r="B59" s="182">
        <f>IFERROR(__xludf.DUMMYFUNCTION("""COMPUTED_VALUE"""),58.0)</f>
        <v>58</v>
      </c>
      <c r="C59" s="182" t="str">
        <f>IFERROR(__xludf.DUMMYFUNCTION("""COMPUTED_VALUE"""),"G4QUR")</f>
        <v>G4QUR</v>
      </c>
      <c r="D59" s="182" t="str">
        <f>IFERROR(__xludf.DUMMYFUNCTION("""COMPUTED_VALUE"""),"IQGA10279-US")</f>
        <v>IQGA10279-US</v>
      </c>
      <c r="E59" s="182" t="str">
        <f>IFERROR(__xludf.DUMMYFUNCTION("""COMPUTED_VALUE"""),"SKU, CLR4, BETTER, MMWAVE, VZW, IQ, US, BZ5")</f>
        <v>SKU, CLR4, BETTER, MMWAVE, VZW, IQ, US, BZ5</v>
      </c>
      <c r="F59" s="182" t="str">
        <f>IFERROR(__xludf.DUMMYFUNCTION("""COMPUTED_VALUE"""),"Pixel 10 Pro, Jade, 256GB, VZW, US, IQ")</f>
        <v>Pixel 10 Pro, Jade, 256GB, VZW, US, IQ</v>
      </c>
      <c r="G59" s="182" t="str">
        <f>IFERROR(__xludf.DUMMYFUNCTION("""COMPUTED_VALUE"""),"CLR4")</f>
        <v>CLR4</v>
      </c>
      <c r="H59" s="182" t="str">
        <f>IFERROR(__xludf.DUMMYFUNCTION("""COMPUTED_VALUE"""),"mmWave")</f>
        <v>mmWave</v>
      </c>
      <c r="I59" s="182" t="str">
        <f>IFERROR(__xludf.DUMMYFUNCTION("""COMPUTED_VALUE"""),"256GB")</f>
        <v>256GB</v>
      </c>
      <c r="J59" s="182"/>
      <c r="K59" s="182" t="str">
        <f>IFERROR(__xludf.DUMMYFUNCTION("""COMPUTED_VALUE"""),"G950-18289-04")</f>
        <v>G950-18289-04</v>
      </c>
      <c r="L59" s="182" t="str">
        <f>IFERROR(__xludf.DUMMYFUNCTION("""COMPUTED_VALUE"""),"G710-07821-01")</f>
        <v>G710-07821-01</v>
      </c>
      <c r="M59" s="182" t="str">
        <f>IFERROR(__xludf.DUMMYFUNCTION("""COMPUTED_VALUE"""),"G710-10000-40")</f>
        <v>G710-10000-40</v>
      </c>
      <c r="N59" s="182" t="str">
        <f>IFERROR(__xludf.DUMMYFUNCTION("""COMPUTED_VALUE"""),"G730-09466-14")</f>
        <v>G730-09466-14</v>
      </c>
      <c r="O59" s="182" t="str">
        <f>IFERROR(__xludf.DUMMYFUNCTION("""COMPUTED_VALUE"""),"G710-07813-10")</f>
        <v>G710-07813-10</v>
      </c>
      <c r="P59" s="182" t="str">
        <f>IFERROR(__xludf.DUMMYFUNCTION("""COMPUTED_VALUE"""),"G650-17429-06")</f>
        <v>G650-17429-06</v>
      </c>
      <c r="Q59" s="182" t="str">
        <f>IFERROR(__xludf.DUMMYFUNCTION("""COMPUTED_VALUE"""),"G650-14412-04")</f>
        <v>G650-14412-04</v>
      </c>
      <c r="R59" s="182" t="str">
        <f>IFERROR(__xludf.DUMMYFUNCTION("""COMPUTED_VALUE"""),"G650-14843-04")</f>
        <v>G650-14843-04</v>
      </c>
      <c r="S59" s="182" t="str">
        <f>IFERROR(__xludf.DUMMYFUNCTION("""COMPUTED_VALUE"""),"G650-14411-05")</f>
        <v>G650-14411-05</v>
      </c>
      <c r="T59" s="182" t="str">
        <f>IFERROR(__xludf.DUMMYFUNCTION("""COMPUTED_VALUE"""),"G650-14840-03")</f>
        <v>G650-14840-03</v>
      </c>
      <c r="U59" s="182" t="str">
        <f>IFERROR(__xludf.DUMMYFUNCTION("""COMPUTED_VALUE"""),"G650-14841-03")</f>
        <v>G650-14841-03</v>
      </c>
      <c r="V59" s="182" t="str">
        <f>IFERROR(__xludf.DUMMYFUNCTION("""COMPUTED_VALUE"""),"G650-14413-03")</f>
        <v>G650-14413-03</v>
      </c>
      <c r="W59" s="182"/>
      <c r="X59" s="182"/>
      <c r="Y59" s="182"/>
      <c r="Z59" s="182" t="str">
        <f>IFERROR(__xludf.DUMMYFUNCTION("""COMPUTED_VALUE"""),"N")</f>
        <v>N</v>
      </c>
      <c r="AA59" s="182" t="str">
        <f>IFERROR(__xludf.DUMMYFUNCTION("""COMPUTED_VALUE"""),"Y")</f>
        <v>Y</v>
      </c>
    </row>
    <row r="60">
      <c r="A60" s="182" t="str">
        <f>IFERROR(__xludf.DUMMYFUNCTION("""COMPUTED_VALUE"""),"IQ")</f>
        <v>IQ</v>
      </c>
      <c r="B60" s="182">
        <f>IFERROR(__xludf.DUMMYFUNCTION("""COMPUTED_VALUE"""),59.0)</f>
        <v>59</v>
      </c>
      <c r="C60" s="182" t="str">
        <f>IFERROR(__xludf.DUMMYFUNCTION("""COMPUTED_VALUE"""),"G4QUR")</f>
        <v>G4QUR</v>
      </c>
      <c r="D60" s="182" t="str">
        <f>IFERROR(__xludf.DUMMYFUNCTION("""COMPUTED_VALUE"""),"IQGA09896-US")</f>
        <v>IQGA09896-US</v>
      </c>
      <c r="E60" s="182" t="str">
        <f>IFERROR(__xludf.DUMMYFUNCTION("""COMPUTED_VALUE"""),"SKU, CLR1, BETTER, MMWAVE, VZW, IQ, US, BZ5")</f>
        <v>SKU, CLR1, BETTER, MMWAVE, VZW, IQ, US, BZ5</v>
      </c>
      <c r="F60" s="182" t="str">
        <f>IFERROR(__xludf.DUMMYFUNCTION("""COMPUTED_VALUE"""),"Pixel 10 Pro, Obsidian, 256GB, VZW, US, IQ")</f>
        <v>Pixel 10 Pro, Obsidian, 256GB, VZW, US, IQ</v>
      </c>
      <c r="G60" s="182" t="str">
        <f>IFERROR(__xludf.DUMMYFUNCTION("""COMPUTED_VALUE"""),"CLR1")</f>
        <v>CLR1</v>
      </c>
      <c r="H60" s="182" t="str">
        <f>IFERROR(__xludf.DUMMYFUNCTION("""COMPUTED_VALUE"""),"mmWave")</f>
        <v>mmWave</v>
      </c>
      <c r="I60" s="182" t="str">
        <f>IFERROR(__xludf.DUMMYFUNCTION("""COMPUTED_VALUE"""),"256GB")</f>
        <v>256GB</v>
      </c>
      <c r="J60" s="182"/>
      <c r="K60" s="182" t="str">
        <f>IFERROR(__xludf.DUMMYFUNCTION("""COMPUTED_VALUE"""),"G950-18289-01")</f>
        <v>G950-18289-01</v>
      </c>
      <c r="L60" s="182" t="str">
        <f>IFERROR(__xludf.DUMMYFUNCTION("""COMPUTED_VALUE"""),"G710-07821-01")</f>
        <v>G710-07821-01</v>
      </c>
      <c r="M60" s="182" t="str">
        <f>IFERROR(__xludf.DUMMYFUNCTION("""COMPUTED_VALUE"""),"G710-10000-40")</f>
        <v>G710-10000-40</v>
      </c>
      <c r="N60" s="182" t="str">
        <f>IFERROR(__xludf.DUMMYFUNCTION("""COMPUTED_VALUE"""),"G730-09466-11")</f>
        <v>G730-09466-11</v>
      </c>
      <c r="O60" s="182" t="str">
        <f>IFERROR(__xludf.DUMMYFUNCTION("""COMPUTED_VALUE"""),"G710-07813-10")</f>
        <v>G710-07813-10</v>
      </c>
      <c r="P60" s="182" t="str">
        <f>IFERROR(__xludf.DUMMYFUNCTION("""COMPUTED_VALUE"""),"G650-17429-06")</f>
        <v>G650-17429-06</v>
      </c>
      <c r="Q60" s="182" t="str">
        <f>IFERROR(__xludf.DUMMYFUNCTION("""COMPUTED_VALUE"""),"G650-14412-04")</f>
        <v>G650-14412-04</v>
      </c>
      <c r="R60" s="182" t="str">
        <f>IFERROR(__xludf.DUMMYFUNCTION("""COMPUTED_VALUE"""),"G650-14843-04")</f>
        <v>G650-14843-04</v>
      </c>
      <c r="S60" s="182" t="str">
        <f>IFERROR(__xludf.DUMMYFUNCTION("""COMPUTED_VALUE"""),"G650-14411-05")</f>
        <v>G650-14411-05</v>
      </c>
      <c r="T60" s="182" t="str">
        <f>IFERROR(__xludf.DUMMYFUNCTION("""COMPUTED_VALUE"""),"G650-14840-03")</f>
        <v>G650-14840-03</v>
      </c>
      <c r="U60" s="182" t="str">
        <f>IFERROR(__xludf.DUMMYFUNCTION("""COMPUTED_VALUE"""),"G650-14841-03")</f>
        <v>G650-14841-03</v>
      </c>
      <c r="V60" s="182" t="str">
        <f>IFERROR(__xludf.DUMMYFUNCTION("""COMPUTED_VALUE"""),"G650-14413-03")</f>
        <v>G650-14413-03</v>
      </c>
      <c r="W60" s="182"/>
      <c r="X60" s="182"/>
      <c r="Y60" s="182"/>
      <c r="Z60" s="182" t="str">
        <f>IFERROR(__xludf.DUMMYFUNCTION("""COMPUTED_VALUE"""),"N")</f>
        <v>N</v>
      </c>
      <c r="AA60" s="182" t="str">
        <f>IFERROR(__xludf.DUMMYFUNCTION("""COMPUTED_VALUE"""),"Y")</f>
        <v>Y</v>
      </c>
    </row>
    <row r="61">
      <c r="A61" s="182" t="str">
        <f>IFERROR(__xludf.DUMMYFUNCTION("""COMPUTED_VALUE"""),"IQ")</f>
        <v>IQ</v>
      </c>
      <c r="B61" s="182">
        <f>IFERROR(__xludf.DUMMYFUNCTION("""COMPUTED_VALUE"""),60.0)</f>
        <v>60</v>
      </c>
      <c r="C61" s="182" t="str">
        <f>IFERROR(__xludf.DUMMYFUNCTION("""COMPUTED_VALUE"""),"G4QUR")</f>
        <v>G4QUR</v>
      </c>
      <c r="D61" s="182" t="str">
        <f>IFERROR(__xludf.DUMMYFUNCTION("""COMPUTED_VALUE"""),"IQGA10278-US")</f>
        <v>IQGA10278-US</v>
      </c>
      <c r="E61" s="182" t="str">
        <f>IFERROR(__xludf.DUMMYFUNCTION("""COMPUTED_VALUE"""),"SKU, CLR3, BETTER, MMWAVE, VZW, IQ, US, BZ5")</f>
        <v>SKU, CLR3, BETTER, MMWAVE, VZW, IQ, US, BZ5</v>
      </c>
      <c r="F61" s="182" t="str">
        <f>IFERROR(__xludf.DUMMYFUNCTION("""COMPUTED_VALUE"""),"Pixel 10 Pro, Moonstone, 256GB, VZW, US, IQ")</f>
        <v>Pixel 10 Pro, Moonstone, 256GB, VZW, US, IQ</v>
      </c>
      <c r="G61" s="182" t="str">
        <f>IFERROR(__xludf.DUMMYFUNCTION("""COMPUTED_VALUE"""),"CLR3")</f>
        <v>CLR3</v>
      </c>
      <c r="H61" s="182" t="str">
        <f>IFERROR(__xludf.DUMMYFUNCTION("""COMPUTED_VALUE"""),"mmWave")</f>
        <v>mmWave</v>
      </c>
      <c r="I61" s="182" t="str">
        <f>IFERROR(__xludf.DUMMYFUNCTION("""COMPUTED_VALUE"""),"256GB")</f>
        <v>256GB</v>
      </c>
      <c r="J61" s="182"/>
      <c r="K61" s="182" t="str">
        <f>IFERROR(__xludf.DUMMYFUNCTION("""COMPUTED_VALUE"""),"G950-18289-03")</f>
        <v>G950-18289-03</v>
      </c>
      <c r="L61" s="182" t="str">
        <f>IFERROR(__xludf.DUMMYFUNCTION("""COMPUTED_VALUE"""),"G710-07821-01")</f>
        <v>G710-07821-01</v>
      </c>
      <c r="M61" s="182" t="str">
        <f>IFERROR(__xludf.DUMMYFUNCTION("""COMPUTED_VALUE"""),"G710-10000-40")</f>
        <v>G710-10000-40</v>
      </c>
      <c r="N61" s="182" t="str">
        <f>IFERROR(__xludf.DUMMYFUNCTION("""COMPUTED_VALUE"""),"G730-09466-13")</f>
        <v>G730-09466-13</v>
      </c>
      <c r="O61" s="182" t="str">
        <f>IFERROR(__xludf.DUMMYFUNCTION("""COMPUTED_VALUE"""),"G710-07813-10")</f>
        <v>G710-07813-10</v>
      </c>
      <c r="P61" s="182" t="str">
        <f>IFERROR(__xludf.DUMMYFUNCTION("""COMPUTED_VALUE"""),"G650-17429-06")</f>
        <v>G650-17429-06</v>
      </c>
      <c r="Q61" s="182" t="str">
        <f>IFERROR(__xludf.DUMMYFUNCTION("""COMPUTED_VALUE"""),"G650-14412-04")</f>
        <v>G650-14412-04</v>
      </c>
      <c r="R61" s="182" t="str">
        <f>IFERROR(__xludf.DUMMYFUNCTION("""COMPUTED_VALUE"""),"G650-14843-04")</f>
        <v>G650-14843-04</v>
      </c>
      <c r="S61" s="182" t="str">
        <f>IFERROR(__xludf.DUMMYFUNCTION("""COMPUTED_VALUE"""),"G650-14411-05")</f>
        <v>G650-14411-05</v>
      </c>
      <c r="T61" s="182" t="str">
        <f>IFERROR(__xludf.DUMMYFUNCTION("""COMPUTED_VALUE"""),"G650-14840-03")</f>
        <v>G650-14840-03</v>
      </c>
      <c r="U61" s="182" t="str">
        <f>IFERROR(__xludf.DUMMYFUNCTION("""COMPUTED_VALUE"""),"G650-14841-03")</f>
        <v>G650-14841-03</v>
      </c>
      <c r="V61" s="182" t="str">
        <f>IFERROR(__xludf.DUMMYFUNCTION("""COMPUTED_VALUE"""),"G650-14413-03")</f>
        <v>G650-14413-03</v>
      </c>
      <c r="W61" s="182"/>
      <c r="X61" s="182"/>
      <c r="Y61" s="182"/>
      <c r="Z61" s="182" t="str">
        <f>IFERROR(__xludf.DUMMYFUNCTION("""COMPUTED_VALUE"""),"N")</f>
        <v>N</v>
      </c>
      <c r="AA61" s="182" t="str">
        <f>IFERROR(__xludf.DUMMYFUNCTION("""COMPUTED_VALUE"""),"Y")</f>
        <v>Y</v>
      </c>
    </row>
    <row r="62">
      <c r="A62" s="182" t="str">
        <f>IFERROR(__xludf.DUMMYFUNCTION("""COMPUTED_VALUE"""),"IQ")</f>
        <v>IQ</v>
      </c>
      <c r="B62" s="182">
        <f>IFERROR(__xludf.DUMMYFUNCTION("""COMPUTED_VALUE"""),61.0)</f>
        <v>61</v>
      </c>
      <c r="C62" s="182" t="str">
        <f>IFERROR(__xludf.DUMMYFUNCTION("""COMPUTED_VALUE"""),"G4QUR")</f>
        <v>G4QUR</v>
      </c>
      <c r="D62" s="182" t="str">
        <f>IFERROR(__xludf.DUMMYFUNCTION("""COMPUTED_VALUE"""),"IQGA10281-US")</f>
        <v>IQGA10281-US</v>
      </c>
      <c r="E62" s="182" t="str">
        <f>IFERROR(__xludf.DUMMYFUNCTION("""COMPUTED_VALUE"""),"SKU, CLR3, BEST, MMWAVE, VZW, IQ, US, BZ5")</f>
        <v>SKU, CLR3, BEST, MMWAVE, VZW, IQ, US, BZ5</v>
      </c>
      <c r="F62" s="182" t="str">
        <f>IFERROR(__xludf.DUMMYFUNCTION("""COMPUTED_VALUE"""),"Pixel 10 Pro, Moonstone, 512GB, VZW, US, IQ")</f>
        <v>Pixel 10 Pro, Moonstone, 512GB, VZW, US, IQ</v>
      </c>
      <c r="G62" s="182" t="str">
        <f>IFERROR(__xludf.DUMMYFUNCTION("""COMPUTED_VALUE"""),"CLR3")</f>
        <v>CLR3</v>
      </c>
      <c r="H62" s="182" t="str">
        <f>IFERROR(__xludf.DUMMYFUNCTION("""COMPUTED_VALUE"""),"mmWave")</f>
        <v>mmWave</v>
      </c>
      <c r="I62" s="182" t="str">
        <f>IFERROR(__xludf.DUMMYFUNCTION("""COMPUTED_VALUE"""),"512GB")</f>
        <v>512GB</v>
      </c>
      <c r="J62" s="182"/>
      <c r="K62" s="182" t="str">
        <f>IFERROR(__xludf.DUMMYFUNCTION("""COMPUTED_VALUE"""),"G950-18291-03")</f>
        <v>G950-18291-03</v>
      </c>
      <c r="L62" s="182" t="str">
        <f>IFERROR(__xludf.DUMMYFUNCTION("""COMPUTED_VALUE"""),"G710-07821-01")</f>
        <v>G710-07821-01</v>
      </c>
      <c r="M62" s="182" t="str">
        <f>IFERROR(__xludf.DUMMYFUNCTION("""COMPUTED_VALUE"""),"G710-10000-40")</f>
        <v>G710-10000-40</v>
      </c>
      <c r="N62" s="182" t="str">
        <f>IFERROR(__xludf.DUMMYFUNCTION("""COMPUTED_VALUE"""),"G730-09466-13")</f>
        <v>G730-09466-13</v>
      </c>
      <c r="O62" s="182" t="str">
        <f>IFERROR(__xludf.DUMMYFUNCTION("""COMPUTED_VALUE"""),"G710-07813-20")</f>
        <v>G710-07813-20</v>
      </c>
      <c r="P62" s="182" t="str">
        <f>IFERROR(__xludf.DUMMYFUNCTION("""COMPUTED_VALUE"""),"G650-17431-06")</f>
        <v>G650-17431-06</v>
      </c>
      <c r="Q62" s="182" t="str">
        <f>IFERROR(__xludf.DUMMYFUNCTION("""COMPUTED_VALUE"""),"G650-14412-04")</f>
        <v>G650-14412-04</v>
      </c>
      <c r="R62" s="182" t="str">
        <f>IFERROR(__xludf.DUMMYFUNCTION("""COMPUTED_VALUE"""),"G650-14843-04")</f>
        <v>G650-14843-04</v>
      </c>
      <c r="S62" s="182" t="str">
        <f>IFERROR(__xludf.DUMMYFUNCTION("""COMPUTED_VALUE"""),"G650-14411-05")</f>
        <v>G650-14411-05</v>
      </c>
      <c r="T62" s="182" t="str">
        <f>IFERROR(__xludf.DUMMYFUNCTION("""COMPUTED_VALUE"""),"G650-14840-03")</f>
        <v>G650-14840-03</v>
      </c>
      <c r="U62" s="182" t="str">
        <f>IFERROR(__xludf.DUMMYFUNCTION("""COMPUTED_VALUE"""),"G650-14841-03")</f>
        <v>G650-14841-03</v>
      </c>
      <c r="V62" s="182" t="str">
        <f>IFERROR(__xludf.DUMMYFUNCTION("""COMPUTED_VALUE"""),"G650-14413-03")</f>
        <v>G650-14413-03</v>
      </c>
      <c r="W62" s="182"/>
      <c r="X62" s="182"/>
      <c r="Y62" s="182"/>
      <c r="Z62" s="182" t="str">
        <f>IFERROR(__xludf.DUMMYFUNCTION("""COMPUTED_VALUE"""),"N")</f>
        <v>N</v>
      </c>
      <c r="AA62" s="182" t="str">
        <f>IFERROR(__xludf.DUMMYFUNCTION("""COMPUTED_VALUE"""),"Y")</f>
        <v>Y</v>
      </c>
    </row>
    <row r="63">
      <c r="A63" s="182" t="str">
        <f>IFERROR(__xludf.DUMMYFUNCTION("""COMPUTED_VALUE"""),"IQ")</f>
        <v>IQ</v>
      </c>
      <c r="B63" s="182">
        <f>IFERROR(__xludf.DUMMYFUNCTION("""COMPUTED_VALUE"""),62.0)</f>
        <v>62</v>
      </c>
      <c r="C63" s="182" t="str">
        <f>IFERROR(__xludf.DUMMYFUNCTION("""COMPUTED_VALUE"""),"G4QUR")</f>
        <v>G4QUR</v>
      </c>
      <c r="D63" s="182" t="str">
        <f>IFERROR(__xludf.DUMMYFUNCTION("""COMPUTED_VALUE"""),"IQGA09187-US")</f>
        <v>IQGA09187-US</v>
      </c>
      <c r="E63" s="182" t="str">
        <f>IFERROR(__xludf.DUMMYFUNCTION("""COMPUTED_VALUE"""),"SKU, CLR1, GOOD, MMWAVE, VZW, IQ, US, BZ5")</f>
        <v>SKU, CLR1, GOOD, MMWAVE, VZW, IQ, US, BZ5</v>
      </c>
      <c r="F63" s="182" t="str">
        <f>IFERROR(__xludf.DUMMYFUNCTION("""COMPUTED_VALUE"""),"Pixel 10 Pro, Obsidian, 128GB, VZW, US, IQ")</f>
        <v>Pixel 10 Pro, Obsidian, 128GB, VZW, US, IQ</v>
      </c>
      <c r="G63" s="182" t="str">
        <f>IFERROR(__xludf.DUMMYFUNCTION("""COMPUTED_VALUE"""),"CLR1")</f>
        <v>CLR1</v>
      </c>
      <c r="H63" s="182" t="str">
        <f>IFERROR(__xludf.DUMMYFUNCTION("""COMPUTED_VALUE"""),"mmWave")</f>
        <v>mmWave</v>
      </c>
      <c r="I63" s="182" t="str">
        <f>IFERROR(__xludf.DUMMYFUNCTION("""COMPUTED_VALUE"""),"128GB")</f>
        <v>128GB</v>
      </c>
      <c r="J63" s="182"/>
      <c r="K63" s="182" t="str">
        <f>IFERROR(__xludf.DUMMYFUNCTION("""COMPUTED_VALUE"""),"G950-15986-01")</f>
        <v>G950-15986-01</v>
      </c>
      <c r="L63" s="182" t="str">
        <f>IFERROR(__xludf.DUMMYFUNCTION("""COMPUTED_VALUE"""),"G710-07821-01")</f>
        <v>G710-07821-01</v>
      </c>
      <c r="M63" s="182" t="str">
        <f>IFERROR(__xludf.DUMMYFUNCTION("""COMPUTED_VALUE"""),"G710-10000-40")</f>
        <v>G710-10000-40</v>
      </c>
      <c r="N63" s="182" t="str">
        <f>IFERROR(__xludf.DUMMYFUNCTION("""COMPUTED_VALUE"""),"G730-09466-11")</f>
        <v>G730-09466-11</v>
      </c>
      <c r="O63" s="182" t="str">
        <f>IFERROR(__xludf.DUMMYFUNCTION("""COMPUTED_VALUE"""),"G710-07813-00")</f>
        <v>G710-07813-00</v>
      </c>
      <c r="P63" s="182" t="str">
        <f>IFERROR(__xludf.DUMMYFUNCTION("""COMPUTED_VALUE"""),"G650-14410-06")</f>
        <v>G650-14410-06</v>
      </c>
      <c r="Q63" s="182" t="str">
        <f>IFERROR(__xludf.DUMMYFUNCTION("""COMPUTED_VALUE"""),"G650-14412-04")</f>
        <v>G650-14412-04</v>
      </c>
      <c r="R63" s="182" t="str">
        <f>IFERROR(__xludf.DUMMYFUNCTION("""COMPUTED_VALUE"""),"G650-14843-04")</f>
        <v>G650-14843-04</v>
      </c>
      <c r="S63" s="182" t="str">
        <f>IFERROR(__xludf.DUMMYFUNCTION("""COMPUTED_VALUE"""),"G650-14411-05")</f>
        <v>G650-14411-05</v>
      </c>
      <c r="T63" s="182" t="str">
        <f>IFERROR(__xludf.DUMMYFUNCTION("""COMPUTED_VALUE"""),"G650-14840-03")</f>
        <v>G650-14840-03</v>
      </c>
      <c r="U63" s="182" t="str">
        <f>IFERROR(__xludf.DUMMYFUNCTION("""COMPUTED_VALUE"""),"G650-14841-03")</f>
        <v>G650-14841-03</v>
      </c>
      <c r="V63" s="182" t="str">
        <f>IFERROR(__xludf.DUMMYFUNCTION("""COMPUTED_VALUE"""),"G650-14413-03")</f>
        <v>G650-14413-03</v>
      </c>
      <c r="W63" s="182"/>
      <c r="X63" s="182"/>
      <c r="Y63" s="182"/>
      <c r="Z63" s="182" t="str">
        <f>IFERROR(__xludf.DUMMYFUNCTION("""COMPUTED_VALUE"""),"N")</f>
        <v>N</v>
      </c>
      <c r="AA63" s="182" t="str">
        <f>IFERROR(__xludf.DUMMYFUNCTION("""COMPUTED_VALUE"""),"Y")</f>
        <v>Y</v>
      </c>
    </row>
    <row r="64">
      <c r="A64" s="182" t="str">
        <f>IFERROR(__xludf.DUMMYFUNCTION("""COMPUTED_VALUE"""),"IQ")</f>
        <v>IQ</v>
      </c>
      <c r="B64" s="182">
        <f>IFERROR(__xludf.DUMMYFUNCTION("""COMPUTED_VALUE"""),63.0)</f>
        <v>63</v>
      </c>
      <c r="C64" s="182" t="str">
        <f>IFERROR(__xludf.DUMMYFUNCTION("""COMPUTED_VALUE"""),"G4QUR")</f>
        <v>G4QUR</v>
      </c>
      <c r="D64" s="182" t="str">
        <f>IFERROR(__xludf.DUMMYFUNCTION("""COMPUTED_VALUE"""),"GA11018-US")</f>
        <v>GA11018-US</v>
      </c>
      <c r="E64" s="182" t="str">
        <f>IFERROR(__xludf.DUMMYFUNCTION("""COMPUTED_VALUE"""),"SKU, CLR3, GOOD, MMWAVE, TMO, IQ, US, BZ5")</f>
        <v>SKU, CLR3, GOOD, MMWAVE, TMO, IQ, US, BZ5</v>
      </c>
      <c r="F64" s="182" t="str">
        <f>IFERROR(__xludf.DUMMYFUNCTION("""COMPUTED_VALUE"""),"Pixel 10 Pro, Moonstone, 128GB, TMO, US, IQ")</f>
        <v>Pixel 10 Pro, Moonstone, 128GB, TMO, US, IQ</v>
      </c>
      <c r="G64" s="182" t="str">
        <f>IFERROR(__xludf.DUMMYFUNCTION("""COMPUTED_VALUE"""),"CLR3")</f>
        <v>CLR3</v>
      </c>
      <c r="H64" s="182" t="str">
        <f>IFERROR(__xludf.DUMMYFUNCTION("""COMPUTED_VALUE"""),"mmWave")</f>
        <v>mmWave</v>
      </c>
      <c r="I64" s="182" t="str">
        <f>IFERROR(__xludf.DUMMYFUNCTION("""COMPUTED_VALUE"""),"128GB")</f>
        <v>128GB</v>
      </c>
      <c r="J64" s="182"/>
      <c r="K64" s="182" t="str">
        <f>IFERROR(__xludf.DUMMYFUNCTION("""COMPUTED_VALUE"""),"G950-15986-03")</f>
        <v>G950-15986-03</v>
      </c>
      <c r="L64" s="182" t="str">
        <f>IFERROR(__xludf.DUMMYFUNCTION("""COMPUTED_VALUE"""),"G710-07821-01")</f>
        <v>G710-07821-01</v>
      </c>
      <c r="M64" s="182" t="str">
        <f>IFERROR(__xludf.DUMMYFUNCTION("""COMPUTED_VALUE"""),"G710-10000-40")</f>
        <v>G710-10000-40</v>
      </c>
      <c r="N64" s="182" t="str">
        <f>IFERROR(__xludf.DUMMYFUNCTION("""COMPUTED_VALUE"""),"G730-09466-13")</f>
        <v>G730-09466-13</v>
      </c>
      <c r="O64" s="182" t="str">
        <f>IFERROR(__xludf.DUMMYFUNCTION("""COMPUTED_VALUE"""),"G710-07813-00")</f>
        <v>G710-07813-00</v>
      </c>
      <c r="P64" s="182" t="str">
        <f>IFERROR(__xludf.DUMMYFUNCTION("""COMPUTED_VALUE"""),"G650-14410-06")</f>
        <v>G650-14410-06</v>
      </c>
      <c r="Q64" s="182" t="str">
        <f>IFERROR(__xludf.DUMMYFUNCTION("""COMPUTED_VALUE"""),"G650-14412-04")</f>
        <v>G650-14412-04</v>
      </c>
      <c r="R64" s="182" t="str">
        <f>IFERROR(__xludf.DUMMYFUNCTION("""COMPUTED_VALUE"""),"G650-14843-04")</f>
        <v>G650-14843-04</v>
      </c>
      <c r="S64" s="182" t="str">
        <f>IFERROR(__xludf.DUMMYFUNCTION("""COMPUTED_VALUE"""),"G650-14411-05")</f>
        <v>G650-14411-05</v>
      </c>
      <c r="T64" s="182" t="str">
        <f>IFERROR(__xludf.DUMMYFUNCTION("""COMPUTED_VALUE"""),"G650-14840-03")</f>
        <v>G650-14840-03</v>
      </c>
      <c r="U64" s="182" t="str">
        <f>IFERROR(__xludf.DUMMYFUNCTION("""COMPUTED_VALUE"""),"G650-14841-03")</f>
        <v>G650-14841-03</v>
      </c>
      <c r="V64" s="182" t="str">
        <f>IFERROR(__xludf.DUMMYFUNCTION("""COMPUTED_VALUE"""),"G650-14413-03")</f>
        <v>G650-14413-03</v>
      </c>
      <c r="W64" s="182"/>
      <c r="X64" s="182"/>
      <c r="Y64" s="182"/>
      <c r="Z64" s="182" t="str">
        <f>IFERROR(__xludf.DUMMYFUNCTION("""COMPUTED_VALUE"""),"N")</f>
        <v>N</v>
      </c>
      <c r="AA64" s="182" t="str">
        <f>IFERROR(__xludf.DUMMYFUNCTION("""COMPUTED_VALUE"""),"Y")</f>
        <v>Y</v>
      </c>
    </row>
    <row r="65">
      <c r="A65" s="182" t="str">
        <f>IFERROR(__xludf.DUMMYFUNCTION("""COMPUTED_VALUE"""),"IQ")</f>
        <v>IQ</v>
      </c>
      <c r="B65" s="182">
        <f>IFERROR(__xludf.DUMMYFUNCTION("""COMPUTED_VALUE"""),64.0)</f>
        <v>64</v>
      </c>
      <c r="C65" s="182" t="str">
        <f>IFERROR(__xludf.DUMMYFUNCTION("""COMPUTED_VALUE"""),"G4QUR")</f>
        <v>G4QUR</v>
      </c>
      <c r="D65" s="182" t="str">
        <f>IFERROR(__xludf.DUMMYFUNCTION("""COMPUTED_VALUE"""),"IQGA10275-US")</f>
        <v>IQGA10275-US</v>
      </c>
      <c r="E65" s="182" t="str">
        <f>IFERROR(__xludf.DUMMYFUNCTION("""COMPUTED_VALUE"""),"SKU, CLR2, GOOD, MMWAVE, VZW, IQ, US, BZ5")</f>
        <v>SKU, CLR2, GOOD, MMWAVE, VZW, IQ, US, BZ5</v>
      </c>
      <c r="F65" s="182" t="str">
        <f>IFERROR(__xludf.DUMMYFUNCTION("""COMPUTED_VALUE"""),"Pixel 10 Pro, Porcelain, 128GB, VZW, US, IQ")</f>
        <v>Pixel 10 Pro, Porcelain, 128GB, VZW, US, IQ</v>
      </c>
      <c r="G65" s="182" t="str">
        <f>IFERROR(__xludf.DUMMYFUNCTION("""COMPUTED_VALUE"""),"CLR2")</f>
        <v>CLR2</v>
      </c>
      <c r="H65" s="182" t="str">
        <f>IFERROR(__xludf.DUMMYFUNCTION("""COMPUTED_VALUE"""),"mmWave")</f>
        <v>mmWave</v>
      </c>
      <c r="I65" s="182" t="str">
        <f>IFERROR(__xludf.DUMMYFUNCTION("""COMPUTED_VALUE"""),"128GB")</f>
        <v>128GB</v>
      </c>
      <c r="J65" s="182"/>
      <c r="K65" s="182" t="str">
        <f>IFERROR(__xludf.DUMMYFUNCTION("""COMPUTED_VALUE"""),"G950-15986-02")</f>
        <v>G950-15986-02</v>
      </c>
      <c r="L65" s="182" t="str">
        <f>IFERROR(__xludf.DUMMYFUNCTION("""COMPUTED_VALUE"""),"G710-07821-01")</f>
        <v>G710-07821-01</v>
      </c>
      <c r="M65" s="182" t="str">
        <f>IFERROR(__xludf.DUMMYFUNCTION("""COMPUTED_VALUE"""),"G710-10000-40")</f>
        <v>G710-10000-40</v>
      </c>
      <c r="N65" s="182" t="str">
        <f>IFERROR(__xludf.DUMMYFUNCTION("""COMPUTED_VALUE"""),"G730-09466-12")</f>
        <v>G730-09466-12</v>
      </c>
      <c r="O65" s="182" t="str">
        <f>IFERROR(__xludf.DUMMYFUNCTION("""COMPUTED_VALUE"""),"G710-07813-00")</f>
        <v>G710-07813-00</v>
      </c>
      <c r="P65" s="182" t="str">
        <f>IFERROR(__xludf.DUMMYFUNCTION("""COMPUTED_VALUE"""),"G650-14410-06")</f>
        <v>G650-14410-06</v>
      </c>
      <c r="Q65" s="182" t="str">
        <f>IFERROR(__xludf.DUMMYFUNCTION("""COMPUTED_VALUE"""),"G650-14412-04")</f>
        <v>G650-14412-04</v>
      </c>
      <c r="R65" s="182" t="str">
        <f>IFERROR(__xludf.DUMMYFUNCTION("""COMPUTED_VALUE"""),"G650-14843-04")</f>
        <v>G650-14843-04</v>
      </c>
      <c r="S65" s="182" t="str">
        <f>IFERROR(__xludf.DUMMYFUNCTION("""COMPUTED_VALUE"""),"G650-14411-05")</f>
        <v>G650-14411-05</v>
      </c>
      <c r="T65" s="182" t="str">
        <f>IFERROR(__xludf.DUMMYFUNCTION("""COMPUTED_VALUE"""),"G650-14840-03")</f>
        <v>G650-14840-03</v>
      </c>
      <c r="U65" s="182" t="str">
        <f>IFERROR(__xludf.DUMMYFUNCTION("""COMPUTED_VALUE"""),"G650-14841-03")</f>
        <v>G650-14841-03</v>
      </c>
      <c r="V65" s="182" t="str">
        <f>IFERROR(__xludf.DUMMYFUNCTION("""COMPUTED_VALUE"""),"G650-14413-03")</f>
        <v>G650-14413-03</v>
      </c>
      <c r="W65" s="182"/>
      <c r="X65" s="182"/>
      <c r="Y65" s="182"/>
      <c r="Z65" s="182" t="str">
        <f>IFERROR(__xludf.DUMMYFUNCTION("""COMPUTED_VALUE"""),"N")</f>
        <v>N</v>
      </c>
      <c r="AA65" s="182" t="str">
        <f>IFERROR(__xludf.DUMMYFUNCTION("""COMPUTED_VALUE"""),"Y")</f>
        <v>Y</v>
      </c>
    </row>
    <row r="66">
      <c r="A66" s="182" t="str">
        <f>IFERROR(__xludf.DUMMYFUNCTION("""COMPUTED_VALUE"""),"IQ")</f>
        <v>IQ</v>
      </c>
      <c r="B66" s="182">
        <f>IFERROR(__xludf.DUMMYFUNCTION("""COMPUTED_VALUE"""),65.0)</f>
        <v>65</v>
      </c>
      <c r="C66" s="182" t="str">
        <f>IFERROR(__xludf.DUMMYFUNCTION("""COMPUTED_VALUE"""),"G4QUR")</f>
        <v>G4QUR</v>
      </c>
      <c r="D66" s="182" t="str">
        <f>IFERROR(__xludf.DUMMYFUNCTION("""COMPUTED_VALUE"""),"IQGA10277-US")</f>
        <v>IQGA10277-US</v>
      </c>
      <c r="E66" s="182" t="str">
        <f>IFERROR(__xludf.DUMMYFUNCTION("""COMPUTED_VALUE"""),"SKU, CLR2, BETTER, MMWAVE, VZW, IQ, US, BZ5")</f>
        <v>SKU, CLR2, BETTER, MMWAVE, VZW, IQ, US, BZ5</v>
      </c>
      <c r="F66" s="182" t="str">
        <f>IFERROR(__xludf.DUMMYFUNCTION("""COMPUTED_VALUE"""),"Pixel 10 Pro, Porcelain, 256GB, VZW, US, IQ")</f>
        <v>Pixel 10 Pro, Porcelain, 256GB, VZW, US, IQ</v>
      </c>
      <c r="G66" s="182" t="str">
        <f>IFERROR(__xludf.DUMMYFUNCTION("""COMPUTED_VALUE"""),"CLR2")</f>
        <v>CLR2</v>
      </c>
      <c r="H66" s="182" t="str">
        <f>IFERROR(__xludf.DUMMYFUNCTION("""COMPUTED_VALUE"""),"mmWave")</f>
        <v>mmWave</v>
      </c>
      <c r="I66" s="182" t="str">
        <f>IFERROR(__xludf.DUMMYFUNCTION("""COMPUTED_VALUE"""),"256GB")</f>
        <v>256GB</v>
      </c>
      <c r="J66" s="182"/>
      <c r="K66" s="182" t="str">
        <f>IFERROR(__xludf.DUMMYFUNCTION("""COMPUTED_VALUE"""),"G950-18289-02")</f>
        <v>G950-18289-02</v>
      </c>
      <c r="L66" s="182" t="str">
        <f>IFERROR(__xludf.DUMMYFUNCTION("""COMPUTED_VALUE"""),"G710-07821-01")</f>
        <v>G710-07821-01</v>
      </c>
      <c r="M66" s="182" t="str">
        <f>IFERROR(__xludf.DUMMYFUNCTION("""COMPUTED_VALUE"""),"G710-10000-40")</f>
        <v>G710-10000-40</v>
      </c>
      <c r="N66" s="182" t="str">
        <f>IFERROR(__xludf.DUMMYFUNCTION("""COMPUTED_VALUE"""),"G730-09466-12")</f>
        <v>G730-09466-12</v>
      </c>
      <c r="O66" s="182" t="str">
        <f>IFERROR(__xludf.DUMMYFUNCTION("""COMPUTED_VALUE"""),"G710-07813-10")</f>
        <v>G710-07813-10</v>
      </c>
      <c r="P66" s="182" t="str">
        <f>IFERROR(__xludf.DUMMYFUNCTION("""COMPUTED_VALUE"""),"G650-17429-06")</f>
        <v>G650-17429-06</v>
      </c>
      <c r="Q66" s="182" t="str">
        <f>IFERROR(__xludf.DUMMYFUNCTION("""COMPUTED_VALUE"""),"G650-14412-04")</f>
        <v>G650-14412-04</v>
      </c>
      <c r="R66" s="182" t="str">
        <f>IFERROR(__xludf.DUMMYFUNCTION("""COMPUTED_VALUE"""),"G650-14843-04")</f>
        <v>G650-14843-04</v>
      </c>
      <c r="S66" s="182" t="str">
        <f>IFERROR(__xludf.DUMMYFUNCTION("""COMPUTED_VALUE"""),"G650-14411-05")</f>
        <v>G650-14411-05</v>
      </c>
      <c r="T66" s="182" t="str">
        <f>IFERROR(__xludf.DUMMYFUNCTION("""COMPUTED_VALUE"""),"G650-14840-03")</f>
        <v>G650-14840-03</v>
      </c>
      <c r="U66" s="182" t="str">
        <f>IFERROR(__xludf.DUMMYFUNCTION("""COMPUTED_VALUE"""),"G650-14841-03")</f>
        <v>G650-14841-03</v>
      </c>
      <c r="V66" s="182" t="str">
        <f>IFERROR(__xludf.DUMMYFUNCTION("""COMPUTED_VALUE"""),"G650-14413-03")</f>
        <v>G650-14413-03</v>
      </c>
      <c r="W66" s="182"/>
      <c r="X66" s="182"/>
      <c r="Y66" s="182"/>
      <c r="Z66" s="182" t="str">
        <f>IFERROR(__xludf.DUMMYFUNCTION("""COMPUTED_VALUE"""),"N")</f>
        <v>N</v>
      </c>
      <c r="AA66" s="182" t="str">
        <f>IFERROR(__xludf.DUMMYFUNCTION("""COMPUTED_VALUE"""),"Y")</f>
        <v>Y</v>
      </c>
    </row>
    <row r="67">
      <c r="A67" s="182" t="str">
        <f>IFERROR(__xludf.DUMMYFUNCTION("""COMPUTED_VALUE"""),"IQ")</f>
        <v>IQ</v>
      </c>
      <c r="B67" s="182">
        <f>IFERROR(__xludf.DUMMYFUNCTION("""COMPUTED_VALUE"""),66.0)</f>
        <v>66</v>
      </c>
      <c r="C67" s="182" t="str">
        <f>IFERROR(__xludf.DUMMYFUNCTION("""COMPUTED_VALUE"""),"G4QUR")</f>
        <v>G4QUR</v>
      </c>
      <c r="D67" s="182" t="str">
        <f>IFERROR(__xludf.DUMMYFUNCTION("""COMPUTED_VALUE"""),"IQGA10280-US")</f>
        <v>IQGA10280-US</v>
      </c>
      <c r="E67" s="182" t="str">
        <f>IFERROR(__xludf.DUMMYFUNCTION("""COMPUTED_VALUE"""),"SKU, CLR2, BEST, MMWAVE, VZW, IQ, US, BZ5")</f>
        <v>SKU, CLR2, BEST, MMWAVE, VZW, IQ, US, BZ5</v>
      </c>
      <c r="F67" s="182" t="str">
        <f>IFERROR(__xludf.DUMMYFUNCTION("""COMPUTED_VALUE"""),"Pixel 10 Pro, Porcelain, 512GB, VZW, US, IQ")</f>
        <v>Pixel 10 Pro, Porcelain, 512GB, VZW, US, IQ</v>
      </c>
      <c r="G67" s="182" t="str">
        <f>IFERROR(__xludf.DUMMYFUNCTION("""COMPUTED_VALUE"""),"CLR2")</f>
        <v>CLR2</v>
      </c>
      <c r="H67" s="182" t="str">
        <f>IFERROR(__xludf.DUMMYFUNCTION("""COMPUTED_VALUE"""),"mmWave")</f>
        <v>mmWave</v>
      </c>
      <c r="I67" s="182" t="str">
        <f>IFERROR(__xludf.DUMMYFUNCTION("""COMPUTED_VALUE"""),"512GB")</f>
        <v>512GB</v>
      </c>
      <c r="J67" s="182"/>
      <c r="K67" s="182" t="str">
        <f>IFERROR(__xludf.DUMMYFUNCTION("""COMPUTED_VALUE"""),"G950-18291-02")</f>
        <v>G950-18291-02</v>
      </c>
      <c r="L67" s="182" t="str">
        <f>IFERROR(__xludf.DUMMYFUNCTION("""COMPUTED_VALUE"""),"G710-07821-01")</f>
        <v>G710-07821-01</v>
      </c>
      <c r="M67" s="182" t="str">
        <f>IFERROR(__xludf.DUMMYFUNCTION("""COMPUTED_VALUE"""),"G710-10000-40")</f>
        <v>G710-10000-40</v>
      </c>
      <c r="N67" s="182" t="str">
        <f>IFERROR(__xludf.DUMMYFUNCTION("""COMPUTED_VALUE"""),"G730-09466-12")</f>
        <v>G730-09466-12</v>
      </c>
      <c r="O67" s="182" t="str">
        <f>IFERROR(__xludf.DUMMYFUNCTION("""COMPUTED_VALUE"""),"G710-07813-20")</f>
        <v>G710-07813-20</v>
      </c>
      <c r="P67" s="182" t="str">
        <f>IFERROR(__xludf.DUMMYFUNCTION("""COMPUTED_VALUE"""),"G650-17431-06")</f>
        <v>G650-17431-06</v>
      </c>
      <c r="Q67" s="182" t="str">
        <f>IFERROR(__xludf.DUMMYFUNCTION("""COMPUTED_VALUE"""),"G650-14412-04")</f>
        <v>G650-14412-04</v>
      </c>
      <c r="R67" s="182" t="str">
        <f>IFERROR(__xludf.DUMMYFUNCTION("""COMPUTED_VALUE"""),"G650-14843-04")</f>
        <v>G650-14843-04</v>
      </c>
      <c r="S67" s="182" t="str">
        <f>IFERROR(__xludf.DUMMYFUNCTION("""COMPUTED_VALUE"""),"G650-14411-05")</f>
        <v>G650-14411-05</v>
      </c>
      <c r="T67" s="182" t="str">
        <f>IFERROR(__xludf.DUMMYFUNCTION("""COMPUTED_VALUE"""),"G650-14840-03")</f>
        <v>G650-14840-03</v>
      </c>
      <c r="U67" s="182" t="str">
        <f>IFERROR(__xludf.DUMMYFUNCTION("""COMPUTED_VALUE"""),"G650-14841-03")</f>
        <v>G650-14841-03</v>
      </c>
      <c r="V67" s="182" t="str">
        <f>IFERROR(__xludf.DUMMYFUNCTION("""COMPUTED_VALUE"""),"G650-14413-03")</f>
        <v>G650-14413-03</v>
      </c>
      <c r="W67" s="182"/>
      <c r="X67" s="182"/>
      <c r="Y67" s="182"/>
      <c r="Z67" s="182" t="str">
        <f>IFERROR(__xludf.DUMMYFUNCTION("""COMPUTED_VALUE"""),"N")</f>
        <v>N</v>
      </c>
      <c r="AA67" s="182" t="str">
        <f>IFERROR(__xludf.DUMMYFUNCTION("""COMPUTED_VALUE"""),"Y")</f>
        <v>Y</v>
      </c>
    </row>
    <row r="68">
      <c r="A68" s="182" t="str">
        <f>IFERROR(__xludf.DUMMYFUNCTION("""COMPUTED_VALUE"""),"IQ")</f>
        <v>IQ</v>
      </c>
      <c r="B68" s="182">
        <f>IFERROR(__xludf.DUMMYFUNCTION("""COMPUTED_VALUE"""),67.0)</f>
        <v>67</v>
      </c>
      <c r="C68" s="182" t="str">
        <f>IFERROR(__xludf.DUMMYFUNCTION("""COMPUTED_VALUE"""),"G4QUR")</f>
        <v>G4QUR</v>
      </c>
      <c r="D68" s="182" t="str">
        <f>IFERROR(__xludf.DUMMYFUNCTION("""COMPUTED_VALUE"""),"IQGA10282-US")</f>
        <v>IQGA10282-US</v>
      </c>
      <c r="E68" s="182" t="str">
        <f>IFERROR(__xludf.DUMMYFUNCTION("""COMPUTED_VALUE"""),"SKU, CLR4, BEST, MMWAVE, VZW, IQ, US, BZ5")</f>
        <v>SKU, CLR4, BEST, MMWAVE, VZW, IQ, US, BZ5</v>
      </c>
      <c r="F68" s="182" t="str">
        <f>IFERROR(__xludf.DUMMYFUNCTION("""COMPUTED_VALUE"""),"Pixel 10 Pro, Jade, 512GB, VZW, US, IQ")</f>
        <v>Pixel 10 Pro, Jade, 512GB, VZW, US, IQ</v>
      </c>
      <c r="G68" s="182" t="str">
        <f>IFERROR(__xludf.DUMMYFUNCTION("""COMPUTED_VALUE"""),"CLR4")</f>
        <v>CLR4</v>
      </c>
      <c r="H68" s="182" t="str">
        <f>IFERROR(__xludf.DUMMYFUNCTION("""COMPUTED_VALUE"""),"mmWave")</f>
        <v>mmWave</v>
      </c>
      <c r="I68" s="182" t="str">
        <f>IFERROR(__xludf.DUMMYFUNCTION("""COMPUTED_VALUE"""),"512GB")</f>
        <v>512GB</v>
      </c>
      <c r="J68" s="182"/>
      <c r="K68" s="182" t="str">
        <f>IFERROR(__xludf.DUMMYFUNCTION("""COMPUTED_VALUE"""),"G950-18291-04")</f>
        <v>G950-18291-04</v>
      </c>
      <c r="L68" s="182" t="str">
        <f>IFERROR(__xludf.DUMMYFUNCTION("""COMPUTED_VALUE"""),"G710-07821-01")</f>
        <v>G710-07821-01</v>
      </c>
      <c r="M68" s="182" t="str">
        <f>IFERROR(__xludf.DUMMYFUNCTION("""COMPUTED_VALUE"""),"G710-10000-40")</f>
        <v>G710-10000-40</v>
      </c>
      <c r="N68" s="182" t="str">
        <f>IFERROR(__xludf.DUMMYFUNCTION("""COMPUTED_VALUE"""),"G730-09466-14")</f>
        <v>G730-09466-14</v>
      </c>
      <c r="O68" s="182" t="str">
        <f>IFERROR(__xludf.DUMMYFUNCTION("""COMPUTED_VALUE"""),"G710-07813-20")</f>
        <v>G710-07813-20</v>
      </c>
      <c r="P68" s="182" t="str">
        <f>IFERROR(__xludf.DUMMYFUNCTION("""COMPUTED_VALUE"""),"G650-17431-06")</f>
        <v>G650-17431-06</v>
      </c>
      <c r="Q68" s="182" t="str">
        <f>IFERROR(__xludf.DUMMYFUNCTION("""COMPUTED_VALUE"""),"G650-14412-04")</f>
        <v>G650-14412-04</v>
      </c>
      <c r="R68" s="182" t="str">
        <f>IFERROR(__xludf.DUMMYFUNCTION("""COMPUTED_VALUE"""),"G650-14843-04")</f>
        <v>G650-14843-04</v>
      </c>
      <c r="S68" s="182" t="str">
        <f>IFERROR(__xludf.DUMMYFUNCTION("""COMPUTED_VALUE"""),"G650-14411-05")</f>
        <v>G650-14411-05</v>
      </c>
      <c r="T68" s="182" t="str">
        <f>IFERROR(__xludf.DUMMYFUNCTION("""COMPUTED_VALUE"""),"G650-14840-03")</f>
        <v>G650-14840-03</v>
      </c>
      <c r="U68" s="182" t="str">
        <f>IFERROR(__xludf.DUMMYFUNCTION("""COMPUTED_VALUE"""),"G650-14841-03")</f>
        <v>G650-14841-03</v>
      </c>
      <c r="V68" s="182" t="str">
        <f>IFERROR(__xludf.DUMMYFUNCTION("""COMPUTED_VALUE"""),"G650-14413-03")</f>
        <v>G650-14413-03</v>
      </c>
      <c r="W68" s="182"/>
      <c r="X68" s="182"/>
      <c r="Y68" s="182"/>
      <c r="Z68" s="182" t="str">
        <f>IFERROR(__xludf.DUMMYFUNCTION("""COMPUTED_VALUE"""),"N")</f>
        <v>N</v>
      </c>
      <c r="AA68" s="182" t="str">
        <f>IFERROR(__xludf.DUMMYFUNCTION("""COMPUTED_VALUE"""),"Y")</f>
        <v>Y</v>
      </c>
    </row>
    <row r="69">
      <c r="A69" s="182" t="str">
        <f>IFERROR(__xludf.DUMMYFUNCTION("""COMPUTED_VALUE"""),"IQ")</f>
        <v>IQ</v>
      </c>
      <c r="B69" s="182">
        <f>IFERROR(__xludf.DUMMYFUNCTION("""COMPUTED_VALUE"""),68.0)</f>
        <v>68</v>
      </c>
      <c r="C69" s="182" t="str">
        <f>IFERROR(__xludf.DUMMYFUNCTION("""COMPUTED_VALUE"""),"G4QUR")</f>
        <v>G4QUR</v>
      </c>
      <c r="D69" s="182" t="str">
        <f>IFERROR(__xludf.DUMMYFUNCTION("""COMPUTED_VALUE"""),"IQGA09930-US")</f>
        <v>IQGA09930-US</v>
      </c>
      <c r="E69" s="182" t="str">
        <f>IFERROR(__xludf.DUMMYFUNCTION("""COMPUTED_VALUE"""),"SKU, CLR1, ULTRA, MMWAVE, VZW, IQ, US, BZ5")</f>
        <v>SKU, CLR1, ULTRA, MMWAVE, VZW, IQ, US, BZ5</v>
      </c>
      <c r="F69" s="182" t="str">
        <f>IFERROR(__xludf.DUMMYFUNCTION("""COMPUTED_VALUE"""),"Pixel 10 Pro, Obsidian, 1TB, VZW, US, IQ")</f>
        <v>Pixel 10 Pro, Obsidian, 1TB, VZW, US, IQ</v>
      </c>
      <c r="G69" s="182" t="str">
        <f>IFERROR(__xludf.DUMMYFUNCTION("""COMPUTED_VALUE"""),"CLR1")</f>
        <v>CLR1</v>
      </c>
      <c r="H69" s="182" t="str">
        <f>IFERROR(__xludf.DUMMYFUNCTION("""COMPUTED_VALUE"""),"mmWave")</f>
        <v>mmWave</v>
      </c>
      <c r="I69" s="182" t="str">
        <f>IFERROR(__xludf.DUMMYFUNCTION("""COMPUTED_VALUE"""),"1TB")</f>
        <v>1TB</v>
      </c>
      <c r="J69" s="182"/>
      <c r="K69" s="182" t="str">
        <f>IFERROR(__xludf.DUMMYFUNCTION("""COMPUTED_VALUE"""),"G950-18293-01")</f>
        <v>G950-18293-01</v>
      </c>
      <c r="L69" s="182" t="str">
        <f>IFERROR(__xludf.DUMMYFUNCTION("""COMPUTED_VALUE"""),"G710-07821-01")</f>
        <v>G710-07821-01</v>
      </c>
      <c r="M69" s="182" t="str">
        <f>IFERROR(__xludf.DUMMYFUNCTION("""COMPUTED_VALUE"""),"G710-10000-40")</f>
        <v>G710-10000-40</v>
      </c>
      <c r="N69" s="182" t="str">
        <f>IFERROR(__xludf.DUMMYFUNCTION("""COMPUTED_VALUE"""),"G730-09466-11")</f>
        <v>G730-09466-11</v>
      </c>
      <c r="O69" s="182" t="str">
        <f>IFERROR(__xludf.DUMMYFUNCTION("""COMPUTED_VALUE"""),"G710-07813-30")</f>
        <v>G710-07813-30</v>
      </c>
      <c r="P69" s="182" t="str">
        <f>IFERROR(__xludf.DUMMYFUNCTION("""COMPUTED_VALUE"""),"G650-17433-06")</f>
        <v>G650-17433-06</v>
      </c>
      <c r="Q69" s="182" t="str">
        <f>IFERROR(__xludf.DUMMYFUNCTION("""COMPUTED_VALUE"""),"G650-14412-04")</f>
        <v>G650-14412-04</v>
      </c>
      <c r="R69" s="182" t="str">
        <f>IFERROR(__xludf.DUMMYFUNCTION("""COMPUTED_VALUE"""),"G650-14843-04")</f>
        <v>G650-14843-04</v>
      </c>
      <c r="S69" s="182" t="str">
        <f>IFERROR(__xludf.DUMMYFUNCTION("""COMPUTED_VALUE"""),"G650-14411-05")</f>
        <v>G650-14411-05</v>
      </c>
      <c r="T69" s="182" t="str">
        <f>IFERROR(__xludf.DUMMYFUNCTION("""COMPUTED_VALUE"""),"G650-14840-03")</f>
        <v>G650-14840-03</v>
      </c>
      <c r="U69" s="182" t="str">
        <f>IFERROR(__xludf.DUMMYFUNCTION("""COMPUTED_VALUE"""),"G650-14841-03")</f>
        <v>G650-14841-03</v>
      </c>
      <c r="V69" s="182" t="str">
        <f>IFERROR(__xludf.DUMMYFUNCTION("""COMPUTED_VALUE"""),"G650-14413-03")</f>
        <v>G650-14413-03</v>
      </c>
      <c r="W69" s="182"/>
      <c r="X69" s="182"/>
      <c r="Y69" s="182"/>
      <c r="Z69" s="182" t="str">
        <f>IFERROR(__xludf.DUMMYFUNCTION("""COMPUTED_VALUE"""),"N")</f>
        <v>N</v>
      </c>
      <c r="AA69" s="182" t="str">
        <f>IFERROR(__xludf.DUMMYFUNCTION("""COMPUTED_VALUE"""),"Y")</f>
        <v>Y</v>
      </c>
    </row>
    <row r="70">
      <c r="A70" s="182" t="str">
        <f>IFERROR(__xludf.DUMMYFUNCTION("""COMPUTED_VALUE"""),"IQ")</f>
        <v>IQ</v>
      </c>
      <c r="B70" s="182">
        <f>IFERROR(__xludf.DUMMYFUNCTION("""COMPUTED_VALUE"""),69.0)</f>
        <v>69</v>
      </c>
      <c r="C70" s="182" t="str">
        <f>IFERROR(__xludf.DUMMYFUNCTION("""COMPUTED_VALUE"""),"G4QUR")</f>
        <v>G4QUR</v>
      </c>
      <c r="D70" s="182" t="str">
        <f>IFERROR(__xludf.DUMMYFUNCTION("""COMPUTED_VALUE"""),"IQGA10283-US")</f>
        <v>IQGA10283-US</v>
      </c>
      <c r="E70" s="182" t="str">
        <f>IFERROR(__xludf.DUMMYFUNCTION("""COMPUTED_VALUE"""),"SKU, CLR3, ULTRA, MMWAVE, VZW, IQ, US, BZ5")</f>
        <v>SKU, CLR3, ULTRA, MMWAVE, VZW, IQ, US, BZ5</v>
      </c>
      <c r="F70" s="182" t="str">
        <f>IFERROR(__xludf.DUMMYFUNCTION("""COMPUTED_VALUE"""),"Pixel 10 Pro, Moonstone, 1TB, VZW, US, IQ")</f>
        <v>Pixel 10 Pro, Moonstone, 1TB, VZW, US, IQ</v>
      </c>
      <c r="G70" s="182" t="str">
        <f>IFERROR(__xludf.DUMMYFUNCTION("""COMPUTED_VALUE"""),"CLR3")</f>
        <v>CLR3</v>
      </c>
      <c r="H70" s="182" t="str">
        <f>IFERROR(__xludf.DUMMYFUNCTION("""COMPUTED_VALUE"""),"mmWave")</f>
        <v>mmWave</v>
      </c>
      <c r="I70" s="182" t="str">
        <f>IFERROR(__xludf.DUMMYFUNCTION("""COMPUTED_VALUE"""),"1TB")</f>
        <v>1TB</v>
      </c>
      <c r="J70" s="182"/>
      <c r="K70" s="182" t="str">
        <f>IFERROR(__xludf.DUMMYFUNCTION("""COMPUTED_VALUE"""),"G950-18293-03")</f>
        <v>G950-18293-03</v>
      </c>
      <c r="L70" s="182" t="str">
        <f>IFERROR(__xludf.DUMMYFUNCTION("""COMPUTED_VALUE"""),"G710-07821-01")</f>
        <v>G710-07821-01</v>
      </c>
      <c r="M70" s="182" t="str">
        <f>IFERROR(__xludf.DUMMYFUNCTION("""COMPUTED_VALUE"""),"G710-10000-40")</f>
        <v>G710-10000-40</v>
      </c>
      <c r="N70" s="182" t="str">
        <f>IFERROR(__xludf.DUMMYFUNCTION("""COMPUTED_VALUE"""),"G730-09466-13")</f>
        <v>G730-09466-13</v>
      </c>
      <c r="O70" s="182" t="str">
        <f>IFERROR(__xludf.DUMMYFUNCTION("""COMPUTED_VALUE"""),"G710-07813-30")</f>
        <v>G710-07813-30</v>
      </c>
      <c r="P70" s="182" t="str">
        <f>IFERROR(__xludf.DUMMYFUNCTION("""COMPUTED_VALUE"""),"G650-17433-06")</f>
        <v>G650-17433-06</v>
      </c>
      <c r="Q70" s="182" t="str">
        <f>IFERROR(__xludf.DUMMYFUNCTION("""COMPUTED_VALUE"""),"G650-14412-04")</f>
        <v>G650-14412-04</v>
      </c>
      <c r="R70" s="182" t="str">
        <f>IFERROR(__xludf.DUMMYFUNCTION("""COMPUTED_VALUE"""),"G650-14843-04")</f>
        <v>G650-14843-04</v>
      </c>
      <c r="S70" s="182" t="str">
        <f>IFERROR(__xludf.DUMMYFUNCTION("""COMPUTED_VALUE"""),"G650-14411-05")</f>
        <v>G650-14411-05</v>
      </c>
      <c r="T70" s="182" t="str">
        <f>IFERROR(__xludf.DUMMYFUNCTION("""COMPUTED_VALUE"""),"G650-14840-03")</f>
        <v>G650-14840-03</v>
      </c>
      <c r="U70" s="182" t="str">
        <f>IFERROR(__xludf.DUMMYFUNCTION("""COMPUTED_VALUE"""),"G650-14841-03")</f>
        <v>G650-14841-03</v>
      </c>
      <c r="V70" s="182" t="str">
        <f>IFERROR(__xludf.DUMMYFUNCTION("""COMPUTED_VALUE"""),"G650-14413-03")</f>
        <v>G650-14413-03</v>
      </c>
      <c r="W70" s="182"/>
      <c r="X70" s="182"/>
      <c r="Y70" s="182"/>
      <c r="Z70" s="182" t="str">
        <f>IFERROR(__xludf.DUMMYFUNCTION("""COMPUTED_VALUE"""),"N")</f>
        <v>N</v>
      </c>
      <c r="AA70" s="182" t="str">
        <f>IFERROR(__xludf.DUMMYFUNCTION("""COMPUTED_VALUE"""),"Y")</f>
        <v>Y</v>
      </c>
    </row>
    <row r="71">
      <c r="A71" s="182" t="str">
        <f>IFERROR(__xludf.DUMMYFUNCTION("""COMPUTED_VALUE"""),"Demo")</f>
        <v>Demo</v>
      </c>
      <c r="B71" s="182">
        <f>IFERROR(__xludf.DUMMYFUNCTION("""COMPUTED_VALUE"""),70.0)</f>
        <v>70</v>
      </c>
      <c r="C71" s="182" t="str">
        <f>IFERROR(__xludf.DUMMYFUNCTION("""COMPUTED_VALUE"""),"G4QUR")</f>
        <v>G4QUR</v>
      </c>
      <c r="D71" s="182" t="str">
        <f>IFERROR(__xludf.DUMMYFUNCTION("""COMPUTED_VALUE"""),"GA10780-US")</f>
        <v>GA10780-US</v>
      </c>
      <c r="E71" s="182" t="str">
        <f>IFERROR(__xludf.DUMMYFUNCTION("""COMPUTED_VALUE"""),"SKU, CLR1, GOOD, MMWAVE, ATT, DEMO, BZ5")</f>
        <v>SKU, CLR1, GOOD, MMWAVE, ATT, DEMO, BZ5</v>
      </c>
      <c r="F71" s="182" t="str">
        <f>IFERROR(__xludf.DUMMYFUNCTION("""COMPUTED_VALUE"""),"Pixel 10 Pro, Obsidian, 128GB, AT&amp;T, US, Demo")</f>
        <v>Pixel 10 Pro, Obsidian, 128GB, AT&amp;T, US, Demo</v>
      </c>
      <c r="G71" s="182" t="str">
        <f>IFERROR(__xludf.DUMMYFUNCTION("""COMPUTED_VALUE"""),"CLR1")</f>
        <v>CLR1</v>
      </c>
      <c r="H71" s="182" t="str">
        <f>IFERROR(__xludf.DUMMYFUNCTION("""COMPUTED_VALUE"""),"mmWave")</f>
        <v>mmWave</v>
      </c>
      <c r="I71" s="182" t="str">
        <f>IFERROR(__xludf.DUMMYFUNCTION("""COMPUTED_VALUE"""),"128GB")</f>
        <v>128GB</v>
      </c>
      <c r="J71" s="182"/>
      <c r="K71" s="182" t="str">
        <f>IFERROR(__xludf.DUMMYFUNCTION("""COMPUTED_VALUE"""),"G950-15986-01")</f>
        <v>G950-15986-01</v>
      </c>
      <c r="L71" s="182" t="str">
        <f>IFERROR(__xludf.DUMMYFUNCTION("""COMPUTED_VALUE"""),"G710-07821-01")</f>
        <v>G710-07821-01</v>
      </c>
      <c r="M71" s="182" t="str">
        <f>IFERROR(__xludf.DUMMYFUNCTION("""COMPUTED_VALUE"""),"G710-10000-40")</f>
        <v>G710-10000-40</v>
      </c>
      <c r="N71" s="182" t="str">
        <f>IFERROR(__xludf.DUMMYFUNCTION("""COMPUTED_VALUE"""),"G730-09466-11")</f>
        <v>G730-09466-11</v>
      </c>
      <c r="O71" s="182" t="str">
        <f>IFERROR(__xludf.DUMMYFUNCTION("""COMPUTED_VALUE"""),"G710-07813-00")</f>
        <v>G710-07813-00</v>
      </c>
      <c r="P71" s="182" t="str">
        <f>IFERROR(__xludf.DUMMYFUNCTION("""COMPUTED_VALUE"""),"G650-14410-06")</f>
        <v>G650-14410-06</v>
      </c>
      <c r="Q71" s="182" t="str">
        <f>IFERROR(__xludf.DUMMYFUNCTION("""COMPUTED_VALUE"""),"G650-14412-04")</f>
        <v>G650-14412-04</v>
      </c>
      <c r="R71" s="182" t="str">
        <f>IFERROR(__xludf.DUMMYFUNCTION("""COMPUTED_VALUE"""),"G650-14843-04")</f>
        <v>G650-14843-04</v>
      </c>
      <c r="S71" s="182" t="str">
        <f>IFERROR(__xludf.DUMMYFUNCTION("""COMPUTED_VALUE"""),"G650-14411-05")</f>
        <v>G650-14411-05</v>
      </c>
      <c r="T71" s="182" t="str">
        <f>IFERROR(__xludf.DUMMYFUNCTION("""COMPUTED_VALUE"""),"G650-14840-03")</f>
        <v>G650-14840-03</v>
      </c>
      <c r="U71" s="182" t="str">
        <f>IFERROR(__xludf.DUMMYFUNCTION("""COMPUTED_VALUE"""),"G650-14841-03")</f>
        <v>G650-14841-03</v>
      </c>
      <c r="V71" s="182" t="str">
        <f>IFERROR(__xludf.DUMMYFUNCTION("""COMPUTED_VALUE"""),"G650-14413-03")</f>
        <v>G650-14413-03</v>
      </c>
      <c r="W71" s="182"/>
      <c r="X71" s="182"/>
      <c r="Y71" s="182"/>
      <c r="Z71" s="182" t="str">
        <f>IFERROR(__xludf.DUMMYFUNCTION("""COMPUTED_VALUE"""),"N")</f>
        <v>N</v>
      </c>
      <c r="AA71" s="182" t="str">
        <f>IFERROR(__xludf.DUMMYFUNCTION("""COMPUTED_VALUE"""),"Y")</f>
        <v>Y</v>
      </c>
    </row>
    <row r="72">
      <c r="A72" s="182" t="str">
        <f>IFERROR(__xludf.DUMMYFUNCTION("""COMPUTED_VALUE"""),"Demo")</f>
        <v>Demo</v>
      </c>
      <c r="B72" s="182">
        <f>IFERROR(__xludf.DUMMYFUNCTION("""COMPUTED_VALUE"""),71.0)</f>
        <v>71</v>
      </c>
      <c r="C72" s="182" t="str">
        <f>IFERROR(__xludf.DUMMYFUNCTION("""COMPUTED_VALUE"""),"G4QUR")</f>
        <v>G4QUR</v>
      </c>
      <c r="D72" s="182" t="str">
        <f>IFERROR(__xludf.DUMMYFUNCTION("""COMPUTED_VALUE"""),"GA10786-US")</f>
        <v>GA10786-US</v>
      </c>
      <c r="E72" s="182" t="str">
        <f>IFERROR(__xludf.DUMMYFUNCTION("""COMPUTED_VALUE"""),"SKU, CLR3, GOOD, MMWAVE, ATT, DEMO, BZ5")</f>
        <v>SKU, CLR3, GOOD, MMWAVE, ATT, DEMO, BZ5</v>
      </c>
      <c r="F72" s="182" t="str">
        <f>IFERROR(__xludf.DUMMYFUNCTION("""COMPUTED_VALUE"""),"Pixel 10 Pro, Moonstone, 128GB, AT&amp;T, US, Demo")</f>
        <v>Pixel 10 Pro, Moonstone, 128GB, AT&amp;T, US, Demo</v>
      </c>
      <c r="G72" s="182" t="str">
        <f>IFERROR(__xludf.DUMMYFUNCTION("""COMPUTED_VALUE"""),"CLR3")</f>
        <v>CLR3</v>
      </c>
      <c r="H72" s="182" t="str">
        <f>IFERROR(__xludf.DUMMYFUNCTION("""COMPUTED_VALUE"""),"mmWave")</f>
        <v>mmWave</v>
      </c>
      <c r="I72" s="182" t="str">
        <f>IFERROR(__xludf.DUMMYFUNCTION("""COMPUTED_VALUE"""),"128GB")</f>
        <v>128GB</v>
      </c>
      <c r="J72" s="182"/>
      <c r="K72" s="182" t="str">
        <f>IFERROR(__xludf.DUMMYFUNCTION("""COMPUTED_VALUE"""),"G950-15986-03")</f>
        <v>G950-15986-03</v>
      </c>
      <c r="L72" s="182" t="str">
        <f>IFERROR(__xludf.DUMMYFUNCTION("""COMPUTED_VALUE"""),"G710-07821-01")</f>
        <v>G710-07821-01</v>
      </c>
      <c r="M72" s="182" t="str">
        <f>IFERROR(__xludf.DUMMYFUNCTION("""COMPUTED_VALUE"""),"G710-10000-40")</f>
        <v>G710-10000-40</v>
      </c>
      <c r="N72" s="182" t="str">
        <f>IFERROR(__xludf.DUMMYFUNCTION("""COMPUTED_VALUE"""),"G730-09466-13")</f>
        <v>G730-09466-13</v>
      </c>
      <c r="O72" s="182" t="str">
        <f>IFERROR(__xludf.DUMMYFUNCTION("""COMPUTED_VALUE"""),"G710-07813-00")</f>
        <v>G710-07813-00</v>
      </c>
      <c r="P72" s="182" t="str">
        <f>IFERROR(__xludf.DUMMYFUNCTION("""COMPUTED_VALUE"""),"G650-14410-06")</f>
        <v>G650-14410-06</v>
      </c>
      <c r="Q72" s="182" t="str">
        <f>IFERROR(__xludf.DUMMYFUNCTION("""COMPUTED_VALUE"""),"G650-14412-04")</f>
        <v>G650-14412-04</v>
      </c>
      <c r="R72" s="182" t="str">
        <f>IFERROR(__xludf.DUMMYFUNCTION("""COMPUTED_VALUE"""),"G650-14843-04")</f>
        <v>G650-14843-04</v>
      </c>
      <c r="S72" s="182" t="str">
        <f>IFERROR(__xludf.DUMMYFUNCTION("""COMPUTED_VALUE"""),"G650-14411-05")</f>
        <v>G650-14411-05</v>
      </c>
      <c r="T72" s="182" t="str">
        <f>IFERROR(__xludf.DUMMYFUNCTION("""COMPUTED_VALUE"""),"G650-14840-03")</f>
        <v>G650-14840-03</v>
      </c>
      <c r="U72" s="182" t="str">
        <f>IFERROR(__xludf.DUMMYFUNCTION("""COMPUTED_VALUE"""),"G650-14841-03")</f>
        <v>G650-14841-03</v>
      </c>
      <c r="V72" s="182" t="str">
        <f>IFERROR(__xludf.DUMMYFUNCTION("""COMPUTED_VALUE"""),"G650-14413-03")</f>
        <v>G650-14413-03</v>
      </c>
      <c r="W72" s="182"/>
      <c r="X72" s="182"/>
      <c r="Y72" s="182"/>
      <c r="Z72" s="182" t="str">
        <f>IFERROR(__xludf.DUMMYFUNCTION("""COMPUTED_VALUE"""),"N")</f>
        <v>N</v>
      </c>
      <c r="AA72" s="182" t="str">
        <f>IFERROR(__xludf.DUMMYFUNCTION("""COMPUTED_VALUE"""),"Y")</f>
        <v>Y</v>
      </c>
    </row>
    <row r="73">
      <c r="A73" s="182" t="str">
        <f>IFERROR(__xludf.DUMMYFUNCTION("""COMPUTED_VALUE"""),"Demo")</f>
        <v>Demo</v>
      </c>
      <c r="B73" s="182">
        <f>IFERROR(__xludf.DUMMYFUNCTION("""COMPUTED_VALUE"""),72.0)</f>
        <v>72</v>
      </c>
      <c r="C73" s="182" t="str">
        <f>IFERROR(__xludf.DUMMYFUNCTION("""COMPUTED_VALUE"""),"G4QUR")</f>
        <v>G4QUR</v>
      </c>
      <c r="D73" s="182" t="str">
        <f>IFERROR(__xludf.DUMMYFUNCTION("""COMPUTED_VALUE"""),"GA10781-US")</f>
        <v>GA10781-US</v>
      </c>
      <c r="E73" s="182" t="str">
        <f>IFERROR(__xludf.DUMMYFUNCTION("""COMPUTED_VALUE"""),"SKU, CLR1, GOOD, MMWAVE, TMO, DEMO, BZ5")</f>
        <v>SKU, CLR1, GOOD, MMWAVE, TMO, DEMO, BZ5</v>
      </c>
      <c r="F73" s="182" t="str">
        <f>IFERROR(__xludf.DUMMYFUNCTION("""COMPUTED_VALUE"""),"Pixel 10 Pro, Obsidian, 128GB, TMO, US, Demo")</f>
        <v>Pixel 10 Pro, Obsidian, 128GB, TMO, US, Demo</v>
      </c>
      <c r="G73" s="182" t="str">
        <f>IFERROR(__xludf.DUMMYFUNCTION("""COMPUTED_VALUE"""),"CLR1")</f>
        <v>CLR1</v>
      </c>
      <c r="H73" s="182" t="str">
        <f>IFERROR(__xludf.DUMMYFUNCTION("""COMPUTED_VALUE"""),"mmWave")</f>
        <v>mmWave</v>
      </c>
      <c r="I73" s="182" t="str">
        <f>IFERROR(__xludf.DUMMYFUNCTION("""COMPUTED_VALUE"""),"128GB")</f>
        <v>128GB</v>
      </c>
      <c r="J73" s="182"/>
      <c r="K73" s="182" t="str">
        <f>IFERROR(__xludf.DUMMYFUNCTION("""COMPUTED_VALUE"""),"G950-15986-01")</f>
        <v>G950-15986-01</v>
      </c>
      <c r="L73" s="182" t="str">
        <f>IFERROR(__xludf.DUMMYFUNCTION("""COMPUTED_VALUE"""),"G710-07821-01")</f>
        <v>G710-07821-01</v>
      </c>
      <c r="M73" s="182" t="str">
        <f>IFERROR(__xludf.DUMMYFUNCTION("""COMPUTED_VALUE"""),"G710-10000-40")</f>
        <v>G710-10000-40</v>
      </c>
      <c r="N73" s="182" t="str">
        <f>IFERROR(__xludf.DUMMYFUNCTION("""COMPUTED_VALUE"""),"G730-09466-11")</f>
        <v>G730-09466-11</v>
      </c>
      <c r="O73" s="182" t="str">
        <f>IFERROR(__xludf.DUMMYFUNCTION("""COMPUTED_VALUE"""),"G710-07813-00")</f>
        <v>G710-07813-00</v>
      </c>
      <c r="P73" s="182" t="str">
        <f>IFERROR(__xludf.DUMMYFUNCTION("""COMPUTED_VALUE"""),"G650-14410-06")</f>
        <v>G650-14410-06</v>
      </c>
      <c r="Q73" s="182" t="str">
        <f>IFERROR(__xludf.DUMMYFUNCTION("""COMPUTED_VALUE"""),"G650-14412-04")</f>
        <v>G650-14412-04</v>
      </c>
      <c r="R73" s="182" t="str">
        <f>IFERROR(__xludf.DUMMYFUNCTION("""COMPUTED_VALUE"""),"G650-14843-04")</f>
        <v>G650-14843-04</v>
      </c>
      <c r="S73" s="182" t="str">
        <f>IFERROR(__xludf.DUMMYFUNCTION("""COMPUTED_VALUE"""),"G650-14411-05")</f>
        <v>G650-14411-05</v>
      </c>
      <c r="T73" s="182" t="str">
        <f>IFERROR(__xludf.DUMMYFUNCTION("""COMPUTED_VALUE"""),"G650-14840-03")</f>
        <v>G650-14840-03</v>
      </c>
      <c r="U73" s="182" t="str">
        <f>IFERROR(__xludf.DUMMYFUNCTION("""COMPUTED_VALUE"""),"G650-14841-03")</f>
        <v>G650-14841-03</v>
      </c>
      <c r="V73" s="182" t="str">
        <f>IFERROR(__xludf.DUMMYFUNCTION("""COMPUTED_VALUE"""),"G650-14413-03")</f>
        <v>G650-14413-03</v>
      </c>
      <c r="W73" s="182"/>
      <c r="X73" s="182"/>
      <c r="Y73" s="182"/>
      <c r="Z73" s="182" t="str">
        <f>IFERROR(__xludf.DUMMYFUNCTION("""COMPUTED_VALUE"""),"N")</f>
        <v>N</v>
      </c>
      <c r="AA73" s="182" t="str">
        <f>IFERROR(__xludf.DUMMYFUNCTION("""COMPUTED_VALUE"""),"Y")</f>
        <v>Y</v>
      </c>
    </row>
    <row r="74">
      <c r="A74" s="182" t="str">
        <f>IFERROR(__xludf.DUMMYFUNCTION("""COMPUTED_VALUE"""),"Demo")</f>
        <v>Demo</v>
      </c>
      <c r="B74" s="182">
        <f>IFERROR(__xludf.DUMMYFUNCTION("""COMPUTED_VALUE"""),73.0)</f>
        <v>73</v>
      </c>
      <c r="C74" s="182" t="str">
        <f>IFERROR(__xludf.DUMMYFUNCTION("""COMPUTED_VALUE"""),"G4QUR")</f>
        <v>G4QUR</v>
      </c>
      <c r="D74" s="182" t="str">
        <f>IFERROR(__xludf.DUMMYFUNCTION("""COMPUTED_VALUE"""),"GA10784-US")</f>
        <v>GA10784-US</v>
      </c>
      <c r="E74" s="182" t="str">
        <f>IFERROR(__xludf.DUMMYFUNCTION("""COMPUTED_VALUE"""),"SKU, CLR2, GOOD, MMWAVE, TMO, DEMO, BZ5")</f>
        <v>SKU, CLR2, GOOD, MMWAVE, TMO, DEMO, BZ5</v>
      </c>
      <c r="F74" s="182" t="str">
        <f>IFERROR(__xludf.DUMMYFUNCTION("""COMPUTED_VALUE"""),"Pixel 10 Pro, Porcelain, 128GB, TMO, US, Demo")</f>
        <v>Pixel 10 Pro, Porcelain, 128GB, TMO, US, Demo</v>
      </c>
      <c r="G74" s="182" t="str">
        <f>IFERROR(__xludf.DUMMYFUNCTION("""COMPUTED_VALUE"""),"CLR2")</f>
        <v>CLR2</v>
      </c>
      <c r="H74" s="182" t="str">
        <f>IFERROR(__xludf.DUMMYFUNCTION("""COMPUTED_VALUE"""),"mmWave")</f>
        <v>mmWave</v>
      </c>
      <c r="I74" s="182" t="str">
        <f>IFERROR(__xludf.DUMMYFUNCTION("""COMPUTED_VALUE"""),"128GB")</f>
        <v>128GB</v>
      </c>
      <c r="J74" s="182"/>
      <c r="K74" s="182" t="str">
        <f>IFERROR(__xludf.DUMMYFUNCTION("""COMPUTED_VALUE"""),"G950-15986-02")</f>
        <v>G950-15986-02</v>
      </c>
      <c r="L74" s="182" t="str">
        <f>IFERROR(__xludf.DUMMYFUNCTION("""COMPUTED_VALUE"""),"G710-07821-01")</f>
        <v>G710-07821-01</v>
      </c>
      <c r="M74" s="182" t="str">
        <f>IFERROR(__xludf.DUMMYFUNCTION("""COMPUTED_VALUE"""),"G710-10000-40")</f>
        <v>G710-10000-40</v>
      </c>
      <c r="N74" s="182" t="str">
        <f>IFERROR(__xludf.DUMMYFUNCTION("""COMPUTED_VALUE"""),"G730-09466-12")</f>
        <v>G730-09466-12</v>
      </c>
      <c r="O74" s="182" t="str">
        <f>IFERROR(__xludf.DUMMYFUNCTION("""COMPUTED_VALUE"""),"G710-07813-00")</f>
        <v>G710-07813-00</v>
      </c>
      <c r="P74" s="182" t="str">
        <f>IFERROR(__xludf.DUMMYFUNCTION("""COMPUTED_VALUE"""),"G650-14410-06")</f>
        <v>G650-14410-06</v>
      </c>
      <c r="Q74" s="182" t="str">
        <f>IFERROR(__xludf.DUMMYFUNCTION("""COMPUTED_VALUE"""),"G650-14412-04")</f>
        <v>G650-14412-04</v>
      </c>
      <c r="R74" s="182" t="str">
        <f>IFERROR(__xludf.DUMMYFUNCTION("""COMPUTED_VALUE"""),"G650-14843-04")</f>
        <v>G650-14843-04</v>
      </c>
      <c r="S74" s="182" t="str">
        <f>IFERROR(__xludf.DUMMYFUNCTION("""COMPUTED_VALUE"""),"G650-14411-05")</f>
        <v>G650-14411-05</v>
      </c>
      <c r="T74" s="182" t="str">
        <f>IFERROR(__xludf.DUMMYFUNCTION("""COMPUTED_VALUE"""),"G650-14840-03")</f>
        <v>G650-14840-03</v>
      </c>
      <c r="U74" s="182" t="str">
        <f>IFERROR(__xludf.DUMMYFUNCTION("""COMPUTED_VALUE"""),"G650-14841-03")</f>
        <v>G650-14841-03</v>
      </c>
      <c r="V74" s="182" t="str">
        <f>IFERROR(__xludf.DUMMYFUNCTION("""COMPUTED_VALUE"""),"G650-14413-03")</f>
        <v>G650-14413-03</v>
      </c>
      <c r="W74" s="182"/>
      <c r="X74" s="182"/>
      <c r="Y74" s="182"/>
      <c r="Z74" s="182" t="str">
        <f>IFERROR(__xludf.DUMMYFUNCTION("""COMPUTED_VALUE"""),"N")</f>
        <v>N</v>
      </c>
      <c r="AA74" s="182" t="str">
        <f>IFERROR(__xludf.DUMMYFUNCTION("""COMPUTED_VALUE"""),"Y")</f>
        <v>Y</v>
      </c>
    </row>
    <row r="75">
      <c r="A75" s="182" t="str">
        <f>IFERROR(__xludf.DUMMYFUNCTION("""COMPUTED_VALUE"""),"Demo")</f>
        <v>Demo</v>
      </c>
      <c r="B75" s="182">
        <f>IFERROR(__xludf.DUMMYFUNCTION("""COMPUTED_VALUE"""),74.0)</f>
        <v>74</v>
      </c>
      <c r="C75" s="182" t="str">
        <f>IFERROR(__xludf.DUMMYFUNCTION("""COMPUTED_VALUE"""),"G4QUR")</f>
        <v>G4QUR</v>
      </c>
      <c r="D75" s="182" t="str">
        <f>IFERROR(__xludf.DUMMYFUNCTION("""COMPUTED_VALUE"""),"GA10787-US")</f>
        <v>GA10787-US</v>
      </c>
      <c r="E75" s="182" t="str">
        <f>IFERROR(__xludf.DUMMYFUNCTION("""COMPUTED_VALUE"""),"SKU, CLR3, GOOD, MMWAVE, TMO, DEMO, BZ5")</f>
        <v>SKU, CLR3, GOOD, MMWAVE, TMO, DEMO, BZ5</v>
      </c>
      <c r="F75" s="182" t="str">
        <f>IFERROR(__xludf.DUMMYFUNCTION("""COMPUTED_VALUE"""),"Pixel 10 Pro, Moonstone, 128GB, TMO, US, Demo")</f>
        <v>Pixel 10 Pro, Moonstone, 128GB, TMO, US, Demo</v>
      </c>
      <c r="G75" s="182" t="str">
        <f>IFERROR(__xludf.DUMMYFUNCTION("""COMPUTED_VALUE"""),"CLR3")</f>
        <v>CLR3</v>
      </c>
      <c r="H75" s="182" t="str">
        <f>IFERROR(__xludf.DUMMYFUNCTION("""COMPUTED_VALUE"""),"mmWave")</f>
        <v>mmWave</v>
      </c>
      <c r="I75" s="182" t="str">
        <f>IFERROR(__xludf.DUMMYFUNCTION("""COMPUTED_VALUE"""),"128GB")</f>
        <v>128GB</v>
      </c>
      <c r="J75" s="182"/>
      <c r="K75" s="182" t="str">
        <f>IFERROR(__xludf.DUMMYFUNCTION("""COMPUTED_VALUE"""),"G950-15986-03")</f>
        <v>G950-15986-03</v>
      </c>
      <c r="L75" s="182" t="str">
        <f>IFERROR(__xludf.DUMMYFUNCTION("""COMPUTED_VALUE"""),"G710-07821-01")</f>
        <v>G710-07821-01</v>
      </c>
      <c r="M75" s="182" t="str">
        <f>IFERROR(__xludf.DUMMYFUNCTION("""COMPUTED_VALUE"""),"G710-10000-40")</f>
        <v>G710-10000-40</v>
      </c>
      <c r="N75" s="182" t="str">
        <f>IFERROR(__xludf.DUMMYFUNCTION("""COMPUTED_VALUE"""),"G730-09466-13")</f>
        <v>G730-09466-13</v>
      </c>
      <c r="O75" s="182" t="str">
        <f>IFERROR(__xludf.DUMMYFUNCTION("""COMPUTED_VALUE"""),"G710-07813-00")</f>
        <v>G710-07813-00</v>
      </c>
      <c r="P75" s="182" t="str">
        <f>IFERROR(__xludf.DUMMYFUNCTION("""COMPUTED_VALUE"""),"G650-14410-06")</f>
        <v>G650-14410-06</v>
      </c>
      <c r="Q75" s="182" t="str">
        <f>IFERROR(__xludf.DUMMYFUNCTION("""COMPUTED_VALUE"""),"G650-14412-04")</f>
        <v>G650-14412-04</v>
      </c>
      <c r="R75" s="182" t="str">
        <f>IFERROR(__xludf.DUMMYFUNCTION("""COMPUTED_VALUE"""),"G650-14843-04")</f>
        <v>G650-14843-04</v>
      </c>
      <c r="S75" s="182" t="str">
        <f>IFERROR(__xludf.DUMMYFUNCTION("""COMPUTED_VALUE"""),"G650-14411-05")</f>
        <v>G650-14411-05</v>
      </c>
      <c r="T75" s="182" t="str">
        <f>IFERROR(__xludf.DUMMYFUNCTION("""COMPUTED_VALUE"""),"G650-14840-03")</f>
        <v>G650-14840-03</v>
      </c>
      <c r="U75" s="182" t="str">
        <f>IFERROR(__xludf.DUMMYFUNCTION("""COMPUTED_VALUE"""),"G650-14841-03")</f>
        <v>G650-14841-03</v>
      </c>
      <c r="V75" s="182" t="str">
        <f>IFERROR(__xludf.DUMMYFUNCTION("""COMPUTED_VALUE"""),"G650-14413-03")</f>
        <v>G650-14413-03</v>
      </c>
      <c r="W75" s="182"/>
      <c r="X75" s="182"/>
      <c r="Y75" s="182"/>
      <c r="Z75" s="182" t="str">
        <f>IFERROR(__xludf.DUMMYFUNCTION("""COMPUTED_VALUE"""),"N")</f>
        <v>N</v>
      </c>
      <c r="AA75" s="182" t="str">
        <f>IFERROR(__xludf.DUMMYFUNCTION("""COMPUTED_VALUE"""),"Y")</f>
        <v>Y</v>
      </c>
    </row>
    <row r="76">
      <c r="A76" s="182" t="str">
        <f>IFERROR(__xludf.DUMMYFUNCTION("""COMPUTED_VALUE"""),"Demo")</f>
        <v>Demo</v>
      </c>
      <c r="B76" s="182">
        <f>IFERROR(__xludf.DUMMYFUNCTION("""COMPUTED_VALUE"""),75.0)</f>
        <v>75</v>
      </c>
      <c r="C76" s="182" t="str">
        <f>IFERROR(__xludf.DUMMYFUNCTION("""COMPUTED_VALUE"""),"G4QUR")</f>
        <v>G4QUR</v>
      </c>
      <c r="D76" s="182" t="str">
        <f>IFERROR(__xludf.DUMMYFUNCTION("""COMPUTED_VALUE"""),"GA10782-US")</f>
        <v>GA10782-US</v>
      </c>
      <c r="E76" s="182" t="str">
        <f>IFERROR(__xludf.DUMMYFUNCTION("""COMPUTED_VALUE"""),"SKU, CLR1, GOOD, MMWAVE, US GSTORE, DEMO, BZ5")</f>
        <v>SKU, CLR1, GOOD, MMWAVE, US GSTORE, DEMO, BZ5</v>
      </c>
      <c r="F76" s="182" t="str">
        <f>IFERROR(__xludf.DUMMYFUNCTION("""COMPUTED_VALUE"""),"Pixel 10 Pro, Obsidian, 128GB, GStore, US , Demo")</f>
        <v>Pixel 10 Pro, Obsidian, 128GB, GStore, US , Demo</v>
      </c>
      <c r="G76" s="182" t="str">
        <f>IFERROR(__xludf.DUMMYFUNCTION("""COMPUTED_VALUE"""),"CLR1")</f>
        <v>CLR1</v>
      </c>
      <c r="H76" s="182" t="str">
        <f>IFERROR(__xludf.DUMMYFUNCTION("""COMPUTED_VALUE"""),"mmWave")</f>
        <v>mmWave</v>
      </c>
      <c r="I76" s="182" t="str">
        <f>IFERROR(__xludf.DUMMYFUNCTION("""COMPUTED_VALUE"""),"128GB")</f>
        <v>128GB</v>
      </c>
      <c r="J76" s="182"/>
      <c r="K76" s="182" t="str">
        <f>IFERROR(__xludf.DUMMYFUNCTION("""COMPUTED_VALUE"""),"G950-15986-01")</f>
        <v>G950-15986-01</v>
      </c>
      <c r="L76" s="182" t="str">
        <f>IFERROR(__xludf.DUMMYFUNCTION("""COMPUTED_VALUE"""),"G710-07821-01")</f>
        <v>G710-07821-01</v>
      </c>
      <c r="M76" s="182" t="str">
        <f>IFERROR(__xludf.DUMMYFUNCTION("""COMPUTED_VALUE"""),"G710-10000-40")</f>
        <v>G710-10000-40</v>
      </c>
      <c r="N76" s="182" t="str">
        <f>IFERROR(__xludf.DUMMYFUNCTION("""COMPUTED_VALUE"""),"G730-09466-11")</f>
        <v>G730-09466-11</v>
      </c>
      <c r="O76" s="182" t="str">
        <f>IFERROR(__xludf.DUMMYFUNCTION("""COMPUTED_VALUE"""),"G710-07813-00")</f>
        <v>G710-07813-00</v>
      </c>
      <c r="P76" s="182" t="str">
        <f>IFERROR(__xludf.DUMMYFUNCTION("""COMPUTED_VALUE"""),"G650-14410-06")</f>
        <v>G650-14410-06</v>
      </c>
      <c r="Q76" s="182" t="str">
        <f>IFERROR(__xludf.DUMMYFUNCTION("""COMPUTED_VALUE"""),"G650-14412-04")</f>
        <v>G650-14412-04</v>
      </c>
      <c r="R76" s="182" t="str">
        <f>IFERROR(__xludf.DUMMYFUNCTION("""COMPUTED_VALUE"""),"G650-14843-04")</f>
        <v>G650-14843-04</v>
      </c>
      <c r="S76" s="182" t="str">
        <f>IFERROR(__xludf.DUMMYFUNCTION("""COMPUTED_VALUE"""),"G650-14411-05")</f>
        <v>G650-14411-05</v>
      </c>
      <c r="T76" s="182" t="str">
        <f>IFERROR(__xludf.DUMMYFUNCTION("""COMPUTED_VALUE"""),"G650-14840-03")</f>
        <v>G650-14840-03</v>
      </c>
      <c r="U76" s="182" t="str">
        <f>IFERROR(__xludf.DUMMYFUNCTION("""COMPUTED_VALUE"""),"G650-14841-03")</f>
        <v>G650-14841-03</v>
      </c>
      <c r="V76" s="182" t="str">
        <f>IFERROR(__xludf.DUMMYFUNCTION("""COMPUTED_VALUE"""),"G650-14413-03")</f>
        <v>G650-14413-03</v>
      </c>
      <c r="W76" s="182"/>
      <c r="X76" s="182"/>
      <c r="Y76" s="182"/>
      <c r="Z76" s="182" t="str">
        <f>IFERROR(__xludf.DUMMYFUNCTION("""COMPUTED_VALUE"""),"N")</f>
        <v>N</v>
      </c>
      <c r="AA76" s="182" t="str">
        <f>IFERROR(__xludf.DUMMYFUNCTION("""COMPUTED_VALUE"""),"Y")</f>
        <v>Y</v>
      </c>
    </row>
    <row r="77">
      <c r="A77" s="182" t="str">
        <f>IFERROR(__xludf.DUMMYFUNCTION("""COMPUTED_VALUE"""),"Demo")</f>
        <v>Demo</v>
      </c>
      <c r="B77" s="182">
        <f>IFERROR(__xludf.DUMMYFUNCTION("""COMPUTED_VALUE"""),76.0)</f>
        <v>76</v>
      </c>
      <c r="C77" s="182" t="str">
        <f>IFERROR(__xludf.DUMMYFUNCTION("""COMPUTED_VALUE"""),"G4QUR")</f>
        <v>G4QUR</v>
      </c>
      <c r="D77" s="182" t="str">
        <f>IFERROR(__xludf.DUMMYFUNCTION("""COMPUTED_VALUE"""),"GA10785-US")</f>
        <v>GA10785-US</v>
      </c>
      <c r="E77" s="182" t="str">
        <f>IFERROR(__xludf.DUMMYFUNCTION("""COMPUTED_VALUE"""),"SKU, CLR2, GOOD, MMWAVE, US GSTORE, DEMO, BZ5")</f>
        <v>SKU, CLR2, GOOD, MMWAVE, US GSTORE, DEMO, BZ5</v>
      </c>
      <c r="F77" s="182" t="str">
        <f>IFERROR(__xludf.DUMMYFUNCTION("""COMPUTED_VALUE"""),"Pixel 10 Pro, Porcelain, 128GB, GStore, US , Demo")</f>
        <v>Pixel 10 Pro, Porcelain, 128GB, GStore, US , Demo</v>
      </c>
      <c r="G77" s="182" t="str">
        <f>IFERROR(__xludf.DUMMYFUNCTION("""COMPUTED_VALUE"""),"CLR2")</f>
        <v>CLR2</v>
      </c>
      <c r="H77" s="182" t="str">
        <f>IFERROR(__xludf.DUMMYFUNCTION("""COMPUTED_VALUE"""),"mmWave")</f>
        <v>mmWave</v>
      </c>
      <c r="I77" s="182" t="str">
        <f>IFERROR(__xludf.DUMMYFUNCTION("""COMPUTED_VALUE"""),"128GB")</f>
        <v>128GB</v>
      </c>
      <c r="J77" s="182"/>
      <c r="K77" s="182" t="str">
        <f>IFERROR(__xludf.DUMMYFUNCTION("""COMPUTED_VALUE"""),"G950-15986-02")</f>
        <v>G950-15986-02</v>
      </c>
      <c r="L77" s="182" t="str">
        <f>IFERROR(__xludf.DUMMYFUNCTION("""COMPUTED_VALUE"""),"G710-07821-01")</f>
        <v>G710-07821-01</v>
      </c>
      <c r="M77" s="182" t="str">
        <f>IFERROR(__xludf.DUMMYFUNCTION("""COMPUTED_VALUE"""),"G710-10000-40")</f>
        <v>G710-10000-40</v>
      </c>
      <c r="N77" s="182" t="str">
        <f>IFERROR(__xludf.DUMMYFUNCTION("""COMPUTED_VALUE"""),"G730-09466-12")</f>
        <v>G730-09466-12</v>
      </c>
      <c r="O77" s="182" t="str">
        <f>IFERROR(__xludf.DUMMYFUNCTION("""COMPUTED_VALUE"""),"G710-07813-00")</f>
        <v>G710-07813-00</v>
      </c>
      <c r="P77" s="182" t="str">
        <f>IFERROR(__xludf.DUMMYFUNCTION("""COMPUTED_VALUE"""),"G650-14410-06")</f>
        <v>G650-14410-06</v>
      </c>
      <c r="Q77" s="182" t="str">
        <f>IFERROR(__xludf.DUMMYFUNCTION("""COMPUTED_VALUE"""),"G650-14412-04")</f>
        <v>G650-14412-04</v>
      </c>
      <c r="R77" s="182" t="str">
        <f>IFERROR(__xludf.DUMMYFUNCTION("""COMPUTED_VALUE"""),"G650-14843-04")</f>
        <v>G650-14843-04</v>
      </c>
      <c r="S77" s="182" t="str">
        <f>IFERROR(__xludf.DUMMYFUNCTION("""COMPUTED_VALUE"""),"G650-14411-05")</f>
        <v>G650-14411-05</v>
      </c>
      <c r="T77" s="182" t="str">
        <f>IFERROR(__xludf.DUMMYFUNCTION("""COMPUTED_VALUE"""),"G650-14840-03")</f>
        <v>G650-14840-03</v>
      </c>
      <c r="U77" s="182" t="str">
        <f>IFERROR(__xludf.DUMMYFUNCTION("""COMPUTED_VALUE"""),"G650-14841-03")</f>
        <v>G650-14841-03</v>
      </c>
      <c r="V77" s="182" t="str">
        <f>IFERROR(__xludf.DUMMYFUNCTION("""COMPUTED_VALUE"""),"G650-14413-03")</f>
        <v>G650-14413-03</v>
      </c>
      <c r="W77" s="182"/>
      <c r="X77" s="182"/>
      <c r="Y77" s="182"/>
      <c r="Z77" s="182" t="str">
        <f>IFERROR(__xludf.DUMMYFUNCTION("""COMPUTED_VALUE"""),"N")</f>
        <v>N</v>
      </c>
      <c r="AA77" s="182" t="str">
        <f>IFERROR(__xludf.DUMMYFUNCTION("""COMPUTED_VALUE"""),"Y")</f>
        <v>Y</v>
      </c>
    </row>
    <row r="78">
      <c r="A78" s="182" t="str">
        <f>IFERROR(__xludf.DUMMYFUNCTION("""COMPUTED_VALUE"""),"Demo")</f>
        <v>Demo</v>
      </c>
      <c r="B78" s="182">
        <f>IFERROR(__xludf.DUMMYFUNCTION("""COMPUTED_VALUE"""),77.0)</f>
        <v>77</v>
      </c>
      <c r="C78" s="182" t="str">
        <f>IFERROR(__xludf.DUMMYFUNCTION("""COMPUTED_VALUE"""),"G4QUR")</f>
        <v>G4QUR</v>
      </c>
      <c r="D78" s="182" t="str">
        <f>IFERROR(__xludf.DUMMYFUNCTION("""COMPUTED_VALUE"""),"GA10788-US")</f>
        <v>GA10788-US</v>
      </c>
      <c r="E78" s="182" t="str">
        <f>IFERROR(__xludf.DUMMYFUNCTION("""COMPUTED_VALUE"""),"SKU, CLR3, GOOD, MMWAVE, US GSTORE, DEMO, BZ5")</f>
        <v>SKU, CLR3, GOOD, MMWAVE, US GSTORE, DEMO, BZ5</v>
      </c>
      <c r="F78" s="182" t="str">
        <f>IFERROR(__xludf.DUMMYFUNCTION("""COMPUTED_VALUE"""),"Pixel 10 Pro, Moonstone, 128GB, GStore, US , Demo")</f>
        <v>Pixel 10 Pro, Moonstone, 128GB, GStore, US , Demo</v>
      </c>
      <c r="G78" s="182" t="str">
        <f>IFERROR(__xludf.DUMMYFUNCTION("""COMPUTED_VALUE"""),"CLR3")</f>
        <v>CLR3</v>
      </c>
      <c r="H78" s="182" t="str">
        <f>IFERROR(__xludf.DUMMYFUNCTION("""COMPUTED_VALUE"""),"mmWave")</f>
        <v>mmWave</v>
      </c>
      <c r="I78" s="182" t="str">
        <f>IFERROR(__xludf.DUMMYFUNCTION("""COMPUTED_VALUE"""),"128GB")</f>
        <v>128GB</v>
      </c>
      <c r="J78" s="182"/>
      <c r="K78" s="182" t="str">
        <f>IFERROR(__xludf.DUMMYFUNCTION("""COMPUTED_VALUE"""),"G950-15986-03")</f>
        <v>G950-15986-03</v>
      </c>
      <c r="L78" s="182" t="str">
        <f>IFERROR(__xludf.DUMMYFUNCTION("""COMPUTED_VALUE"""),"G710-07821-01")</f>
        <v>G710-07821-01</v>
      </c>
      <c r="M78" s="182" t="str">
        <f>IFERROR(__xludf.DUMMYFUNCTION("""COMPUTED_VALUE"""),"G710-10000-40")</f>
        <v>G710-10000-40</v>
      </c>
      <c r="N78" s="182" t="str">
        <f>IFERROR(__xludf.DUMMYFUNCTION("""COMPUTED_VALUE"""),"G730-09466-13")</f>
        <v>G730-09466-13</v>
      </c>
      <c r="O78" s="182" t="str">
        <f>IFERROR(__xludf.DUMMYFUNCTION("""COMPUTED_VALUE"""),"G710-07813-00")</f>
        <v>G710-07813-00</v>
      </c>
      <c r="P78" s="182" t="str">
        <f>IFERROR(__xludf.DUMMYFUNCTION("""COMPUTED_VALUE"""),"G650-14410-06")</f>
        <v>G650-14410-06</v>
      </c>
      <c r="Q78" s="182" t="str">
        <f>IFERROR(__xludf.DUMMYFUNCTION("""COMPUTED_VALUE"""),"G650-14412-04")</f>
        <v>G650-14412-04</v>
      </c>
      <c r="R78" s="182" t="str">
        <f>IFERROR(__xludf.DUMMYFUNCTION("""COMPUTED_VALUE"""),"G650-14843-04")</f>
        <v>G650-14843-04</v>
      </c>
      <c r="S78" s="182" t="str">
        <f>IFERROR(__xludf.DUMMYFUNCTION("""COMPUTED_VALUE"""),"G650-14411-05")</f>
        <v>G650-14411-05</v>
      </c>
      <c r="T78" s="182" t="str">
        <f>IFERROR(__xludf.DUMMYFUNCTION("""COMPUTED_VALUE"""),"G650-14840-03")</f>
        <v>G650-14840-03</v>
      </c>
      <c r="U78" s="182" t="str">
        <f>IFERROR(__xludf.DUMMYFUNCTION("""COMPUTED_VALUE"""),"G650-14841-03")</f>
        <v>G650-14841-03</v>
      </c>
      <c r="V78" s="182" t="str">
        <f>IFERROR(__xludf.DUMMYFUNCTION("""COMPUTED_VALUE"""),"G650-14413-03")</f>
        <v>G650-14413-03</v>
      </c>
      <c r="W78" s="182"/>
      <c r="X78" s="182"/>
      <c r="Y78" s="182"/>
      <c r="Z78" s="182" t="str">
        <f>IFERROR(__xludf.DUMMYFUNCTION("""COMPUTED_VALUE"""),"N")</f>
        <v>N</v>
      </c>
      <c r="AA78" s="182" t="str">
        <f>IFERROR(__xludf.DUMMYFUNCTION("""COMPUTED_VALUE"""),"Y")</f>
        <v>Y</v>
      </c>
    </row>
    <row r="79">
      <c r="A79" s="182" t="str">
        <f>IFERROR(__xludf.DUMMYFUNCTION("""COMPUTED_VALUE"""),"Demo")</f>
        <v>Demo</v>
      </c>
      <c r="B79" s="182">
        <f>IFERROR(__xludf.DUMMYFUNCTION("""COMPUTED_VALUE"""),78.0)</f>
        <v>78</v>
      </c>
      <c r="C79" s="182" t="str">
        <f>IFERROR(__xludf.DUMMYFUNCTION("""COMPUTED_VALUE"""),"G4QUR")</f>
        <v>G4QUR</v>
      </c>
      <c r="D79" s="182" t="str">
        <f>IFERROR(__xludf.DUMMYFUNCTION("""COMPUTED_VALUE"""),"GA10791-US")</f>
        <v>GA10791-US</v>
      </c>
      <c r="E79" s="182" t="str">
        <f>IFERROR(__xludf.DUMMYFUNCTION("""COMPUTED_VALUE"""),"SKU, CLR4, BETTER, MMWAVE, US GSTORE, DEMO, BZ5")</f>
        <v>SKU, CLR4, BETTER, MMWAVE, US GSTORE, DEMO, BZ5</v>
      </c>
      <c r="F79" s="182" t="str">
        <f>IFERROR(__xludf.DUMMYFUNCTION("""COMPUTED_VALUE"""),"Pixel 10 Pro, Jade, 256GB, GStore, US , Demo")</f>
        <v>Pixel 10 Pro, Jade, 256GB, GStore, US , Demo</v>
      </c>
      <c r="G79" s="182" t="str">
        <f>IFERROR(__xludf.DUMMYFUNCTION("""COMPUTED_VALUE"""),"CLR4")</f>
        <v>CLR4</v>
      </c>
      <c r="H79" s="182" t="str">
        <f>IFERROR(__xludf.DUMMYFUNCTION("""COMPUTED_VALUE"""),"mmWave")</f>
        <v>mmWave</v>
      </c>
      <c r="I79" s="182" t="str">
        <f>IFERROR(__xludf.DUMMYFUNCTION("""COMPUTED_VALUE"""),"256GB")</f>
        <v>256GB</v>
      </c>
      <c r="J79" s="182"/>
      <c r="K79" s="182" t="str">
        <f>IFERROR(__xludf.DUMMYFUNCTION("""COMPUTED_VALUE"""),"G950-18289-04")</f>
        <v>G950-18289-04</v>
      </c>
      <c r="L79" s="182" t="str">
        <f>IFERROR(__xludf.DUMMYFUNCTION("""COMPUTED_VALUE"""),"G710-07821-01")</f>
        <v>G710-07821-01</v>
      </c>
      <c r="M79" s="182" t="str">
        <f>IFERROR(__xludf.DUMMYFUNCTION("""COMPUTED_VALUE"""),"G710-10000-40")</f>
        <v>G710-10000-40</v>
      </c>
      <c r="N79" s="182" t="str">
        <f>IFERROR(__xludf.DUMMYFUNCTION("""COMPUTED_VALUE"""),"G730-09466-14")</f>
        <v>G730-09466-14</v>
      </c>
      <c r="O79" s="182" t="str">
        <f>IFERROR(__xludf.DUMMYFUNCTION("""COMPUTED_VALUE"""),"G710-07813-10")</f>
        <v>G710-07813-10</v>
      </c>
      <c r="P79" s="182" t="str">
        <f>IFERROR(__xludf.DUMMYFUNCTION("""COMPUTED_VALUE"""),"G650-17429-06")</f>
        <v>G650-17429-06</v>
      </c>
      <c r="Q79" s="182" t="str">
        <f>IFERROR(__xludf.DUMMYFUNCTION("""COMPUTED_VALUE"""),"G650-14412-04")</f>
        <v>G650-14412-04</v>
      </c>
      <c r="R79" s="182" t="str">
        <f>IFERROR(__xludf.DUMMYFUNCTION("""COMPUTED_VALUE"""),"G650-14843-04")</f>
        <v>G650-14843-04</v>
      </c>
      <c r="S79" s="182" t="str">
        <f>IFERROR(__xludf.DUMMYFUNCTION("""COMPUTED_VALUE"""),"G650-14411-05")</f>
        <v>G650-14411-05</v>
      </c>
      <c r="T79" s="182" t="str">
        <f>IFERROR(__xludf.DUMMYFUNCTION("""COMPUTED_VALUE"""),"G650-14840-03")</f>
        <v>G650-14840-03</v>
      </c>
      <c r="U79" s="182" t="str">
        <f>IFERROR(__xludf.DUMMYFUNCTION("""COMPUTED_VALUE"""),"G650-14841-03")</f>
        <v>G650-14841-03</v>
      </c>
      <c r="V79" s="182" t="str">
        <f>IFERROR(__xludf.DUMMYFUNCTION("""COMPUTED_VALUE"""),"G650-14413-03")</f>
        <v>G650-14413-03</v>
      </c>
      <c r="W79" s="182"/>
      <c r="X79" s="182"/>
      <c r="Y79" s="182"/>
      <c r="Z79" s="182" t="str">
        <f>IFERROR(__xludf.DUMMYFUNCTION("""COMPUTED_VALUE"""),"N")</f>
        <v>N</v>
      </c>
      <c r="AA79" s="182" t="str">
        <f>IFERROR(__xludf.DUMMYFUNCTION("""COMPUTED_VALUE"""),"Y")</f>
        <v>Y</v>
      </c>
    </row>
    <row r="80">
      <c r="A80" s="182" t="str">
        <f>IFERROR(__xludf.DUMMYFUNCTION("""COMPUTED_VALUE"""),"Demo")</f>
        <v>Demo</v>
      </c>
      <c r="B80" s="182">
        <f>IFERROR(__xludf.DUMMYFUNCTION("""COMPUTED_VALUE"""),79.0)</f>
        <v>79</v>
      </c>
      <c r="C80" s="182" t="str">
        <f>IFERROR(__xludf.DUMMYFUNCTION("""COMPUTED_VALUE"""),"GN4F5")</f>
        <v>GN4F5</v>
      </c>
      <c r="D80" s="182" t="str">
        <f>IFERROR(__xludf.DUMMYFUNCTION("""COMPUTED_VALUE"""),"GA10782-JP")</f>
        <v>GA10782-JP</v>
      </c>
      <c r="E80" s="182" t="str">
        <f>IFERROR(__xludf.DUMMYFUNCTION("""COMPUTED_VALUE"""),"SKU, CLR1, BETTER, SUB6, JP, DEMO, BZ5")</f>
        <v>SKU, CLR1, BETTER, SUB6, JP, DEMO, BZ5</v>
      </c>
      <c r="F80" s="182" t="str">
        <f>IFERROR(__xludf.DUMMYFUNCTION("""COMPUTED_VALUE"""),"Pixel 10 Pro, Obsidian, 256GB, JP , Demo")</f>
        <v>Pixel 10 Pro, Obsidian, 256GB, JP , Demo</v>
      </c>
      <c r="G80" s="182" t="str">
        <f>IFERROR(__xludf.DUMMYFUNCTION("""COMPUTED_VALUE"""),"CLR1")</f>
        <v>CLR1</v>
      </c>
      <c r="H80" s="182" t="str">
        <f>IFERROR(__xludf.DUMMYFUNCTION("""COMPUTED_VALUE"""),"SUB6")</f>
        <v>SUB6</v>
      </c>
      <c r="I80" s="182" t="str">
        <f>IFERROR(__xludf.DUMMYFUNCTION("""COMPUTED_VALUE"""),"256GB")</f>
        <v>256GB</v>
      </c>
      <c r="J80" s="182"/>
      <c r="K80" s="182" t="str">
        <f>IFERROR(__xludf.DUMMYFUNCTION("""COMPUTED_VALUE"""),"G950-18290-01")</f>
        <v>G950-18290-01</v>
      </c>
      <c r="L80" s="182" t="str">
        <f>IFERROR(__xludf.DUMMYFUNCTION("""COMPUTED_VALUE"""),"G710-07822-01")</f>
        <v>G710-07822-01</v>
      </c>
      <c r="M80" s="182" t="str">
        <f>IFERROR(__xludf.DUMMYFUNCTION("""COMPUTED_VALUE"""),"G710-10000-40")</f>
        <v>G710-10000-40</v>
      </c>
      <c r="N80" s="182" t="str">
        <f>IFERROR(__xludf.DUMMYFUNCTION("""COMPUTED_VALUE"""),"G730-09466-11")</f>
        <v>G730-09466-11</v>
      </c>
      <c r="O80" s="182" t="str">
        <f>IFERROR(__xludf.DUMMYFUNCTION("""COMPUTED_VALUE"""),"G710-07813-12")</f>
        <v>G710-07813-12</v>
      </c>
      <c r="P80" s="182" t="str">
        <f>IFERROR(__xludf.DUMMYFUNCTION("""COMPUTED_VALUE"""),"G650-17430-06")</f>
        <v>G650-17430-06</v>
      </c>
      <c r="Q80" s="182" t="str">
        <f>IFERROR(__xludf.DUMMYFUNCTION("""COMPUTED_VALUE"""),"G650-15596-04")</f>
        <v>G650-15596-04</v>
      </c>
      <c r="R80" s="182" t="str">
        <f>IFERROR(__xludf.DUMMYFUNCTION("""COMPUTED_VALUE"""),"G650-14843-04")</f>
        <v>G650-14843-04</v>
      </c>
      <c r="S80" s="182" t="str">
        <f>IFERROR(__xludf.DUMMYFUNCTION("""COMPUTED_VALUE"""),"G650-14411-05")</f>
        <v>G650-14411-05</v>
      </c>
      <c r="T80" s="182" t="str">
        <f>IFERROR(__xludf.DUMMYFUNCTION("""COMPUTED_VALUE"""),"G650-14840-03")</f>
        <v>G650-14840-03</v>
      </c>
      <c r="U80" s="182" t="str">
        <f>IFERROR(__xludf.DUMMYFUNCTION("""COMPUTED_VALUE"""),"G650-14841-03")</f>
        <v>G650-14841-03</v>
      </c>
      <c r="V80" s="182" t="str">
        <f>IFERROR(__xludf.DUMMYFUNCTION("""COMPUTED_VALUE"""),"G650-14413-03")</f>
        <v>G650-14413-03</v>
      </c>
      <c r="W80" s="182"/>
      <c r="X80" s="182"/>
      <c r="Y80" s="182"/>
      <c r="Z80" s="182" t="str">
        <f>IFERROR(__xludf.DUMMYFUNCTION("""COMPUTED_VALUE"""),"Y")</f>
        <v>Y</v>
      </c>
      <c r="AA80" s="182" t="str">
        <f>IFERROR(__xludf.DUMMYFUNCTION("""COMPUTED_VALUE"""),"Y")</f>
        <v>Y</v>
      </c>
    </row>
    <row r="81">
      <c r="A81" s="182" t="str">
        <f>IFERROR(__xludf.DUMMYFUNCTION("""COMPUTED_VALUE"""),"Demo")</f>
        <v>Demo</v>
      </c>
      <c r="B81" s="182">
        <f>IFERROR(__xludf.DUMMYFUNCTION("""COMPUTED_VALUE"""),80.0)</f>
        <v>80</v>
      </c>
      <c r="C81" s="182" t="str">
        <f>IFERROR(__xludf.DUMMYFUNCTION("""COMPUTED_VALUE"""),"GN4F5")</f>
        <v>GN4F5</v>
      </c>
      <c r="D81" s="182" t="str">
        <f>IFERROR(__xludf.DUMMYFUNCTION("""COMPUTED_VALUE"""),"GA10785-JP")</f>
        <v>GA10785-JP</v>
      </c>
      <c r="E81" s="182" t="str">
        <f>IFERROR(__xludf.DUMMYFUNCTION("""COMPUTED_VALUE"""),"SKU, CLR2, BETTER, SUB6, JP, DEMO, BZ5")</f>
        <v>SKU, CLR2, BETTER, SUB6, JP, DEMO, BZ5</v>
      </c>
      <c r="F81" s="182" t="str">
        <f>IFERROR(__xludf.DUMMYFUNCTION("""COMPUTED_VALUE"""),"Pixel 10 Pro, Porcelain, 256GB, JP , Demo")</f>
        <v>Pixel 10 Pro, Porcelain, 256GB, JP , Demo</v>
      </c>
      <c r="G81" s="182" t="str">
        <f>IFERROR(__xludf.DUMMYFUNCTION("""COMPUTED_VALUE"""),"CLR2")</f>
        <v>CLR2</v>
      </c>
      <c r="H81" s="182" t="str">
        <f>IFERROR(__xludf.DUMMYFUNCTION("""COMPUTED_VALUE"""),"SUB6")</f>
        <v>SUB6</v>
      </c>
      <c r="I81" s="182" t="str">
        <f>IFERROR(__xludf.DUMMYFUNCTION("""COMPUTED_VALUE"""),"256GB")</f>
        <v>256GB</v>
      </c>
      <c r="J81" s="182"/>
      <c r="K81" s="182" t="str">
        <f>IFERROR(__xludf.DUMMYFUNCTION("""COMPUTED_VALUE"""),"G950-18290-02")</f>
        <v>G950-18290-02</v>
      </c>
      <c r="L81" s="182" t="str">
        <f>IFERROR(__xludf.DUMMYFUNCTION("""COMPUTED_VALUE"""),"G710-07822-01")</f>
        <v>G710-07822-01</v>
      </c>
      <c r="M81" s="182" t="str">
        <f>IFERROR(__xludf.DUMMYFUNCTION("""COMPUTED_VALUE"""),"G710-10000-40")</f>
        <v>G710-10000-40</v>
      </c>
      <c r="N81" s="182" t="str">
        <f>IFERROR(__xludf.DUMMYFUNCTION("""COMPUTED_VALUE"""),"G730-09466-12")</f>
        <v>G730-09466-12</v>
      </c>
      <c r="O81" s="182" t="str">
        <f>IFERROR(__xludf.DUMMYFUNCTION("""COMPUTED_VALUE"""),"G710-07813-12")</f>
        <v>G710-07813-12</v>
      </c>
      <c r="P81" s="182" t="str">
        <f>IFERROR(__xludf.DUMMYFUNCTION("""COMPUTED_VALUE"""),"G650-17430-06")</f>
        <v>G650-17430-06</v>
      </c>
      <c r="Q81" s="182" t="str">
        <f>IFERROR(__xludf.DUMMYFUNCTION("""COMPUTED_VALUE"""),"G650-15596-04")</f>
        <v>G650-15596-04</v>
      </c>
      <c r="R81" s="182" t="str">
        <f>IFERROR(__xludf.DUMMYFUNCTION("""COMPUTED_VALUE"""),"G650-14843-04")</f>
        <v>G650-14843-04</v>
      </c>
      <c r="S81" s="182" t="str">
        <f>IFERROR(__xludf.DUMMYFUNCTION("""COMPUTED_VALUE"""),"G650-14411-05")</f>
        <v>G650-14411-05</v>
      </c>
      <c r="T81" s="182" t="str">
        <f>IFERROR(__xludf.DUMMYFUNCTION("""COMPUTED_VALUE"""),"G650-14840-03")</f>
        <v>G650-14840-03</v>
      </c>
      <c r="U81" s="182" t="str">
        <f>IFERROR(__xludf.DUMMYFUNCTION("""COMPUTED_VALUE"""),"G650-14841-03")</f>
        <v>G650-14841-03</v>
      </c>
      <c r="V81" s="182" t="str">
        <f>IFERROR(__xludf.DUMMYFUNCTION("""COMPUTED_VALUE"""),"G650-14413-03")</f>
        <v>G650-14413-03</v>
      </c>
      <c r="W81" s="182"/>
      <c r="X81" s="182"/>
      <c r="Y81" s="182"/>
      <c r="Z81" s="182" t="str">
        <f>IFERROR(__xludf.DUMMYFUNCTION("""COMPUTED_VALUE"""),"Y")</f>
        <v>Y</v>
      </c>
      <c r="AA81" s="182" t="str">
        <f>IFERROR(__xludf.DUMMYFUNCTION("""COMPUTED_VALUE"""),"Y")</f>
        <v>Y</v>
      </c>
    </row>
    <row r="82">
      <c r="A82" s="182" t="str">
        <f>IFERROR(__xludf.DUMMYFUNCTION("""COMPUTED_VALUE"""),"Demo")</f>
        <v>Demo</v>
      </c>
      <c r="B82" s="182">
        <f>IFERROR(__xludf.DUMMYFUNCTION("""COMPUTED_VALUE"""),81.0)</f>
        <v>81</v>
      </c>
      <c r="C82" s="182" t="str">
        <f>IFERROR(__xludf.DUMMYFUNCTION("""COMPUTED_VALUE"""),"GN4F5")</f>
        <v>GN4F5</v>
      </c>
      <c r="D82" s="182" t="str">
        <f>IFERROR(__xludf.DUMMYFUNCTION("""COMPUTED_VALUE"""),"GA10788-JP")</f>
        <v>GA10788-JP</v>
      </c>
      <c r="E82" s="182" t="str">
        <f>IFERROR(__xludf.DUMMYFUNCTION("""COMPUTED_VALUE"""),"SKU, CLR3, BETTER, SUB6, JP, DEMO, BZ5")</f>
        <v>SKU, CLR3, BETTER, SUB6, JP, DEMO, BZ5</v>
      </c>
      <c r="F82" s="182" t="str">
        <f>IFERROR(__xludf.DUMMYFUNCTION("""COMPUTED_VALUE"""),"Pixel 10 Pro, Moonstone, 256GB, JP , Demo")</f>
        <v>Pixel 10 Pro, Moonstone, 256GB, JP , Demo</v>
      </c>
      <c r="G82" s="182" t="str">
        <f>IFERROR(__xludf.DUMMYFUNCTION("""COMPUTED_VALUE"""),"CLR3")</f>
        <v>CLR3</v>
      </c>
      <c r="H82" s="182" t="str">
        <f>IFERROR(__xludf.DUMMYFUNCTION("""COMPUTED_VALUE"""),"SUB6")</f>
        <v>SUB6</v>
      </c>
      <c r="I82" s="182" t="str">
        <f>IFERROR(__xludf.DUMMYFUNCTION("""COMPUTED_VALUE"""),"256GB")</f>
        <v>256GB</v>
      </c>
      <c r="J82" s="182"/>
      <c r="K82" s="182" t="str">
        <f>IFERROR(__xludf.DUMMYFUNCTION("""COMPUTED_VALUE"""),"G950-18290-03")</f>
        <v>G950-18290-03</v>
      </c>
      <c r="L82" s="182" t="str">
        <f>IFERROR(__xludf.DUMMYFUNCTION("""COMPUTED_VALUE"""),"G710-07822-01")</f>
        <v>G710-07822-01</v>
      </c>
      <c r="M82" s="182" t="str">
        <f>IFERROR(__xludf.DUMMYFUNCTION("""COMPUTED_VALUE"""),"G710-10000-40")</f>
        <v>G710-10000-40</v>
      </c>
      <c r="N82" s="182" t="str">
        <f>IFERROR(__xludf.DUMMYFUNCTION("""COMPUTED_VALUE"""),"G730-09466-13")</f>
        <v>G730-09466-13</v>
      </c>
      <c r="O82" s="182" t="str">
        <f>IFERROR(__xludf.DUMMYFUNCTION("""COMPUTED_VALUE"""),"G710-07813-12")</f>
        <v>G710-07813-12</v>
      </c>
      <c r="P82" s="182" t="str">
        <f>IFERROR(__xludf.DUMMYFUNCTION("""COMPUTED_VALUE"""),"G650-17430-06")</f>
        <v>G650-17430-06</v>
      </c>
      <c r="Q82" s="182" t="str">
        <f>IFERROR(__xludf.DUMMYFUNCTION("""COMPUTED_VALUE"""),"G650-15596-04")</f>
        <v>G650-15596-04</v>
      </c>
      <c r="R82" s="182" t="str">
        <f>IFERROR(__xludf.DUMMYFUNCTION("""COMPUTED_VALUE"""),"G650-14843-04")</f>
        <v>G650-14843-04</v>
      </c>
      <c r="S82" s="182" t="str">
        <f>IFERROR(__xludf.DUMMYFUNCTION("""COMPUTED_VALUE"""),"G650-14411-05")</f>
        <v>G650-14411-05</v>
      </c>
      <c r="T82" s="182" t="str">
        <f>IFERROR(__xludf.DUMMYFUNCTION("""COMPUTED_VALUE"""),"G650-14840-03")</f>
        <v>G650-14840-03</v>
      </c>
      <c r="U82" s="182" t="str">
        <f>IFERROR(__xludf.DUMMYFUNCTION("""COMPUTED_VALUE"""),"G650-14841-03")</f>
        <v>G650-14841-03</v>
      </c>
      <c r="V82" s="182" t="str">
        <f>IFERROR(__xludf.DUMMYFUNCTION("""COMPUTED_VALUE"""),"G650-14413-03")</f>
        <v>G650-14413-03</v>
      </c>
      <c r="W82" s="182"/>
      <c r="X82" s="182"/>
      <c r="Y82" s="182"/>
      <c r="Z82" s="182" t="str">
        <f>IFERROR(__xludf.DUMMYFUNCTION("""COMPUTED_VALUE"""),"Y")</f>
        <v>Y</v>
      </c>
      <c r="AA82" s="182" t="str">
        <f>IFERROR(__xludf.DUMMYFUNCTION("""COMPUTED_VALUE"""),"Y")</f>
        <v>Y</v>
      </c>
    </row>
    <row r="83">
      <c r="A83" s="182" t="str">
        <f>IFERROR(__xludf.DUMMYFUNCTION("""COMPUTED_VALUE"""),"Demo")</f>
        <v>Demo</v>
      </c>
      <c r="B83" s="182">
        <f>IFERROR(__xludf.DUMMYFUNCTION("""COMPUTED_VALUE"""),82.0)</f>
        <v>82</v>
      </c>
      <c r="C83" s="182" t="str">
        <f>IFERROR(__xludf.DUMMYFUNCTION("""COMPUTED_VALUE"""),"GN4F5")</f>
        <v>GN4F5</v>
      </c>
      <c r="D83" s="182" t="str">
        <f>IFERROR(__xludf.DUMMYFUNCTION("""COMPUTED_VALUE"""),"GA10791-JP")</f>
        <v>GA10791-JP</v>
      </c>
      <c r="E83" s="182" t="str">
        <f>IFERROR(__xludf.DUMMYFUNCTION("""COMPUTED_VALUE"""),"SKU, CLR4, BETTER, SUB6, JP, DEMO, BZ5")</f>
        <v>SKU, CLR4, BETTER, SUB6, JP, DEMO, BZ5</v>
      </c>
      <c r="F83" s="182" t="str">
        <f>IFERROR(__xludf.DUMMYFUNCTION("""COMPUTED_VALUE"""),"Pixel 10 Pro, Jade, 256GB, JP, Demo")</f>
        <v>Pixel 10 Pro, Jade, 256GB, JP, Demo</v>
      </c>
      <c r="G83" s="182" t="str">
        <f>IFERROR(__xludf.DUMMYFUNCTION("""COMPUTED_VALUE"""),"CLR4")</f>
        <v>CLR4</v>
      </c>
      <c r="H83" s="182" t="str">
        <f>IFERROR(__xludf.DUMMYFUNCTION("""COMPUTED_VALUE"""),"SUB6")</f>
        <v>SUB6</v>
      </c>
      <c r="I83" s="182" t="str">
        <f>IFERROR(__xludf.DUMMYFUNCTION("""COMPUTED_VALUE"""),"256GB")</f>
        <v>256GB</v>
      </c>
      <c r="J83" s="182"/>
      <c r="K83" s="182" t="str">
        <f>IFERROR(__xludf.DUMMYFUNCTION("""COMPUTED_VALUE"""),"G950-18290-04")</f>
        <v>G950-18290-04</v>
      </c>
      <c r="L83" s="182" t="str">
        <f>IFERROR(__xludf.DUMMYFUNCTION("""COMPUTED_VALUE"""),"G710-07822-01")</f>
        <v>G710-07822-01</v>
      </c>
      <c r="M83" s="182" t="str">
        <f>IFERROR(__xludf.DUMMYFUNCTION("""COMPUTED_VALUE"""),"G710-10000-40")</f>
        <v>G710-10000-40</v>
      </c>
      <c r="N83" s="182" t="str">
        <f>IFERROR(__xludf.DUMMYFUNCTION("""COMPUTED_VALUE"""),"G730-09466-14")</f>
        <v>G730-09466-14</v>
      </c>
      <c r="O83" s="182" t="str">
        <f>IFERROR(__xludf.DUMMYFUNCTION("""COMPUTED_VALUE"""),"G710-07813-12")</f>
        <v>G710-07813-12</v>
      </c>
      <c r="P83" s="182" t="str">
        <f>IFERROR(__xludf.DUMMYFUNCTION("""COMPUTED_VALUE"""),"G650-17430-06")</f>
        <v>G650-17430-06</v>
      </c>
      <c r="Q83" s="182" t="str">
        <f>IFERROR(__xludf.DUMMYFUNCTION("""COMPUTED_VALUE"""),"G650-15596-04")</f>
        <v>G650-15596-04</v>
      </c>
      <c r="R83" s="182" t="str">
        <f>IFERROR(__xludf.DUMMYFUNCTION("""COMPUTED_VALUE"""),"G650-14843-04")</f>
        <v>G650-14843-04</v>
      </c>
      <c r="S83" s="182" t="str">
        <f>IFERROR(__xludf.DUMMYFUNCTION("""COMPUTED_VALUE"""),"G650-14411-05")</f>
        <v>G650-14411-05</v>
      </c>
      <c r="T83" s="182" t="str">
        <f>IFERROR(__xludf.DUMMYFUNCTION("""COMPUTED_VALUE"""),"G650-14840-03")</f>
        <v>G650-14840-03</v>
      </c>
      <c r="U83" s="182" t="str">
        <f>IFERROR(__xludf.DUMMYFUNCTION("""COMPUTED_VALUE"""),"G650-14841-03")</f>
        <v>G650-14841-03</v>
      </c>
      <c r="V83" s="182" t="str">
        <f>IFERROR(__xludf.DUMMYFUNCTION("""COMPUTED_VALUE"""),"G650-14413-03")</f>
        <v>G650-14413-03</v>
      </c>
      <c r="W83" s="182"/>
      <c r="X83" s="182"/>
      <c r="Y83" s="182"/>
      <c r="Z83" s="182" t="str">
        <f>IFERROR(__xludf.DUMMYFUNCTION("""COMPUTED_VALUE"""),"Y")</f>
        <v>Y</v>
      </c>
      <c r="AA83" s="182" t="str">
        <f>IFERROR(__xludf.DUMMYFUNCTION("""COMPUTED_VALUE"""),"Y")</f>
        <v>Y</v>
      </c>
    </row>
    <row r="84">
      <c r="A84" s="182" t="str">
        <f>IFERROR(__xludf.DUMMYFUNCTION("""COMPUTED_VALUE"""),"Demo")</f>
        <v>Demo</v>
      </c>
      <c r="B84" s="182">
        <f>IFERROR(__xludf.DUMMYFUNCTION("""COMPUTED_VALUE"""),83.0)</f>
        <v>83</v>
      </c>
      <c r="C84" s="182" t="str">
        <f>IFERROR(__xludf.DUMMYFUNCTION("""COMPUTED_VALUE"""),"GEHN3")</f>
        <v>GEHN3</v>
      </c>
      <c r="D84" s="182" t="str">
        <f>IFERROR(__xludf.DUMMYFUNCTION("""COMPUTED_VALUE"""),"GA10782-CA")</f>
        <v>GA10782-CA</v>
      </c>
      <c r="E84" s="182" t="str">
        <f>IFERROR(__xludf.DUMMYFUNCTION("""COMPUTED_VALUE"""),"SKU, CLR1, GOOD, SUB6, CA/TW/SG/AU/MY/MX, DEMO, BZ5")</f>
        <v>SKU, CLR1, GOOD, SUB6, CA/TW/SG/AU/MY/MX, DEMO, BZ5</v>
      </c>
      <c r="F84" s="182" t="str">
        <f>IFERROR(__xludf.DUMMYFUNCTION("""COMPUTED_VALUE"""),"Pixel 10 Pro, Obsidian, 128GB, CA/TW/SG/AU/MY/MX, Demo")</f>
        <v>Pixel 10 Pro, Obsidian, 128GB, CA/TW/SG/AU/MY/MX, Demo</v>
      </c>
      <c r="G84" s="182" t="str">
        <f>IFERROR(__xludf.DUMMYFUNCTION("""COMPUTED_VALUE"""),"CLR1")</f>
        <v>CLR1</v>
      </c>
      <c r="H84" s="182" t="str">
        <f>IFERROR(__xludf.DUMMYFUNCTION("""COMPUTED_VALUE"""),"SUB6")</f>
        <v>SUB6</v>
      </c>
      <c r="I84" s="182" t="str">
        <f>IFERROR(__xludf.DUMMYFUNCTION("""COMPUTED_VALUE"""),"128GB")</f>
        <v>128GB</v>
      </c>
      <c r="J84" s="182"/>
      <c r="K84" s="182" t="str">
        <f>IFERROR(__xludf.DUMMYFUNCTION("""COMPUTED_VALUE"""),"G950-15987-01")</f>
        <v>G950-15987-01</v>
      </c>
      <c r="L84" s="182" t="str">
        <f>IFERROR(__xludf.DUMMYFUNCTION("""COMPUTED_VALUE"""),"G710-07822-01")</f>
        <v>G710-07822-01</v>
      </c>
      <c r="M84" s="182" t="str">
        <f>IFERROR(__xludf.DUMMYFUNCTION("""COMPUTED_VALUE"""),"G710-10000-40")</f>
        <v>G710-10000-40</v>
      </c>
      <c r="N84" s="182" t="str">
        <f>IFERROR(__xludf.DUMMYFUNCTION("""COMPUTED_VALUE"""),"G730-09466-11")</f>
        <v>G730-09466-11</v>
      </c>
      <c r="O84" s="182" t="str">
        <f>IFERROR(__xludf.DUMMYFUNCTION("""COMPUTED_VALUE"""),"G710-07813-02")</f>
        <v>G710-07813-02</v>
      </c>
      <c r="P84" s="182" t="str">
        <f>IFERROR(__xludf.DUMMYFUNCTION("""COMPUTED_VALUE"""),"G650-14972-06")</f>
        <v>G650-14972-06</v>
      </c>
      <c r="Q84" s="182" t="str">
        <f>IFERROR(__xludf.DUMMYFUNCTION("""COMPUTED_VALUE"""),"G650-15596-04")</f>
        <v>G650-15596-04</v>
      </c>
      <c r="R84" s="182" t="str">
        <f>IFERROR(__xludf.DUMMYFUNCTION("""COMPUTED_VALUE"""),"G650-14843-04")</f>
        <v>G650-14843-04</v>
      </c>
      <c r="S84" s="182" t="str">
        <f>IFERROR(__xludf.DUMMYFUNCTION("""COMPUTED_VALUE"""),"G650-14411-05")</f>
        <v>G650-14411-05</v>
      </c>
      <c r="T84" s="182" t="str">
        <f>IFERROR(__xludf.DUMMYFUNCTION("""COMPUTED_VALUE"""),"G650-14840-03")</f>
        <v>G650-14840-03</v>
      </c>
      <c r="U84" s="182" t="str">
        <f>IFERROR(__xludf.DUMMYFUNCTION("""COMPUTED_VALUE"""),"G650-14841-03")</f>
        <v>G650-14841-03</v>
      </c>
      <c r="V84" s="182" t="str">
        <f>IFERROR(__xludf.DUMMYFUNCTION("""COMPUTED_VALUE"""),"G650-14413-03")</f>
        <v>G650-14413-03</v>
      </c>
      <c r="W84" s="182"/>
      <c r="X84" s="182"/>
      <c r="Y84" s="182"/>
      <c r="Z84" s="182" t="str">
        <f>IFERROR(__xludf.DUMMYFUNCTION("""COMPUTED_VALUE"""),"Y")</f>
        <v>Y</v>
      </c>
      <c r="AA84" s="182" t="str">
        <f>IFERROR(__xludf.DUMMYFUNCTION("""COMPUTED_VALUE"""),"Y")</f>
        <v>Y</v>
      </c>
    </row>
    <row r="85">
      <c r="A85" s="182" t="str">
        <f>IFERROR(__xludf.DUMMYFUNCTION("""COMPUTED_VALUE"""),"Demo")</f>
        <v>Demo</v>
      </c>
      <c r="B85" s="182">
        <f>IFERROR(__xludf.DUMMYFUNCTION("""COMPUTED_VALUE"""),84.0)</f>
        <v>84</v>
      </c>
      <c r="C85" s="182" t="str">
        <f>IFERROR(__xludf.DUMMYFUNCTION("""COMPUTED_VALUE"""),"GEHN3")</f>
        <v>GEHN3</v>
      </c>
      <c r="D85" s="182" t="str">
        <f>IFERROR(__xludf.DUMMYFUNCTION("""COMPUTED_VALUE"""),"GA10785-CA")</f>
        <v>GA10785-CA</v>
      </c>
      <c r="E85" s="182" t="str">
        <f>IFERROR(__xludf.DUMMYFUNCTION("""COMPUTED_VALUE"""),"SKU, CLR2, GOOD, SUB6, CA/TW/SG/AU/MY/MX, DEMO, BZ5")</f>
        <v>SKU, CLR2, GOOD, SUB6, CA/TW/SG/AU/MY/MX, DEMO, BZ5</v>
      </c>
      <c r="F85" s="182" t="str">
        <f>IFERROR(__xludf.DUMMYFUNCTION("""COMPUTED_VALUE"""),"Pixel 10 Pro, Porcelain, 128GB, CA/TW/SG/AU/MY/MX, Demo")</f>
        <v>Pixel 10 Pro, Porcelain, 128GB, CA/TW/SG/AU/MY/MX, Demo</v>
      </c>
      <c r="G85" s="182" t="str">
        <f>IFERROR(__xludf.DUMMYFUNCTION("""COMPUTED_VALUE"""),"CLR2")</f>
        <v>CLR2</v>
      </c>
      <c r="H85" s="182" t="str">
        <f>IFERROR(__xludf.DUMMYFUNCTION("""COMPUTED_VALUE"""),"SUB6")</f>
        <v>SUB6</v>
      </c>
      <c r="I85" s="182" t="str">
        <f>IFERROR(__xludf.DUMMYFUNCTION("""COMPUTED_VALUE"""),"128GB")</f>
        <v>128GB</v>
      </c>
      <c r="J85" s="182"/>
      <c r="K85" s="182" t="str">
        <f>IFERROR(__xludf.DUMMYFUNCTION("""COMPUTED_VALUE"""),"G950-15987-02")</f>
        <v>G950-15987-02</v>
      </c>
      <c r="L85" s="182" t="str">
        <f>IFERROR(__xludf.DUMMYFUNCTION("""COMPUTED_VALUE"""),"G710-07822-01")</f>
        <v>G710-07822-01</v>
      </c>
      <c r="M85" s="182" t="str">
        <f>IFERROR(__xludf.DUMMYFUNCTION("""COMPUTED_VALUE"""),"G710-10000-40")</f>
        <v>G710-10000-40</v>
      </c>
      <c r="N85" s="182" t="str">
        <f>IFERROR(__xludf.DUMMYFUNCTION("""COMPUTED_VALUE"""),"G730-09466-12")</f>
        <v>G730-09466-12</v>
      </c>
      <c r="O85" s="182" t="str">
        <f>IFERROR(__xludf.DUMMYFUNCTION("""COMPUTED_VALUE"""),"G710-07813-02")</f>
        <v>G710-07813-02</v>
      </c>
      <c r="P85" s="182" t="str">
        <f>IFERROR(__xludf.DUMMYFUNCTION("""COMPUTED_VALUE"""),"G650-14972-06")</f>
        <v>G650-14972-06</v>
      </c>
      <c r="Q85" s="182" t="str">
        <f>IFERROR(__xludf.DUMMYFUNCTION("""COMPUTED_VALUE"""),"G650-15596-04")</f>
        <v>G650-15596-04</v>
      </c>
      <c r="R85" s="182" t="str">
        <f>IFERROR(__xludf.DUMMYFUNCTION("""COMPUTED_VALUE"""),"G650-14843-04")</f>
        <v>G650-14843-04</v>
      </c>
      <c r="S85" s="182" t="str">
        <f>IFERROR(__xludf.DUMMYFUNCTION("""COMPUTED_VALUE"""),"G650-14411-05")</f>
        <v>G650-14411-05</v>
      </c>
      <c r="T85" s="182" t="str">
        <f>IFERROR(__xludf.DUMMYFUNCTION("""COMPUTED_VALUE"""),"G650-14840-03")</f>
        <v>G650-14840-03</v>
      </c>
      <c r="U85" s="182" t="str">
        <f>IFERROR(__xludf.DUMMYFUNCTION("""COMPUTED_VALUE"""),"G650-14841-03")</f>
        <v>G650-14841-03</v>
      </c>
      <c r="V85" s="182" t="str">
        <f>IFERROR(__xludf.DUMMYFUNCTION("""COMPUTED_VALUE"""),"G650-14413-03")</f>
        <v>G650-14413-03</v>
      </c>
      <c r="W85" s="182"/>
      <c r="X85" s="182"/>
      <c r="Y85" s="182"/>
      <c r="Z85" s="182" t="str">
        <f>IFERROR(__xludf.DUMMYFUNCTION("""COMPUTED_VALUE"""),"Y")</f>
        <v>Y</v>
      </c>
      <c r="AA85" s="182" t="str">
        <f>IFERROR(__xludf.DUMMYFUNCTION("""COMPUTED_VALUE"""),"Y")</f>
        <v>Y</v>
      </c>
    </row>
    <row r="86">
      <c r="A86" s="182" t="str">
        <f>IFERROR(__xludf.DUMMYFUNCTION("""COMPUTED_VALUE"""),"Demo")</f>
        <v>Demo</v>
      </c>
      <c r="B86" s="182">
        <f>IFERROR(__xludf.DUMMYFUNCTION("""COMPUTED_VALUE"""),85.0)</f>
        <v>85</v>
      </c>
      <c r="C86" s="182" t="str">
        <f>IFERROR(__xludf.DUMMYFUNCTION("""COMPUTED_VALUE"""),"GEHN3")</f>
        <v>GEHN3</v>
      </c>
      <c r="D86" s="182" t="str">
        <f>IFERROR(__xludf.DUMMYFUNCTION("""COMPUTED_VALUE"""),"GA10788-CA")</f>
        <v>GA10788-CA</v>
      </c>
      <c r="E86" s="182" t="str">
        <f>IFERROR(__xludf.DUMMYFUNCTION("""COMPUTED_VALUE"""),"SKU, CLR3, GOOD, SUB6, CA/TW/SG/AU/MY/MX, DEMO, BZ5")</f>
        <v>SKU, CLR3, GOOD, SUB6, CA/TW/SG/AU/MY/MX, DEMO, BZ5</v>
      </c>
      <c r="F86" s="182" t="str">
        <f>IFERROR(__xludf.DUMMYFUNCTION("""COMPUTED_VALUE"""),"Pixel 10 Pro, Moonstone, 128GB, CA/TW/SG/AU/MY/MX, Demo")</f>
        <v>Pixel 10 Pro, Moonstone, 128GB, CA/TW/SG/AU/MY/MX, Demo</v>
      </c>
      <c r="G86" s="182" t="str">
        <f>IFERROR(__xludf.DUMMYFUNCTION("""COMPUTED_VALUE"""),"CLR3")</f>
        <v>CLR3</v>
      </c>
      <c r="H86" s="182" t="str">
        <f>IFERROR(__xludf.DUMMYFUNCTION("""COMPUTED_VALUE"""),"SUB6")</f>
        <v>SUB6</v>
      </c>
      <c r="I86" s="182" t="str">
        <f>IFERROR(__xludf.DUMMYFUNCTION("""COMPUTED_VALUE"""),"128GB")</f>
        <v>128GB</v>
      </c>
      <c r="J86" s="182"/>
      <c r="K86" s="182" t="str">
        <f>IFERROR(__xludf.DUMMYFUNCTION("""COMPUTED_VALUE"""),"G950-15987-03")</f>
        <v>G950-15987-03</v>
      </c>
      <c r="L86" s="182" t="str">
        <f>IFERROR(__xludf.DUMMYFUNCTION("""COMPUTED_VALUE"""),"G710-07822-01")</f>
        <v>G710-07822-01</v>
      </c>
      <c r="M86" s="182" t="str">
        <f>IFERROR(__xludf.DUMMYFUNCTION("""COMPUTED_VALUE"""),"G710-10000-40")</f>
        <v>G710-10000-40</v>
      </c>
      <c r="N86" s="182" t="str">
        <f>IFERROR(__xludf.DUMMYFUNCTION("""COMPUTED_VALUE"""),"G730-09466-13")</f>
        <v>G730-09466-13</v>
      </c>
      <c r="O86" s="182" t="str">
        <f>IFERROR(__xludf.DUMMYFUNCTION("""COMPUTED_VALUE"""),"G710-07813-02")</f>
        <v>G710-07813-02</v>
      </c>
      <c r="P86" s="182" t="str">
        <f>IFERROR(__xludf.DUMMYFUNCTION("""COMPUTED_VALUE"""),"G650-14972-06")</f>
        <v>G650-14972-06</v>
      </c>
      <c r="Q86" s="182" t="str">
        <f>IFERROR(__xludf.DUMMYFUNCTION("""COMPUTED_VALUE"""),"G650-15596-04")</f>
        <v>G650-15596-04</v>
      </c>
      <c r="R86" s="182" t="str">
        <f>IFERROR(__xludf.DUMMYFUNCTION("""COMPUTED_VALUE"""),"G650-14843-04")</f>
        <v>G650-14843-04</v>
      </c>
      <c r="S86" s="182" t="str">
        <f>IFERROR(__xludf.DUMMYFUNCTION("""COMPUTED_VALUE"""),"G650-14411-05")</f>
        <v>G650-14411-05</v>
      </c>
      <c r="T86" s="182" t="str">
        <f>IFERROR(__xludf.DUMMYFUNCTION("""COMPUTED_VALUE"""),"G650-14840-03")</f>
        <v>G650-14840-03</v>
      </c>
      <c r="U86" s="182" t="str">
        <f>IFERROR(__xludf.DUMMYFUNCTION("""COMPUTED_VALUE"""),"G650-14841-03")</f>
        <v>G650-14841-03</v>
      </c>
      <c r="V86" s="182" t="str">
        <f>IFERROR(__xludf.DUMMYFUNCTION("""COMPUTED_VALUE"""),"G650-14413-03")</f>
        <v>G650-14413-03</v>
      </c>
      <c r="W86" s="182"/>
      <c r="X86" s="182"/>
      <c r="Y86" s="182"/>
      <c r="Z86" s="182" t="str">
        <f>IFERROR(__xludf.DUMMYFUNCTION("""COMPUTED_VALUE"""),"Y")</f>
        <v>Y</v>
      </c>
      <c r="AA86" s="182" t="str">
        <f>IFERROR(__xludf.DUMMYFUNCTION("""COMPUTED_VALUE"""),"Y")</f>
        <v>Y</v>
      </c>
    </row>
    <row r="87">
      <c r="A87" s="182" t="str">
        <f>IFERROR(__xludf.DUMMYFUNCTION("""COMPUTED_VALUE"""),"Demo")</f>
        <v>Demo</v>
      </c>
      <c r="B87" s="182">
        <f>IFERROR(__xludf.DUMMYFUNCTION("""COMPUTED_VALUE"""),86.0)</f>
        <v>86</v>
      </c>
      <c r="C87" s="182" t="str">
        <f>IFERROR(__xludf.DUMMYFUNCTION("""COMPUTED_VALUE"""),"GEHN3")</f>
        <v>GEHN3</v>
      </c>
      <c r="D87" s="182" t="str">
        <f>IFERROR(__xludf.DUMMYFUNCTION("""COMPUTED_VALUE"""),"GA10791-CA")</f>
        <v>GA10791-CA</v>
      </c>
      <c r="E87" s="182" t="str">
        <f>IFERROR(__xludf.DUMMYFUNCTION("""COMPUTED_VALUE"""),"SKU, CLR4, BETTER, SUB6, CA/TW/SG/AU/MY/MX, DEMO, BZ5")</f>
        <v>SKU, CLR4, BETTER, SUB6, CA/TW/SG/AU/MY/MX, DEMO, BZ5</v>
      </c>
      <c r="F87" s="182" t="str">
        <f>IFERROR(__xludf.DUMMYFUNCTION("""COMPUTED_VALUE"""),"Pixel 10 Pro, Jade, 256GB, CA/TW/SG/AU/MY/MX, Demo")</f>
        <v>Pixel 10 Pro, Jade, 256GB, CA/TW/SG/AU/MY/MX, Demo</v>
      </c>
      <c r="G87" s="182" t="str">
        <f>IFERROR(__xludf.DUMMYFUNCTION("""COMPUTED_VALUE"""),"CLR4")</f>
        <v>CLR4</v>
      </c>
      <c r="H87" s="182" t="str">
        <f>IFERROR(__xludf.DUMMYFUNCTION("""COMPUTED_VALUE"""),"SUB6")</f>
        <v>SUB6</v>
      </c>
      <c r="I87" s="182" t="str">
        <f>IFERROR(__xludf.DUMMYFUNCTION("""COMPUTED_VALUE"""),"256GB")</f>
        <v>256GB</v>
      </c>
      <c r="J87" s="182"/>
      <c r="K87" s="182" t="str">
        <f>IFERROR(__xludf.DUMMYFUNCTION("""COMPUTED_VALUE"""),"G950-18290-04")</f>
        <v>G950-18290-04</v>
      </c>
      <c r="L87" s="182" t="str">
        <f>IFERROR(__xludf.DUMMYFUNCTION("""COMPUTED_VALUE"""),"G710-07822-01")</f>
        <v>G710-07822-01</v>
      </c>
      <c r="M87" s="182" t="str">
        <f>IFERROR(__xludf.DUMMYFUNCTION("""COMPUTED_VALUE"""),"G710-10000-40")</f>
        <v>G710-10000-40</v>
      </c>
      <c r="N87" s="182" t="str">
        <f>IFERROR(__xludf.DUMMYFUNCTION("""COMPUTED_VALUE"""),"G730-09466-14")</f>
        <v>G730-09466-14</v>
      </c>
      <c r="O87" s="182" t="str">
        <f>IFERROR(__xludf.DUMMYFUNCTION("""COMPUTED_VALUE"""),"G710-07813-12")</f>
        <v>G710-07813-12</v>
      </c>
      <c r="P87" s="182" t="str">
        <f>IFERROR(__xludf.DUMMYFUNCTION("""COMPUTED_VALUE"""),"G650-17430-06")</f>
        <v>G650-17430-06</v>
      </c>
      <c r="Q87" s="182" t="str">
        <f>IFERROR(__xludf.DUMMYFUNCTION("""COMPUTED_VALUE"""),"G650-15596-04")</f>
        <v>G650-15596-04</v>
      </c>
      <c r="R87" s="182" t="str">
        <f>IFERROR(__xludf.DUMMYFUNCTION("""COMPUTED_VALUE"""),"G650-14843-04")</f>
        <v>G650-14843-04</v>
      </c>
      <c r="S87" s="182" t="str">
        <f>IFERROR(__xludf.DUMMYFUNCTION("""COMPUTED_VALUE"""),"G650-14411-05")</f>
        <v>G650-14411-05</v>
      </c>
      <c r="T87" s="182" t="str">
        <f>IFERROR(__xludf.DUMMYFUNCTION("""COMPUTED_VALUE"""),"G650-14840-03")</f>
        <v>G650-14840-03</v>
      </c>
      <c r="U87" s="182" t="str">
        <f>IFERROR(__xludf.DUMMYFUNCTION("""COMPUTED_VALUE"""),"G650-14841-03")</f>
        <v>G650-14841-03</v>
      </c>
      <c r="V87" s="182" t="str">
        <f>IFERROR(__xludf.DUMMYFUNCTION("""COMPUTED_VALUE"""),"G650-14413-03")</f>
        <v>G650-14413-03</v>
      </c>
      <c r="W87" s="182"/>
      <c r="X87" s="182"/>
      <c r="Y87" s="182"/>
      <c r="Z87" s="182" t="str">
        <f>IFERROR(__xludf.DUMMYFUNCTION("""COMPUTED_VALUE"""),"Y")</f>
        <v>Y</v>
      </c>
      <c r="AA87" s="182" t="str">
        <f>IFERROR(__xludf.DUMMYFUNCTION("""COMPUTED_VALUE"""),"Y")</f>
        <v>Y</v>
      </c>
    </row>
    <row r="88">
      <c r="A88" s="182" t="str">
        <f>IFERROR(__xludf.DUMMYFUNCTION("""COMPUTED_VALUE"""),"Demo")</f>
        <v>Demo</v>
      </c>
      <c r="B88" s="182">
        <f>IFERROR(__xludf.DUMMYFUNCTION("""COMPUTED_VALUE"""),87.0)</f>
        <v>87</v>
      </c>
      <c r="C88" s="182" t="str">
        <f>IFERROR(__xludf.DUMMYFUNCTION("""COMPUTED_VALUE"""),"GEHN3")</f>
        <v>GEHN3</v>
      </c>
      <c r="D88" s="182" t="str">
        <f>IFERROR(__xludf.DUMMYFUNCTION("""COMPUTED_VALUE"""),"GA10782-GB")</f>
        <v>GA10782-GB</v>
      </c>
      <c r="E88" s="182" t="str">
        <f>IFERROR(__xludf.DUMMYFUNCTION("""COMPUTED_VALUE"""),"SKU, CLR1, GOOD, SUB6, UK/EU, DEMO, BZ5")</f>
        <v>SKU, CLR1, GOOD, SUB6, UK/EU, DEMO, BZ5</v>
      </c>
      <c r="F88" s="182" t="str">
        <f>IFERROR(__xludf.DUMMYFUNCTION("""COMPUTED_VALUE"""),"Pixel 10 Pro, Obsidian, 128GB, EU/UK, Demo")</f>
        <v>Pixel 10 Pro, Obsidian, 128GB, EU/UK, Demo</v>
      </c>
      <c r="G88" s="182" t="str">
        <f>IFERROR(__xludf.DUMMYFUNCTION("""COMPUTED_VALUE"""),"CLR1")</f>
        <v>CLR1</v>
      </c>
      <c r="H88" s="182" t="str">
        <f>IFERROR(__xludf.DUMMYFUNCTION("""COMPUTED_VALUE"""),"SUB6")</f>
        <v>SUB6</v>
      </c>
      <c r="I88" s="182" t="str">
        <f>IFERROR(__xludf.DUMMYFUNCTION("""COMPUTED_VALUE"""),"128GB")</f>
        <v>128GB</v>
      </c>
      <c r="J88" s="182" t="str">
        <f>IFERROR(__xludf.DUMMYFUNCTION("""COMPUTED_VALUE"""),"G950-15987-01-L")</f>
        <v>G950-15987-01-L</v>
      </c>
      <c r="K88" s="182" t="str">
        <f>IFERROR(__xludf.DUMMYFUNCTION("""COMPUTED_VALUE"""),"G950-15987-01")</f>
        <v>G950-15987-01</v>
      </c>
      <c r="L88" s="182" t="str">
        <f>IFERROR(__xludf.DUMMYFUNCTION("""COMPUTED_VALUE"""),"G710-07822-01")</f>
        <v>G710-07822-01</v>
      </c>
      <c r="M88" s="182" t="str">
        <f>IFERROR(__xludf.DUMMYFUNCTION("""COMPUTED_VALUE"""),"G710-10000-40")</f>
        <v>G710-10000-40</v>
      </c>
      <c r="N88" s="182" t="str">
        <f>IFERROR(__xludf.DUMMYFUNCTION("""COMPUTED_VALUE"""),"G730-09466-11")</f>
        <v>G730-09466-11</v>
      </c>
      <c r="O88" s="182" t="str">
        <f>IFERROR(__xludf.DUMMYFUNCTION("""COMPUTED_VALUE"""),"G710-07813-02")</f>
        <v>G710-07813-02</v>
      </c>
      <c r="P88" s="182" t="str">
        <f>IFERROR(__xludf.DUMMYFUNCTION("""COMPUTED_VALUE"""),"G650-14972-06")</f>
        <v>G650-14972-06</v>
      </c>
      <c r="Q88" s="182" t="str">
        <f>IFERROR(__xludf.DUMMYFUNCTION("""COMPUTED_VALUE"""),"G650-15596-04")</f>
        <v>G650-15596-04</v>
      </c>
      <c r="R88" s="182" t="str">
        <f>IFERROR(__xludf.DUMMYFUNCTION("""COMPUTED_VALUE"""),"G650-14843-04")</f>
        <v>G650-14843-04</v>
      </c>
      <c r="S88" s="182" t="str">
        <f>IFERROR(__xludf.DUMMYFUNCTION("""COMPUTED_VALUE"""),"G650-14411-05")</f>
        <v>G650-14411-05</v>
      </c>
      <c r="T88" s="182" t="str">
        <f>IFERROR(__xludf.DUMMYFUNCTION("""COMPUTED_VALUE"""),"G650-14840-03")</f>
        <v>G650-14840-03</v>
      </c>
      <c r="U88" s="182" t="str">
        <f>IFERROR(__xludf.DUMMYFUNCTION("""COMPUTED_VALUE"""),"G650-14841-03")</f>
        <v>G650-14841-03</v>
      </c>
      <c r="V88" s="182" t="str">
        <f>IFERROR(__xludf.DUMMYFUNCTION("""COMPUTED_VALUE"""),"G650-14413-03")</f>
        <v>G650-14413-03</v>
      </c>
      <c r="W88" s="182"/>
      <c r="X88" s="182" t="str">
        <f>IFERROR(__xludf.DUMMYFUNCTION("""COMPUTED_VALUE"""),"G990-07758-00")</f>
        <v>G990-07758-00</v>
      </c>
      <c r="Y88" s="182" t="str">
        <f>IFERROR(__xludf.DUMMYFUNCTION("""COMPUTED_VALUE"""),"G990-07758-00")</f>
        <v>G990-07758-00</v>
      </c>
      <c r="Z88" s="182" t="str">
        <f>IFERROR(__xludf.DUMMYFUNCTION("""COMPUTED_VALUE"""),"Y")</f>
        <v>Y</v>
      </c>
      <c r="AA88" s="182" t="str">
        <f>IFERROR(__xludf.DUMMYFUNCTION("""COMPUTED_VALUE"""),"Y")</f>
        <v>Y</v>
      </c>
    </row>
    <row r="89">
      <c r="A89" s="182" t="str">
        <f>IFERROR(__xludf.DUMMYFUNCTION("""COMPUTED_VALUE"""),"Demo")</f>
        <v>Demo</v>
      </c>
      <c r="B89" s="182">
        <f>IFERROR(__xludf.DUMMYFUNCTION("""COMPUTED_VALUE"""),88.0)</f>
        <v>88</v>
      </c>
      <c r="C89" s="182" t="str">
        <f>IFERROR(__xludf.DUMMYFUNCTION("""COMPUTED_VALUE"""),"GEHN3")</f>
        <v>GEHN3</v>
      </c>
      <c r="D89" s="182" t="str">
        <f>IFERROR(__xludf.DUMMYFUNCTION("""COMPUTED_VALUE"""),"GA10785-GB")</f>
        <v>GA10785-GB</v>
      </c>
      <c r="E89" s="182" t="str">
        <f>IFERROR(__xludf.DUMMYFUNCTION("""COMPUTED_VALUE"""),"SKU, CLR2, GOOD, SUB6, UK/EU, DEMO, BZ5")</f>
        <v>SKU, CLR2, GOOD, SUB6, UK/EU, DEMO, BZ5</v>
      </c>
      <c r="F89" s="182" t="str">
        <f>IFERROR(__xludf.DUMMYFUNCTION("""COMPUTED_VALUE"""),"Pixel 10 Pro, Porcelain, 128GB, EU/UK, Demo")</f>
        <v>Pixel 10 Pro, Porcelain, 128GB, EU/UK, Demo</v>
      </c>
      <c r="G89" s="182" t="str">
        <f>IFERROR(__xludf.DUMMYFUNCTION("""COMPUTED_VALUE"""),"CLR2")</f>
        <v>CLR2</v>
      </c>
      <c r="H89" s="182" t="str">
        <f>IFERROR(__xludf.DUMMYFUNCTION("""COMPUTED_VALUE"""),"SUB6")</f>
        <v>SUB6</v>
      </c>
      <c r="I89" s="182" t="str">
        <f>IFERROR(__xludf.DUMMYFUNCTION("""COMPUTED_VALUE"""),"128GB")</f>
        <v>128GB</v>
      </c>
      <c r="J89" s="182" t="str">
        <f>IFERROR(__xludf.DUMMYFUNCTION("""COMPUTED_VALUE"""),"G950-15987-02-L")</f>
        <v>G950-15987-02-L</v>
      </c>
      <c r="K89" s="182" t="str">
        <f>IFERROR(__xludf.DUMMYFUNCTION("""COMPUTED_VALUE"""),"G950-15987-02")</f>
        <v>G950-15987-02</v>
      </c>
      <c r="L89" s="182" t="str">
        <f>IFERROR(__xludf.DUMMYFUNCTION("""COMPUTED_VALUE"""),"G710-07822-01")</f>
        <v>G710-07822-01</v>
      </c>
      <c r="M89" s="182" t="str">
        <f>IFERROR(__xludf.DUMMYFUNCTION("""COMPUTED_VALUE"""),"G710-10000-40")</f>
        <v>G710-10000-40</v>
      </c>
      <c r="N89" s="182" t="str">
        <f>IFERROR(__xludf.DUMMYFUNCTION("""COMPUTED_VALUE"""),"G730-09466-12")</f>
        <v>G730-09466-12</v>
      </c>
      <c r="O89" s="182" t="str">
        <f>IFERROR(__xludf.DUMMYFUNCTION("""COMPUTED_VALUE"""),"G710-07813-02")</f>
        <v>G710-07813-02</v>
      </c>
      <c r="P89" s="182" t="str">
        <f>IFERROR(__xludf.DUMMYFUNCTION("""COMPUTED_VALUE"""),"G650-14972-06")</f>
        <v>G650-14972-06</v>
      </c>
      <c r="Q89" s="182" t="str">
        <f>IFERROR(__xludf.DUMMYFUNCTION("""COMPUTED_VALUE"""),"G650-15596-04")</f>
        <v>G650-15596-04</v>
      </c>
      <c r="R89" s="182" t="str">
        <f>IFERROR(__xludf.DUMMYFUNCTION("""COMPUTED_VALUE"""),"G650-14843-04")</f>
        <v>G650-14843-04</v>
      </c>
      <c r="S89" s="182" t="str">
        <f>IFERROR(__xludf.DUMMYFUNCTION("""COMPUTED_VALUE"""),"G650-14411-05")</f>
        <v>G650-14411-05</v>
      </c>
      <c r="T89" s="182" t="str">
        <f>IFERROR(__xludf.DUMMYFUNCTION("""COMPUTED_VALUE"""),"G650-14840-03")</f>
        <v>G650-14840-03</v>
      </c>
      <c r="U89" s="182" t="str">
        <f>IFERROR(__xludf.DUMMYFUNCTION("""COMPUTED_VALUE"""),"G650-14841-03")</f>
        <v>G650-14841-03</v>
      </c>
      <c r="V89" s="182" t="str">
        <f>IFERROR(__xludf.DUMMYFUNCTION("""COMPUTED_VALUE"""),"G650-14413-03")</f>
        <v>G650-14413-03</v>
      </c>
      <c r="W89" s="182"/>
      <c r="X89" s="182" t="str">
        <f>IFERROR(__xludf.DUMMYFUNCTION("""COMPUTED_VALUE"""),"G990-07758-00")</f>
        <v>G990-07758-00</v>
      </c>
      <c r="Y89" s="182" t="str">
        <f>IFERROR(__xludf.DUMMYFUNCTION("""COMPUTED_VALUE"""),"G990-07758-00")</f>
        <v>G990-07758-00</v>
      </c>
      <c r="Z89" s="182" t="str">
        <f>IFERROR(__xludf.DUMMYFUNCTION("""COMPUTED_VALUE"""),"Y")</f>
        <v>Y</v>
      </c>
      <c r="AA89" s="182" t="str">
        <f>IFERROR(__xludf.DUMMYFUNCTION("""COMPUTED_VALUE"""),"Y")</f>
        <v>Y</v>
      </c>
    </row>
    <row r="90">
      <c r="A90" s="182" t="str">
        <f>IFERROR(__xludf.DUMMYFUNCTION("""COMPUTED_VALUE"""),"Demo")</f>
        <v>Demo</v>
      </c>
      <c r="B90" s="182">
        <f>IFERROR(__xludf.DUMMYFUNCTION("""COMPUTED_VALUE"""),89.0)</f>
        <v>89</v>
      </c>
      <c r="C90" s="182" t="str">
        <f>IFERROR(__xludf.DUMMYFUNCTION("""COMPUTED_VALUE"""),"GEHN3")</f>
        <v>GEHN3</v>
      </c>
      <c r="D90" s="182" t="str">
        <f>IFERROR(__xludf.DUMMYFUNCTION("""COMPUTED_VALUE"""),"GA10788-GB")</f>
        <v>GA10788-GB</v>
      </c>
      <c r="E90" s="182" t="str">
        <f>IFERROR(__xludf.DUMMYFUNCTION("""COMPUTED_VALUE"""),"SKU, CLR3, GOOD, SUB6, UK/EU, DEMO, BZ5")</f>
        <v>SKU, CLR3, GOOD, SUB6, UK/EU, DEMO, BZ5</v>
      </c>
      <c r="F90" s="182" t="str">
        <f>IFERROR(__xludf.DUMMYFUNCTION("""COMPUTED_VALUE"""),"Pixel 10 Pro, Moonstone, 128GB, EU/UK, Demo")</f>
        <v>Pixel 10 Pro, Moonstone, 128GB, EU/UK, Demo</v>
      </c>
      <c r="G90" s="182" t="str">
        <f>IFERROR(__xludf.DUMMYFUNCTION("""COMPUTED_VALUE"""),"CLR3")</f>
        <v>CLR3</v>
      </c>
      <c r="H90" s="182" t="str">
        <f>IFERROR(__xludf.DUMMYFUNCTION("""COMPUTED_VALUE"""),"SUB6")</f>
        <v>SUB6</v>
      </c>
      <c r="I90" s="182" t="str">
        <f>IFERROR(__xludf.DUMMYFUNCTION("""COMPUTED_VALUE"""),"128GB")</f>
        <v>128GB</v>
      </c>
      <c r="J90" s="182" t="str">
        <f>IFERROR(__xludf.DUMMYFUNCTION("""COMPUTED_VALUE"""),"G950-15987-03-L")</f>
        <v>G950-15987-03-L</v>
      </c>
      <c r="K90" s="182" t="str">
        <f>IFERROR(__xludf.DUMMYFUNCTION("""COMPUTED_VALUE"""),"G950-15987-03")</f>
        <v>G950-15987-03</v>
      </c>
      <c r="L90" s="182" t="str">
        <f>IFERROR(__xludf.DUMMYFUNCTION("""COMPUTED_VALUE"""),"G710-07822-01")</f>
        <v>G710-07822-01</v>
      </c>
      <c r="M90" s="182" t="str">
        <f>IFERROR(__xludf.DUMMYFUNCTION("""COMPUTED_VALUE"""),"G710-10000-40")</f>
        <v>G710-10000-40</v>
      </c>
      <c r="N90" s="182" t="str">
        <f>IFERROR(__xludf.DUMMYFUNCTION("""COMPUTED_VALUE"""),"G730-09466-13")</f>
        <v>G730-09466-13</v>
      </c>
      <c r="O90" s="182" t="str">
        <f>IFERROR(__xludf.DUMMYFUNCTION("""COMPUTED_VALUE"""),"G710-07813-02")</f>
        <v>G710-07813-02</v>
      </c>
      <c r="P90" s="182" t="str">
        <f>IFERROR(__xludf.DUMMYFUNCTION("""COMPUTED_VALUE"""),"G650-14972-06")</f>
        <v>G650-14972-06</v>
      </c>
      <c r="Q90" s="182" t="str">
        <f>IFERROR(__xludf.DUMMYFUNCTION("""COMPUTED_VALUE"""),"G650-15596-04")</f>
        <v>G650-15596-04</v>
      </c>
      <c r="R90" s="182" t="str">
        <f>IFERROR(__xludf.DUMMYFUNCTION("""COMPUTED_VALUE"""),"G650-14843-04")</f>
        <v>G650-14843-04</v>
      </c>
      <c r="S90" s="182" t="str">
        <f>IFERROR(__xludf.DUMMYFUNCTION("""COMPUTED_VALUE"""),"G650-14411-05")</f>
        <v>G650-14411-05</v>
      </c>
      <c r="T90" s="182" t="str">
        <f>IFERROR(__xludf.DUMMYFUNCTION("""COMPUTED_VALUE"""),"G650-14840-03")</f>
        <v>G650-14840-03</v>
      </c>
      <c r="U90" s="182" t="str">
        <f>IFERROR(__xludf.DUMMYFUNCTION("""COMPUTED_VALUE"""),"G650-14841-03")</f>
        <v>G650-14841-03</v>
      </c>
      <c r="V90" s="182" t="str">
        <f>IFERROR(__xludf.DUMMYFUNCTION("""COMPUTED_VALUE"""),"G650-14413-03")</f>
        <v>G650-14413-03</v>
      </c>
      <c r="W90" s="182"/>
      <c r="X90" s="182" t="str">
        <f>IFERROR(__xludf.DUMMYFUNCTION("""COMPUTED_VALUE"""),"G990-07758-00")</f>
        <v>G990-07758-00</v>
      </c>
      <c r="Y90" s="182" t="str">
        <f>IFERROR(__xludf.DUMMYFUNCTION("""COMPUTED_VALUE"""),"G990-07758-00")</f>
        <v>G990-07758-00</v>
      </c>
      <c r="Z90" s="182" t="str">
        <f>IFERROR(__xludf.DUMMYFUNCTION("""COMPUTED_VALUE"""),"Y")</f>
        <v>Y</v>
      </c>
      <c r="AA90" s="182" t="str">
        <f>IFERROR(__xludf.DUMMYFUNCTION("""COMPUTED_VALUE"""),"Y")</f>
        <v>Y</v>
      </c>
    </row>
    <row r="91">
      <c r="A91" s="182" t="str">
        <f>IFERROR(__xludf.DUMMYFUNCTION("""COMPUTED_VALUE"""),"Demo")</f>
        <v>Demo</v>
      </c>
      <c r="B91" s="182">
        <f>IFERROR(__xludf.DUMMYFUNCTION("""COMPUTED_VALUE"""),90.0)</f>
        <v>90</v>
      </c>
      <c r="C91" s="182" t="str">
        <f>IFERROR(__xludf.DUMMYFUNCTION("""COMPUTED_VALUE"""),"GEHN3")</f>
        <v>GEHN3</v>
      </c>
      <c r="D91" s="182" t="str">
        <f>IFERROR(__xludf.DUMMYFUNCTION("""COMPUTED_VALUE"""),"GA10791-GB")</f>
        <v>GA10791-GB</v>
      </c>
      <c r="E91" s="182" t="str">
        <f>IFERROR(__xludf.DUMMYFUNCTION("""COMPUTED_VALUE"""),"SKU, CLR4, BETTER, SUB6, UK/EU, DEMO, BZ5")</f>
        <v>SKU, CLR4, BETTER, SUB6, UK/EU, DEMO, BZ5</v>
      </c>
      <c r="F91" s="182" t="str">
        <f>IFERROR(__xludf.DUMMYFUNCTION("""COMPUTED_VALUE"""),"Pixel 10 Pro, Jade, 256GB, EU/UK, Demo")</f>
        <v>Pixel 10 Pro, Jade, 256GB, EU/UK, Demo</v>
      </c>
      <c r="G91" s="182" t="str">
        <f>IFERROR(__xludf.DUMMYFUNCTION("""COMPUTED_VALUE"""),"CLR4")</f>
        <v>CLR4</v>
      </c>
      <c r="H91" s="182" t="str">
        <f>IFERROR(__xludf.DUMMYFUNCTION("""COMPUTED_VALUE"""),"SUB6")</f>
        <v>SUB6</v>
      </c>
      <c r="I91" s="182" t="str">
        <f>IFERROR(__xludf.DUMMYFUNCTION("""COMPUTED_VALUE"""),"256GB")</f>
        <v>256GB</v>
      </c>
      <c r="J91" s="182" t="str">
        <f>IFERROR(__xludf.DUMMYFUNCTION("""COMPUTED_VALUE"""),"G950-18290-04-L")</f>
        <v>G950-18290-04-L</v>
      </c>
      <c r="K91" s="182" t="str">
        <f>IFERROR(__xludf.DUMMYFUNCTION("""COMPUTED_VALUE"""),"G950-18290-04")</f>
        <v>G950-18290-04</v>
      </c>
      <c r="L91" s="182" t="str">
        <f>IFERROR(__xludf.DUMMYFUNCTION("""COMPUTED_VALUE"""),"G710-07822-01")</f>
        <v>G710-07822-01</v>
      </c>
      <c r="M91" s="182" t="str">
        <f>IFERROR(__xludf.DUMMYFUNCTION("""COMPUTED_VALUE"""),"G710-10000-40")</f>
        <v>G710-10000-40</v>
      </c>
      <c r="N91" s="182" t="str">
        <f>IFERROR(__xludf.DUMMYFUNCTION("""COMPUTED_VALUE"""),"G730-09466-14")</f>
        <v>G730-09466-14</v>
      </c>
      <c r="O91" s="182" t="str">
        <f>IFERROR(__xludf.DUMMYFUNCTION("""COMPUTED_VALUE"""),"G710-07813-12")</f>
        <v>G710-07813-12</v>
      </c>
      <c r="P91" s="182" t="str">
        <f>IFERROR(__xludf.DUMMYFUNCTION("""COMPUTED_VALUE"""),"G650-17430-06")</f>
        <v>G650-17430-06</v>
      </c>
      <c r="Q91" s="182" t="str">
        <f>IFERROR(__xludf.DUMMYFUNCTION("""COMPUTED_VALUE"""),"G650-15596-04")</f>
        <v>G650-15596-04</v>
      </c>
      <c r="R91" s="182" t="str">
        <f>IFERROR(__xludf.DUMMYFUNCTION("""COMPUTED_VALUE"""),"G650-14843-04")</f>
        <v>G650-14843-04</v>
      </c>
      <c r="S91" s="182" t="str">
        <f>IFERROR(__xludf.DUMMYFUNCTION("""COMPUTED_VALUE"""),"G650-14411-05")</f>
        <v>G650-14411-05</v>
      </c>
      <c r="T91" s="182" t="str">
        <f>IFERROR(__xludf.DUMMYFUNCTION("""COMPUTED_VALUE"""),"G650-14840-03")</f>
        <v>G650-14840-03</v>
      </c>
      <c r="U91" s="182" t="str">
        <f>IFERROR(__xludf.DUMMYFUNCTION("""COMPUTED_VALUE"""),"G650-14841-03")</f>
        <v>G650-14841-03</v>
      </c>
      <c r="V91" s="182" t="str">
        <f>IFERROR(__xludf.DUMMYFUNCTION("""COMPUTED_VALUE"""),"G650-14413-03")</f>
        <v>G650-14413-03</v>
      </c>
      <c r="W91" s="182"/>
      <c r="X91" s="182" t="str">
        <f>IFERROR(__xludf.DUMMYFUNCTION("""COMPUTED_VALUE"""),"G990-07758-00")</f>
        <v>G990-07758-00</v>
      </c>
      <c r="Y91" s="182" t="str">
        <f>IFERROR(__xludf.DUMMYFUNCTION("""COMPUTED_VALUE"""),"G990-07758-00")</f>
        <v>G990-07758-00</v>
      </c>
      <c r="Z91" s="182" t="str">
        <f>IFERROR(__xludf.DUMMYFUNCTION("""COMPUTED_VALUE"""),"Y")</f>
        <v>Y</v>
      </c>
      <c r="AA91" s="182" t="str">
        <f>IFERROR(__xludf.DUMMYFUNCTION("""COMPUTED_VALUE"""),"Y")</f>
        <v>Y</v>
      </c>
    </row>
    <row r="92">
      <c r="A92" s="182" t="str">
        <f>IFERROR(__xludf.DUMMYFUNCTION("""COMPUTED_VALUE"""),"Demo")</f>
        <v>Demo</v>
      </c>
      <c r="B92" s="182">
        <f>IFERROR(__xludf.DUMMYFUNCTION("""COMPUTED_VALUE"""),91.0)</f>
        <v>91</v>
      </c>
      <c r="C92" s="182" t="str">
        <f>IFERROR(__xludf.DUMMYFUNCTION("""COMPUTED_VALUE"""),"GEHN3")</f>
        <v>GEHN3</v>
      </c>
      <c r="D92" s="182" t="str">
        <f>IFERROR(__xludf.DUMMYFUNCTION("""COMPUTED_VALUE"""),"GA10792-IN")</f>
        <v>GA10792-IN</v>
      </c>
      <c r="E92" s="182" t="str">
        <f>IFERROR(__xludf.DUMMYFUNCTION("""COMPUTED_VALUE"""),"SKU, CLR1, BETTER, SUB6, IN, DEMO, BZ5")</f>
        <v>SKU, CLR1, BETTER, SUB6, IN, DEMO, BZ5</v>
      </c>
      <c r="F92" s="182" t="str">
        <f>IFERROR(__xludf.DUMMYFUNCTION("""COMPUTED_VALUE"""),"Pixel 10 Pro, Obsidian, 256GB, IN , Demo")</f>
        <v>Pixel 10 Pro, Obsidian, 256GB, IN , Demo</v>
      </c>
      <c r="G92" s="182" t="str">
        <f>IFERROR(__xludf.DUMMYFUNCTION("""COMPUTED_VALUE"""),"CLR1")</f>
        <v>CLR1</v>
      </c>
      <c r="H92" s="182" t="str">
        <f>IFERROR(__xludf.DUMMYFUNCTION("""COMPUTED_VALUE"""),"SUB6")</f>
        <v>SUB6</v>
      </c>
      <c r="I92" s="182" t="str">
        <f>IFERROR(__xludf.DUMMYFUNCTION("""COMPUTED_VALUE"""),"256GB")</f>
        <v>256GB</v>
      </c>
      <c r="J92" s="182" t="str">
        <f>IFERROR(__xludf.DUMMYFUNCTION("""COMPUTED_VALUE"""),"G950-18290-01-I")</f>
        <v>G950-18290-01-I</v>
      </c>
      <c r="K92" s="182" t="str">
        <f>IFERROR(__xludf.DUMMYFUNCTION("""COMPUTED_VALUE"""),"G950-18290-01")</f>
        <v>G950-18290-01</v>
      </c>
      <c r="L92" s="182" t="str">
        <f>IFERROR(__xludf.DUMMYFUNCTION("""COMPUTED_VALUE"""),"G710-07822-01")</f>
        <v>G710-07822-01</v>
      </c>
      <c r="M92" s="182" t="str">
        <f>IFERROR(__xludf.DUMMYFUNCTION("""COMPUTED_VALUE"""),"G710-10000-40")</f>
        <v>G710-10000-40</v>
      </c>
      <c r="N92" s="182" t="str">
        <f>IFERROR(__xludf.DUMMYFUNCTION("""COMPUTED_VALUE"""),"G730-09466-11")</f>
        <v>G730-09466-11</v>
      </c>
      <c r="O92" s="182" t="str">
        <f>IFERROR(__xludf.DUMMYFUNCTION("""COMPUTED_VALUE"""),"G710-07813-12")</f>
        <v>G710-07813-12</v>
      </c>
      <c r="P92" s="182" t="str">
        <f>IFERROR(__xludf.DUMMYFUNCTION("""COMPUTED_VALUE"""),"G650-17430-06")</f>
        <v>G650-17430-06</v>
      </c>
      <c r="Q92" s="182" t="str">
        <f>IFERROR(__xludf.DUMMYFUNCTION("""COMPUTED_VALUE"""),"G650-15596-04")</f>
        <v>G650-15596-04</v>
      </c>
      <c r="R92" s="182" t="str">
        <f>IFERROR(__xludf.DUMMYFUNCTION("""COMPUTED_VALUE"""),"G650-14843-04")</f>
        <v>G650-14843-04</v>
      </c>
      <c r="S92" s="182" t="str">
        <f>IFERROR(__xludf.DUMMYFUNCTION("""COMPUTED_VALUE"""),"G650-14411-05")</f>
        <v>G650-14411-05</v>
      </c>
      <c r="T92" s="182" t="str">
        <f>IFERROR(__xludf.DUMMYFUNCTION("""COMPUTED_VALUE"""),"G650-14840-03")</f>
        <v>G650-14840-03</v>
      </c>
      <c r="U92" s="182" t="str">
        <f>IFERROR(__xludf.DUMMYFUNCTION("""COMPUTED_VALUE"""),"G650-14841-03")</f>
        <v>G650-14841-03</v>
      </c>
      <c r="V92" s="182" t="str">
        <f>IFERROR(__xludf.DUMMYFUNCTION("""COMPUTED_VALUE"""),"G650-14413-03")</f>
        <v>G650-14413-03</v>
      </c>
      <c r="W92" s="182"/>
      <c r="X92" s="182" t="str">
        <f>IFERROR(__xludf.DUMMYFUNCTION("""COMPUTED_VALUE"""),"G990-07759-00")</f>
        <v>G990-07759-00</v>
      </c>
      <c r="Y92" s="182" t="str">
        <f>IFERROR(__xludf.DUMMYFUNCTION("""COMPUTED_VALUE"""),"G990-09782-00")</f>
        <v>G990-09782-00</v>
      </c>
      <c r="Z92" s="182" t="str">
        <f>IFERROR(__xludf.DUMMYFUNCTION("""COMPUTED_VALUE"""),"Y")</f>
        <v>Y</v>
      </c>
      <c r="AA92" s="182" t="str">
        <f>IFERROR(__xludf.DUMMYFUNCTION("""COMPUTED_VALUE"""),"Y")</f>
        <v>Y</v>
      </c>
    </row>
    <row r="93">
      <c r="A93" s="182" t="str">
        <f>IFERROR(__xludf.DUMMYFUNCTION("""COMPUTED_VALUE"""),"Demo")</f>
        <v>Demo</v>
      </c>
      <c r="B93" s="182">
        <f>IFERROR(__xludf.DUMMYFUNCTION("""COMPUTED_VALUE"""),92.0)</f>
        <v>92</v>
      </c>
      <c r="C93" s="182" t="str">
        <f>IFERROR(__xludf.DUMMYFUNCTION("""COMPUTED_VALUE"""),"GEHN3")</f>
        <v>GEHN3</v>
      </c>
      <c r="D93" s="182" t="str">
        <f>IFERROR(__xludf.DUMMYFUNCTION("""COMPUTED_VALUE"""),"GA10793-IN")</f>
        <v>GA10793-IN</v>
      </c>
      <c r="E93" s="182" t="str">
        <f>IFERROR(__xludf.DUMMYFUNCTION("""COMPUTED_VALUE"""),"SKU, CLR2, BETTER, SUB6, IN, DEMO, BZ5")</f>
        <v>SKU, CLR2, BETTER, SUB6, IN, DEMO, BZ5</v>
      </c>
      <c r="F93" s="182" t="str">
        <f>IFERROR(__xludf.DUMMYFUNCTION("""COMPUTED_VALUE"""),"Pixel 10 Pro, Porcelain, 256GB, IN , Demo")</f>
        <v>Pixel 10 Pro, Porcelain, 256GB, IN , Demo</v>
      </c>
      <c r="G93" s="182" t="str">
        <f>IFERROR(__xludf.DUMMYFUNCTION("""COMPUTED_VALUE"""),"CLR2")</f>
        <v>CLR2</v>
      </c>
      <c r="H93" s="182" t="str">
        <f>IFERROR(__xludf.DUMMYFUNCTION("""COMPUTED_VALUE"""),"SUB6")</f>
        <v>SUB6</v>
      </c>
      <c r="I93" s="182" t="str">
        <f>IFERROR(__xludf.DUMMYFUNCTION("""COMPUTED_VALUE"""),"256GB")</f>
        <v>256GB</v>
      </c>
      <c r="J93" s="182" t="str">
        <f>IFERROR(__xludf.DUMMYFUNCTION("""COMPUTED_VALUE"""),"G950-18290-02-I")</f>
        <v>G950-18290-02-I</v>
      </c>
      <c r="K93" s="182" t="str">
        <f>IFERROR(__xludf.DUMMYFUNCTION("""COMPUTED_VALUE"""),"G950-18290-02")</f>
        <v>G950-18290-02</v>
      </c>
      <c r="L93" s="182" t="str">
        <f>IFERROR(__xludf.DUMMYFUNCTION("""COMPUTED_VALUE"""),"G710-07822-01")</f>
        <v>G710-07822-01</v>
      </c>
      <c r="M93" s="182" t="str">
        <f>IFERROR(__xludf.DUMMYFUNCTION("""COMPUTED_VALUE"""),"G710-10000-40")</f>
        <v>G710-10000-40</v>
      </c>
      <c r="N93" s="182" t="str">
        <f>IFERROR(__xludf.DUMMYFUNCTION("""COMPUTED_VALUE"""),"G730-09466-12")</f>
        <v>G730-09466-12</v>
      </c>
      <c r="O93" s="182" t="str">
        <f>IFERROR(__xludf.DUMMYFUNCTION("""COMPUTED_VALUE"""),"G710-07813-12")</f>
        <v>G710-07813-12</v>
      </c>
      <c r="P93" s="182" t="str">
        <f>IFERROR(__xludf.DUMMYFUNCTION("""COMPUTED_VALUE"""),"G650-17430-06")</f>
        <v>G650-17430-06</v>
      </c>
      <c r="Q93" s="182" t="str">
        <f>IFERROR(__xludf.DUMMYFUNCTION("""COMPUTED_VALUE"""),"G650-15596-04")</f>
        <v>G650-15596-04</v>
      </c>
      <c r="R93" s="182" t="str">
        <f>IFERROR(__xludf.DUMMYFUNCTION("""COMPUTED_VALUE"""),"G650-14843-04")</f>
        <v>G650-14843-04</v>
      </c>
      <c r="S93" s="182" t="str">
        <f>IFERROR(__xludf.DUMMYFUNCTION("""COMPUTED_VALUE"""),"G650-14411-05")</f>
        <v>G650-14411-05</v>
      </c>
      <c r="T93" s="182" t="str">
        <f>IFERROR(__xludf.DUMMYFUNCTION("""COMPUTED_VALUE"""),"G650-14840-03")</f>
        <v>G650-14840-03</v>
      </c>
      <c r="U93" s="182" t="str">
        <f>IFERROR(__xludf.DUMMYFUNCTION("""COMPUTED_VALUE"""),"G650-14841-03")</f>
        <v>G650-14841-03</v>
      </c>
      <c r="V93" s="182" t="str">
        <f>IFERROR(__xludf.DUMMYFUNCTION("""COMPUTED_VALUE"""),"G650-14413-03")</f>
        <v>G650-14413-03</v>
      </c>
      <c r="W93" s="182"/>
      <c r="X93" s="182" t="str">
        <f>IFERROR(__xludf.DUMMYFUNCTION("""COMPUTED_VALUE"""),"G990-07759-00")</f>
        <v>G990-07759-00</v>
      </c>
      <c r="Y93" s="182" t="str">
        <f>IFERROR(__xludf.DUMMYFUNCTION("""COMPUTED_VALUE"""),"G990-09782-00")</f>
        <v>G990-09782-00</v>
      </c>
      <c r="Z93" s="182" t="str">
        <f>IFERROR(__xludf.DUMMYFUNCTION("""COMPUTED_VALUE"""),"Y")</f>
        <v>Y</v>
      </c>
      <c r="AA93" s="182" t="str">
        <f>IFERROR(__xludf.DUMMYFUNCTION("""COMPUTED_VALUE"""),"Y")</f>
        <v>Y</v>
      </c>
    </row>
    <row r="94">
      <c r="A94" s="182" t="str">
        <f>IFERROR(__xludf.DUMMYFUNCTION("""COMPUTED_VALUE"""),"Demo")</f>
        <v>Demo</v>
      </c>
      <c r="B94" s="182">
        <f>IFERROR(__xludf.DUMMYFUNCTION("""COMPUTED_VALUE"""),93.0)</f>
        <v>93</v>
      </c>
      <c r="C94" s="182" t="str">
        <f>IFERROR(__xludf.DUMMYFUNCTION("""COMPUTED_VALUE"""),"GEHN3")</f>
        <v>GEHN3</v>
      </c>
      <c r="D94" s="182" t="str">
        <f>IFERROR(__xludf.DUMMYFUNCTION("""COMPUTED_VALUE"""),"GA10794-IN")</f>
        <v>GA10794-IN</v>
      </c>
      <c r="E94" s="182" t="str">
        <f>IFERROR(__xludf.DUMMYFUNCTION("""COMPUTED_VALUE"""),"SKU, CLR3, BETTER, SUB6, IN, DEMO, BZ5")</f>
        <v>SKU, CLR3, BETTER, SUB6, IN, DEMO, BZ5</v>
      </c>
      <c r="F94" s="182" t="str">
        <f>IFERROR(__xludf.DUMMYFUNCTION("""COMPUTED_VALUE"""),"Pixel 10 Pro, Moonstone, 256GB, IN , Demo")</f>
        <v>Pixel 10 Pro, Moonstone, 256GB, IN , Demo</v>
      </c>
      <c r="G94" s="182" t="str">
        <f>IFERROR(__xludf.DUMMYFUNCTION("""COMPUTED_VALUE"""),"CLR3")</f>
        <v>CLR3</v>
      </c>
      <c r="H94" s="182" t="str">
        <f>IFERROR(__xludf.DUMMYFUNCTION("""COMPUTED_VALUE"""),"SUB6")</f>
        <v>SUB6</v>
      </c>
      <c r="I94" s="182" t="str">
        <f>IFERROR(__xludf.DUMMYFUNCTION("""COMPUTED_VALUE"""),"256GB")</f>
        <v>256GB</v>
      </c>
      <c r="J94" s="182" t="str">
        <f>IFERROR(__xludf.DUMMYFUNCTION("""COMPUTED_VALUE"""),"G950-18290-03-I")</f>
        <v>G950-18290-03-I</v>
      </c>
      <c r="K94" s="182" t="str">
        <f>IFERROR(__xludf.DUMMYFUNCTION("""COMPUTED_VALUE"""),"G950-18290-03")</f>
        <v>G950-18290-03</v>
      </c>
      <c r="L94" s="182" t="str">
        <f>IFERROR(__xludf.DUMMYFUNCTION("""COMPUTED_VALUE"""),"G710-07822-01")</f>
        <v>G710-07822-01</v>
      </c>
      <c r="M94" s="182" t="str">
        <f>IFERROR(__xludf.DUMMYFUNCTION("""COMPUTED_VALUE"""),"G710-10000-40")</f>
        <v>G710-10000-40</v>
      </c>
      <c r="N94" s="182" t="str">
        <f>IFERROR(__xludf.DUMMYFUNCTION("""COMPUTED_VALUE"""),"G730-09466-13")</f>
        <v>G730-09466-13</v>
      </c>
      <c r="O94" s="182" t="str">
        <f>IFERROR(__xludf.DUMMYFUNCTION("""COMPUTED_VALUE"""),"G710-07813-12")</f>
        <v>G710-07813-12</v>
      </c>
      <c r="P94" s="182" t="str">
        <f>IFERROR(__xludf.DUMMYFUNCTION("""COMPUTED_VALUE"""),"G650-17430-06")</f>
        <v>G650-17430-06</v>
      </c>
      <c r="Q94" s="182" t="str">
        <f>IFERROR(__xludf.DUMMYFUNCTION("""COMPUTED_VALUE"""),"G650-15596-04")</f>
        <v>G650-15596-04</v>
      </c>
      <c r="R94" s="182" t="str">
        <f>IFERROR(__xludf.DUMMYFUNCTION("""COMPUTED_VALUE"""),"G650-14843-04")</f>
        <v>G650-14843-04</v>
      </c>
      <c r="S94" s="182" t="str">
        <f>IFERROR(__xludf.DUMMYFUNCTION("""COMPUTED_VALUE"""),"G650-14411-05")</f>
        <v>G650-14411-05</v>
      </c>
      <c r="T94" s="182" t="str">
        <f>IFERROR(__xludf.DUMMYFUNCTION("""COMPUTED_VALUE"""),"G650-14840-03")</f>
        <v>G650-14840-03</v>
      </c>
      <c r="U94" s="182" t="str">
        <f>IFERROR(__xludf.DUMMYFUNCTION("""COMPUTED_VALUE"""),"G650-14841-03")</f>
        <v>G650-14841-03</v>
      </c>
      <c r="V94" s="182" t="str">
        <f>IFERROR(__xludf.DUMMYFUNCTION("""COMPUTED_VALUE"""),"G650-14413-03")</f>
        <v>G650-14413-03</v>
      </c>
      <c r="W94" s="182"/>
      <c r="X94" s="182" t="str">
        <f>IFERROR(__xludf.DUMMYFUNCTION("""COMPUTED_VALUE"""),"G990-07759-00")</f>
        <v>G990-07759-00</v>
      </c>
      <c r="Y94" s="182" t="str">
        <f>IFERROR(__xludf.DUMMYFUNCTION("""COMPUTED_VALUE"""),"G990-09782-00")</f>
        <v>G990-09782-00</v>
      </c>
      <c r="Z94" s="182" t="str">
        <f>IFERROR(__xludf.DUMMYFUNCTION("""COMPUTED_VALUE"""),"Y")</f>
        <v>Y</v>
      </c>
      <c r="AA94" s="182" t="str">
        <f>IFERROR(__xludf.DUMMYFUNCTION("""COMPUTED_VALUE"""),"Y")</f>
        <v>Y</v>
      </c>
    </row>
    <row r="95">
      <c r="A95" s="182" t="str">
        <f>IFERROR(__xludf.DUMMYFUNCTION("""COMPUTED_VALUE"""),"Demo")</f>
        <v>Demo</v>
      </c>
      <c r="B95" s="182">
        <f>IFERROR(__xludf.DUMMYFUNCTION("""COMPUTED_VALUE"""),94.0)</f>
        <v>94</v>
      </c>
      <c r="C95" s="182" t="str">
        <f>IFERROR(__xludf.DUMMYFUNCTION("""COMPUTED_VALUE"""),"GEHN3")</f>
        <v>GEHN3</v>
      </c>
      <c r="D95" s="182" t="str">
        <f>IFERROR(__xludf.DUMMYFUNCTION("""COMPUTED_VALUE"""),"GA10795-IN")</f>
        <v>GA10795-IN</v>
      </c>
      <c r="E95" s="182" t="str">
        <f>IFERROR(__xludf.DUMMYFUNCTION("""COMPUTED_VALUE"""),"SKU, CLR4, BETTER, SUB6, IN, DEMO, BZ5")</f>
        <v>SKU, CLR4, BETTER, SUB6, IN, DEMO, BZ5</v>
      </c>
      <c r="F95" s="182" t="str">
        <f>IFERROR(__xludf.DUMMYFUNCTION("""COMPUTED_VALUE"""),"Pixel 10 Pro, Jade, 256GB, IN, Demo")</f>
        <v>Pixel 10 Pro, Jade, 256GB, IN, Demo</v>
      </c>
      <c r="G95" s="182" t="str">
        <f>IFERROR(__xludf.DUMMYFUNCTION("""COMPUTED_VALUE"""),"CLR4")</f>
        <v>CLR4</v>
      </c>
      <c r="H95" s="182" t="str">
        <f>IFERROR(__xludf.DUMMYFUNCTION("""COMPUTED_VALUE"""),"SUB6")</f>
        <v>SUB6</v>
      </c>
      <c r="I95" s="182" t="str">
        <f>IFERROR(__xludf.DUMMYFUNCTION("""COMPUTED_VALUE"""),"256GB")</f>
        <v>256GB</v>
      </c>
      <c r="J95" s="182" t="str">
        <f>IFERROR(__xludf.DUMMYFUNCTION("""COMPUTED_VALUE"""),"G950-18290-04-I")</f>
        <v>G950-18290-04-I</v>
      </c>
      <c r="K95" s="182" t="str">
        <f>IFERROR(__xludf.DUMMYFUNCTION("""COMPUTED_VALUE"""),"G950-18290-04")</f>
        <v>G950-18290-04</v>
      </c>
      <c r="L95" s="182" t="str">
        <f>IFERROR(__xludf.DUMMYFUNCTION("""COMPUTED_VALUE"""),"G710-07822-01")</f>
        <v>G710-07822-01</v>
      </c>
      <c r="M95" s="182" t="str">
        <f>IFERROR(__xludf.DUMMYFUNCTION("""COMPUTED_VALUE"""),"G710-10000-40")</f>
        <v>G710-10000-40</v>
      </c>
      <c r="N95" s="182" t="str">
        <f>IFERROR(__xludf.DUMMYFUNCTION("""COMPUTED_VALUE"""),"G730-09466-14")</f>
        <v>G730-09466-14</v>
      </c>
      <c r="O95" s="182" t="str">
        <f>IFERROR(__xludf.DUMMYFUNCTION("""COMPUTED_VALUE"""),"G710-07813-12")</f>
        <v>G710-07813-12</v>
      </c>
      <c r="P95" s="182" t="str">
        <f>IFERROR(__xludf.DUMMYFUNCTION("""COMPUTED_VALUE"""),"G650-17430-06")</f>
        <v>G650-17430-06</v>
      </c>
      <c r="Q95" s="182" t="str">
        <f>IFERROR(__xludf.DUMMYFUNCTION("""COMPUTED_VALUE"""),"G650-15596-04")</f>
        <v>G650-15596-04</v>
      </c>
      <c r="R95" s="182" t="str">
        <f>IFERROR(__xludf.DUMMYFUNCTION("""COMPUTED_VALUE"""),"G650-14843-04")</f>
        <v>G650-14843-04</v>
      </c>
      <c r="S95" s="182" t="str">
        <f>IFERROR(__xludf.DUMMYFUNCTION("""COMPUTED_VALUE"""),"G650-14411-05")</f>
        <v>G650-14411-05</v>
      </c>
      <c r="T95" s="182" t="str">
        <f>IFERROR(__xludf.DUMMYFUNCTION("""COMPUTED_VALUE"""),"G650-14840-03")</f>
        <v>G650-14840-03</v>
      </c>
      <c r="U95" s="182" t="str">
        <f>IFERROR(__xludf.DUMMYFUNCTION("""COMPUTED_VALUE"""),"G650-14841-03")</f>
        <v>G650-14841-03</v>
      </c>
      <c r="V95" s="182" t="str">
        <f>IFERROR(__xludf.DUMMYFUNCTION("""COMPUTED_VALUE"""),"G650-14413-03")</f>
        <v>G650-14413-03</v>
      </c>
      <c r="W95" s="182"/>
      <c r="X95" s="182" t="str">
        <f>IFERROR(__xludf.DUMMYFUNCTION("""COMPUTED_VALUE"""),"G990-07759-00")</f>
        <v>G990-07759-00</v>
      </c>
      <c r="Y95" s="182" t="str">
        <f>IFERROR(__xludf.DUMMYFUNCTION("""COMPUTED_VALUE"""),"G990-09782-00")</f>
        <v>G990-09782-00</v>
      </c>
      <c r="Z95" s="182" t="str">
        <f>IFERROR(__xludf.DUMMYFUNCTION("""COMPUTED_VALUE"""),"Y")</f>
        <v>Y</v>
      </c>
      <c r="AA95" s="182" t="str">
        <f>IFERROR(__xludf.DUMMYFUNCTION("""COMPUTED_VALUE"""),"Y")</f>
        <v>Y</v>
      </c>
    </row>
    <row r="96">
      <c r="A96" s="182" t="str">
        <f>IFERROR(__xludf.DUMMYFUNCTION("""COMPUTED_VALUE"""),"Press")</f>
        <v>Press</v>
      </c>
      <c r="B96" s="182">
        <f>IFERROR(__xludf.DUMMYFUNCTION("""COMPUTED_VALUE"""),95.0)</f>
        <v>95</v>
      </c>
      <c r="C96" s="182" t="str">
        <f>IFERROR(__xludf.DUMMYFUNCTION("""COMPUTED_VALUE"""),"G4QUR")</f>
        <v>G4QUR</v>
      </c>
      <c r="D96" s="182" t="str">
        <f>IFERROR(__xludf.DUMMYFUNCTION("""COMPUTED_VALUE"""),"GA10796-US-N")</f>
        <v>GA10796-US-N</v>
      </c>
      <c r="E96" s="182" t="str">
        <f>IFERROR(__xludf.DUMMYFUNCTION("""COMPUTED_VALUE"""),"SKU, CLR1, GOOD, MMWAVE, US GSTORE, PRESS, BZ5")</f>
        <v>SKU, CLR1, GOOD, MMWAVE, US GSTORE, PRESS, BZ5</v>
      </c>
      <c r="F96" s="182" t="str">
        <f>IFERROR(__xludf.DUMMYFUNCTION("""COMPUTED_VALUE"""),"Pixel 10 Pro, Obsidian, 128GB, GStore, US , Press")</f>
        <v>Pixel 10 Pro, Obsidian, 128GB, GStore, US , Press</v>
      </c>
      <c r="G96" s="182" t="str">
        <f>IFERROR(__xludf.DUMMYFUNCTION("""COMPUTED_VALUE"""),"CLR1")</f>
        <v>CLR1</v>
      </c>
      <c r="H96" s="182" t="str">
        <f>IFERROR(__xludf.DUMMYFUNCTION("""COMPUTED_VALUE"""),"mmWave")</f>
        <v>mmWave</v>
      </c>
      <c r="I96" s="182" t="str">
        <f>IFERROR(__xludf.DUMMYFUNCTION("""COMPUTED_VALUE"""),"128GB")</f>
        <v>128GB</v>
      </c>
      <c r="J96" s="182"/>
      <c r="K96" s="182" t="str">
        <f>IFERROR(__xludf.DUMMYFUNCTION("""COMPUTED_VALUE"""),"G950-15986-01")</f>
        <v>G950-15986-01</v>
      </c>
      <c r="L96" s="182" t="str">
        <f>IFERROR(__xludf.DUMMYFUNCTION("""COMPUTED_VALUE"""),"G710-07821-01")</f>
        <v>G710-07821-01</v>
      </c>
      <c r="M96" s="182" t="str">
        <f>IFERROR(__xludf.DUMMYFUNCTION("""COMPUTED_VALUE"""),"G710-10000-40")</f>
        <v>G710-10000-40</v>
      </c>
      <c r="N96" s="182" t="str">
        <f>IFERROR(__xludf.DUMMYFUNCTION("""COMPUTED_VALUE"""),"G730-09466-11")</f>
        <v>G730-09466-11</v>
      </c>
      <c r="O96" s="182" t="str">
        <f>IFERROR(__xludf.DUMMYFUNCTION("""COMPUTED_VALUE"""),"G710-07813-00")</f>
        <v>G710-07813-00</v>
      </c>
      <c r="P96" s="182" t="str">
        <f>IFERROR(__xludf.DUMMYFUNCTION("""COMPUTED_VALUE"""),"G650-14410-06")</f>
        <v>G650-14410-06</v>
      </c>
      <c r="Q96" s="182" t="str">
        <f>IFERROR(__xludf.DUMMYFUNCTION("""COMPUTED_VALUE"""),"G650-14412-04")</f>
        <v>G650-14412-04</v>
      </c>
      <c r="R96" s="182" t="str">
        <f>IFERROR(__xludf.DUMMYFUNCTION("""COMPUTED_VALUE"""),"G650-14843-04")</f>
        <v>G650-14843-04</v>
      </c>
      <c r="S96" s="182" t="str">
        <f>IFERROR(__xludf.DUMMYFUNCTION("""COMPUTED_VALUE"""),"G650-14411-05")</f>
        <v>G650-14411-05</v>
      </c>
      <c r="T96" s="182" t="str">
        <f>IFERROR(__xludf.DUMMYFUNCTION("""COMPUTED_VALUE"""),"G650-14840-03")</f>
        <v>G650-14840-03</v>
      </c>
      <c r="U96" s="182" t="str">
        <f>IFERROR(__xludf.DUMMYFUNCTION("""COMPUTED_VALUE"""),"G650-14841-03")</f>
        <v>G650-14841-03</v>
      </c>
      <c r="V96" s="182" t="str">
        <f>IFERROR(__xludf.DUMMYFUNCTION("""COMPUTED_VALUE"""),"G650-14413-03")</f>
        <v>G650-14413-03</v>
      </c>
      <c r="W96" s="182"/>
      <c r="X96" s="182"/>
      <c r="Y96" s="182"/>
      <c r="Z96" s="182" t="str">
        <f>IFERROR(__xludf.DUMMYFUNCTION("""COMPUTED_VALUE"""),"N")</f>
        <v>N</v>
      </c>
      <c r="AA96" s="182" t="str">
        <f>IFERROR(__xludf.DUMMYFUNCTION("""COMPUTED_VALUE"""),"Y")</f>
        <v>Y</v>
      </c>
    </row>
    <row r="97">
      <c r="A97" s="182" t="str">
        <f>IFERROR(__xludf.DUMMYFUNCTION("""COMPUTED_VALUE"""),"Press")</f>
        <v>Press</v>
      </c>
      <c r="B97" s="182">
        <f>IFERROR(__xludf.DUMMYFUNCTION("""COMPUTED_VALUE"""),96.0)</f>
        <v>96</v>
      </c>
      <c r="C97" s="182" t="str">
        <f>IFERROR(__xludf.DUMMYFUNCTION("""COMPUTED_VALUE"""),"G4QUR")</f>
        <v>G4QUR</v>
      </c>
      <c r="D97" s="182" t="str">
        <f>IFERROR(__xludf.DUMMYFUNCTION("""COMPUTED_VALUE"""),"GA10797-US-N")</f>
        <v>GA10797-US-N</v>
      </c>
      <c r="E97" s="182" t="str">
        <f>IFERROR(__xludf.DUMMYFUNCTION("""COMPUTED_VALUE"""),"SKU, CLR2, GOOD, MMWAVE, US GSTORE, PRESS, BZ5")</f>
        <v>SKU, CLR2, GOOD, MMWAVE, US GSTORE, PRESS, BZ5</v>
      </c>
      <c r="F97" s="182" t="str">
        <f>IFERROR(__xludf.DUMMYFUNCTION("""COMPUTED_VALUE"""),"Pixel 10 Pro, Porcelain, 128GB, GStore, US , Press")</f>
        <v>Pixel 10 Pro, Porcelain, 128GB, GStore, US , Press</v>
      </c>
      <c r="G97" s="182" t="str">
        <f>IFERROR(__xludf.DUMMYFUNCTION("""COMPUTED_VALUE"""),"CLR2")</f>
        <v>CLR2</v>
      </c>
      <c r="H97" s="182" t="str">
        <f>IFERROR(__xludf.DUMMYFUNCTION("""COMPUTED_VALUE"""),"mmWave")</f>
        <v>mmWave</v>
      </c>
      <c r="I97" s="182" t="str">
        <f>IFERROR(__xludf.DUMMYFUNCTION("""COMPUTED_VALUE"""),"128GB")</f>
        <v>128GB</v>
      </c>
      <c r="J97" s="182"/>
      <c r="K97" s="182" t="str">
        <f>IFERROR(__xludf.DUMMYFUNCTION("""COMPUTED_VALUE"""),"G950-15986-02")</f>
        <v>G950-15986-02</v>
      </c>
      <c r="L97" s="182" t="str">
        <f>IFERROR(__xludf.DUMMYFUNCTION("""COMPUTED_VALUE"""),"G710-07821-01")</f>
        <v>G710-07821-01</v>
      </c>
      <c r="M97" s="182" t="str">
        <f>IFERROR(__xludf.DUMMYFUNCTION("""COMPUTED_VALUE"""),"G710-10000-40")</f>
        <v>G710-10000-40</v>
      </c>
      <c r="N97" s="182" t="str">
        <f>IFERROR(__xludf.DUMMYFUNCTION("""COMPUTED_VALUE"""),"G730-09466-12")</f>
        <v>G730-09466-12</v>
      </c>
      <c r="O97" s="182" t="str">
        <f>IFERROR(__xludf.DUMMYFUNCTION("""COMPUTED_VALUE"""),"G710-07813-00")</f>
        <v>G710-07813-00</v>
      </c>
      <c r="P97" s="182" t="str">
        <f>IFERROR(__xludf.DUMMYFUNCTION("""COMPUTED_VALUE"""),"G650-14410-06")</f>
        <v>G650-14410-06</v>
      </c>
      <c r="Q97" s="182" t="str">
        <f>IFERROR(__xludf.DUMMYFUNCTION("""COMPUTED_VALUE"""),"G650-14412-04")</f>
        <v>G650-14412-04</v>
      </c>
      <c r="R97" s="182" t="str">
        <f>IFERROR(__xludf.DUMMYFUNCTION("""COMPUTED_VALUE"""),"G650-14843-04")</f>
        <v>G650-14843-04</v>
      </c>
      <c r="S97" s="182" t="str">
        <f>IFERROR(__xludf.DUMMYFUNCTION("""COMPUTED_VALUE"""),"G650-14411-05")</f>
        <v>G650-14411-05</v>
      </c>
      <c r="T97" s="182" t="str">
        <f>IFERROR(__xludf.DUMMYFUNCTION("""COMPUTED_VALUE"""),"G650-14840-03")</f>
        <v>G650-14840-03</v>
      </c>
      <c r="U97" s="182" t="str">
        <f>IFERROR(__xludf.DUMMYFUNCTION("""COMPUTED_VALUE"""),"G650-14841-03")</f>
        <v>G650-14841-03</v>
      </c>
      <c r="V97" s="182" t="str">
        <f>IFERROR(__xludf.DUMMYFUNCTION("""COMPUTED_VALUE"""),"G650-14413-03")</f>
        <v>G650-14413-03</v>
      </c>
      <c r="W97" s="182"/>
      <c r="X97" s="182"/>
      <c r="Y97" s="182"/>
      <c r="Z97" s="182" t="str">
        <f>IFERROR(__xludf.DUMMYFUNCTION("""COMPUTED_VALUE"""),"N")</f>
        <v>N</v>
      </c>
      <c r="AA97" s="182" t="str">
        <f>IFERROR(__xludf.DUMMYFUNCTION("""COMPUTED_VALUE"""),"Y")</f>
        <v>Y</v>
      </c>
    </row>
    <row r="98">
      <c r="A98" s="182" t="str">
        <f>IFERROR(__xludf.DUMMYFUNCTION("""COMPUTED_VALUE"""),"Press")</f>
        <v>Press</v>
      </c>
      <c r="B98" s="182">
        <f>IFERROR(__xludf.DUMMYFUNCTION("""COMPUTED_VALUE"""),97.0)</f>
        <v>97</v>
      </c>
      <c r="C98" s="182" t="str">
        <f>IFERROR(__xludf.DUMMYFUNCTION("""COMPUTED_VALUE"""),"G4QUR")</f>
        <v>G4QUR</v>
      </c>
      <c r="D98" s="182" t="str">
        <f>IFERROR(__xludf.DUMMYFUNCTION("""COMPUTED_VALUE"""),"GA10798-US-N")</f>
        <v>GA10798-US-N</v>
      </c>
      <c r="E98" s="182" t="str">
        <f>IFERROR(__xludf.DUMMYFUNCTION("""COMPUTED_VALUE"""),"SKU, CLR3, GOOD, MMWAVE, US GSTORE, PRESS, BZ5")</f>
        <v>SKU, CLR3, GOOD, MMWAVE, US GSTORE, PRESS, BZ5</v>
      </c>
      <c r="F98" s="182" t="str">
        <f>IFERROR(__xludf.DUMMYFUNCTION("""COMPUTED_VALUE"""),"Pixel 10 Pro, Moonstone, 128GB, GStore, US, Press")</f>
        <v>Pixel 10 Pro, Moonstone, 128GB, GStore, US, Press</v>
      </c>
      <c r="G98" s="182" t="str">
        <f>IFERROR(__xludf.DUMMYFUNCTION("""COMPUTED_VALUE"""),"CLR3")</f>
        <v>CLR3</v>
      </c>
      <c r="H98" s="182" t="str">
        <f>IFERROR(__xludf.DUMMYFUNCTION("""COMPUTED_VALUE"""),"mmWave")</f>
        <v>mmWave</v>
      </c>
      <c r="I98" s="182" t="str">
        <f>IFERROR(__xludf.DUMMYFUNCTION("""COMPUTED_VALUE"""),"128GB")</f>
        <v>128GB</v>
      </c>
      <c r="J98" s="182"/>
      <c r="K98" s="182" t="str">
        <f>IFERROR(__xludf.DUMMYFUNCTION("""COMPUTED_VALUE"""),"G950-15986-03")</f>
        <v>G950-15986-03</v>
      </c>
      <c r="L98" s="182" t="str">
        <f>IFERROR(__xludf.DUMMYFUNCTION("""COMPUTED_VALUE"""),"G710-07821-01")</f>
        <v>G710-07821-01</v>
      </c>
      <c r="M98" s="182" t="str">
        <f>IFERROR(__xludf.DUMMYFUNCTION("""COMPUTED_VALUE"""),"G710-10000-40")</f>
        <v>G710-10000-40</v>
      </c>
      <c r="N98" s="182" t="str">
        <f>IFERROR(__xludf.DUMMYFUNCTION("""COMPUTED_VALUE"""),"G730-09466-13")</f>
        <v>G730-09466-13</v>
      </c>
      <c r="O98" s="182" t="str">
        <f>IFERROR(__xludf.DUMMYFUNCTION("""COMPUTED_VALUE"""),"G710-07813-00")</f>
        <v>G710-07813-00</v>
      </c>
      <c r="P98" s="182" t="str">
        <f>IFERROR(__xludf.DUMMYFUNCTION("""COMPUTED_VALUE"""),"G650-14410-06")</f>
        <v>G650-14410-06</v>
      </c>
      <c r="Q98" s="182" t="str">
        <f>IFERROR(__xludf.DUMMYFUNCTION("""COMPUTED_VALUE"""),"G650-14412-04")</f>
        <v>G650-14412-04</v>
      </c>
      <c r="R98" s="182" t="str">
        <f>IFERROR(__xludf.DUMMYFUNCTION("""COMPUTED_VALUE"""),"G650-14843-04")</f>
        <v>G650-14843-04</v>
      </c>
      <c r="S98" s="182" t="str">
        <f>IFERROR(__xludf.DUMMYFUNCTION("""COMPUTED_VALUE"""),"G650-14411-05")</f>
        <v>G650-14411-05</v>
      </c>
      <c r="T98" s="182" t="str">
        <f>IFERROR(__xludf.DUMMYFUNCTION("""COMPUTED_VALUE"""),"G650-14840-03")</f>
        <v>G650-14840-03</v>
      </c>
      <c r="U98" s="182" t="str">
        <f>IFERROR(__xludf.DUMMYFUNCTION("""COMPUTED_VALUE"""),"G650-14841-03")</f>
        <v>G650-14841-03</v>
      </c>
      <c r="V98" s="182" t="str">
        <f>IFERROR(__xludf.DUMMYFUNCTION("""COMPUTED_VALUE"""),"G650-14413-03")</f>
        <v>G650-14413-03</v>
      </c>
      <c r="W98" s="182"/>
      <c r="X98" s="182"/>
      <c r="Y98" s="182"/>
      <c r="Z98" s="182" t="str">
        <f>IFERROR(__xludf.DUMMYFUNCTION("""COMPUTED_VALUE"""),"N")</f>
        <v>N</v>
      </c>
      <c r="AA98" s="182" t="str">
        <f>IFERROR(__xludf.DUMMYFUNCTION("""COMPUTED_VALUE"""),"Y")</f>
        <v>Y</v>
      </c>
    </row>
    <row r="99">
      <c r="A99" s="182" t="str">
        <f>IFERROR(__xludf.DUMMYFUNCTION("""COMPUTED_VALUE"""),"Press")</f>
        <v>Press</v>
      </c>
      <c r="B99" s="182">
        <f>IFERROR(__xludf.DUMMYFUNCTION("""COMPUTED_VALUE"""),98.0)</f>
        <v>98</v>
      </c>
      <c r="C99" s="182" t="str">
        <f>IFERROR(__xludf.DUMMYFUNCTION("""COMPUTED_VALUE"""),"G4QUR")</f>
        <v>G4QUR</v>
      </c>
      <c r="D99" s="182" t="str">
        <f>IFERROR(__xludf.DUMMYFUNCTION("""COMPUTED_VALUE"""),"GA10803-US-N")</f>
        <v>GA10803-US-N</v>
      </c>
      <c r="E99" s="182" t="str">
        <f>IFERROR(__xludf.DUMMYFUNCTION("""COMPUTED_VALUE"""),"SKU, CLR4, BETTER, MMWAVE, US GSTORE, PRESS, BZ5")</f>
        <v>SKU, CLR4, BETTER, MMWAVE, US GSTORE, PRESS, BZ5</v>
      </c>
      <c r="F99" s="182" t="str">
        <f>IFERROR(__xludf.DUMMYFUNCTION("""COMPUTED_VALUE"""),"Pixel 10 Pro, Jade, 256GB, GStore, US, Press")</f>
        <v>Pixel 10 Pro, Jade, 256GB, GStore, US, Press</v>
      </c>
      <c r="G99" s="182" t="str">
        <f>IFERROR(__xludf.DUMMYFUNCTION("""COMPUTED_VALUE"""),"CLR4")</f>
        <v>CLR4</v>
      </c>
      <c r="H99" s="182" t="str">
        <f>IFERROR(__xludf.DUMMYFUNCTION("""COMPUTED_VALUE"""),"mmWave")</f>
        <v>mmWave</v>
      </c>
      <c r="I99" s="182" t="str">
        <f>IFERROR(__xludf.DUMMYFUNCTION("""COMPUTED_VALUE"""),"256GB")</f>
        <v>256GB</v>
      </c>
      <c r="J99" s="182"/>
      <c r="K99" s="182" t="str">
        <f>IFERROR(__xludf.DUMMYFUNCTION("""COMPUTED_VALUE"""),"G950-18289-04")</f>
        <v>G950-18289-04</v>
      </c>
      <c r="L99" s="182" t="str">
        <f>IFERROR(__xludf.DUMMYFUNCTION("""COMPUTED_VALUE"""),"G710-07821-01")</f>
        <v>G710-07821-01</v>
      </c>
      <c r="M99" s="182" t="str">
        <f>IFERROR(__xludf.DUMMYFUNCTION("""COMPUTED_VALUE"""),"G710-10000-40")</f>
        <v>G710-10000-40</v>
      </c>
      <c r="N99" s="182" t="str">
        <f>IFERROR(__xludf.DUMMYFUNCTION("""COMPUTED_VALUE"""),"G730-09466-14")</f>
        <v>G730-09466-14</v>
      </c>
      <c r="O99" s="182" t="str">
        <f>IFERROR(__xludf.DUMMYFUNCTION("""COMPUTED_VALUE"""),"G710-07813-10")</f>
        <v>G710-07813-10</v>
      </c>
      <c r="P99" s="182" t="str">
        <f>IFERROR(__xludf.DUMMYFUNCTION("""COMPUTED_VALUE"""),"G650-17429-06")</f>
        <v>G650-17429-06</v>
      </c>
      <c r="Q99" s="182" t="str">
        <f>IFERROR(__xludf.DUMMYFUNCTION("""COMPUTED_VALUE"""),"G650-14412-04")</f>
        <v>G650-14412-04</v>
      </c>
      <c r="R99" s="182" t="str">
        <f>IFERROR(__xludf.DUMMYFUNCTION("""COMPUTED_VALUE"""),"G650-14843-04")</f>
        <v>G650-14843-04</v>
      </c>
      <c r="S99" s="182" t="str">
        <f>IFERROR(__xludf.DUMMYFUNCTION("""COMPUTED_VALUE"""),"G650-14411-05")</f>
        <v>G650-14411-05</v>
      </c>
      <c r="T99" s="182" t="str">
        <f>IFERROR(__xludf.DUMMYFUNCTION("""COMPUTED_VALUE"""),"G650-14840-03")</f>
        <v>G650-14840-03</v>
      </c>
      <c r="U99" s="182" t="str">
        <f>IFERROR(__xludf.DUMMYFUNCTION("""COMPUTED_VALUE"""),"G650-14841-03")</f>
        <v>G650-14841-03</v>
      </c>
      <c r="V99" s="182" t="str">
        <f>IFERROR(__xludf.DUMMYFUNCTION("""COMPUTED_VALUE"""),"G650-14413-03")</f>
        <v>G650-14413-03</v>
      </c>
      <c r="W99" s="182"/>
      <c r="X99" s="182"/>
      <c r="Y99" s="182"/>
      <c r="Z99" s="182" t="str">
        <f>IFERROR(__xludf.DUMMYFUNCTION("""COMPUTED_VALUE"""),"N")</f>
        <v>N</v>
      </c>
      <c r="AA99" s="182" t="str">
        <f>IFERROR(__xludf.DUMMYFUNCTION("""COMPUTED_VALUE"""),"Y")</f>
        <v>Y</v>
      </c>
    </row>
    <row r="100">
      <c r="A100" s="182" t="str">
        <f>IFERROR(__xludf.DUMMYFUNCTION("""COMPUTED_VALUE"""),"Press")</f>
        <v>Press</v>
      </c>
      <c r="B100" s="182">
        <f>IFERROR(__xludf.DUMMYFUNCTION("""COMPUTED_VALUE"""),99.0)</f>
        <v>99</v>
      </c>
      <c r="C100" s="182" t="str">
        <f>IFERROR(__xludf.DUMMYFUNCTION("""COMPUTED_VALUE"""),"GEHN3")</f>
        <v>GEHN3</v>
      </c>
      <c r="D100" s="182" t="str">
        <f>IFERROR(__xludf.DUMMYFUNCTION("""COMPUTED_VALUE"""),"GA10796-CA-N")</f>
        <v>GA10796-CA-N</v>
      </c>
      <c r="E100" s="182" t="str">
        <f>IFERROR(__xludf.DUMMYFUNCTION("""COMPUTED_VALUE"""),"SKU, CLR1, GOOD, SUB6, CA/TW/SG/AU/MY/MX, PRESS, BZ5")</f>
        <v>SKU, CLR1, GOOD, SUB6, CA/TW/SG/AU/MY/MX, PRESS, BZ5</v>
      </c>
      <c r="F100" s="182" t="str">
        <f>IFERROR(__xludf.DUMMYFUNCTION("""COMPUTED_VALUE"""),"Pixel 10 Pro, Obsidian, 128GB, CA/TW/SG/AU/MY/MX, Press")</f>
        <v>Pixel 10 Pro, Obsidian, 128GB, CA/TW/SG/AU/MY/MX, Press</v>
      </c>
      <c r="G100" s="182" t="str">
        <f>IFERROR(__xludf.DUMMYFUNCTION("""COMPUTED_VALUE"""),"CLR1")</f>
        <v>CLR1</v>
      </c>
      <c r="H100" s="182" t="str">
        <f>IFERROR(__xludf.DUMMYFUNCTION("""COMPUTED_VALUE"""),"SUB6")</f>
        <v>SUB6</v>
      </c>
      <c r="I100" s="182" t="str">
        <f>IFERROR(__xludf.DUMMYFUNCTION("""COMPUTED_VALUE"""),"128GB")</f>
        <v>128GB</v>
      </c>
      <c r="J100" s="182"/>
      <c r="K100" s="182" t="str">
        <f>IFERROR(__xludf.DUMMYFUNCTION("""COMPUTED_VALUE"""),"G950-15987-01")</f>
        <v>G950-15987-01</v>
      </c>
      <c r="L100" s="182" t="str">
        <f>IFERROR(__xludf.DUMMYFUNCTION("""COMPUTED_VALUE"""),"G710-07822-01")</f>
        <v>G710-07822-01</v>
      </c>
      <c r="M100" s="182" t="str">
        <f>IFERROR(__xludf.DUMMYFUNCTION("""COMPUTED_VALUE"""),"G710-10000-40")</f>
        <v>G710-10000-40</v>
      </c>
      <c r="N100" s="182" t="str">
        <f>IFERROR(__xludf.DUMMYFUNCTION("""COMPUTED_VALUE"""),"G730-09466-11")</f>
        <v>G730-09466-11</v>
      </c>
      <c r="O100" s="182" t="str">
        <f>IFERROR(__xludf.DUMMYFUNCTION("""COMPUTED_VALUE"""),"G710-07813-02")</f>
        <v>G710-07813-02</v>
      </c>
      <c r="P100" s="182" t="str">
        <f>IFERROR(__xludf.DUMMYFUNCTION("""COMPUTED_VALUE"""),"G650-14972-06")</f>
        <v>G650-14972-06</v>
      </c>
      <c r="Q100" s="182" t="str">
        <f>IFERROR(__xludf.DUMMYFUNCTION("""COMPUTED_VALUE"""),"G650-15596-04")</f>
        <v>G650-15596-04</v>
      </c>
      <c r="R100" s="182" t="str">
        <f>IFERROR(__xludf.DUMMYFUNCTION("""COMPUTED_VALUE"""),"G650-14843-04")</f>
        <v>G650-14843-04</v>
      </c>
      <c r="S100" s="182" t="str">
        <f>IFERROR(__xludf.DUMMYFUNCTION("""COMPUTED_VALUE"""),"G650-14411-05")</f>
        <v>G650-14411-05</v>
      </c>
      <c r="T100" s="182" t="str">
        <f>IFERROR(__xludf.DUMMYFUNCTION("""COMPUTED_VALUE"""),"G650-14840-03")</f>
        <v>G650-14840-03</v>
      </c>
      <c r="U100" s="182" t="str">
        <f>IFERROR(__xludf.DUMMYFUNCTION("""COMPUTED_VALUE"""),"G650-14841-03")</f>
        <v>G650-14841-03</v>
      </c>
      <c r="V100" s="182" t="str">
        <f>IFERROR(__xludf.DUMMYFUNCTION("""COMPUTED_VALUE"""),"G650-14413-03")</f>
        <v>G650-14413-03</v>
      </c>
      <c r="W100" s="182"/>
      <c r="X100" s="182"/>
      <c r="Y100" s="182"/>
      <c r="Z100" s="182" t="str">
        <f>IFERROR(__xludf.DUMMYFUNCTION("""COMPUTED_VALUE"""),"Y")</f>
        <v>Y</v>
      </c>
      <c r="AA100" s="182" t="str">
        <f>IFERROR(__xludf.DUMMYFUNCTION("""COMPUTED_VALUE"""),"Y")</f>
        <v>Y</v>
      </c>
    </row>
    <row r="101">
      <c r="A101" s="182" t="str">
        <f>IFERROR(__xludf.DUMMYFUNCTION("""COMPUTED_VALUE"""),"Press")</f>
        <v>Press</v>
      </c>
      <c r="B101" s="182">
        <f>IFERROR(__xludf.DUMMYFUNCTION("""COMPUTED_VALUE"""),100.0)</f>
        <v>100</v>
      </c>
      <c r="C101" s="182" t="str">
        <f>IFERROR(__xludf.DUMMYFUNCTION("""COMPUTED_VALUE"""),"GEHN3")</f>
        <v>GEHN3</v>
      </c>
      <c r="D101" s="182" t="str">
        <f>IFERROR(__xludf.DUMMYFUNCTION("""COMPUTED_VALUE"""),"GA10797-CA-N")</f>
        <v>GA10797-CA-N</v>
      </c>
      <c r="E101" s="182" t="str">
        <f>IFERROR(__xludf.DUMMYFUNCTION("""COMPUTED_VALUE"""),"SKU, CLR2, GOOD, SUB6, CA/TW/SG/AU/MY/MX, PRESS, BZ5")</f>
        <v>SKU, CLR2, GOOD, SUB6, CA/TW/SG/AU/MY/MX, PRESS, BZ5</v>
      </c>
      <c r="F101" s="182" t="str">
        <f>IFERROR(__xludf.DUMMYFUNCTION("""COMPUTED_VALUE"""),"Pixel 10 Pro, Porcelain, 128GB, CA/TW/SG/AU/MY/MX, Press")</f>
        <v>Pixel 10 Pro, Porcelain, 128GB, CA/TW/SG/AU/MY/MX, Press</v>
      </c>
      <c r="G101" s="182" t="str">
        <f>IFERROR(__xludf.DUMMYFUNCTION("""COMPUTED_VALUE"""),"CLR2")</f>
        <v>CLR2</v>
      </c>
      <c r="H101" s="182" t="str">
        <f>IFERROR(__xludf.DUMMYFUNCTION("""COMPUTED_VALUE"""),"SUB6")</f>
        <v>SUB6</v>
      </c>
      <c r="I101" s="182" t="str">
        <f>IFERROR(__xludf.DUMMYFUNCTION("""COMPUTED_VALUE"""),"128GB")</f>
        <v>128GB</v>
      </c>
      <c r="J101" s="182"/>
      <c r="K101" s="182" t="str">
        <f>IFERROR(__xludf.DUMMYFUNCTION("""COMPUTED_VALUE"""),"G950-15987-02")</f>
        <v>G950-15987-02</v>
      </c>
      <c r="L101" s="182" t="str">
        <f>IFERROR(__xludf.DUMMYFUNCTION("""COMPUTED_VALUE"""),"G710-07822-01")</f>
        <v>G710-07822-01</v>
      </c>
      <c r="M101" s="182" t="str">
        <f>IFERROR(__xludf.DUMMYFUNCTION("""COMPUTED_VALUE"""),"G710-10000-40")</f>
        <v>G710-10000-40</v>
      </c>
      <c r="N101" s="182" t="str">
        <f>IFERROR(__xludf.DUMMYFUNCTION("""COMPUTED_VALUE"""),"G730-09466-12")</f>
        <v>G730-09466-12</v>
      </c>
      <c r="O101" s="182" t="str">
        <f>IFERROR(__xludf.DUMMYFUNCTION("""COMPUTED_VALUE"""),"G710-07813-02")</f>
        <v>G710-07813-02</v>
      </c>
      <c r="P101" s="182" t="str">
        <f>IFERROR(__xludf.DUMMYFUNCTION("""COMPUTED_VALUE"""),"G650-14972-06")</f>
        <v>G650-14972-06</v>
      </c>
      <c r="Q101" s="182" t="str">
        <f>IFERROR(__xludf.DUMMYFUNCTION("""COMPUTED_VALUE"""),"G650-15596-04")</f>
        <v>G650-15596-04</v>
      </c>
      <c r="R101" s="182" t="str">
        <f>IFERROR(__xludf.DUMMYFUNCTION("""COMPUTED_VALUE"""),"G650-14843-04")</f>
        <v>G650-14843-04</v>
      </c>
      <c r="S101" s="182" t="str">
        <f>IFERROR(__xludf.DUMMYFUNCTION("""COMPUTED_VALUE"""),"G650-14411-05")</f>
        <v>G650-14411-05</v>
      </c>
      <c r="T101" s="182" t="str">
        <f>IFERROR(__xludf.DUMMYFUNCTION("""COMPUTED_VALUE"""),"G650-14840-03")</f>
        <v>G650-14840-03</v>
      </c>
      <c r="U101" s="182" t="str">
        <f>IFERROR(__xludf.DUMMYFUNCTION("""COMPUTED_VALUE"""),"G650-14841-03")</f>
        <v>G650-14841-03</v>
      </c>
      <c r="V101" s="182" t="str">
        <f>IFERROR(__xludf.DUMMYFUNCTION("""COMPUTED_VALUE"""),"G650-14413-03")</f>
        <v>G650-14413-03</v>
      </c>
      <c r="W101" s="182"/>
      <c r="X101" s="182"/>
      <c r="Y101" s="182"/>
      <c r="Z101" s="182" t="str">
        <f>IFERROR(__xludf.DUMMYFUNCTION("""COMPUTED_VALUE"""),"Y")</f>
        <v>Y</v>
      </c>
      <c r="AA101" s="182" t="str">
        <f>IFERROR(__xludf.DUMMYFUNCTION("""COMPUTED_VALUE"""),"Y")</f>
        <v>Y</v>
      </c>
    </row>
    <row r="102">
      <c r="A102" s="182" t="str">
        <f>IFERROR(__xludf.DUMMYFUNCTION("""COMPUTED_VALUE"""),"Press")</f>
        <v>Press</v>
      </c>
      <c r="B102" s="182">
        <f>IFERROR(__xludf.DUMMYFUNCTION("""COMPUTED_VALUE"""),101.0)</f>
        <v>101</v>
      </c>
      <c r="C102" s="182" t="str">
        <f>IFERROR(__xludf.DUMMYFUNCTION("""COMPUTED_VALUE"""),"GEHN3")</f>
        <v>GEHN3</v>
      </c>
      <c r="D102" s="182" t="str">
        <f>IFERROR(__xludf.DUMMYFUNCTION("""COMPUTED_VALUE"""),"GA10798-CA-N")</f>
        <v>GA10798-CA-N</v>
      </c>
      <c r="E102" s="182" t="str">
        <f>IFERROR(__xludf.DUMMYFUNCTION("""COMPUTED_VALUE"""),"SKU, CLR3, GOOD, SUB6, CA/TW/SG/AU/MY/MX, PRESS, BZ5")</f>
        <v>SKU, CLR3, GOOD, SUB6, CA/TW/SG/AU/MY/MX, PRESS, BZ5</v>
      </c>
      <c r="F102" s="182" t="str">
        <f>IFERROR(__xludf.DUMMYFUNCTION("""COMPUTED_VALUE"""),"Pixel 10 Pro, Moonstone, 128GB, CA/TW/SG/AU/MY/MX, Press")</f>
        <v>Pixel 10 Pro, Moonstone, 128GB, CA/TW/SG/AU/MY/MX, Press</v>
      </c>
      <c r="G102" s="182" t="str">
        <f>IFERROR(__xludf.DUMMYFUNCTION("""COMPUTED_VALUE"""),"CLR3")</f>
        <v>CLR3</v>
      </c>
      <c r="H102" s="182" t="str">
        <f>IFERROR(__xludf.DUMMYFUNCTION("""COMPUTED_VALUE"""),"SUB6")</f>
        <v>SUB6</v>
      </c>
      <c r="I102" s="182" t="str">
        <f>IFERROR(__xludf.DUMMYFUNCTION("""COMPUTED_VALUE"""),"128GB")</f>
        <v>128GB</v>
      </c>
      <c r="J102" s="182"/>
      <c r="K102" s="182" t="str">
        <f>IFERROR(__xludf.DUMMYFUNCTION("""COMPUTED_VALUE"""),"G950-15987-03")</f>
        <v>G950-15987-03</v>
      </c>
      <c r="L102" s="182" t="str">
        <f>IFERROR(__xludf.DUMMYFUNCTION("""COMPUTED_VALUE"""),"G710-07822-01")</f>
        <v>G710-07822-01</v>
      </c>
      <c r="M102" s="182" t="str">
        <f>IFERROR(__xludf.DUMMYFUNCTION("""COMPUTED_VALUE"""),"G710-10000-40")</f>
        <v>G710-10000-40</v>
      </c>
      <c r="N102" s="182" t="str">
        <f>IFERROR(__xludf.DUMMYFUNCTION("""COMPUTED_VALUE"""),"G730-09466-13")</f>
        <v>G730-09466-13</v>
      </c>
      <c r="O102" s="182" t="str">
        <f>IFERROR(__xludf.DUMMYFUNCTION("""COMPUTED_VALUE"""),"G710-07813-02")</f>
        <v>G710-07813-02</v>
      </c>
      <c r="P102" s="182" t="str">
        <f>IFERROR(__xludf.DUMMYFUNCTION("""COMPUTED_VALUE"""),"G650-14972-06")</f>
        <v>G650-14972-06</v>
      </c>
      <c r="Q102" s="182" t="str">
        <f>IFERROR(__xludf.DUMMYFUNCTION("""COMPUTED_VALUE"""),"G650-15596-04")</f>
        <v>G650-15596-04</v>
      </c>
      <c r="R102" s="182" t="str">
        <f>IFERROR(__xludf.DUMMYFUNCTION("""COMPUTED_VALUE"""),"G650-14843-04")</f>
        <v>G650-14843-04</v>
      </c>
      <c r="S102" s="182" t="str">
        <f>IFERROR(__xludf.DUMMYFUNCTION("""COMPUTED_VALUE"""),"G650-14411-05")</f>
        <v>G650-14411-05</v>
      </c>
      <c r="T102" s="182" t="str">
        <f>IFERROR(__xludf.DUMMYFUNCTION("""COMPUTED_VALUE"""),"G650-14840-03")</f>
        <v>G650-14840-03</v>
      </c>
      <c r="U102" s="182" t="str">
        <f>IFERROR(__xludf.DUMMYFUNCTION("""COMPUTED_VALUE"""),"G650-14841-03")</f>
        <v>G650-14841-03</v>
      </c>
      <c r="V102" s="182" t="str">
        <f>IFERROR(__xludf.DUMMYFUNCTION("""COMPUTED_VALUE"""),"G650-14413-03")</f>
        <v>G650-14413-03</v>
      </c>
      <c r="W102" s="182"/>
      <c r="X102" s="182"/>
      <c r="Y102" s="182"/>
      <c r="Z102" s="182" t="str">
        <f>IFERROR(__xludf.DUMMYFUNCTION("""COMPUTED_VALUE"""),"Y")</f>
        <v>Y</v>
      </c>
      <c r="AA102" s="182" t="str">
        <f>IFERROR(__xludf.DUMMYFUNCTION("""COMPUTED_VALUE"""),"Y")</f>
        <v>Y</v>
      </c>
    </row>
    <row r="103">
      <c r="A103" s="182" t="str">
        <f>IFERROR(__xludf.DUMMYFUNCTION("""COMPUTED_VALUE"""),"Press")</f>
        <v>Press</v>
      </c>
      <c r="B103" s="182">
        <f>IFERROR(__xludf.DUMMYFUNCTION("""COMPUTED_VALUE"""),102.0)</f>
        <v>102</v>
      </c>
      <c r="C103" s="182" t="str">
        <f>IFERROR(__xludf.DUMMYFUNCTION("""COMPUTED_VALUE"""),"GEHN3")</f>
        <v>GEHN3</v>
      </c>
      <c r="D103" s="182" t="str">
        <f>IFERROR(__xludf.DUMMYFUNCTION("""COMPUTED_VALUE"""),"GA10803-CA-N")</f>
        <v>GA10803-CA-N</v>
      </c>
      <c r="E103" s="182" t="str">
        <f>IFERROR(__xludf.DUMMYFUNCTION("""COMPUTED_VALUE"""),"SKU, CLR4, BETTER, SUB6, CA/TW/SG/AU/MY/MX, PRESS, BZ5")</f>
        <v>SKU, CLR4, BETTER, SUB6, CA/TW/SG/AU/MY/MX, PRESS, BZ5</v>
      </c>
      <c r="F103" s="182" t="str">
        <f>IFERROR(__xludf.DUMMYFUNCTION("""COMPUTED_VALUE"""),"Pixel 10 Pro, Jade, 256GB, CA/TW/SG/AU/MY/MX, Press")</f>
        <v>Pixel 10 Pro, Jade, 256GB, CA/TW/SG/AU/MY/MX, Press</v>
      </c>
      <c r="G103" s="182" t="str">
        <f>IFERROR(__xludf.DUMMYFUNCTION("""COMPUTED_VALUE"""),"CLR4")</f>
        <v>CLR4</v>
      </c>
      <c r="H103" s="182" t="str">
        <f>IFERROR(__xludf.DUMMYFUNCTION("""COMPUTED_VALUE"""),"SUB6")</f>
        <v>SUB6</v>
      </c>
      <c r="I103" s="182" t="str">
        <f>IFERROR(__xludf.DUMMYFUNCTION("""COMPUTED_VALUE"""),"256GB")</f>
        <v>256GB</v>
      </c>
      <c r="J103" s="182"/>
      <c r="K103" s="182" t="str">
        <f>IFERROR(__xludf.DUMMYFUNCTION("""COMPUTED_VALUE"""),"G950-18290-04")</f>
        <v>G950-18290-04</v>
      </c>
      <c r="L103" s="182" t="str">
        <f>IFERROR(__xludf.DUMMYFUNCTION("""COMPUTED_VALUE"""),"G710-07822-01")</f>
        <v>G710-07822-01</v>
      </c>
      <c r="M103" s="182" t="str">
        <f>IFERROR(__xludf.DUMMYFUNCTION("""COMPUTED_VALUE"""),"G710-10000-40")</f>
        <v>G710-10000-40</v>
      </c>
      <c r="N103" s="182" t="str">
        <f>IFERROR(__xludf.DUMMYFUNCTION("""COMPUTED_VALUE"""),"G730-09466-14")</f>
        <v>G730-09466-14</v>
      </c>
      <c r="O103" s="182" t="str">
        <f>IFERROR(__xludf.DUMMYFUNCTION("""COMPUTED_VALUE"""),"G710-07813-12")</f>
        <v>G710-07813-12</v>
      </c>
      <c r="P103" s="182" t="str">
        <f>IFERROR(__xludf.DUMMYFUNCTION("""COMPUTED_VALUE"""),"G650-17430-06")</f>
        <v>G650-17430-06</v>
      </c>
      <c r="Q103" s="182" t="str">
        <f>IFERROR(__xludf.DUMMYFUNCTION("""COMPUTED_VALUE"""),"G650-15596-04")</f>
        <v>G650-15596-04</v>
      </c>
      <c r="R103" s="182" t="str">
        <f>IFERROR(__xludf.DUMMYFUNCTION("""COMPUTED_VALUE"""),"G650-14843-04")</f>
        <v>G650-14843-04</v>
      </c>
      <c r="S103" s="182" t="str">
        <f>IFERROR(__xludf.DUMMYFUNCTION("""COMPUTED_VALUE"""),"G650-14411-05")</f>
        <v>G650-14411-05</v>
      </c>
      <c r="T103" s="182" t="str">
        <f>IFERROR(__xludf.DUMMYFUNCTION("""COMPUTED_VALUE"""),"G650-14840-03")</f>
        <v>G650-14840-03</v>
      </c>
      <c r="U103" s="182" t="str">
        <f>IFERROR(__xludf.DUMMYFUNCTION("""COMPUTED_VALUE"""),"G650-14841-03")</f>
        <v>G650-14841-03</v>
      </c>
      <c r="V103" s="182" t="str">
        <f>IFERROR(__xludf.DUMMYFUNCTION("""COMPUTED_VALUE"""),"G650-14413-03")</f>
        <v>G650-14413-03</v>
      </c>
      <c r="W103" s="182"/>
      <c r="X103" s="182"/>
      <c r="Y103" s="182"/>
      <c r="Z103" s="182" t="str">
        <f>IFERROR(__xludf.DUMMYFUNCTION("""COMPUTED_VALUE"""),"Y")</f>
        <v>Y</v>
      </c>
      <c r="AA103" s="182" t="str">
        <f>IFERROR(__xludf.DUMMYFUNCTION("""COMPUTED_VALUE"""),"Y")</f>
        <v>Y</v>
      </c>
    </row>
    <row r="104">
      <c r="A104" s="182" t="str">
        <f>IFERROR(__xludf.DUMMYFUNCTION("""COMPUTED_VALUE"""),"Press")</f>
        <v>Press</v>
      </c>
      <c r="B104" s="182">
        <f>IFERROR(__xludf.DUMMYFUNCTION("""COMPUTED_VALUE"""),103.0)</f>
        <v>103</v>
      </c>
      <c r="C104" s="182" t="str">
        <f>IFERROR(__xludf.DUMMYFUNCTION("""COMPUTED_VALUE"""),"GN4F5")</f>
        <v>GN4F5</v>
      </c>
      <c r="D104" s="182" t="str">
        <f>IFERROR(__xludf.DUMMYFUNCTION("""COMPUTED_VALUE"""),"GA10796-JP-N")</f>
        <v>GA10796-JP-N</v>
      </c>
      <c r="E104" s="182" t="str">
        <f>IFERROR(__xludf.DUMMYFUNCTION("""COMPUTED_VALUE"""),"SKU, CLR1, BETTER, SUB6, JP, PRESS, BZ5")</f>
        <v>SKU, CLR1, BETTER, SUB6, JP, PRESS, BZ5</v>
      </c>
      <c r="F104" s="182" t="str">
        <f>IFERROR(__xludf.DUMMYFUNCTION("""COMPUTED_VALUE"""),"Pixel 10 Pro, Obsidian, 256GB, JP, Press")</f>
        <v>Pixel 10 Pro, Obsidian, 256GB, JP, Press</v>
      </c>
      <c r="G104" s="182" t="str">
        <f>IFERROR(__xludf.DUMMYFUNCTION("""COMPUTED_VALUE"""),"CLR1")</f>
        <v>CLR1</v>
      </c>
      <c r="H104" s="182" t="str">
        <f>IFERROR(__xludf.DUMMYFUNCTION("""COMPUTED_VALUE"""),"SUB6")</f>
        <v>SUB6</v>
      </c>
      <c r="I104" s="182" t="str">
        <f>IFERROR(__xludf.DUMMYFUNCTION("""COMPUTED_VALUE"""),"256GB")</f>
        <v>256GB</v>
      </c>
      <c r="J104" s="182"/>
      <c r="K104" s="182" t="str">
        <f>IFERROR(__xludf.DUMMYFUNCTION("""COMPUTED_VALUE"""),"G950-18290-01")</f>
        <v>G950-18290-01</v>
      </c>
      <c r="L104" s="182" t="str">
        <f>IFERROR(__xludf.DUMMYFUNCTION("""COMPUTED_VALUE"""),"G710-07822-01")</f>
        <v>G710-07822-01</v>
      </c>
      <c r="M104" s="182" t="str">
        <f>IFERROR(__xludf.DUMMYFUNCTION("""COMPUTED_VALUE"""),"G710-10000-40")</f>
        <v>G710-10000-40</v>
      </c>
      <c r="N104" s="182" t="str">
        <f>IFERROR(__xludf.DUMMYFUNCTION("""COMPUTED_VALUE"""),"G730-09466-11")</f>
        <v>G730-09466-11</v>
      </c>
      <c r="O104" s="182" t="str">
        <f>IFERROR(__xludf.DUMMYFUNCTION("""COMPUTED_VALUE"""),"G710-07813-12")</f>
        <v>G710-07813-12</v>
      </c>
      <c r="P104" s="182" t="str">
        <f>IFERROR(__xludf.DUMMYFUNCTION("""COMPUTED_VALUE"""),"G650-17430-06")</f>
        <v>G650-17430-06</v>
      </c>
      <c r="Q104" s="182" t="str">
        <f>IFERROR(__xludf.DUMMYFUNCTION("""COMPUTED_VALUE"""),"G650-15596-04")</f>
        <v>G650-15596-04</v>
      </c>
      <c r="R104" s="182" t="str">
        <f>IFERROR(__xludf.DUMMYFUNCTION("""COMPUTED_VALUE"""),"G650-14843-04")</f>
        <v>G650-14843-04</v>
      </c>
      <c r="S104" s="182" t="str">
        <f>IFERROR(__xludf.DUMMYFUNCTION("""COMPUTED_VALUE"""),"G650-14411-05")</f>
        <v>G650-14411-05</v>
      </c>
      <c r="T104" s="182" t="str">
        <f>IFERROR(__xludf.DUMMYFUNCTION("""COMPUTED_VALUE"""),"G650-14840-03")</f>
        <v>G650-14840-03</v>
      </c>
      <c r="U104" s="182" t="str">
        <f>IFERROR(__xludf.DUMMYFUNCTION("""COMPUTED_VALUE"""),"G650-14841-03")</f>
        <v>G650-14841-03</v>
      </c>
      <c r="V104" s="182" t="str">
        <f>IFERROR(__xludf.DUMMYFUNCTION("""COMPUTED_VALUE"""),"G650-14413-03")</f>
        <v>G650-14413-03</v>
      </c>
      <c r="W104" s="182"/>
      <c r="X104" s="182"/>
      <c r="Y104" s="182"/>
      <c r="Z104" s="182" t="str">
        <f>IFERROR(__xludf.DUMMYFUNCTION("""COMPUTED_VALUE"""),"Y")</f>
        <v>Y</v>
      </c>
      <c r="AA104" s="182" t="str">
        <f>IFERROR(__xludf.DUMMYFUNCTION("""COMPUTED_VALUE"""),"Y")</f>
        <v>Y</v>
      </c>
    </row>
    <row r="105">
      <c r="A105" s="182" t="str">
        <f>IFERROR(__xludf.DUMMYFUNCTION("""COMPUTED_VALUE"""),"Press")</f>
        <v>Press</v>
      </c>
      <c r="B105" s="182">
        <f>IFERROR(__xludf.DUMMYFUNCTION("""COMPUTED_VALUE"""),104.0)</f>
        <v>104</v>
      </c>
      <c r="C105" s="182" t="str">
        <f>IFERROR(__xludf.DUMMYFUNCTION("""COMPUTED_VALUE"""),"GN4F5")</f>
        <v>GN4F5</v>
      </c>
      <c r="D105" s="182" t="str">
        <f>IFERROR(__xludf.DUMMYFUNCTION("""COMPUTED_VALUE"""),"GA10797-JP-N")</f>
        <v>GA10797-JP-N</v>
      </c>
      <c r="E105" s="182" t="str">
        <f>IFERROR(__xludf.DUMMYFUNCTION("""COMPUTED_VALUE"""),"SKU, CLR2, BETTER, SUB6, JP, PRESS, BZ5")</f>
        <v>SKU, CLR2, BETTER, SUB6, JP, PRESS, BZ5</v>
      </c>
      <c r="F105" s="182" t="str">
        <f>IFERROR(__xludf.DUMMYFUNCTION("""COMPUTED_VALUE"""),"Pixel 10 Pro, Porcelain, 256GB, JP, Press")</f>
        <v>Pixel 10 Pro, Porcelain, 256GB, JP, Press</v>
      </c>
      <c r="G105" s="182" t="str">
        <f>IFERROR(__xludf.DUMMYFUNCTION("""COMPUTED_VALUE"""),"CLR2")</f>
        <v>CLR2</v>
      </c>
      <c r="H105" s="182" t="str">
        <f>IFERROR(__xludf.DUMMYFUNCTION("""COMPUTED_VALUE"""),"SUB6")</f>
        <v>SUB6</v>
      </c>
      <c r="I105" s="182" t="str">
        <f>IFERROR(__xludf.DUMMYFUNCTION("""COMPUTED_VALUE"""),"256GB")</f>
        <v>256GB</v>
      </c>
      <c r="J105" s="182"/>
      <c r="K105" s="182" t="str">
        <f>IFERROR(__xludf.DUMMYFUNCTION("""COMPUTED_VALUE"""),"G950-18290-02")</f>
        <v>G950-18290-02</v>
      </c>
      <c r="L105" s="182" t="str">
        <f>IFERROR(__xludf.DUMMYFUNCTION("""COMPUTED_VALUE"""),"G710-07822-01")</f>
        <v>G710-07822-01</v>
      </c>
      <c r="M105" s="182" t="str">
        <f>IFERROR(__xludf.DUMMYFUNCTION("""COMPUTED_VALUE"""),"G710-10000-40")</f>
        <v>G710-10000-40</v>
      </c>
      <c r="N105" s="182" t="str">
        <f>IFERROR(__xludf.DUMMYFUNCTION("""COMPUTED_VALUE"""),"G730-09466-12")</f>
        <v>G730-09466-12</v>
      </c>
      <c r="O105" s="182" t="str">
        <f>IFERROR(__xludf.DUMMYFUNCTION("""COMPUTED_VALUE"""),"G710-07813-12")</f>
        <v>G710-07813-12</v>
      </c>
      <c r="P105" s="182" t="str">
        <f>IFERROR(__xludf.DUMMYFUNCTION("""COMPUTED_VALUE"""),"G650-17430-06")</f>
        <v>G650-17430-06</v>
      </c>
      <c r="Q105" s="182" t="str">
        <f>IFERROR(__xludf.DUMMYFUNCTION("""COMPUTED_VALUE"""),"G650-15596-04")</f>
        <v>G650-15596-04</v>
      </c>
      <c r="R105" s="182" t="str">
        <f>IFERROR(__xludf.DUMMYFUNCTION("""COMPUTED_VALUE"""),"G650-14843-04")</f>
        <v>G650-14843-04</v>
      </c>
      <c r="S105" s="182" t="str">
        <f>IFERROR(__xludf.DUMMYFUNCTION("""COMPUTED_VALUE"""),"G650-14411-05")</f>
        <v>G650-14411-05</v>
      </c>
      <c r="T105" s="182" t="str">
        <f>IFERROR(__xludf.DUMMYFUNCTION("""COMPUTED_VALUE"""),"G650-14840-03")</f>
        <v>G650-14840-03</v>
      </c>
      <c r="U105" s="182" t="str">
        <f>IFERROR(__xludf.DUMMYFUNCTION("""COMPUTED_VALUE"""),"G650-14841-03")</f>
        <v>G650-14841-03</v>
      </c>
      <c r="V105" s="182" t="str">
        <f>IFERROR(__xludf.DUMMYFUNCTION("""COMPUTED_VALUE"""),"G650-14413-03")</f>
        <v>G650-14413-03</v>
      </c>
      <c r="W105" s="182"/>
      <c r="X105" s="182"/>
      <c r="Y105" s="182"/>
      <c r="Z105" s="182" t="str">
        <f>IFERROR(__xludf.DUMMYFUNCTION("""COMPUTED_VALUE"""),"Y")</f>
        <v>Y</v>
      </c>
      <c r="AA105" s="182" t="str">
        <f>IFERROR(__xludf.DUMMYFUNCTION("""COMPUTED_VALUE"""),"Y")</f>
        <v>Y</v>
      </c>
    </row>
    <row r="106">
      <c r="A106" s="182" t="str">
        <f>IFERROR(__xludf.DUMMYFUNCTION("""COMPUTED_VALUE"""),"Press")</f>
        <v>Press</v>
      </c>
      <c r="B106" s="182">
        <f>IFERROR(__xludf.DUMMYFUNCTION("""COMPUTED_VALUE"""),105.0)</f>
        <v>105</v>
      </c>
      <c r="C106" s="182" t="str">
        <f>IFERROR(__xludf.DUMMYFUNCTION("""COMPUTED_VALUE"""),"GN4F5")</f>
        <v>GN4F5</v>
      </c>
      <c r="D106" s="182" t="str">
        <f>IFERROR(__xludf.DUMMYFUNCTION("""COMPUTED_VALUE"""),"GA10798-JP-N")</f>
        <v>GA10798-JP-N</v>
      </c>
      <c r="E106" s="182" t="str">
        <f>IFERROR(__xludf.DUMMYFUNCTION("""COMPUTED_VALUE"""),"SKU, CLR3, BETTER, SUB6, JP, PRESS, BZ5")</f>
        <v>SKU, CLR3, BETTER, SUB6, JP, PRESS, BZ5</v>
      </c>
      <c r="F106" s="182" t="str">
        <f>IFERROR(__xludf.DUMMYFUNCTION("""COMPUTED_VALUE"""),"Pixel 10 Pro, Moonstone, 256GB, JP, Press")</f>
        <v>Pixel 10 Pro, Moonstone, 256GB, JP, Press</v>
      </c>
      <c r="G106" s="182" t="str">
        <f>IFERROR(__xludf.DUMMYFUNCTION("""COMPUTED_VALUE"""),"CLR3")</f>
        <v>CLR3</v>
      </c>
      <c r="H106" s="182" t="str">
        <f>IFERROR(__xludf.DUMMYFUNCTION("""COMPUTED_VALUE"""),"SUB6")</f>
        <v>SUB6</v>
      </c>
      <c r="I106" s="182" t="str">
        <f>IFERROR(__xludf.DUMMYFUNCTION("""COMPUTED_VALUE"""),"256GB")</f>
        <v>256GB</v>
      </c>
      <c r="J106" s="182"/>
      <c r="K106" s="182" t="str">
        <f>IFERROR(__xludf.DUMMYFUNCTION("""COMPUTED_VALUE"""),"G950-18290-03")</f>
        <v>G950-18290-03</v>
      </c>
      <c r="L106" s="182" t="str">
        <f>IFERROR(__xludf.DUMMYFUNCTION("""COMPUTED_VALUE"""),"G710-07822-01")</f>
        <v>G710-07822-01</v>
      </c>
      <c r="M106" s="182" t="str">
        <f>IFERROR(__xludf.DUMMYFUNCTION("""COMPUTED_VALUE"""),"G710-10000-40")</f>
        <v>G710-10000-40</v>
      </c>
      <c r="N106" s="182" t="str">
        <f>IFERROR(__xludf.DUMMYFUNCTION("""COMPUTED_VALUE"""),"G730-09466-13")</f>
        <v>G730-09466-13</v>
      </c>
      <c r="O106" s="182" t="str">
        <f>IFERROR(__xludf.DUMMYFUNCTION("""COMPUTED_VALUE"""),"G710-07813-12")</f>
        <v>G710-07813-12</v>
      </c>
      <c r="P106" s="182" t="str">
        <f>IFERROR(__xludf.DUMMYFUNCTION("""COMPUTED_VALUE"""),"G650-17430-06")</f>
        <v>G650-17430-06</v>
      </c>
      <c r="Q106" s="182" t="str">
        <f>IFERROR(__xludf.DUMMYFUNCTION("""COMPUTED_VALUE"""),"G650-15596-04")</f>
        <v>G650-15596-04</v>
      </c>
      <c r="R106" s="182" t="str">
        <f>IFERROR(__xludf.DUMMYFUNCTION("""COMPUTED_VALUE"""),"G650-14843-04")</f>
        <v>G650-14843-04</v>
      </c>
      <c r="S106" s="182" t="str">
        <f>IFERROR(__xludf.DUMMYFUNCTION("""COMPUTED_VALUE"""),"G650-14411-05")</f>
        <v>G650-14411-05</v>
      </c>
      <c r="T106" s="182" t="str">
        <f>IFERROR(__xludf.DUMMYFUNCTION("""COMPUTED_VALUE"""),"G650-14840-03")</f>
        <v>G650-14840-03</v>
      </c>
      <c r="U106" s="182" t="str">
        <f>IFERROR(__xludf.DUMMYFUNCTION("""COMPUTED_VALUE"""),"G650-14841-03")</f>
        <v>G650-14841-03</v>
      </c>
      <c r="V106" s="182" t="str">
        <f>IFERROR(__xludf.DUMMYFUNCTION("""COMPUTED_VALUE"""),"G650-14413-03")</f>
        <v>G650-14413-03</v>
      </c>
      <c r="W106" s="182"/>
      <c r="X106" s="182"/>
      <c r="Y106" s="182"/>
      <c r="Z106" s="182" t="str">
        <f>IFERROR(__xludf.DUMMYFUNCTION("""COMPUTED_VALUE"""),"Y")</f>
        <v>Y</v>
      </c>
      <c r="AA106" s="182" t="str">
        <f>IFERROR(__xludf.DUMMYFUNCTION("""COMPUTED_VALUE"""),"Y")</f>
        <v>Y</v>
      </c>
    </row>
    <row r="107">
      <c r="A107" s="182" t="str">
        <f>IFERROR(__xludf.DUMMYFUNCTION("""COMPUTED_VALUE"""),"Press")</f>
        <v>Press</v>
      </c>
      <c r="B107" s="182">
        <f>IFERROR(__xludf.DUMMYFUNCTION("""COMPUTED_VALUE"""),106.0)</f>
        <v>106</v>
      </c>
      <c r="C107" s="182" t="str">
        <f>IFERROR(__xludf.DUMMYFUNCTION("""COMPUTED_VALUE"""),"GN4F5")</f>
        <v>GN4F5</v>
      </c>
      <c r="D107" s="182" t="str">
        <f>IFERROR(__xludf.DUMMYFUNCTION("""COMPUTED_VALUE"""),"GA10803-JP-N")</f>
        <v>GA10803-JP-N</v>
      </c>
      <c r="E107" s="182" t="str">
        <f>IFERROR(__xludf.DUMMYFUNCTION("""COMPUTED_VALUE"""),"SKU, CLR4, BETTER, SUB6, JP, PRESS, BZ5")</f>
        <v>SKU, CLR4, BETTER, SUB6, JP, PRESS, BZ5</v>
      </c>
      <c r="F107" s="182" t="str">
        <f>IFERROR(__xludf.DUMMYFUNCTION("""COMPUTED_VALUE"""),"Pixel 10 Pro, Jade, 256GB, JP, Press")</f>
        <v>Pixel 10 Pro, Jade, 256GB, JP, Press</v>
      </c>
      <c r="G107" s="182" t="str">
        <f>IFERROR(__xludf.DUMMYFUNCTION("""COMPUTED_VALUE"""),"CLR4")</f>
        <v>CLR4</v>
      </c>
      <c r="H107" s="182" t="str">
        <f>IFERROR(__xludf.DUMMYFUNCTION("""COMPUTED_VALUE"""),"SUB6")</f>
        <v>SUB6</v>
      </c>
      <c r="I107" s="182" t="str">
        <f>IFERROR(__xludf.DUMMYFUNCTION("""COMPUTED_VALUE"""),"256GB")</f>
        <v>256GB</v>
      </c>
      <c r="J107" s="182"/>
      <c r="K107" s="182" t="str">
        <f>IFERROR(__xludf.DUMMYFUNCTION("""COMPUTED_VALUE"""),"G950-18290-04")</f>
        <v>G950-18290-04</v>
      </c>
      <c r="L107" s="182" t="str">
        <f>IFERROR(__xludf.DUMMYFUNCTION("""COMPUTED_VALUE"""),"G710-07822-01")</f>
        <v>G710-07822-01</v>
      </c>
      <c r="M107" s="182" t="str">
        <f>IFERROR(__xludf.DUMMYFUNCTION("""COMPUTED_VALUE"""),"G710-10000-40")</f>
        <v>G710-10000-40</v>
      </c>
      <c r="N107" s="182" t="str">
        <f>IFERROR(__xludf.DUMMYFUNCTION("""COMPUTED_VALUE"""),"G730-09466-14")</f>
        <v>G730-09466-14</v>
      </c>
      <c r="O107" s="182" t="str">
        <f>IFERROR(__xludf.DUMMYFUNCTION("""COMPUTED_VALUE"""),"G710-07813-12")</f>
        <v>G710-07813-12</v>
      </c>
      <c r="P107" s="182" t="str">
        <f>IFERROR(__xludf.DUMMYFUNCTION("""COMPUTED_VALUE"""),"G650-17430-06")</f>
        <v>G650-17430-06</v>
      </c>
      <c r="Q107" s="182" t="str">
        <f>IFERROR(__xludf.DUMMYFUNCTION("""COMPUTED_VALUE"""),"G650-15596-04")</f>
        <v>G650-15596-04</v>
      </c>
      <c r="R107" s="182" t="str">
        <f>IFERROR(__xludf.DUMMYFUNCTION("""COMPUTED_VALUE"""),"G650-14843-04")</f>
        <v>G650-14843-04</v>
      </c>
      <c r="S107" s="182" t="str">
        <f>IFERROR(__xludf.DUMMYFUNCTION("""COMPUTED_VALUE"""),"G650-14411-05")</f>
        <v>G650-14411-05</v>
      </c>
      <c r="T107" s="182" t="str">
        <f>IFERROR(__xludf.DUMMYFUNCTION("""COMPUTED_VALUE"""),"G650-14840-03")</f>
        <v>G650-14840-03</v>
      </c>
      <c r="U107" s="182" t="str">
        <f>IFERROR(__xludf.DUMMYFUNCTION("""COMPUTED_VALUE"""),"G650-14841-03")</f>
        <v>G650-14841-03</v>
      </c>
      <c r="V107" s="182" t="str">
        <f>IFERROR(__xludf.DUMMYFUNCTION("""COMPUTED_VALUE"""),"G650-14413-03")</f>
        <v>G650-14413-03</v>
      </c>
      <c r="W107" s="182"/>
      <c r="X107" s="182"/>
      <c r="Y107" s="182"/>
      <c r="Z107" s="182" t="str">
        <f>IFERROR(__xludf.DUMMYFUNCTION("""COMPUTED_VALUE"""),"Y")</f>
        <v>Y</v>
      </c>
      <c r="AA107" s="182" t="str">
        <f>IFERROR(__xludf.DUMMYFUNCTION("""COMPUTED_VALUE"""),"Y")</f>
        <v>Y</v>
      </c>
    </row>
    <row r="108">
      <c r="A108" s="182" t="str">
        <f>IFERROR(__xludf.DUMMYFUNCTION("""COMPUTED_VALUE"""),"Press")</f>
        <v>Press</v>
      </c>
      <c r="B108" s="182">
        <f>IFERROR(__xludf.DUMMYFUNCTION("""COMPUTED_VALUE"""),107.0)</f>
        <v>107</v>
      </c>
      <c r="C108" s="182" t="str">
        <f>IFERROR(__xludf.DUMMYFUNCTION("""COMPUTED_VALUE"""),"GEHN3")</f>
        <v>GEHN3</v>
      </c>
      <c r="D108" s="182" t="str">
        <f>IFERROR(__xludf.DUMMYFUNCTION("""COMPUTED_VALUE"""),"GA10796-GB-N")</f>
        <v>GA10796-GB-N</v>
      </c>
      <c r="E108" s="182" t="str">
        <f>IFERROR(__xludf.DUMMYFUNCTION("""COMPUTED_VALUE"""),"SKU, CLR1, GOOD, SUB6, UK/EU, PRESS, BZ5")</f>
        <v>SKU, CLR1, GOOD, SUB6, UK/EU, PRESS, BZ5</v>
      </c>
      <c r="F108" s="182" t="str">
        <f>IFERROR(__xludf.DUMMYFUNCTION("""COMPUTED_VALUE"""),"Pixel 10 Pro, Obsidian, 128GB, EU/UK, Press")</f>
        <v>Pixel 10 Pro, Obsidian, 128GB, EU/UK, Press</v>
      </c>
      <c r="G108" s="182" t="str">
        <f>IFERROR(__xludf.DUMMYFUNCTION("""COMPUTED_VALUE"""),"CLR1")</f>
        <v>CLR1</v>
      </c>
      <c r="H108" s="182" t="str">
        <f>IFERROR(__xludf.DUMMYFUNCTION("""COMPUTED_VALUE"""),"SUB6")</f>
        <v>SUB6</v>
      </c>
      <c r="I108" s="182" t="str">
        <f>IFERROR(__xludf.DUMMYFUNCTION("""COMPUTED_VALUE"""),"128GB")</f>
        <v>128GB</v>
      </c>
      <c r="J108" s="182" t="str">
        <f>IFERROR(__xludf.DUMMYFUNCTION("""COMPUTED_VALUE"""),"G950-15987-01-L")</f>
        <v>G950-15987-01-L</v>
      </c>
      <c r="K108" s="182" t="str">
        <f>IFERROR(__xludf.DUMMYFUNCTION("""COMPUTED_VALUE"""),"G950-15987-01")</f>
        <v>G950-15987-01</v>
      </c>
      <c r="L108" s="182" t="str">
        <f>IFERROR(__xludf.DUMMYFUNCTION("""COMPUTED_VALUE"""),"G710-07822-01")</f>
        <v>G710-07822-01</v>
      </c>
      <c r="M108" s="182" t="str">
        <f>IFERROR(__xludf.DUMMYFUNCTION("""COMPUTED_VALUE"""),"G710-10000-40")</f>
        <v>G710-10000-40</v>
      </c>
      <c r="N108" s="182" t="str">
        <f>IFERROR(__xludf.DUMMYFUNCTION("""COMPUTED_VALUE"""),"G730-09466-11")</f>
        <v>G730-09466-11</v>
      </c>
      <c r="O108" s="182" t="str">
        <f>IFERROR(__xludf.DUMMYFUNCTION("""COMPUTED_VALUE"""),"G710-07813-02")</f>
        <v>G710-07813-02</v>
      </c>
      <c r="P108" s="182" t="str">
        <f>IFERROR(__xludf.DUMMYFUNCTION("""COMPUTED_VALUE"""),"G650-14972-06")</f>
        <v>G650-14972-06</v>
      </c>
      <c r="Q108" s="182" t="str">
        <f>IFERROR(__xludf.DUMMYFUNCTION("""COMPUTED_VALUE"""),"G650-15596-04")</f>
        <v>G650-15596-04</v>
      </c>
      <c r="R108" s="182" t="str">
        <f>IFERROR(__xludf.DUMMYFUNCTION("""COMPUTED_VALUE"""),"G650-14843-04")</f>
        <v>G650-14843-04</v>
      </c>
      <c r="S108" s="182" t="str">
        <f>IFERROR(__xludf.DUMMYFUNCTION("""COMPUTED_VALUE"""),"G650-14411-05")</f>
        <v>G650-14411-05</v>
      </c>
      <c r="T108" s="182" t="str">
        <f>IFERROR(__xludf.DUMMYFUNCTION("""COMPUTED_VALUE"""),"G650-14840-03")</f>
        <v>G650-14840-03</v>
      </c>
      <c r="U108" s="182" t="str">
        <f>IFERROR(__xludf.DUMMYFUNCTION("""COMPUTED_VALUE"""),"G650-14841-03")</f>
        <v>G650-14841-03</v>
      </c>
      <c r="V108" s="182" t="str">
        <f>IFERROR(__xludf.DUMMYFUNCTION("""COMPUTED_VALUE"""),"G650-14413-03")</f>
        <v>G650-14413-03</v>
      </c>
      <c r="W108" s="182"/>
      <c r="X108" s="182" t="str">
        <f>IFERROR(__xludf.DUMMYFUNCTION("""COMPUTED_VALUE"""),"G990-07758-00")</f>
        <v>G990-07758-00</v>
      </c>
      <c r="Y108" s="182" t="str">
        <f>IFERROR(__xludf.DUMMYFUNCTION("""COMPUTED_VALUE"""),"G990-07758-00")</f>
        <v>G990-07758-00</v>
      </c>
      <c r="Z108" s="182" t="str">
        <f>IFERROR(__xludf.DUMMYFUNCTION("""COMPUTED_VALUE"""),"Y")</f>
        <v>Y</v>
      </c>
      <c r="AA108" s="182" t="str">
        <f>IFERROR(__xludf.DUMMYFUNCTION("""COMPUTED_VALUE"""),"Y")</f>
        <v>Y</v>
      </c>
    </row>
    <row r="109">
      <c r="A109" s="182" t="str">
        <f>IFERROR(__xludf.DUMMYFUNCTION("""COMPUTED_VALUE"""),"Press")</f>
        <v>Press</v>
      </c>
      <c r="B109" s="182">
        <f>IFERROR(__xludf.DUMMYFUNCTION("""COMPUTED_VALUE"""),108.0)</f>
        <v>108</v>
      </c>
      <c r="C109" s="182" t="str">
        <f>IFERROR(__xludf.DUMMYFUNCTION("""COMPUTED_VALUE"""),"GEHN3")</f>
        <v>GEHN3</v>
      </c>
      <c r="D109" s="182" t="str">
        <f>IFERROR(__xludf.DUMMYFUNCTION("""COMPUTED_VALUE"""),"GA10797-GB-N")</f>
        <v>GA10797-GB-N</v>
      </c>
      <c r="E109" s="182" t="str">
        <f>IFERROR(__xludf.DUMMYFUNCTION("""COMPUTED_VALUE"""),"SKU, CLR2, GOOD, SUB6, UK/EU, PRESS, BZ5")</f>
        <v>SKU, CLR2, GOOD, SUB6, UK/EU, PRESS, BZ5</v>
      </c>
      <c r="F109" s="182" t="str">
        <f>IFERROR(__xludf.DUMMYFUNCTION("""COMPUTED_VALUE"""),"Pixel 10 Pro, Porcelain, 128GB, EU/UK, Press")</f>
        <v>Pixel 10 Pro, Porcelain, 128GB, EU/UK, Press</v>
      </c>
      <c r="G109" s="182" t="str">
        <f>IFERROR(__xludf.DUMMYFUNCTION("""COMPUTED_VALUE"""),"CLR2")</f>
        <v>CLR2</v>
      </c>
      <c r="H109" s="182" t="str">
        <f>IFERROR(__xludf.DUMMYFUNCTION("""COMPUTED_VALUE"""),"SUB6")</f>
        <v>SUB6</v>
      </c>
      <c r="I109" s="182" t="str">
        <f>IFERROR(__xludf.DUMMYFUNCTION("""COMPUTED_VALUE"""),"128GB")</f>
        <v>128GB</v>
      </c>
      <c r="J109" s="182" t="str">
        <f>IFERROR(__xludf.DUMMYFUNCTION("""COMPUTED_VALUE"""),"G950-15987-02-L")</f>
        <v>G950-15987-02-L</v>
      </c>
      <c r="K109" s="182" t="str">
        <f>IFERROR(__xludf.DUMMYFUNCTION("""COMPUTED_VALUE"""),"G950-15987-02")</f>
        <v>G950-15987-02</v>
      </c>
      <c r="L109" s="182" t="str">
        <f>IFERROR(__xludf.DUMMYFUNCTION("""COMPUTED_VALUE"""),"G710-07822-01")</f>
        <v>G710-07822-01</v>
      </c>
      <c r="M109" s="182" t="str">
        <f>IFERROR(__xludf.DUMMYFUNCTION("""COMPUTED_VALUE"""),"G710-10000-40")</f>
        <v>G710-10000-40</v>
      </c>
      <c r="N109" s="182" t="str">
        <f>IFERROR(__xludf.DUMMYFUNCTION("""COMPUTED_VALUE"""),"G730-09466-12")</f>
        <v>G730-09466-12</v>
      </c>
      <c r="O109" s="182" t="str">
        <f>IFERROR(__xludf.DUMMYFUNCTION("""COMPUTED_VALUE"""),"G710-07813-02")</f>
        <v>G710-07813-02</v>
      </c>
      <c r="P109" s="182" t="str">
        <f>IFERROR(__xludf.DUMMYFUNCTION("""COMPUTED_VALUE"""),"G650-14972-06")</f>
        <v>G650-14972-06</v>
      </c>
      <c r="Q109" s="182" t="str">
        <f>IFERROR(__xludf.DUMMYFUNCTION("""COMPUTED_VALUE"""),"G650-15596-04")</f>
        <v>G650-15596-04</v>
      </c>
      <c r="R109" s="182" t="str">
        <f>IFERROR(__xludf.DUMMYFUNCTION("""COMPUTED_VALUE"""),"G650-14843-04")</f>
        <v>G650-14843-04</v>
      </c>
      <c r="S109" s="182" t="str">
        <f>IFERROR(__xludf.DUMMYFUNCTION("""COMPUTED_VALUE"""),"G650-14411-05")</f>
        <v>G650-14411-05</v>
      </c>
      <c r="T109" s="182" t="str">
        <f>IFERROR(__xludf.DUMMYFUNCTION("""COMPUTED_VALUE"""),"G650-14840-03")</f>
        <v>G650-14840-03</v>
      </c>
      <c r="U109" s="182" t="str">
        <f>IFERROR(__xludf.DUMMYFUNCTION("""COMPUTED_VALUE"""),"G650-14841-03")</f>
        <v>G650-14841-03</v>
      </c>
      <c r="V109" s="182" t="str">
        <f>IFERROR(__xludf.DUMMYFUNCTION("""COMPUTED_VALUE"""),"G650-14413-03")</f>
        <v>G650-14413-03</v>
      </c>
      <c r="W109" s="182"/>
      <c r="X109" s="182" t="str">
        <f>IFERROR(__xludf.DUMMYFUNCTION("""COMPUTED_VALUE"""),"G990-07758-00")</f>
        <v>G990-07758-00</v>
      </c>
      <c r="Y109" s="182" t="str">
        <f>IFERROR(__xludf.DUMMYFUNCTION("""COMPUTED_VALUE"""),"G990-07758-00")</f>
        <v>G990-07758-00</v>
      </c>
      <c r="Z109" s="182" t="str">
        <f>IFERROR(__xludf.DUMMYFUNCTION("""COMPUTED_VALUE"""),"Y")</f>
        <v>Y</v>
      </c>
      <c r="AA109" s="182" t="str">
        <f>IFERROR(__xludf.DUMMYFUNCTION("""COMPUTED_VALUE"""),"Y")</f>
        <v>Y</v>
      </c>
    </row>
    <row r="110">
      <c r="A110" s="182" t="str">
        <f>IFERROR(__xludf.DUMMYFUNCTION("""COMPUTED_VALUE"""),"Press")</f>
        <v>Press</v>
      </c>
      <c r="B110" s="182">
        <f>IFERROR(__xludf.DUMMYFUNCTION("""COMPUTED_VALUE"""),109.0)</f>
        <v>109</v>
      </c>
      <c r="C110" s="182" t="str">
        <f>IFERROR(__xludf.DUMMYFUNCTION("""COMPUTED_VALUE"""),"GEHN3")</f>
        <v>GEHN3</v>
      </c>
      <c r="D110" s="182" t="str">
        <f>IFERROR(__xludf.DUMMYFUNCTION("""COMPUTED_VALUE"""),"GA10798-GB-N")</f>
        <v>GA10798-GB-N</v>
      </c>
      <c r="E110" s="182" t="str">
        <f>IFERROR(__xludf.DUMMYFUNCTION("""COMPUTED_VALUE"""),"SKU, CLR3, GOOD, SUB6, UK/EU, PRESS, BZ5")</f>
        <v>SKU, CLR3, GOOD, SUB6, UK/EU, PRESS, BZ5</v>
      </c>
      <c r="F110" s="182" t="str">
        <f>IFERROR(__xludf.DUMMYFUNCTION("""COMPUTED_VALUE"""),"Pixel 10 Pro, Moonstone, 128GB, EU/UK, Press")</f>
        <v>Pixel 10 Pro, Moonstone, 128GB, EU/UK, Press</v>
      </c>
      <c r="G110" s="182" t="str">
        <f>IFERROR(__xludf.DUMMYFUNCTION("""COMPUTED_VALUE"""),"CLR3")</f>
        <v>CLR3</v>
      </c>
      <c r="H110" s="182" t="str">
        <f>IFERROR(__xludf.DUMMYFUNCTION("""COMPUTED_VALUE"""),"SUB6")</f>
        <v>SUB6</v>
      </c>
      <c r="I110" s="182" t="str">
        <f>IFERROR(__xludf.DUMMYFUNCTION("""COMPUTED_VALUE"""),"128GB")</f>
        <v>128GB</v>
      </c>
      <c r="J110" s="182" t="str">
        <f>IFERROR(__xludf.DUMMYFUNCTION("""COMPUTED_VALUE"""),"G950-15987-03-L")</f>
        <v>G950-15987-03-L</v>
      </c>
      <c r="K110" s="182" t="str">
        <f>IFERROR(__xludf.DUMMYFUNCTION("""COMPUTED_VALUE"""),"G950-15987-03")</f>
        <v>G950-15987-03</v>
      </c>
      <c r="L110" s="182" t="str">
        <f>IFERROR(__xludf.DUMMYFUNCTION("""COMPUTED_VALUE"""),"G710-07822-01")</f>
        <v>G710-07822-01</v>
      </c>
      <c r="M110" s="182" t="str">
        <f>IFERROR(__xludf.DUMMYFUNCTION("""COMPUTED_VALUE"""),"G710-10000-40")</f>
        <v>G710-10000-40</v>
      </c>
      <c r="N110" s="182" t="str">
        <f>IFERROR(__xludf.DUMMYFUNCTION("""COMPUTED_VALUE"""),"G730-09466-13")</f>
        <v>G730-09466-13</v>
      </c>
      <c r="O110" s="182" t="str">
        <f>IFERROR(__xludf.DUMMYFUNCTION("""COMPUTED_VALUE"""),"G710-07813-02")</f>
        <v>G710-07813-02</v>
      </c>
      <c r="P110" s="182" t="str">
        <f>IFERROR(__xludf.DUMMYFUNCTION("""COMPUTED_VALUE"""),"G650-14972-06")</f>
        <v>G650-14972-06</v>
      </c>
      <c r="Q110" s="182" t="str">
        <f>IFERROR(__xludf.DUMMYFUNCTION("""COMPUTED_VALUE"""),"G650-15596-04")</f>
        <v>G650-15596-04</v>
      </c>
      <c r="R110" s="182" t="str">
        <f>IFERROR(__xludf.DUMMYFUNCTION("""COMPUTED_VALUE"""),"G650-14843-04")</f>
        <v>G650-14843-04</v>
      </c>
      <c r="S110" s="182" t="str">
        <f>IFERROR(__xludf.DUMMYFUNCTION("""COMPUTED_VALUE"""),"G650-14411-05")</f>
        <v>G650-14411-05</v>
      </c>
      <c r="T110" s="182" t="str">
        <f>IFERROR(__xludf.DUMMYFUNCTION("""COMPUTED_VALUE"""),"G650-14840-03")</f>
        <v>G650-14840-03</v>
      </c>
      <c r="U110" s="182" t="str">
        <f>IFERROR(__xludf.DUMMYFUNCTION("""COMPUTED_VALUE"""),"G650-14841-03")</f>
        <v>G650-14841-03</v>
      </c>
      <c r="V110" s="182" t="str">
        <f>IFERROR(__xludf.DUMMYFUNCTION("""COMPUTED_VALUE"""),"G650-14413-03")</f>
        <v>G650-14413-03</v>
      </c>
      <c r="W110" s="182"/>
      <c r="X110" s="182" t="str">
        <f>IFERROR(__xludf.DUMMYFUNCTION("""COMPUTED_VALUE"""),"G990-07758-00")</f>
        <v>G990-07758-00</v>
      </c>
      <c r="Y110" s="182" t="str">
        <f>IFERROR(__xludf.DUMMYFUNCTION("""COMPUTED_VALUE"""),"G990-07758-00")</f>
        <v>G990-07758-00</v>
      </c>
      <c r="Z110" s="182" t="str">
        <f>IFERROR(__xludf.DUMMYFUNCTION("""COMPUTED_VALUE"""),"Y")</f>
        <v>Y</v>
      </c>
      <c r="AA110" s="182" t="str">
        <f>IFERROR(__xludf.DUMMYFUNCTION("""COMPUTED_VALUE"""),"Y")</f>
        <v>Y</v>
      </c>
    </row>
    <row r="111">
      <c r="A111" s="182" t="str">
        <f>IFERROR(__xludf.DUMMYFUNCTION("""COMPUTED_VALUE"""),"Press")</f>
        <v>Press</v>
      </c>
      <c r="B111" s="182">
        <f>IFERROR(__xludf.DUMMYFUNCTION("""COMPUTED_VALUE"""),110.0)</f>
        <v>110</v>
      </c>
      <c r="C111" s="182" t="str">
        <f>IFERROR(__xludf.DUMMYFUNCTION("""COMPUTED_VALUE"""),"GEHN3")</f>
        <v>GEHN3</v>
      </c>
      <c r="D111" s="182" t="str">
        <f>IFERROR(__xludf.DUMMYFUNCTION("""COMPUTED_VALUE"""),"GA10803-GB-N")</f>
        <v>GA10803-GB-N</v>
      </c>
      <c r="E111" s="182" t="str">
        <f>IFERROR(__xludf.DUMMYFUNCTION("""COMPUTED_VALUE"""),"SKU, CLR4, BETTER, SUB6, UK/EU, PRESS, BZ5")</f>
        <v>SKU, CLR4, BETTER, SUB6, UK/EU, PRESS, BZ5</v>
      </c>
      <c r="F111" s="182" t="str">
        <f>IFERROR(__xludf.DUMMYFUNCTION("""COMPUTED_VALUE"""),"Pixel 10 Pro, Jade, 256GB, EU/UK, Press")</f>
        <v>Pixel 10 Pro, Jade, 256GB, EU/UK, Press</v>
      </c>
      <c r="G111" s="182" t="str">
        <f>IFERROR(__xludf.DUMMYFUNCTION("""COMPUTED_VALUE"""),"CLR4")</f>
        <v>CLR4</v>
      </c>
      <c r="H111" s="182" t="str">
        <f>IFERROR(__xludf.DUMMYFUNCTION("""COMPUTED_VALUE"""),"SUB6")</f>
        <v>SUB6</v>
      </c>
      <c r="I111" s="182" t="str">
        <f>IFERROR(__xludf.DUMMYFUNCTION("""COMPUTED_VALUE"""),"256GB")</f>
        <v>256GB</v>
      </c>
      <c r="J111" s="182" t="str">
        <f>IFERROR(__xludf.DUMMYFUNCTION("""COMPUTED_VALUE"""),"G950-18290-04-L")</f>
        <v>G950-18290-04-L</v>
      </c>
      <c r="K111" s="182" t="str">
        <f>IFERROR(__xludf.DUMMYFUNCTION("""COMPUTED_VALUE"""),"G950-18290-04")</f>
        <v>G950-18290-04</v>
      </c>
      <c r="L111" s="182" t="str">
        <f>IFERROR(__xludf.DUMMYFUNCTION("""COMPUTED_VALUE"""),"G710-07822-01")</f>
        <v>G710-07822-01</v>
      </c>
      <c r="M111" s="182" t="str">
        <f>IFERROR(__xludf.DUMMYFUNCTION("""COMPUTED_VALUE"""),"G710-10000-40")</f>
        <v>G710-10000-40</v>
      </c>
      <c r="N111" s="182" t="str">
        <f>IFERROR(__xludf.DUMMYFUNCTION("""COMPUTED_VALUE"""),"G730-09466-14")</f>
        <v>G730-09466-14</v>
      </c>
      <c r="O111" s="182" t="str">
        <f>IFERROR(__xludf.DUMMYFUNCTION("""COMPUTED_VALUE"""),"G710-07813-12")</f>
        <v>G710-07813-12</v>
      </c>
      <c r="P111" s="182" t="str">
        <f>IFERROR(__xludf.DUMMYFUNCTION("""COMPUTED_VALUE"""),"G650-17430-06")</f>
        <v>G650-17430-06</v>
      </c>
      <c r="Q111" s="182" t="str">
        <f>IFERROR(__xludf.DUMMYFUNCTION("""COMPUTED_VALUE"""),"G650-15596-04")</f>
        <v>G650-15596-04</v>
      </c>
      <c r="R111" s="182" t="str">
        <f>IFERROR(__xludf.DUMMYFUNCTION("""COMPUTED_VALUE"""),"G650-14843-04")</f>
        <v>G650-14843-04</v>
      </c>
      <c r="S111" s="182" t="str">
        <f>IFERROR(__xludf.DUMMYFUNCTION("""COMPUTED_VALUE"""),"G650-14411-05")</f>
        <v>G650-14411-05</v>
      </c>
      <c r="T111" s="182" t="str">
        <f>IFERROR(__xludf.DUMMYFUNCTION("""COMPUTED_VALUE"""),"G650-14840-03")</f>
        <v>G650-14840-03</v>
      </c>
      <c r="U111" s="182" t="str">
        <f>IFERROR(__xludf.DUMMYFUNCTION("""COMPUTED_VALUE"""),"G650-14841-03")</f>
        <v>G650-14841-03</v>
      </c>
      <c r="V111" s="182" t="str">
        <f>IFERROR(__xludf.DUMMYFUNCTION("""COMPUTED_VALUE"""),"G650-14413-03")</f>
        <v>G650-14413-03</v>
      </c>
      <c r="W111" s="182"/>
      <c r="X111" s="182" t="str">
        <f>IFERROR(__xludf.DUMMYFUNCTION("""COMPUTED_VALUE"""),"G990-07758-00")</f>
        <v>G990-07758-00</v>
      </c>
      <c r="Y111" s="182" t="str">
        <f>IFERROR(__xludf.DUMMYFUNCTION("""COMPUTED_VALUE"""),"G990-07758-00")</f>
        <v>G990-07758-00</v>
      </c>
      <c r="Z111" s="182" t="str">
        <f>IFERROR(__xludf.DUMMYFUNCTION("""COMPUTED_VALUE"""),"Y")</f>
        <v>Y</v>
      </c>
      <c r="AA111" s="182" t="str">
        <f>IFERROR(__xludf.DUMMYFUNCTION("""COMPUTED_VALUE"""),"Y")</f>
        <v>Y</v>
      </c>
    </row>
    <row r="112">
      <c r="A112" s="182" t="str">
        <f>IFERROR(__xludf.DUMMYFUNCTION("""COMPUTED_VALUE"""),"CLNR")</f>
        <v>CLNR</v>
      </c>
      <c r="B112" s="182">
        <f>IFERROR(__xludf.DUMMYFUNCTION("""COMPUTED_VALUE"""),111.0)</f>
        <v>111</v>
      </c>
      <c r="C112" s="182" t="str">
        <f>IFERROR(__xludf.DUMMYFUNCTION("""COMPUTED_VALUE"""),"G4QUR")</f>
        <v>G4QUR</v>
      </c>
      <c r="D112" s="182" t="str">
        <f>IFERROR(__xludf.DUMMYFUNCTION("""COMPUTED_VALUE"""),"CLNRGOGA09187")</f>
        <v>CLNRGOGA09187</v>
      </c>
      <c r="E112" s="182" t="str">
        <f>IFERROR(__xludf.DUMMYFUNCTION("""COMPUTED_VALUE"""),"SKU, CLR1, GOOD, MMWAVE, VZW, BZ5, FRU")</f>
        <v>SKU, CLR1, GOOD, MMWAVE, VZW, BZ5, FRU</v>
      </c>
      <c r="F112" s="182" t="str">
        <f>IFERROR(__xludf.DUMMYFUNCTION("""COMPUTED_VALUE"""),"Pixel 10 Pro, Obsidian, 128GB, VZW, US, FRU")</f>
        <v>Pixel 10 Pro, Obsidian, 128GB, VZW, US, FRU</v>
      </c>
      <c r="G112" s="182" t="str">
        <f>IFERROR(__xludf.DUMMYFUNCTION("""COMPUTED_VALUE"""),"CLR1")</f>
        <v>CLR1</v>
      </c>
      <c r="H112" s="182" t="str">
        <f>IFERROR(__xludf.DUMMYFUNCTION("""COMPUTED_VALUE"""),"mmWave")</f>
        <v>mmWave</v>
      </c>
      <c r="I112" s="182" t="str">
        <f>IFERROR(__xludf.DUMMYFUNCTION("""COMPUTED_VALUE"""),"128GB")</f>
        <v>128GB</v>
      </c>
      <c r="J112" s="182"/>
      <c r="K112" s="182" t="str">
        <f>IFERROR(__xludf.DUMMYFUNCTION("""COMPUTED_VALUE"""),"G950-15986-01")</f>
        <v>G950-15986-01</v>
      </c>
      <c r="L112" s="182" t="str">
        <f>IFERROR(__xludf.DUMMYFUNCTION("""COMPUTED_VALUE"""),"G710-07821-01")</f>
        <v>G710-07821-01</v>
      </c>
      <c r="M112" s="182" t="str">
        <f>IFERROR(__xludf.DUMMYFUNCTION("""COMPUTED_VALUE"""),"G710-10000-40")</f>
        <v>G710-10000-40</v>
      </c>
      <c r="N112" s="182" t="str">
        <f>IFERROR(__xludf.DUMMYFUNCTION("""COMPUTED_VALUE"""),"G730-09466-11")</f>
        <v>G730-09466-11</v>
      </c>
      <c r="O112" s="182" t="str">
        <f>IFERROR(__xludf.DUMMYFUNCTION("""COMPUTED_VALUE"""),"G710-07813-00")</f>
        <v>G710-07813-00</v>
      </c>
      <c r="P112" s="182" t="str">
        <f>IFERROR(__xludf.DUMMYFUNCTION("""COMPUTED_VALUE"""),"G650-14410-06")</f>
        <v>G650-14410-06</v>
      </c>
      <c r="Q112" s="182" t="str">
        <f>IFERROR(__xludf.DUMMYFUNCTION("""COMPUTED_VALUE"""),"G650-14412-04")</f>
        <v>G650-14412-04</v>
      </c>
      <c r="R112" s="182" t="str">
        <f>IFERROR(__xludf.DUMMYFUNCTION("""COMPUTED_VALUE"""),"G650-14843-04")</f>
        <v>G650-14843-04</v>
      </c>
      <c r="S112" s="182" t="str">
        <f>IFERROR(__xludf.DUMMYFUNCTION("""COMPUTED_VALUE"""),"G650-14411-05")</f>
        <v>G650-14411-05</v>
      </c>
      <c r="T112" s="182" t="str">
        <f>IFERROR(__xludf.DUMMYFUNCTION("""COMPUTED_VALUE"""),"G650-14840-03")</f>
        <v>G650-14840-03</v>
      </c>
      <c r="U112" s="182" t="str">
        <f>IFERROR(__xludf.DUMMYFUNCTION("""COMPUTED_VALUE"""),"G650-14841-03")</f>
        <v>G650-14841-03</v>
      </c>
      <c r="V112" s="182" t="str">
        <f>IFERROR(__xludf.DUMMYFUNCTION("""COMPUTED_VALUE"""),"G650-14413-03")</f>
        <v>G650-14413-03</v>
      </c>
      <c r="W112" s="182" t="str">
        <f>IFERROR(__xludf.DUMMYFUNCTION("""COMPUTED_VALUE"""),"G954-09471-00")</f>
        <v>G954-09471-00</v>
      </c>
      <c r="X112" s="182"/>
      <c r="Y112" s="182"/>
      <c r="Z112" s="182" t="str">
        <f>IFERROR(__xludf.DUMMYFUNCTION("""COMPUTED_VALUE"""),"N")</f>
        <v>N</v>
      </c>
      <c r="AA112" s="182" t="str">
        <f>IFERROR(__xludf.DUMMYFUNCTION("""COMPUTED_VALUE"""),"Y")</f>
        <v>Y</v>
      </c>
    </row>
    <row r="113">
      <c r="A113" s="182" t="str">
        <f>IFERROR(__xludf.DUMMYFUNCTION("""COMPUTED_VALUE"""),"CLNR")</f>
        <v>CLNR</v>
      </c>
      <c r="B113" s="182">
        <f>IFERROR(__xludf.DUMMYFUNCTION("""COMPUTED_VALUE"""),112.0)</f>
        <v>112</v>
      </c>
      <c r="C113" s="182" t="str">
        <f>IFERROR(__xludf.DUMMYFUNCTION("""COMPUTED_VALUE"""),"G4QUR")</f>
        <v>G4QUR</v>
      </c>
      <c r="D113" s="182" t="str">
        <f>IFERROR(__xludf.DUMMYFUNCTION("""COMPUTED_VALUE"""),"CLNRGOGA10276")</f>
        <v>CLNRGOGA10276</v>
      </c>
      <c r="E113" s="182" t="str">
        <f>IFERROR(__xludf.DUMMYFUNCTION("""COMPUTED_VALUE"""),"SKU, CLR3, GOOD, MMWAVE, VZW, BZ5, FRU")</f>
        <v>SKU, CLR3, GOOD, MMWAVE, VZW, BZ5, FRU</v>
      </c>
      <c r="F113" s="182" t="str">
        <f>IFERROR(__xludf.DUMMYFUNCTION("""COMPUTED_VALUE"""),"Pixel 10 Pro, Moonstone, 128GB, VZW, US, FRU")</f>
        <v>Pixel 10 Pro, Moonstone, 128GB, VZW, US, FRU</v>
      </c>
      <c r="G113" s="182" t="str">
        <f>IFERROR(__xludf.DUMMYFUNCTION("""COMPUTED_VALUE"""),"CLR3")</f>
        <v>CLR3</v>
      </c>
      <c r="H113" s="182" t="str">
        <f>IFERROR(__xludf.DUMMYFUNCTION("""COMPUTED_VALUE"""),"mmWave")</f>
        <v>mmWave</v>
      </c>
      <c r="I113" s="182" t="str">
        <f>IFERROR(__xludf.DUMMYFUNCTION("""COMPUTED_VALUE"""),"128GB")</f>
        <v>128GB</v>
      </c>
      <c r="J113" s="182"/>
      <c r="K113" s="182" t="str">
        <f>IFERROR(__xludf.DUMMYFUNCTION("""COMPUTED_VALUE"""),"G950-15986-03")</f>
        <v>G950-15986-03</v>
      </c>
      <c r="L113" s="182" t="str">
        <f>IFERROR(__xludf.DUMMYFUNCTION("""COMPUTED_VALUE"""),"G710-07821-01")</f>
        <v>G710-07821-01</v>
      </c>
      <c r="M113" s="182" t="str">
        <f>IFERROR(__xludf.DUMMYFUNCTION("""COMPUTED_VALUE"""),"G710-10000-40")</f>
        <v>G710-10000-40</v>
      </c>
      <c r="N113" s="182" t="str">
        <f>IFERROR(__xludf.DUMMYFUNCTION("""COMPUTED_VALUE"""),"G730-09466-13")</f>
        <v>G730-09466-13</v>
      </c>
      <c r="O113" s="182" t="str">
        <f>IFERROR(__xludf.DUMMYFUNCTION("""COMPUTED_VALUE"""),"G710-07813-00")</f>
        <v>G710-07813-00</v>
      </c>
      <c r="P113" s="182" t="str">
        <f>IFERROR(__xludf.DUMMYFUNCTION("""COMPUTED_VALUE"""),"G650-14410-06")</f>
        <v>G650-14410-06</v>
      </c>
      <c r="Q113" s="182" t="str">
        <f>IFERROR(__xludf.DUMMYFUNCTION("""COMPUTED_VALUE"""),"G650-14412-04")</f>
        <v>G650-14412-04</v>
      </c>
      <c r="R113" s="182" t="str">
        <f>IFERROR(__xludf.DUMMYFUNCTION("""COMPUTED_VALUE"""),"G650-14843-04")</f>
        <v>G650-14843-04</v>
      </c>
      <c r="S113" s="182" t="str">
        <f>IFERROR(__xludf.DUMMYFUNCTION("""COMPUTED_VALUE"""),"G650-14411-05")</f>
        <v>G650-14411-05</v>
      </c>
      <c r="T113" s="182" t="str">
        <f>IFERROR(__xludf.DUMMYFUNCTION("""COMPUTED_VALUE"""),"G650-14840-03")</f>
        <v>G650-14840-03</v>
      </c>
      <c r="U113" s="182" t="str">
        <f>IFERROR(__xludf.DUMMYFUNCTION("""COMPUTED_VALUE"""),"G650-14841-03")</f>
        <v>G650-14841-03</v>
      </c>
      <c r="V113" s="182" t="str">
        <f>IFERROR(__xludf.DUMMYFUNCTION("""COMPUTED_VALUE"""),"G650-14413-03")</f>
        <v>G650-14413-03</v>
      </c>
      <c r="W113" s="182" t="str">
        <f>IFERROR(__xludf.DUMMYFUNCTION("""COMPUTED_VALUE"""),"G954-09471-00")</f>
        <v>G954-09471-00</v>
      </c>
      <c r="X113" s="182"/>
      <c r="Y113" s="182"/>
      <c r="Z113" s="182" t="str">
        <f>IFERROR(__xludf.DUMMYFUNCTION("""COMPUTED_VALUE"""),"N")</f>
        <v>N</v>
      </c>
      <c r="AA113" s="182" t="str">
        <f>IFERROR(__xludf.DUMMYFUNCTION("""COMPUTED_VALUE"""),"Y")</f>
        <v>Y</v>
      </c>
    </row>
    <row r="114">
      <c r="A114" s="182" t="str">
        <f>IFERROR(__xludf.DUMMYFUNCTION("""COMPUTED_VALUE"""),"CLNR")</f>
        <v>CLNR</v>
      </c>
      <c r="B114" s="182">
        <f>IFERROR(__xludf.DUMMYFUNCTION("""COMPUTED_VALUE"""),113.0)</f>
        <v>113</v>
      </c>
      <c r="C114" s="182" t="str">
        <f>IFERROR(__xludf.DUMMYFUNCTION("""COMPUTED_VALUE"""),"G4QUR")</f>
        <v>G4QUR</v>
      </c>
      <c r="D114" s="182" t="str">
        <f>IFERROR(__xludf.DUMMYFUNCTION("""COMPUTED_VALUE"""),"CLNRGOGA09896")</f>
        <v>CLNRGOGA09896</v>
      </c>
      <c r="E114" s="182" t="str">
        <f>IFERROR(__xludf.DUMMYFUNCTION("""COMPUTED_VALUE"""),"SKU, CLR1, BETTER, MMWAVE, VZW, BZ5, FRU")</f>
        <v>SKU, CLR1, BETTER, MMWAVE, VZW, BZ5, FRU</v>
      </c>
      <c r="F114" s="182" t="str">
        <f>IFERROR(__xludf.DUMMYFUNCTION("""COMPUTED_VALUE"""),"Pixel 10 Pro, Obsidian, 256GB, VZW, US, FRU")</f>
        <v>Pixel 10 Pro, Obsidian, 256GB, VZW, US, FRU</v>
      </c>
      <c r="G114" s="182" t="str">
        <f>IFERROR(__xludf.DUMMYFUNCTION("""COMPUTED_VALUE"""),"CLR1")</f>
        <v>CLR1</v>
      </c>
      <c r="H114" s="182" t="str">
        <f>IFERROR(__xludf.DUMMYFUNCTION("""COMPUTED_VALUE"""),"mmWave")</f>
        <v>mmWave</v>
      </c>
      <c r="I114" s="182" t="str">
        <f>IFERROR(__xludf.DUMMYFUNCTION("""COMPUTED_VALUE"""),"256GB")</f>
        <v>256GB</v>
      </c>
      <c r="J114" s="182"/>
      <c r="K114" s="182" t="str">
        <f>IFERROR(__xludf.DUMMYFUNCTION("""COMPUTED_VALUE"""),"G950-18289-01")</f>
        <v>G950-18289-01</v>
      </c>
      <c r="L114" s="182" t="str">
        <f>IFERROR(__xludf.DUMMYFUNCTION("""COMPUTED_VALUE"""),"G710-07821-01")</f>
        <v>G710-07821-01</v>
      </c>
      <c r="M114" s="182" t="str">
        <f>IFERROR(__xludf.DUMMYFUNCTION("""COMPUTED_VALUE"""),"G710-10000-40")</f>
        <v>G710-10000-40</v>
      </c>
      <c r="N114" s="182" t="str">
        <f>IFERROR(__xludf.DUMMYFUNCTION("""COMPUTED_VALUE"""),"G730-09466-11")</f>
        <v>G730-09466-11</v>
      </c>
      <c r="O114" s="182" t="str">
        <f>IFERROR(__xludf.DUMMYFUNCTION("""COMPUTED_VALUE"""),"G710-07813-10")</f>
        <v>G710-07813-10</v>
      </c>
      <c r="P114" s="182" t="str">
        <f>IFERROR(__xludf.DUMMYFUNCTION("""COMPUTED_VALUE"""),"G650-17429-06")</f>
        <v>G650-17429-06</v>
      </c>
      <c r="Q114" s="182" t="str">
        <f>IFERROR(__xludf.DUMMYFUNCTION("""COMPUTED_VALUE"""),"G650-14412-04")</f>
        <v>G650-14412-04</v>
      </c>
      <c r="R114" s="182" t="str">
        <f>IFERROR(__xludf.DUMMYFUNCTION("""COMPUTED_VALUE"""),"G650-14843-04")</f>
        <v>G650-14843-04</v>
      </c>
      <c r="S114" s="182" t="str">
        <f>IFERROR(__xludf.DUMMYFUNCTION("""COMPUTED_VALUE"""),"G650-14411-05")</f>
        <v>G650-14411-05</v>
      </c>
      <c r="T114" s="182" t="str">
        <f>IFERROR(__xludf.DUMMYFUNCTION("""COMPUTED_VALUE"""),"G650-14840-03")</f>
        <v>G650-14840-03</v>
      </c>
      <c r="U114" s="182" t="str">
        <f>IFERROR(__xludf.DUMMYFUNCTION("""COMPUTED_VALUE"""),"G650-14841-03")</f>
        <v>G650-14841-03</v>
      </c>
      <c r="V114" s="182" t="str">
        <f>IFERROR(__xludf.DUMMYFUNCTION("""COMPUTED_VALUE"""),"G650-14413-03")</f>
        <v>G650-14413-03</v>
      </c>
      <c r="W114" s="182" t="str">
        <f>IFERROR(__xludf.DUMMYFUNCTION("""COMPUTED_VALUE"""),"G954-09471-00")</f>
        <v>G954-09471-00</v>
      </c>
      <c r="X114" s="182"/>
      <c r="Y114" s="182"/>
      <c r="Z114" s="182" t="str">
        <f>IFERROR(__xludf.DUMMYFUNCTION("""COMPUTED_VALUE"""),"N")</f>
        <v>N</v>
      </c>
      <c r="AA114" s="182" t="str">
        <f>IFERROR(__xludf.DUMMYFUNCTION("""COMPUTED_VALUE"""),"Y")</f>
        <v>Y</v>
      </c>
    </row>
    <row r="115">
      <c r="A115" s="182" t="str">
        <f>IFERROR(__xludf.DUMMYFUNCTION("""COMPUTED_VALUE"""),"CLNR")</f>
        <v>CLNR</v>
      </c>
      <c r="B115" s="182">
        <f>IFERROR(__xludf.DUMMYFUNCTION("""COMPUTED_VALUE"""),114.0)</f>
        <v>114</v>
      </c>
      <c r="C115" s="182" t="str">
        <f>IFERROR(__xludf.DUMMYFUNCTION("""COMPUTED_VALUE"""),"G4QUR")</f>
        <v>G4QUR</v>
      </c>
      <c r="D115" s="182" t="str">
        <f>IFERROR(__xludf.DUMMYFUNCTION("""COMPUTED_VALUE"""),"CLNRGOGA10278")</f>
        <v>CLNRGOGA10278</v>
      </c>
      <c r="E115" s="182" t="str">
        <f>IFERROR(__xludf.DUMMYFUNCTION("""COMPUTED_VALUE"""),"SKU, CLR3, BETTER, MMWAVE, VZW, BZ5, FRU")</f>
        <v>SKU, CLR3, BETTER, MMWAVE, VZW, BZ5, FRU</v>
      </c>
      <c r="F115" s="182" t="str">
        <f>IFERROR(__xludf.DUMMYFUNCTION("""COMPUTED_VALUE"""),"Pixel 10 Pro, Moonstone, 256GB, VZW, US, FRU")</f>
        <v>Pixel 10 Pro, Moonstone, 256GB, VZW, US, FRU</v>
      </c>
      <c r="G115" s="182" t="str">
        <f>IFERROR(__xludf.DUMMYFUNCTION("""COMPUTED_VALUE"""),"CLR3")</f>
        <v>CLR3</v>
      </c>
      <c r="H115" s="182" t="str">
        <f>IFERROR(__xludf.DUMMYFUNCTION("""COMPUTED_VALUE"""),"mmWave")</f>
        <v>mmWave</v>
      </c>
      <c r="I115" s="182" t="str">
        <f>IFERROR(__xludf.DUMMYFUNCTION("""COMPUTED_VALUE"""),"256GB")</f>
        <v>256GB</v>
      </c>
      <c r="J115" s="182"/>
      <c r="K115" s="182" t="str">
        <f>IFERROR(__xludf.DUMMYFUNCTION("""COMPUTED_VALUE"""),"G950-18289-03")</f>
        <v>G950-18289-03</v>
      </c>
      <c r="L115" s="182" t="str">
        <f>IFERROR(__xludf.DUMMYFUNCTION("""COMPUTED_VALUE"""),"G710-07821-01")</f>
        <v>G710-07821-01</v>
      </c>
      <c r="M115" s="182" t="str">
        <f>IFERROR(__xludf.DUMMYFUNCTION("""COMPUTED_VALUE"""),"G710-10000-40")</f>
        <v>G710-10000-40</v>
      </c>
      <c r="N115" s="182" t="str">
        <f>IFERROR(__xludf.DUMMYFUNCTION("""COMPUTED_VALUE"""),"G730-09466-13")</f>
        <v>G730-09466-13</v>
      </c>
      <c r="O115" s="182" t="str">
        <f>IFERROR(__xludf.DUMMYFUNCTION("""COMPUTED_VALUE"""),"G710-07813-10")</f>
        <v>G710-07813-10</v>
      </c>
      <c r="P115" s="182" t="str">
        <f>IFERROR(__xludf.DUMMYFUNCTION("""COMPUTED_VALUE"""),"G650-17429-06")</f>
        <v>G650-17429-06</v>
      </c>
      <c r="Q115" s="182" t="str">
        <f>IFERROR(__xludf.DUMMYFUNCTION("""COMPUTED_VALUE"""),"G650-14412-04")</f>
        <v>G650-14412-04</v>
      </c>
      <c r="R115" s="182" t="str">
        <f>IFERROR(__xludf.DUMMYFUNCTION("""COMPUTED_VALUE"""),"G650-14843-04")</f>
        <v>G650-14843-04</v>
      </c>
      <c r="S115" s="182" t="str">
        <f>IFERROR(__xludf.DUMMYFUNCTION("""COMPUTED_VALUE"""),"G650-14411-05")</f>
        <v>G650-14411-05</v>
      </c>
      <c r="T115" s="182" t="str">
        <f>IFERROR(__xludf.DUMMYFUNCTION("""COMPUTED_VALUE"""),"G650-14840-03")</f>
        <v>G650-14840-03</v>
      </c>
      <c r="U115" s="182" t="str">
        <f>IFERROR(__xludf.DUMMYFUNCTION("""COMPUTED_VALUE"""),"G650-14841-03")</f>
        <v>G650-14841-03</v>
      </c>
      <c r="V115" s="182" t="str">
        <f>IFERROR(__xludf.DUMMYFUNCTION("""COMPUTED_VALUE"""),"G650-14413-03")</f>
        <v>G650-14413-03</v>
      </c>
      <c r="W115" s="182" t="str">
        <f>IFERROR(__xludf.DUMMYFUNCTION("""COMPUTED_VALUE"""),"G954-09471-00")</f>
        <v>G954-09471-00</v>
      </c>
      <c r="X115" s="182"/>
      <c r="Y115" s="182"/>
      <c r="Z115" s="182" t="str">
        <f>IFERROR(__xludf.DUMMYFUNCTION("""COMPUTED_VALUE"""),"N")</f>
        <v>N</v>
      </c>
      <c r="AA115" s="182" t="str">
        <f>IFERROR(__xludf.DUMMYFUNCTION("""COMPUTED_VALUE"""),"Y")</f>
        <v>Y</v>
      </c>
    </row>
    <row r="116">
      <c r="A116" s="182" t="str">
        <f>IFERROR(__xludf.DUMMYFUNCTION("""COMPUTED_VALUE"""),"CLNR")</f>
        <v>CLNR</v>
      </c>
      <c r="B116" s="182">
        <f>IFERROR(__xludf.DUMMYFUNCTION("""COMPUTED_VALUE"""),115.0)</f>
        <v>115</v>
      </c>
      <c r="C116" s="182" t="str">
        <f>IFERROR(__xludf.DUMMYFUNCTION("""COMPUTED_VALUE"""),"G4QUR")</f>
        <v>G4QUR</v>
      </c>
      <c r="D116" s="182" t="str">
        <f>IFERROR(__xludf.DUMMYFUNCTION("""COMPUTED_VALUE"""),"CLNRGOGA10279")</f>
        <v>CLNRGOGA10279</v>
      </c>
      <c r="E116" s="182" t="str">
        <f>IFERROR(__xludf.DUMMYFUNCTION("""COMPUTED_VALUE"""),"SKU, CLR4, BETTER, MMWAVE, VZW, BZ5, FRU")</f>
        <v>SKU, CLR4, BETTER, MMWAVE, VZW, BZ5, FRU</v>
      </c>
      <c r="F116" s="182" t="str">
        <f>IFERROR(__xludf.DUMMYFUNCTION("""COMPUTED_VALUE"""),"Pixel 10 Pro, Jade, 256GB, VZW, US, FRU")</f>
        <v>Pixel 10 Pro, Jade, 256GB, VZW, US, FRU</v>
      </c>
      <c r="G116" s="182" t="str">
        <f>IFERROR(__xludf.DUMMYFUNCTION("""COMPUTED_VALUE"""),"CLR4")</f>
        <v>CLR4</v>
      </c>
      <c r="H116" s="182" t="str">
        <f>IFERROR(__xludf.DUMMYFUNCTION("""COMPUTED_VALUE"""),"mmWave")</f>
        <v>mmWave</v>
      </c>
      <c r="I116" s="182" t="str">
        <f>IFERROR(__xludf.DUMMYFUNCTION("""COMPUTED_VALUE"""),"256GB")</f>
        <v>256GB</v>
      </c>
      <c r="J116" s="182"/>
      <c r="K116" s="182" t="str">
        <f>IFERROR(__xludf.DUMMYFUNCTION("""COMPUTED_VALUE"""),"G950-18289-04")</f>
        <v>G950-18289-04</v>
      </c>
      <c r="L116" s="182" t="str">
        <f>IFERROR(__xludf.DUMMYFUNCTION("""COMPUTED_VALUE"""),"G710-07821-01")</f>
        <v>G710-07821-01</v>
      </c>
      <c r="M116" s="182" t="str">
        <f>IFERROR(__xludf.DUMMYFUNCTION("""COMPUTED_VALUE"""),"G710-10000-40")</f>
        <v>G710-10000-40</v>
      </c>
      <c r="N116" s="182" t="str">
        <f>IFERROR(__xludf.DUMMYFUNCTION("""COMPUTED_VALUE"""),"G730-09466-14")</f>
        <v>G730-09466-14</v>
      </c>
      <c r="O116" s="182" t="str">
        <f>IFERROR(__xludf.DUMMYFUNCTION("""COMPUTED_VALUE"""),"G710-07813-10")</f>
        <v>G710-07813-10</v>
      </c>
      <c r="P116" s="182" t="str">
        <f>IFERROR(__xludf.DUMMYFUNCTION("""COMPUTED_VALUE"""),"G650-17429-06")</f>
        <v>G650-17429-06</v>
      </c>
      <c r="Q116" s="182" t="str">
        <f>IFERROR(__xludf.DUMMYFUNCTION("""COMPUTED_VALUE"""),"G650-14412-04")</f>
        <v>G650-14412-04</v>
      </c>
      <c r="R116" s="182" t="str">
        <f>IFERROR(__xludf.DUMMYFUNCTION("""COMPUTED_VALUE"""),"G650-14843-04")</f>
        <v>G650-14843-04</v>
      </c>
      <c r="S116" s="182" t="str">
        <f>IFERROR(__xludf.DUMMYFUNCTION("""COMPUTED_VALUE"""),"G650-14411-05")</f>
        <v>G650-14411-05</v>
      </c>
      <c r="T116" s="182" t="str">
        <f>IFERROR(__xludf.DUMMYFUNCTION("""COMPUTED_VALUE"""),"G650-14840-03")</f>
        <v>G650-14840-03</v>
      </c>
      <c r="U116" s="182" t="str">
        <f>IFERROR(__xludf.DUMMYFUNCTION("""COMPUTED_VALUE"""),"G650-14841-03")</f>
        <v>G650-14841-03</v>
      </c>
      <c r="V116" s="182" t="str">
        <f>IFERROR(__xludf.DUMMYFUNCTION("""COMPUTED_VALUE"""),"G650-14413-03")</f>
        <v>G650-14413-03</v>
      </c>
      <c r="W116" s="182" t="str">
        <f>IFERROR(__xludf.DUMMYFUNCTION("""COMPUTED_VALUE"""),"G954-09471-00")</f>
        <v>G954-09471-00</v>
      </c>
      <c r="X116" s="182"/>
      <c r="Y116" s="182"/>
      <c r="Z116" s="182" t="str">
        <f>IFERROR(__xludf.DUMMYFUNCTION("""COMPUTED_VALUE"""),"N")</f>
        <v>N</v>
      </c>
      <c r="AA116" s="182" t="str">
        <f>IFERROR(__xludf.DUMMYFUNCTION("""COMPUTED_VALUE"""),"Y")</f>
        <v>Y</v>
      </c>
    </row>
    <row r="117">
      <c r="A117" s="182" t="str">
        <f>IFERROR(__xludf.DUMMYFUNCTION("""COMPUTED_VALUE"""),"CLNR")</f>
        <v>CLNR</v>
      </c>
      <c r="B117" s="182">
        <f>IFERROR(__xludf.DUMMYFUNCTION("""COMPUTED_VALUE"""),116.0)</f>
        <v>116</v>
      </c>
      <c r="C117" s="182" t="str">
        <f>IFERROR(__xludf.DUMMYFUNCTION("""COMPUTED_VALUE"""),"G4QUR")</f>
        <v>G4QUR</v>
      </c>
      <c r="D117" s="182" t="str">
        <f>IFERROR(__xludf.DUMMYFUNCTION("""COMPUTED_VALUE"""),"CLNRGOGA09905")</f>
        <v>CLNRGOGA09905</v>
      </c>
      <c r="E117" s="182" t="str">
        <f>IFERROR(__xludf.DUMMYFUNCTION("""COMPUTED_VALUE"""),"SKU, CLR1, BEST, MMWAVE, VZW, BZ5, FRU")</f>
        <v>SKU, CLR1, BEST, MMWAVE, VZW, BZ5, FRU</v>
      </c>
      <c r="F117" s="182" t="str">
        <f>IFERROR(__xludf.DUMMYFUNCTION("""COMPUTED_VALUE"""),"Pixel 10 Pro, Obsidian, 512GB, VZW, US, FRU")</f>
        <v>Pixel 10 Pro, Obsidian, 512GB, VZW, US, FRU</v>
      </c>
      <c r="G117" s="182" t="str">
        <f>IFERROR(__xludf.DUMMYFUNCTION("""COMPUTED_VALUE"""),"CLR1")</f>
        <v>CLR1</v>
      </c>
      <c r="H117" s="182" t="str">
        <f>IFERROR(__xludf.DUMMYFUNCTION("""COMPUTED_VALUE"""),"mmWave")</f>
        <v>mmWave</v>
      </c>
      <c r="I117" s="182" t="str">
        <f>IFERROR(__xludf.DUMMYFUNCTION("""COMPUTED_VALUE"""),"512GB")</f>
        <v>512GB</v>
      </c>
      <c r="J117" s="182"/>
      <c r="K117" s="182" t="str">
        <f>IFERROR(__xludf.DUMMYFUNCTION("""COMPUTED_VALUE"""),"G950-18291-01")</f>
        <v>G950-18291-01</v>
      </c>
      <c r="L117" s="182" t="str">
        <f>IFERROR(__xludf.DUMMYFUNCTION("""COMPUTED_VALUE"""),"G710-07821-01")</f>
        <v>G710-07821-01</v>
      </c>
      <c r="M117" s="182" t="str">
        <f>IFERROR(__xludf.DUMMYFUNCTION("""COMPUTED_VALUE"""),"G710-10000-40")</f>
        <v>G710-10000-40</v>
      </c>
      <c r="N117" s="182" t="str">
        <f>IFERROR(__xludf.DUMMYFUNCTION("""COMPUTED_VALUE"""),"G730-09466-11")</f>
        <v>G730-09466-11</v>
      </c>
      <c r="O117" s="182" t="str">
        <f>IFERROR(__xludf.DUMMYFUNCTION("""COMPUTED_VALUE"""),"G710-07813-20")</f>
        <v>G710-07813-20</v>
      </c>
      <c r="P117" s="182" t="str">
        <f>IFERROR(__xludf.DUMMYFUNCTION("""COMPUTED_VALUE"""),"G650-17431-06")</f>
        <v>G650-17431-06</v>
      </c>
      <c r="Q117" s="182" t="str">
        <f>IFERROR(__xludf.DUMMYFUNCTION("""COMPUTED_VALUE"""),"G650-14412-04")</f>
        <v>G650-14412-04</v>
      </c>
      <c r="R117" s="182" t="str">
        <f>IFERROR(__xludf.DUMMYFUNCTION("""COMPUTED_VALUE"""),"G650-14843-04")</f>
        <v>G650-14843-04</v>
      </c>
      <c r="S117" s="182" t="str">
        <f>IFERROR(__xludf.DUMMYFUNCTION("""COMPUTED_VALUE"""),"G650-14411-05")</f>
        <v>G650-14411-05</v>
      </c>
      <c r="T117" s="182" t="str">
        <f>IFERROR(__xludf.DUMMYFUNCTION("""COMPUTED_VALUE"""),"G650-14840-03")</f>
        <v>G650-14840-03</v>
      </c>
      <c r="U117" s="182" t="str">
        <f>IFERROR(__xludf.DUMMYFUNCTION("""COMPUTED_VALUE"""),"G650-14841-03")</f>
        <v>G650-14841-03</v>
      </c>
      <c r="V117" s="182" t="str">
        <f>IFERROR(__xludf.DUMMYFUNCTION("""COMPUTED_VALUE"""),"G650-14413-03")</f>
        <v>G650-14413-03</v>
      </c>
      <c r="W117" s="182" t="str">
        <f>IFERROR(__xludf.DUMMYFUNCTION("""COMPUTED_VALUE"""),"G954-09471-00")</f>
        <v>G954-09471-00</v>
      </c>
      <c r="X117" s="182"/>
      <c r="Y117" s="182"/>
      <c r="Z117" s="182" t="str">
        <f>IFERROR(__xludf.DUMMYFUNCTION("""COMPUTED_VALUE"""),"N")</f>
        <v>N</v>
      </c>
      <c r="AA117" s="182" t="str">
        <f>IFERROR(__xludf.DUMMYFUNCTION("""COMPUTED_VALUE"""),"Y")</f>
        <v>Y</v>
      </c>
    </row>
    <row r="118">
      <c r="A118" s="182" t="str">
        <f>IFERROR(__xludf.DUMMYFUNCTION("""COMPUTED_VALUE"""),"CLNR")</f>
        <v>CLNR</v>
      </c>
      <c r="B118" s="182">
        <f>IFERROR(__xludf.DUMMYFUNCTION("""COMPUTED_VALUE"""),117.0)</f>
        <v>117</v>
      </c>
      <c r="C118" s="182" t="str">
        <f>IFERROR(__xludf.DUMMYFUNCTION("""COMPUTED_VALUE"""),"G4QUR")</f>
        <v>G4QUR</v>
      </c>
      <c r="D118" s="182" t="str">
        <f>IFERROR(__xludf.DUMMYFUNCTION("""COMPUTED_VALUE"""),"CLNRGOGA10281")</f>
        <v>CLNRGOGA10281</v>
      </c>
      <c r="E118" s="182" t="str">
        <f>IFERROR(__xludf.DUMMYFUNCTION("""COMPUTED_VALUE"""),"SKU, CLR3, BEST, MMWAVE, VZW, BZ5, FRU")</f>
        <v>SKU, CLR3, BEST, MMWAVE, VZW, BZ5, FRU</v>
      </c>
      <c r="F118" s="182" t="str">
        <f>IFERROR(__xludf.DUMMYFUNCTION("""COMPUTED_VALUE"""),"Pixel 10 Pro, Moonstone, 512GB, VZW, US, FRU")</f>
        <v>Pixel 10 Pro, Moonstone, 512GB, VZW, US, FRU</v>
      </c>
      <c r="G118" s="182" t="str">
        <f>IFERROR(__xludf.DUMMYFUNCTION("""COMPUTED_VALUE"""),"CLR3")</f>
        <v>CLR3</v>
      </c>
      <c r="H118" s="182" t="str">
        <f>IFERROR(__xludf.DUMMYFUNCTION("""COMPUTED_VALUE"""),"mmWave")</f>
        <v>mmWave</v>
      </c>
      <c r="I118" s="182" t="str">
        <f>IFERROR(__xludf.DUMMYFUNCTION("""COMPUTED_VALUE"""),"512GB")</f>
        <v>512GB</v>
      </c>
      <c r="J118" s="182"/>
      <c r="K118" s="182" t="str">
        <f>IFERROR(__xludf.DUMMYFUNCTION("""COMPUTED_VALUE"""),"G950-18291-03")</f>
        <v>G950-18291-03</v>
      </c>
      <c r="L118" s="182" t="str">
        <f>IFERROR(__xludf.DUMMYFUNCTION("""COMPUTED_VALUE"""),"G710-07821-01")</f>
        <v>G710-07821-01</v>
      </c>
      <c r="M118" s="182" t="str">
        <f>IFERROR(__xludf.DUMMYFUNCTION("""COMPUTED_VALUE"""),"G710-10000-40")</f>
        <v>G710-10000-40</v>
      </c>
      <c r="N118" s="182" t="str">
        <f>IFERROR(__xludf.DUMMYFUNCTION("""COMPUTED_VALUE"""),"G730-09466-13")</f>
        <v>G730-09466-13</v>
      </c>
      <c r="O118" s="182" t="str">
        <f>IFERROR(__xludf.DUMMYFUNCTION("""COMPUTED_VALUE"""),"G710-07813-20")</f>
        <v>G710-07813-20</v>
      </c>
      <c r="P118" s="182" t="str">
        <f>IFERROR(__xludf.DUMMYFUNCTION("""COMPUTED_VALUE"""),"G650-17431-06")</f>
        <v>G650-17431-06</v>
      </c>
      <c r="Q118" s="182" t="str">
        <f>IFERROR(__xludf.DUMMYFUNCTION("""COMPUTED_VALUE"""),"G650-14412-04")</f>
        <v>G650-14412-04</v>
      </c>
      <c r="R118" s="182" t="str">
        <f>IFERROR(__xludf.DUMMYFUNCTION("""COMPUTED_VALUE"""),"G650-14843-04")</f>
        <v>G650-14843-04</v>
      </c>
      <c r="S118" s="182" t="str">
        <f>IFERROR(__xludf.DUMMYFUNCTION("""COMPUTED_VALUE"""),"G650-14411-05")</f>
        <v>G650-14411-05</v>
      </c>
      <c r="T118" s="182" t="str">
        <f>IFERROR(__xludf.DUMMYFUNCTION("""COMPUTED_VALUE"""),"G650-14840-03")</f>
        <v>G650-14840-03</v>
      </c>
      <c r="U118" s="182" t="str">
        <f>IFERROR(__xludf.DUMMYFUNCTION("""COMPUTED_VALUE"""),"G650-14841-03")</f>
        <v>G650-14841-03</v>
      </c>
      <c r="V118" s="182" t="str">
        <f>IFERROR(__xludf.DUMMYFUNCTION("""COMPUTED_VALUE"""),"G650-14413-03")</f>
        <v>G650-14413-03</v>
      </c>
      <c r="W118" s="182" t="str">
        <f>IFERROR(__xludf.DUMMYFUNCTION("""COMPUTED_VALUE"""),"G954-09471-00")</f>
        <v>G954-09471-00</v>
      </c>
      <c r="X118" s="182"/>
      <c r="Y118" s="182"/>
      <c r="Z118" s="182" t="str">
        <f>IFERROR(__xludf.DUMMYFUNCTION("""COMPUTED_VALUE"""),"N")</f>
        <v>N</v>
      </c>
      <c r="AA118" s="182" t="str">
        <f>IFERROR(__xludf.DUMMYFUNCTION("""COMPUTED_VALUE"""),"Y")</f>
        <v>Y</v>
      </c>
    </row>
    <row r="119">
      <c r="A119" s="182" t="str">
        <f>IFERROR(__xludf.DUMMYFUNCTION("""COMPUTED_VALUE"""),"CLNR")</f>
        <v>CLNR</v>
      </c>
      <c r="B119" s="182">
        <f>IFERROR(__xludf.DUMMYFUNCTION("""COMPUTED_VALUE"""),118.0)</f>
        <v>118</v>
      </c>
      <c r="C119" s="182" t="str">
        <f>IFERROR(__xludf.DUMMYFUNCTION("""COMPUTED_VALUE"""),"G4QUR")</f>
        <v>G4QUR</v>
      </c>
      <c r="D119" s="182" t="str">
        <f>IFERROR(__xludf.DUMMYFUNCTION("""COMPUTED_VALUE"""),"CLNRGA09886")</f>
        <v>CLNRGA09886</v>
      </c>
      <c r="E119" s="182" t="str">
        <f>IFERROR(__xludf.DUMMYFUNCTION("""COMPUTED_VALUE"""),"SKU, CLR1, GOOD, MMWAVE, TMO, BZ5, FRU")</f>
        <v>SKU, CLR1, GOOD, MMWAVE, TMO, BZ5, FRU</v>
      </c>
      <c r="F119" s="182" t="str">
        <f>IFERROR(__xludf.DUMMYFUNCTION("""COMPUTED_VALUE"""),"Pixel 10 Pro, Obsidian, 128GB, TMO, US, FRU")</f>
        <v>Pixel 10 Pro, Obsidian, 128GB, TMO, US, FRU</v>
      </c>
      <c r="G119" s="182" t="str">
        <f>IFERROR(__xludf.DUMMYFUNCTION("""COMPUTED_VALUE"""),"CLR1")</f>
        <v>CLR1</v>
      </c>
      <c r="H119" s="182" t="str">
        <f>IFERROR(__xludf.DUMMYFUNCTION("""COMPUTED_VALUE"""),"mmWave")</f>
        <v>mmWave</v>
      </c>
      <c r="I119" s="182" t="str">
        <f>IFERROR(__xludf.DUMMYFUNCTION("""COMPUTED_VALUE"""),"128GB")</f>
        <v>128GB</v>
      </c>
      <c r="J119" s="182"/>
      <c r="K119" s="182" t="str">
        <f>IFERROR(__xludf.DUMMYFUNCTION("""COMPUTED_VALUE"""),"G950-15986-01")</f>
        <v>G950-15986-01</v>
      </c>
      <c r="L119" s="182" t="str">
        <f>IFERROR(__xludf.DUMMYFUNCTION("""COMPUTED_VALUE"""),"G710-07821-01")</f>
        <v>G710-07821-01</v>
      </c>
      <c r="M119" s="182" t="str">
        <f>IFERROR(__xludf.DUMMYFUNCTION("""COMPUTED_VALUE"""),"G710-10000-40")</f>
        <v>G710-10000-40</v>
      </c>
      <c r="N119" s="182" t="str">
        <f>IFERROR(__xludf.DUMMYFUNCTION("""COMPUTED_VALUE"""),"G730-09466-11")</f>
        <v>G730-09466-11</v>
      </c>
      <c r="O119" s="182" t="str">
        <f>IFERROR(__xludf.DUMMYFUNCTION("""COMPUTED_VALUE"""),"G710-07813-00")</f>
        <v>G710-07813-00</v>
      </c>
      <c r="P119" s="182" t="str">
        <f>IFERROR(__xludf.DUMMYFUNCTION("""COMPUTED_VALUE"""),"G650-14410-06")</f>
        <v>G650-14410-06</v>
      </c>
      <c r="Q119" s="182" t="str">
        <f>IFERROR(__xludf.DUMMYFUNCTION("""COMPUTED_VALUE"""),"G650-14412-04")</f>
        <v>G650-14412-04</v>
      </c>
      <c r="R119" s="182" t="str">
        <f>IFERROR(__xludf.DUMMYFUNCTION("""COMPUTED_VALUE"""),"G650-14843-04")</f>
        <v>G650-14843-04</v>
      </c>
      <c r="S119" s="182" t="str">
        <f>IFERROR(__xludf.DUMMYFUNCTION("""COMPUTED_VALUE"""),"G650-14411-05")</f>
        <v>G650-14411-05</v>
      </c>
      <c r="T119" s="182" t="str">
        <f>IFERROR(__xludf.DUMMYFUNCTION("""COMPUTED_VALUE"""),"G650-14840-03")</f>
        <v>G650-14840-03</v>
      </c>
      <c r="U119" s="182" t="str">
        <f>IFERROR(__xludf.DUMMYFUNCTION("""COMPUTED_VALUE"""),"G650-14841-03")</f>
        <v>G650-14841-03</v>
      </c>
      <c r="V119" s="182" t="str">
        <f>IFERROR(__xludf.DUMMYFUNCTION("""COMPUTED_VALUE"""),"G650-14413-03")</f>
        <v>G650-14413-03</v>
      </c>
      <c r="W119" s="182" t="str">
        <f>IFERROR(__xludf.DUMMYFUNCTION("""COMPUTED_VALUE"""),"G954-09470-00")</f>
        <v>G954-09470-00</v>
      </c>
      <c r="X119" s="182"/>
      <c r="Y119" s="182"/>
      <c r="Z119" s="182" t="str">
        <f>IFERROR(__xludf.DUMMYFUNCTION("""COMPUTED_VALUE"""),"N")</f>
        <v>N</v>
      </c>
      <c r="AA119" s="182" t="str">
        <f>IFERROR(__xludf.DUMMYFUNCTION("""COMPUTED_VALUE"""),"Y")</f>
        <v>Y</v>
      </c>
    </row>
    <row r="120">
      <c r="A120" s="182" t="str">
        <f>IFERROR(__xludf.DUMMYFUNCTION("""COMPUTED_VALUE"""),"CLNR")</f>
        <v>CLNR</v>
      </c>
      <c r="B120" s="182">
        <f>IFERROR(__xludf.DUMMYFUNCTION("""COMPUTED_VALUE"""),119.0)</f>
        <v>119</v>
      </c>
      <c r="C120" s="182" t="str">
        <f>IFERROR(__xludf.DUMMYFUNCTION("""COMPUTED_VALUE"""),"G4QUR")</f>
        <v>G4QUR</v>
      </c>
      <c r="D120" s="182" t="str">
        <f>IFERROR(__xludf.DUMMYFUNCTION("""COMPUTED_VALUE"""),"CLNRGA10293")</f>
        <v>CLNRGA10293</v>
      </c>
      <c r="E120" s="182" t="str">
        <f>IFERROR(__xludf.DUMMYFUNCTION("""COMPUTED_VALUE"""),"SKU, CLR2, GOOD, MMWAVE, TMO, BZ5, FRU")</f>
        <v>SKU, CLR2, GOOD, MMWAVE, TMO, BZ5, FRU</v>
      </c>
      <c r="F120" s="182" t="str">
        <f>IFERROR(__xludf.DUMMYFUNCTION("""COMPUTED_VALUE"""),"Pixel 10 Pro, Porcelain, 128GB, TMO, US, FRU")</f>
        <v>Pixel 10 Pro, Porcelain, 128GB, TMO, US, FRU</v>
      </c>
      <c r="G120" s="182" t="str">
        <f>IFERROR(__xludf.DUMMYFUNCTION("""COMPUTED_VALUE"""),"CLR2")</f>
        <v>CLR2</v>
      </c>
      <c r="H120" s="182" t="str">
        <f>IFERROR(__xludf.DUMMYFUNCTION("""COMPUTED_VALUE"""),"mmWave")</f>
        <v>mmWave</v>
      </c>
      <c r="I120" s="182" t="str">
        <f>IFERROR(__xludf.DUMMYFUNCTION("""COMPUTED_VALUE"""),"128GB")</f>
        <v>128GB</v>
      </c>
      <c r="J120" s="182"/>
      <c r="K120" s="182" t="str">
        <f>IFERROR(__xludf.DUMMYFUNCTION("""COMPUTED_VALUE"""),"G950-15986-02")</f>
        <v>G950-15986-02</v>
      </c>
      <c r="L120" s="182" t="str">
        <f>IFERROR(__xludf.DUMMYFUNCTION("""COMPUTED_VALUE"""),"G710-07821-01")</f>
        <v>G710-07821-01</v>
      </c>
      <c r="M120" s="182" t="str">
        <f>IFERROR(__xludf.DUMMYFUNCTION("""COMPUTED_VALUE"""),"G710-10000-40")</f>
        <v>G710-10000-40</v>
      </c>
      <c r="N120" s="182" t="str">
        <f>IFERROR(__xludf.DUMMYFUNCTION("""COMPUTED_VALUE"""),"G730-09466-12")</f>
        <v>G730-09466-12</v>
      </c>
      <c r="O120" s="182" t="str">
        <f>IFERROR(__xludf.DUMMYFUNCTION("""COMPUTED_VALUE"""),"G710-07813-00")</f>
        <v>G710-07813-00</v>
      </c>
      <c r="P120" s="182" t="str">
        <f>IFERROR(__xludf.DUMMYFUNCTION("""COMPUTED_VALUE"""),"G650-14410-06")</f>
        <v>G650-14410-06</v>
      </c>
      <c r="Q120" s="182" t="str">
        <f>IFERROR(__xludf.DUMMYFUNCTION("""COMPUTED_VALUE"""),"G650-14412-04")</f>
        <v>G650-14412-04</v>
      </c>
      <c r="R120" s="182" t="str">
        <f>IFERROR(__xludf.DUMMYFUNCTION("""COMPUTED_VALUE"""),"G650-14843-04")</f>
        <v>G650-14843-04</v>
      </c>
      <c r="S120" s="182" t="str">
        <f>IFERROR(__xludf.DUMMYFUNCTION("""COMPUTED_VALUE"""),"G650-14411-05")</f>
        <v>G650-14411-05</v>
      </c>
      <c r="T120" s="182" t="str">
        <f>IFERROR(__xludf.DUMMYFUNCTION("""COMPUTED_VALUE"""),"G650-14840-03")</f>
        <v>G650-14840-03</v>
      </c>
      <c r="U120" s="182" t="str">
        <f>IFERROR(__xludf.DUMMYFUNCTION("""COMPUTED_VALUE"""),"G650-14841-03")</f>
        <v>G650-14841-03</v>
      </c>
      <c r="V120" s="182" t="str">
        <f>IFERROR(__xludf.DUMMYFUNCTION("""COMPUTED_VALUE"""),"G650-14413-03")</f>
        <v>G650-14413-03</v>
      </c>
      <c r="W120" s="182" t="str">
        <f>IFERROR(__xludf.DUMMYFUNCTION("""COMPUTED_VALUE"""),"G954-09470-00")</f>
        <v>G954-09470-00</v>
      </c>
      <c r="X120" s="182"/>
      <c r="Y120" s="182"/>
      <c r="Z120" s="182" t="str">
        <f>IFERROR(__xludf.DUMMYFUNCTION("""COMPUTED_VALUE"""),"N")</f>
        <v>N</v>
      </c>
      <c r="AA120" s="182" t="str">
        <f>IFERROR(__xludf.DUMMYFUNCTION("""COMPUTED_VALUE"""),"Y")</f>
        <v>Y</v>
      </c>
    </row>
    <row r="121">
      <c r="A121" s="182" t="str">
        <f>IFERROR(__xludf.DUMMYFUNCTION("""COMPUTED_VALUE"""),"CLNR")</f>
        <v>CLNR</v>
      </c>
      <c r="B121" s="182">
        <f>IFERROR(__xludf.DUMMYFUNCTION("""COMPUTED_VALUE"""),120.0)</f>
        <v>120</v>
      </c>
      <c r="C121" s="182" t="str">
        <f>IFERROR(__xludf.DUMMYFUNCTION("""COMPUTED_VALUE"""),"G4QUR")</f>
        <v>G4QUR</v>
      </c>
      <c r="D121" s="182" t="str">
        <f>IFERROR(__xludf.DUMMYFUNCTION("""COMPUTED_VALUE"""),"CLNRGA10294")</f>
        <v>CLNRGA10294</v>
      </c>
      <c r="E121" s="182" t="str">
        <f>IFERROR(__xludf.DUMMYFUNCTION("""COMPUTED_VALUE"""),"SKU, CLR3, GOOD, MMWAVE, TMO, BZ5, FRU")</f>
        <v>SKU, CLR3, GOOD, MMWAVE, TMO, BZ5, FRU</v>
      </c>
      <c r="F121" s="182" t="str">
        <f>IFERROR(__xludf.DUMMYFUNCTION("""COMPUTED_VALUE"""),"Pixel 10 Pro, Moonstone, 128GB, TMO, US, FRU")</f>
        <v>Pixel 10 Pro, Moonstone, 128GB, TMO, US, FRU</v>
      </c>
      <c r="G121" s="182" t="str">
        <f>IFERROR(__xludf.DUMMYFUNCTION("""COMPUTED_VALUE"""),"CLR3")</f>
        <v>CLR3</v>
      </c>
      <c r="H121" s="182" t="str">
        <f>IFERROR(__xludf.DUMMYFUNCTION("""COMPUTED_VALUE"""),"mmWave")</f>
        <v>mmWave</v>
      </c>
      <c r="I121" s="182" t="str">
        <f>IFERROR(__xludf.DUMMYFUNCTION("""COMPUTED_VALUE"""),"128GB")</f>
        <v>128GB</v>
      </c>
      <c r="J121" s="182"/>
      <c r="K121" s="182" t="str">
        <f>IFERROR(__xludf.DUMMYFUNCTION("""COMPUTED_VALUE"""),"G950-15986-03")</f>
        <v>G950-15986-03</v>
      </c>
      <c r="L121" s="182" t="str">
        <f>IFERROR(__xludf.DUMMYFUNCTION("""COMPUTED_VALUE"""),"G710-07821-01")</f>
        <v>G710-07821-01</v>
      </c>
      <c r="M121" s="182" t="str">
        <f>IFERROR(__xludf.DUMMYFUNCTION("""COMPUTED_VALUE"""),"G710-10000-40")</f>
        <v>G710-10000-40</v>
      </c>
      <c r="N121" s="182" t="str">
        <f>IFERROR(__xludf.DUMMYFUNCTION("""COMPUTED_VALUE"""),"G730-09466-13")</f>
        <v>G730-09466-13</v>
      </c>
      <c r="O121" s="182" t="str">
        <f>IFERROR(__xludf.DUMMYFUNCTION("""COMPUTED_VALUE"""),"G710-07813-00")</f>
        <v>G710-07813-00</v>
      </c>
      <c r="P121" s="182" t="str">
        <f>IFERROR(__xludf.DUMMYFUNCTION("""COMPUTED_VALUE"""),"G650-14410-06")</f>
        <v>G650-14410-06</v>
      </c>
      <c r="Q121" s="182" t="str">
        <f>IFERROR(__xludf.DUMMYFUNCTION("""COMPUTED_VALUE"""),"G650-14412-04")</f>
        <v>G650-14412-04</v>
      </c>
      <c r="R121" s="182" t="str">
        <f>IFERROR(__xludf.DUMMYFUNCTION("""COMPUTED_VALUE"""),"G650-14843-04")</f>
        <v>G650-14843-04</v>
      </c>
      <c r="S121" s="182" t="str">
        <f>IFERROR(__xludf.DUMMYFUNCTION("""COMPUTED_VALUE"""),"G650-14411-05")</f>
        <v>G650-14411-05</v>
      </c>
      <c r="T121" s="182" t="str">
        <f>IFERROR(__xludf.DUMMYFUNCTION("""COMPUTED_VALUE"""),"G650-14840-03")</f>
        <v>G650-14840-03</v>
      </c>
      <c r="U121" s="182" t="str">
        <f>IFERROR(__xludf.DUMMYFUNCTION("""COMPUTED_VALUE"""),"G650-14841-03")</f>
        <v>G650-14841-03</v>
      </c>
      <c r="V121" s="182" t="str">
        <f>IFERROR(__xludf.DUMMYFUNCTION("""COMPUTED_VALUE"""),"G650-14413-03")</f>
        <v>G650-14413-03</v>
      </c>
      <c r="W121" s="182" t="str">
        <f>IFERROR(__xludf.DUMMYFUNCTION("""COMPUTED_VALUE"""),"G954-09470-00")</f>
        <v>G954-09470-00</v>
      </c>
      <c r="X121" s="182"/>
      <c r="Y121" s="182"/>
      <c r="Z121" s="182" t="str">
        <f>IFERROR(__xludf.DUMMYFUNCTION("""COMPUTED_VALUE"""),"N")</f>
        <v>N</v>
      </c>
      <c r="AA121" s="182" t="str">
        <f>IFERROR(__xludf.DUMMYFUNCTION("""COMPUTED_VALUE"""),"Y")</f>
        <v>Y</v>
      </c>
    </row>
    <row r="122">
      <c r="A122" s="182" t="str">
        <f>IFERROR(__xludf.DUMMYFUNCTION("""COMPUTED_VALUE"""),"CLNR")</f>
        <v>CLNR</v>
      </c>
      <c r="B122" s="182">
        <f>IFERROR(__xludf.DUMMYFUNCTION("""COMPUTED_VALUE"""),121.0)</f>
        <v>121</v>
      </c>
      <c r="C122" s="182" t="str">
        <f>IFERROR(__xludf.DUMMYFUNCTION("""COMPUTED_VALUE"""),"G4QUR")</f>
        <v>G4QUR</v>
      </c>
      <c r="D122" s="182" t="str">
        <f>IFERROR(__xludf.DUMMYFUNCTION("""COMPUTED_VALUE"""),"CLNRGA09898")</f>
        <v>CLNRGA09898</v>
      </c>
      <c r="E122" s="182" t="str">
        <f>IFERROR(__xludf.DUMMYFUNCTION("""COMPUTED_VALUE"""),"SKU, CLR1, BETTER, MMWAVE, TMO, BZ5, FRU")</f>
        <v>SKU, CLR1, BETTER, MMWAVE, TMO, BZ5, FRU</v>
      </c>
      <c r="F122" s="182" t="str">
        <f>IFERROR(__xludf.DUMMYFUNCTION("""COMPUTED_VALUE"""),"Pixel 10 Pro, Obsidian, 256GB, TMO, US, FRU")</f>
        <v>Pixel 10 Pro, Obsidian, 256GB, TMO, US, FRU</v>
      </c>
      <c r="G122" s="182" t="str">
        <f>IFERROR(__xludf.DUMMYFUNCTION("""COMPUTED_VALUE"""),"CLR1")</f>
        <v>CLR1</v>
      </c>
      <c r="H122" s="182" t="str">
        <f>IFERROR(__xludf.DUMMYFUNCTION("""COMPUTED_VALUE"""),"mmWave")</f>
        <v>mmWave</v>
      </c>
      <c r="I122" s="182" t="str">
        <f>IFERROR(__xludf.DUMMYFUNCTION("""COMPUTED_VALUE"""),"256GB")</f>
        <v>256GB</v>
      </c>
      <c r="J122" s="182"/>
      <c r="K122" s="182" t="str">
        <f>IFERROR(__xludf.DUMMYFUNCTION("""COMPUTED_VALUE"""),"G950-18289-01")</f>
        <v>G950-18289-01</v>
      </c>
      <c r="L122" s="182" t="str">
        <f>IFERROR(__xludf.DUMMYFUNCTION("""COMPUTED_VALUE"""),"G710-07821-01")</f>
        <v>G710-07821-01</v>
      </c>
      <c r="M122" s="182" t="str">
        <f>IFERROR(__xludf.DUMMYFUNCTION("""COMPUTED_VALUE"""),"G710-10000-40")</f>
        <v>G710-10000-40</v>
      </c>
      <c r="N122" s="182" t="str">
        <f>IFERROR(__xludf.DUMMYFUNCTION("""COMPUTED_VALUE"""),"G730-09466-11")</f>
        <v>G730-09466-11</v>
      </c>
      <c r="O122" s="182" t="str">
        <f>IFERROR(__xludf.DUMMYFUNCTION("""COMPUTED_VALUE"""),"G710-07813-10")</f>
        <v>G710-07813-10</v>
      </c>
      <c r="P122" s="182" t="str">
        <f>IFERROR(__xludf.DUMMYFUNCTION("""COMPUTED_VALUE"""),"G650-17429-06")</f>
        <v>G650-17429-06</v>
      </c>
      <c r="Q122" s="182" t="str">
        <f>IFERROR(__xludf.DUMMYFUNCTION("""COMPUTED_VALUE"""),"G650-14412-04")</f>
        <v>G650-14412-04</v>
      </c>
      <c r="R122" s="182" t="str">
        <f>IFERROR(__xludf.DUMMYFUNCTION("""COMPUTED_VALUE"""),"G650-14843-04")</f>
        <v>G650-14843-04</v>
      </c>
      <c r="S122" s="182" t="str">
        <f>IFERROR(__xludf.DUMMYFUNCTION("""COMPUTED_VALUE"""),"G650-14411-05")</f>
        <v>G650-14411-05</v>
      </c>
      <c r="T122" s="182" t="str">
        <f>IFERROR(__xludf.DUMMYFUNCTION("""COMPUTED_VALUE"""),"G650-14840-03")</f>
        <v>G650-14840-03</v>
      </c>
      <c r="U122" s="182" t="str">
        <f>IFERROR(__xludf.DUMMYFUNCTION("""COMPUTED_VALUE"""),"G650-14841-03")</f>
        <v>G650-14841-03</v>
      </c>
      <c r="V122" s="182" t="str">
        <f>IFERROR(__xludf.DUMMYFUNCTION("""COMPUTED_VALUE"""),"G650-14413-03")</f>
        <v>G650-14413-03</v>
      </c>
      <c r="W122" s="182" t="str">
        <f>IFERROR(__xludf.DUMMYFUNCTION("""COMPUTED_VALUE"""),"G954-09470-00")</f>
        <v>G954-09470-00</v>
      </c>
      <c r="X122" s="182"/>
      <c r="Y122" s="182"/>
      <c r="Z122" s="182" t="str">
        <f>IFERROR(__xludf.DUMMYFUNCTION("""COMPUTED_VALUE"""),"N")</f>
        <v>N</v>
      </c>
      <c r="AA122" s="182" t="str">
        <f>IFERROR(__xludf.DUMMYFUNCTION("""COMPUTED_VALUE"""),"Y")</f>
        <v>Y</v>
      </c>
    </row>
    <row r="123">
      <c r="A123" s="182" t="str">
        <f>IFERROR(__xludf.DUMMYFUNCTION("""COMPUTED_VALUE"""),"CLNR")</f>
        <v>CLNR</v>
      </c>
      <c r="B123" s="182">
        <f>IFERROR(__xludf.DUMMYFUNCTION("""COMPUTED_VALUE"""),122.0)</f>
        <v>122</v>
      </c>
      <c r="C123" s="182" t="str">
        <f>IFERROR(__xludf.DUMMYFUNCTION("""COMPUTED_VALUE"""),"G4QUR")</f>
        <v>G4QUR</v>
      </c>
      <c r="D123" s="182" t="str">
        <f>IFERROR(__xludf.DUMMYFUNCTION("""COMPUTED_VALUE"""),"CLNRGA10296")</f>
        <v>CLNRGA10296</v>
      </c>
      <c r="E123" s="182" t="str">
        <f>IFERROR(__xludf.DUMMYFUNCTION("""COMPUTED_VALUE"""),"SKU, CLR3, BETTER, MMWAVE, TMO, BZ5, FRU")</f>
        <v>SKU, CLR3, BETTER, MMWAVE, TMO, BZ5, FRU</v>
      </c>
      <c r="F123" s="182" t="str">
        <f>IFERROR(__xludf.DUMMYFUNCTION("""COMPUTED_VALUE"""),"Pixel 10 Pro, Moonstone, 256GB, TMO, US, FRU")</f>
        <v>Pixel 10 Pro, Moonstone, 256GB, TMO, US, FRU</v>
      </c>
      <c r="G123" s="182" t="str">
        <f>IFERROR(__xludf.DUMMYFUNCTION("""COMPUTED_VALUE"""),"CLR3")</f>
        <v>CLR3</v>
      </c>
      <c r="H123" s="182" t="str">
        <f>IFERROR(__xludf.DUMMYFUNCTION("""COMPUTED_VALUE"""),"mmWave")</f>
        <v>mmWave</v>
      </c>
      <c r="I123" s="182" t="str">
        <f>IFERROR(__xludf.DUMMYFUNCTION("""COMPUTED_VALUE"""),"256GB")</f>
        <v>256GB</v>
      </c>
      <c r="J123" s="182"/>
      <c r="K123" s="182" t="str">
        <f>IFERROR(__xludf.DUMMYFUNCTION("""COMPUTED_VALUE"""),"G950-18289-03")</f>
        <v>G950-18289-03</v>
      </c>
      <c r="L123" s="182" t="str">
        <f>IFERROR(__xludf.DUMMYFUNCTION("""COMPUTED_VALUE"""),"G710-07821-01")</f>
        <v>G710-07821-01</v>
      </c>
      <c r="M123" s="182" t="str">
        <f>IFERROR(__xludf.DUMMYFUNCTION("""COMPUTED_VALUE"""),"G710-10000-40")</f>
        <v>G710-10000-40</v>
      </c>
      <c r="N123" s="182" t="str">
        <f>IFERROR(__xludf.DUMMYFUNCTION("""COMPUTED_VALUE"""),"G730-09466-13")</f>
        <v>G730-09466-13</v>
      </c>
      <c r="O123" s="182" t="str">
        <f>IFERROR(__xludf.DUMMYFUNCTION("""COMPUTED_VALUE"""),"G710-07813-10")</f>
        <v>G710-07813-10</v>
      </c>
      <c r="P123" s="182" t="str">
        <f>IFERROR(__xludf.DUMMYFUNCTION("""COMPUTED_VALUE"""),"G650-17429-06")</f>
        <v>G650-17429-06</v>
      </c>
      <c r="Q123" s="182" t="str">
        <f>IFERROR(__xludf.DUMMYFUNCTION("""COMPUTED_VALUE"""),"G650-14412-04")</f>
        <v>G650-14412-04</v>
      </c>
      <c r="R123" s="182" t="str">
        <f>IFERROR(__xludf.DUMMYFUNCTION("""COMPUTED_VALUE"""),"G650-14843-04")</f>
        <v>G650-14843-04</v>
      </c>
      <c r="S123" s="182" t="str">
        <f>IFERROR(__xludf.DUMMYFUNCTION("""COMPUTED_VALUE"""),"G650-14411-05")</f>
        <v>G650-14411-05</v>
      </c>
      <c r="T123" s="182" t="str">
        <f>IFERROR(__xludf.DUMMYFUNCTION("""COMPUTED_VALUE"""),"G650-14840-03")</f>
        <v>G650-14840-03</v>
      </c>
      <c r="U123" s="182" t="str">
        <f>IFERROR(__xludf.DUMMYFUNCTION("""COMPUTED_VALUE"""),"G650-14841-03")</f>
        <v>G650-14841-03</v>
      </c>
      <c r="V123" s="182" t="str">
        <f>IFERROR(__xludf.DUMMYFUNCTION("""COMPUTED_VALUE"""),"G650-14413-03")</f>
        <v>G650-14413-03</v>
      </c>
      <c r="W123" s="182" t="str">
        <f>IFERROR(__xludf.DUMMYFUNCTION("""COMPUTED_VALUE"""),"G954-09470-00")</f>
        <v>G954-09470-00</v>
      </c>
      <c r="X123" s="182"/>
      <c r="Y123" s="182"/>
      <c r="Z123" s="182" t="str">
        <f>IFERROR(__xludf.DUMMYFUNCTION("""COMPUTED_VALUE"""),"N")</f>
        <v>N</v>
      </c>
      <c r="AA123" s="182" t="str">
        <f>IFERROR(__xludf.DUMMYFUNCTION("""COMPUTED_VALUE"""),"Y")</f>
        <v>Y</v>
      </c>
    </row>
    <row r="124">
      <c r="A124" s="182" t="str">
        <f>IFERROR(__xludf.DUMMYFUNCTION("""COMPUTED_VALUE"""),"CLNR")</f>
        <v>CLNR</v>
      </c>
      <c r="B124" s="182">
        <f>IFERROR(__xludf.DUMMYFUNCTION("""COMPUTED_VALUE"""),123.0)</f>
        <v>123</v>
      </c>
      <c r="C124" s="182" t="str">
        <f>IFERROR(__xludf.DUMMYFUNCTION("""COMPUTED_VALUE"""),"GEHN3")</f>
        <v>GEHN3</v>
      </c>
      <c r="D124" s="182" t="str">
        <f>IFERROR(__xludf.DUMMYFUNCTION("""COMPUTED_VALUE"""),"CLNRGA09601")</f>
        <v>CLNRGA09601</v>
      </c>
      <c r="E124" s="182" t="str">
        <f>IFERROR(__xludf.DUMMYFUNCTION("""COMPUTED_VALUE"""),"SKU, CLR1, GOOD, SUB6, CA/AU, BZ5, FRU")</f>
        <v>SKU, CLR1, GOOD, SUB6, CA/AU, BZ5, FRU</v>
      </c>
      <c r="F124" s="182" t="str">
        <f>IFERROR(__xludf.DUMMYFUNCTION("""COMPUTED_VALUE"""),"Pixel 10 Pro, Obsidian, 128GB, CA/TW/SG/MY/AU/MX, FRU")</f>
        <v>Pixel 10 Pro, Obsidian, 128GB, CA/TW/SG/MY/AU/MX, FRU</v>
      </c>
      <c r="G124" s="182" t="str">
        <f>IFERROR(__xludf.DUMMYFUNCTION("""COMPUTED_VALUE"""),"CLR1")</f>
        <v>CLR1</v>
      </c>
      <c r="H124" s="182" t="str">
        <f>IFERROR(__xludf.DUMMYFUNCTION("""COMPUTED_VALUE"""),"SUB6")</f>
        <v>SUB6</v>
      </c>
      <c r="I124" s="182" t="str">
        <f>IFERROR(__xludf.DUMMYFUNCTION("""COMPUTED_VALUE"""),"128GB")</f>
        <v>128GB</v>
      </c>
      <c r="J124" s="182"/>
      <c r="K124" s="182" t="str">
        <f>IFERROR(__xludf.DUMMYFUNCTION("""COMPUTED_VALUE"""),"G950-15987-01")</f>
        <v>G950-15987-01</v>
      </c>
      <c r="L124" s="182" t="str">
        <f>IFERROR(__xludf.DUMMYFUNCTION("""COMPUTED_VALUE"""),"G710-07822-01")</f>
        <v>G710-07822-01</v>
      </c>
      <c r="M124" s="182" t="str">
        <f>IFERROR(__xludf.DUMMYFUNCTION("""COMPUTED_VALUE"""),"G710-10000-40")</f>
        <v>G710-10000-40</v>
      </c>
      <c r="N124" s="182" t="str">
        <f>IFERROR(__xludf.DUMMYFUNCTION("""COMPUTED_VALUE"""),"G730-09466-11")</f>
        <v>G730-09466-11</v>
      </c>
      <c r="O124" s="182" t="str">
        <f>IFERROR(__xludf.DUMMYFUNCTION("""COMPUTED_VALUE"""),"G710-07813-02")</f>
        <v>G710-07813-02</v>
      </c>
      <c r="P124" s="182" t="str">
        <f>IFERROR(__xludf.DUMMYFUNCTION("""COMPUTED_VALUE"""),"G650-14972-06")</f>
        <v>G650-14972-06</v>
      </c>
      <c r="Q124" s="182" t="str">
        <f>IFERROR(__xludf.DUMMYFUNCTION("""COMPUTED_VALUE"""),"G650-15596-04")</f>
        <v>G650-15596-04</v>
      </c>
      <c r="R124" s="182" t="str">
        <f>IFERROR(__xludf.DUMMYFUNCTION("""COMPUTED_VALUE"""),"G650-14843-04")</f>
        <v>G650-14843-04</v>
      </c>
      <c r="S124" s="182" t="str">
        <f>IFERROR(__xludf.DUMMYFUNCTION("""COMPUTED_VALUE"""),"G650-14411-05")</f>
        <v>G650-14411-05</v>
      </c>
      <c r="T124" s="182" t="str">
        <f>IFERROR(__xludf.DUMMYFUNCTION("""COMPUTED_VALUE"""),"G650-14840-03")</f>
        <v>G650-14840-03</v>
      </c>
      <c r="U124" s="182" t="str">
        <f>IFERROR(__xludf.DUMMYFUNCTION("""COMPUTED_VALUE"""),"G650-14841-03")</f>
        <v>G650-14841-03</v>
      </c>
      <c r="V124" s="182" t="str">
        <f>IFERROR(__xludf.DUMMYFUNCTION("""COMPUTED_VALUE"""),"G650-14413-03")</f>
        <v>G650-14413-03</v>
      </c>
      <c r="W124" s="182" t="str">
        <f>IFERROR(__xludf.DUMMYFUNCTION("""COMPUTED_VALUE"""),"G954-09474-00")</f>
        <v>G954-09474-00</v>
      </c>
      <c r="X124" s="182"/>
      <c r="Y124" s="182"/>
      <c r="Z124" s="182" t="str">
        <f>IFERROR(__xludf.DUMMYFUNCTION("""COMPUTED_VALUE"""),"Y")</f>
        <v>Y</v>
      </c>
      <c r="AA124" s="182" t="str">
        <f>IFERROR(__xludf.DUMMYFUNCTION("""COMPUTED_VALUE"""),"Y")</f>
        <v>Y</v>
      </c>
    </row>
    <row r="125">
      <c r="A125" s="182" t="str">
        <f>IFERROR(__xludf.DUMMYFUNCTION("""COMPUTED_VALUE"""),"CLNR")</f>
        <v>CLNR</v>
      </c>
      <c r="B125" s="182">
        <f>IFERROR(__xludf.DUMMYFUNCTION("""COMPUTED_VALUE"""),124.0)</f>
        <v>124</v>
      </c>
      <c r="C125" s="182" t="str">
        <f>IFERROR(__xludf.DUMMYFUNCTION("""COMPUTED_VALUE"""),"GEHN3")</f>
        <v>GEHN3</v>
      </c>
      <c r="D125" s="182" t="str">
        <f>IFERROR(__xludf.DUMMYFUNCTION("""COMPUTED_VALUE"""),"CLNRGA10312")</f>
        <v>CLNRGA10312</v>
      </c>
      <c r="E125" s="182" t="str">
        <f>IFERROR(__xludf.DUMMYFUNCTION("""COMPUTED_VALUE"""),"SKU, CLR2, GOOD, SUB6, CA/AU, BZ5, FRU")</f>
        <v>SKU, CLR2, GOOD, SUB6, CA/AU, BZ5, FRU</v>
      </c>
      <c r="F125" s="182" t="str">
        <f>IFERROR(__xludf.DUMMYFUNCTION("""COMPUTED_VALUE"""),"Pixel 10 Pro, Porcelain, 128GB, CA/TW/SG/MY/AU/MX, FRU")</f>
        <v>Pixel 10 Pro, Porcelain, 128GB, CA/TW/SG/MY/AU/MX, FRU</v>
      </c>
      <c r="G125" s="182" t="str">
        <f>IFERROR(__xludf.DUMMYFUNCTION("""COMPUTED_VALUE"""),"CLR2")</f>
        <v>CLR2</v>
      </c>
      <c r="H125" s="182" t="str">
        <f>IFERROR(__xludf.DUMMYFUNCTION("""COMPUTED_VALUE"""),"SUB6")</f>
        <v>SUB6</v>
      </c>
      <c r="I125" s="182" t="str">
        <f>IFERROR(__xludf.DUMMYFUNCTION("""COMPUTED_VALUE"""),"128GB")</f>
        <v>128GB</v>
      </c>
      <c r="J125" s="182"/>
      <c r="K125" s="182" t="str">
        <f>IFERROR(__xludf.DUMMYFUNCTION("""COMPUTED_VALUE"""),"G950-15987-02")</f>
        <v>G950-15987-02</v>
      </c>
      <c r="L125" s="182" t="str">
        <f>IFERROR(__xludf.DUMMYFUNCTION("""COMPUTED_VALUE"""),"G710-07822-01")</f>
        <v>G710-07822-01</v>
      </c>
      <c r="M125" s="182" t="str">
        <f>IFERROR(__xludf.DUMMYFUNCTION("""COMPUTED_VALUE"""),"G710-10000-40")</f>
        <v>G710-10000-40</v>
      </c>
      <c r="N125" s="182" t="str">
        <f>IFERROR(__xludf.DUMMYFUNCTION("""COMPUTED_VALUE"""),"G730-09466-12")</f>
        <v>G730-09466-12</v>
      </c>
      <c r="O125" s="182" t="str">
        <f>IFERROR(__xludf.DUMMYFUNCTION("""COMPUTED_VALUE"""),"G710-07813-02")</f>
        <v>G710-07813-02</v>
      </c>
      <c r="P125" s="182" t="str">
        <f>IFERROR(__xludf.DUMMYFUNCTION("""COMPUTED_VALUE"""),"G650-14972-06")</f>
        <v>G650-14972-06</v>
      </c>
      <c r="Q125" s="182" t="str">
        <f>IFERROR(__xludf.DUMMYFUNCTION("""COMPUTED_VALUE"""),"G650-15596-04")</f>
        <v>G650-15596-04</v>
      </c>
      <c r="R125" s="182" t="str">
        <f>IFERROR(__xludf.DUMMYFUNCTION("""COMPUTED_VALUE"""),"G650-14843-04")</f>
        <v>G650-14843-04</v>
      </c>
      <c r="S125" s="182" t="str">
        <f>IFERROR(__xludf.DUMMYFUNCTION("""COMPUTED_VALUE"""),"G650-14411-05")</f>
        <v>G650-14411-05</v>
      </c>
      <c r="T125" s="182" t="str">
        <f>IFERROR(__xludf.DUMMYFUNCTION("""COMPUTED_VALUE"""),"G650-14840-03")</f>
        <v>G650-14840-03</v>
      </c>
      <c r="U125" s="182" t="str">
        <f>IFERROR(__xludf.DUMMYFUNCTION("""COMPUTED_VALUE"""),"G650-14841-03")</f>
        <v>G650-14841-03</v>
      </c>
      <c r="V125" s="182" t="str">
        <f>IFERROR(__xludf.DUMMYFUNCTION("""COMPUTED_VALUE"""),"G650-14413-03")</f>
        <v>G650-14413-03</v>
      </c>
      <c r="W125" s="182" t="str">
        <f>IFERROR(__xludf.DUMMYFUNCTION("""COMPUTED_VALUE"""),"G954-09474-00")</f>
        <v>G954-09474-00</v>
      </c>
      <c r="X125" s="182"/>
      <c r="Y125" s="182"/>
      <c r="Z125" s="182" t="str">
        <f>IFERROR(__xludf.DUMMYFUNCTION("""COMPUTED_VALUE"""),"Y")</f>
        <v>Y</v>
      </c>
      <c r="AA125" s="182" t="str">
        <f>IFERROR(__xludf.DUMMYFUNCTION("""COMPUTED_VALUE"""),"Y")</f>
        <v>Y</v>
      </c>
    </row>
    <row r="126">
      <c r="A126" s="182" t="str">
        <f>IFERROR(__xludf.DUMMYFUNCTION("""COMPUTED_VALUE"""),"CLNR")</f>
        <v>CLNR</v>
      </c>
      <c r="B126" s="182">
        <f>IFERROR(__xludf.DUMMYFUNCTION("""COMPUTED_VALUE"""),125.0)</f>
        <v>125</v>
      </c>
      <c r="C126" s="182" t="str">
        <f>IFERROR(__xludf.DUMMYFUNCTION("""COMPUTED_VALUE"""),"GEHN3")</f>
        <v>GEHN3</v>
      </c>
      <c r="D126" s="182" t="str">
        <f>IFERROR(__xludf.DUMMYFUNCTION("""COMPUTED_VALUE"""),"CLNRGA10313")</f>
        <v>CLNRGA10313</v>
      </c>
      <c r="E126" s="182" t="str">
        <f>IFERROR(__xludf.DUMMYFUNCTION("""COMPUTED_VALUE"""),"SKU, CLR3, GOOD, SUB6, CA/AU, BZ5, FRU")</f>
        <v>SKU, CLR3, GOOD, SUB6, CA/AU, BZ5, FRU</v>
      </c>
      <c r="F126" s="182" t="str">
        <f>IFERROR(__xludf.DUMMYFUNCTION("""COMPUTED_VALUE"""),"Pixel 10 Pro, Moonstone, 128GB, CA/TW/SG/MY/AU/MX, FRU")</f>
        <v>Pixel 10 Pro, Moonstone, 128GB, CA/TW/SG/MY/AU/MX, FRU</v>
      </c>
      <c r="G126" s="182" t="str">
        <f>IFERROR(__xludf.DUMMYFUNCTION("""COMPUTED_VALUE"""),"CLR3")</f>
        <v>CLR3</v>
      </c>
      <c r="H126" s="182" t="str">
        <f>IFERROR(__xludf.DUMMYFUNCTION("""COMPUTED_VALUE"""),"SUB6")</f>
        <v>SUB6</v>
      </c>
      <c r="I126" s="182" t="str">
        <f>IFERROR(__xludf.DUMMYFUNCTION("""COMPUTED_VALUE"""),"128GB")</f>
        <v>128GB</v>
      </c>
      <c r="J126" s="182"/>
      <c r="K126" s="182" t="str">
        <f>IFERROR(__xludf.DUMMYFUNCTION("""COMPUTED_VALUE"""),"G950-15987-03")</f>
        <v>G950-15987-03</v>
      </c>
      <c r="L126" s="182" t="str">
        <f>IFERROR(__xludf.DUMMYFUNCTION("""COMPUTED_VALUE"""),"G710-07822-01")</f>
        <v>G710-07822-01</v>
      </c>
      <c r="M126" s="182" t="str">
        <f>IFERROR(__xludf.DUMMYFUNCTION("""COMPUTED_VALUE"""),"G710-10000-40")</f>
        <v>G710-10000-40</v>
      </c>
      <c r="N126" s="182" t="str">
        <f>IFERROR(__xludf.DUMMYFUNCTION("""COMPUTED_VALUE"""),"G730-09466-13")</f>
        <v>G730-09466-13</v>
      </c>
      <c r="O126" s="182" t="str">
        <f>IFERROR(__xludf.DUMMYFUNCTION("""COMPUTED_VALUE"""),"G710-07813-02")</f>
        <v>G710-07813-02</v>
      </c>
      <c r="P126" s="182" t="str">
        <f>IFERROR(__xludf.DUMMYFUNCTION("""COMPUTED_VALUE"""),"G650-14972-06")</f>
        <v>G650-14972-06</v>
      </c>
      <c r="Q126" s="182" t="str">
        <f>IFERROR(__xludf.DUMMYFUNCTION("""COMPUTED_VALUE"""),"G650-15596-04")</f>
        <v>G650-15596-04</v>
      </c>
      <c r="R126" s="182" t="str">
        <f>IFERROR(__xludf.DUMMYFUNCTION("""COMPUTED_VALUE"""),"G650-14843-04")</f>
        <v>G650-14843-04</v>
      </c>
      <c r="S126" s="182" t="str">
        <f>IFERROR(__xludf.DUMMYFUNCTION("""COMPUTED_VALUE"""),"G650-14411-05")</f>
        <v>G650-14411-05</v>
      </c>
      <c r="T126" s="182" t="str">
        <f>IFERROR(__xludf.DUMMYFUNCTION("""COMPUTED_VALUE"""),"G650-14840-03")</f>
        <v>G650-14840-03</v>
      </c>
      <c r="U126" s="182" t="str">
        <f>IFERROR(__xludf.DUMMYFUNCTION("""COMPUTED_VALUE"""),"G650-14841-03")</f>
        <v>G650-14841-03</v>
      </c>
      <c r="V126" s="182" t="str">
        <f>IFERROR(__xludf.DUMMYFUNCTION("""COMPUTED_VALUE"""),"G650-14413-03")</f>
        <v>G650-14413-03</v>
      </c>
      <c r="W126" s="182" t="str">
        <f>IFERROR(__xludf.DUMMYFUNCTION("""COMPUTED_VALUE"""),"G954-09474-00")</f>
        <v>G954-09474-00</v>
      </c>
      <c r="X126" s="182"/>
      <c r="Y126" s="182"/>
      <c r="Z126" s="182" t="str">
        <f>IFERROR(__xludf.DUMMYFUNCTION("""COMPUTED_VALUE"""),"Y")</f>
        <v>Y</v>
      </c>
      <c r="AA126" s="182" t="str">
        <f>IFERROR(__xludf.DUMMYFUNCTION("""COMPUTED_VALUE"""),"Y")</f>
        <v>Y</v>
      </c>
    </row>
    <row r="127">
      <c r="A127" s="182" t="str">
        <f>IFERROR(__xludf.DUMMYFUNCTION("""COMPUTED_VALUE"""),"CLNR")</f>
        <v>CLNR</v>
      </c>
      <c r="B127" s="182">
        <f>IFERROR(__xludf.DUMMYFUNCTION("""COMPUTED_VALUE"""),126.0)</f>
        <v>126</v>
      </c>
      <c r="C127" s="182" t="str">
        <f>IFERROR(__xludf.DUMMYFUNCTION("""COMPUTED_VALUE"""),"GEHN3")</f>
        <v>GEHN3</v>
      </c>
      <c r="D127" s="182" t="str">
        <f>IFERROR(__xludf.DUMMYFUNCTION("""COMPUTED_VALUE"""),"CLNRGA09900")</f>
        <v>CLNRGA09900</v>
      </c>
      <c r="E127" s="182" t="str">
        <f>IFERROR(__xludf.DUMMYFUNCTION("""COMPUTED_VALUE"""),"SKU, CLR1, BETTER, SUB6, CA/AU, BZ5, FRU")</f>
        <v>SKU, CLR1, BETTER, SUB6, CA/AU, BZ5, FRU</v>
      </c>
      <c r="F127" s="182" t="str">
        <f>IFERROR(__xludf.DUMMYFUNCTION("""COMPUTED_VALUE"""),"Pixel 10 Pro, Obsidian, 256GB, CA/TW/SG/MY/AU/MX, FRU")</f>
        <v>Pixel 10 Pro, Obsidian, 256GB, CA/TW/SG/MY/AU/MX, FRU</v>
      </c>
      <c r="G127" s="182" t="str">
        <f>IFERROR(__xludf.DUMMYFUNCTION("""COMPUTED_VALUE"""),"CLR1")</f>
        <v>CLR1</v>
      </c>
      <c r="H127" s="182" t="str">
        <f>IFERROR(__xludf.DUMMYFUNCTION("""COMPUTED_VALUE"""),"SUB6")</f>
        <v>SUB6</v>
      </c>
      <c r="I127" s="182" t="str">
        <f>IFERROR(__xludf.DUMMYFUNCTION("""COMPUTED_VALUE"""),"256GB")</f>
        <v>256GB</v>
      </c>
      <c r="J127" s="182"/>
      <c r="K127" s="182" t="str">
        <f>IFERROR(__xludf.DUMMYFUNCTION("""COMPUTED_VALUE"""),"G950-18290-01")</f>
        <v>G950-18290-01</v>
      </c>
      <c r="L127" s="182" t="str">
        <f>IFERROR(__xludf.DUMMYFUNCTION("""COMPUTED_VALUE"""),"G710-07822-01")</f>
        <v>G710-07822-01</v>
      </c>
      <c r="M127" s="182" t="str">
        <f>IFERROR(__xludf.DUMMYFUNCTION("""COMPUTED_VALUE"""),"G710-10000-40")</f>
        <v>G710-10000-40</v>
      </c>
      <c r="N127" s="182" t="str">
        <f>IFERROR(__xludf.DUMMYFUNCTION("""COMPUTED_VALUE"""),"G730-09466-11")</f>
        <v>G730-09466-11</v>
      </c>
      <c r="O127" s="182" t="str">
        <f>IFERROR(__xludf.DUMMYFUNCTION("""COMPUTED_VALUE"""),"G710-07813-12")</f>
        <v>G710-07813-12</v>
      </c>
      <c r="P127" s="182" t="str">
        <f>IFERROR(__xludf.DUMMYFUNCTION("""COMPUTED_VALUE"""),"G650-17430-06")</f>
        <v>G650-17430-06</v>
      </c>
      <c r="Q127" s="182" t="str">
        <f>IFERROR(__xludf.DUMMYFUNCTION("""COMPUTED_VALUE"""),"G650-15596-04")</f>
        <v>G650-15596-04</v>
      </c>
      <c r="R127" s="182" t="str">
        <f>IFERROR(__xludf.DUMMYFUNCTION("""COMPUTED_VALUE"""),"G650-14843-04")</f>
        <v>G650-14843-04</v>
      </c>
      <c r="S127" s="182" t="str">
        <f>IFERROR(__xludf.DUMMYFUNCTION("""COMPUTED_VALUE"""),"G650-14411-05")</f>
        <v>G650-14411-05</v>
      </c>
      <c r="T127" s="182" t="str">
        <f>IFERROR(__xludf.DUMMYFUNCTION("""COMPUTED_VALUE"""),"G650-14840-03")</f>
        <v>G650-14840-03</v>
      </c>
      <c r="U127" s="182" t="str">
        <f>IFERROR(__xludf.DUMMYFUNCTION("""COMPUTED_VALUE"""),"G650-14841-03")</f>
        <v>G650-14841-03</v>
      </c>
      <c r="V127" s="182" t="str">
        <f>IFERROR(__xludf.DUMMYFUNCTION("""COMPUTED_VALUE"""),"G650-14413-03")</f>
        <v>G650-14413-03</v>
      </c>
      <c r="W127" s="182" t="str">
        <f>IFERROR(__xludf.DUMMYFUNCTION("""COMPUTED_VALUE"""),"G954-09474-00")</f>
        <v>G954-09474-00</v>
      </c>
      <c r="X127" s="182"/>
      <c r="Y127" s="182"/>
      <c r="Z127" s="182" t="str">
        <f>IFERROR(__xludf.DUMMYFUNCTION("""COMPUTED_VALUE"""),"Y")</f>
        <v>Y</v>
      </c>
      <c r="AA127" s="182" t="str">
        <f>IFERROR(__xludf.DUMMYFUNCTION("""COMPUTED_VALUE"""),"Y")</f>
        <v>Y</v>
      </c>
    </row>
    <row r="128">
      <c r="A128" s="182" t="str">
        <f>IFERROR(__xludf.DUMMYFUNCTION("""COMPUTED_VALUE"""),"CLNR")</f>
        <v>CLNR</v>
      </c>
      <c r="B128" s="182">
        <f>IFERROR(__xludf.DUMMYFUNCTION("""COMPUTED_VALUE"""),127.0)</f>
        <v>127</v>
      </c>
      <c r="C128" s="182" t="str">
        <f>IFERROR(__xludf.DUMMYFUNCTION("""COMPUTED_VALUE"""),"GEHN3")</f>
        <v>GEHN3</v>
      </c>
      <c r="D128" s="182" t="str">
        <f>IFERROR(__xludf.DUMMYFUNCTION("""COMPUTED_VALUE"""),"CLNRGA10314")</f>
        <v>CLNRGA10314</v>
      </c>
      <c r="E128" s="182" t="str">
        <f>IFERROR(__xludf.DUMMYFUNCTION("""COMPUTED_VALUE"""),"SKU, CLR2, BETTER, SUB6, CA/AU, BZ5, FRU")</f>
        <v>SKU, CLR2, BETTER, SUB6, CA/AU, BZ5, FRU</v>
      </c>
      <c r="F128" s="182" t="str">
        <f>IFERROR(__xludf.DUMMYFUNCTION("""COMPUTED_VALUE"""),"Pixel 10 Pro, Porcelain, 256GB, CA/TW/SG/MY/AU/MX, FRU")</f>
        <v>Pixel 10 Pro, Porcelain, 256GB, CA/TW/SG/MY/AU/MX, FRU</v>
      </c>
      <c r="G128" s="182" t="str">
        <f>IFERROR(__xludf.DUMMYFUNCTION("""COMPUTED_VALUE"""),"CLR2")</f>
        <v>CLR2</v>
      </c>
      <c r="H128" s="182" t="str">
        <f>IFERROR(__xludf.DUMMYFUNCTION("""COMPUTED_VALUE"""),"SUB6")</f>
        <v>SUB6</v>
      </c>
      <c r="I128" s="182" t="str">
        <f>IFERROR(__xludf.DUMMYFUNCTION("""COMPUTED_VALUE"""),"256GB")</f>
        <v>256GB</v>
      </c>
      <c r="J128" s="182"/>
      <c r="K128" s="182" t="str">
        <f>IFERROR(__xludf.DUMMYFUNCTION("""COMPUTED_VALUE"""),"G950-18290-02")</f>
        <v>G950-18290-02</v>
      </c>
      <c r="L128" s="182" t="str">
        <f>IFERROR(__xludf.DUMMYFUNCTION("""COMPUTED_VALUE"""),"G710-07822-01")</f>
        <v>G710-07822-01</v>
      </c>
      <c r="M128" s="182" t="str">
        <f>IFERROR(__xludf.DUMMYFUNCTION("""COMPUTED_VALUE"""),"G710-10000-40")</f>
        <v>G710-10000-40</v>
      </c>
      <c r="N128" s="182" t="str">
        <f>IFERROR(__xludf.DUMMYFUNCTION("""COMPUTED_VALUE"""),"G730-09466-12")</f>
        <v>G730-09466-12</v>
      </c>
      <c r="O128" s="182" t="str">
        <f>IFERROR(__xludf.DUMMYFUNCTION("""COMPUTED_VALUE"""),"G710-07813-12")</f>
        <v>G710-07813-12</v>
      </c>
      <c r="P128" s="182" t="str">
        <f>IFERROR(__xludf.DUMMYFUNCTION("""COMPUTED_VALUE"""),"G650-17430-06")</f>
        <v>G650-17430-06</v>
      </c>
      <c r="Q128" s="182" t="str">
        <f>IFERROR(__xludf.DUMMYFUNCTION("""COMPUTED_VALUE"""),"G650-15596-04")</f>
        <v>G650-15596-04</v>
      </c>
      <c r="R128" s="182" t="str">
        <f>IFERROR(__xludf.DUMMYFUNCTION("""COMPUTED_VALUE"""),"G650-14843-04")</f>
        <v>G650-14843-04</v>
      </c>
      <c r="S128" s="182" t="str">
        <f>IFERROR(__xludf.DUMMYFUNCTION("""COMPUTED_VALUE"""),"G650-14411-05")</f>
        <v>G650-14411-05</v>
      </c>
      <c r="T128" s="182" t="str">
        <f>IFERROR(__xludf.DUMMYFUNCTION("""COMPUTED_VALUE"""),"G650-14840-03")</f>
        <v>G650-14840-03</v>
      </c>
      <c r="U128" s="182" t="str">
        <f>IFERROR(__xludf.DUMMYFUNCTION("""COMPUTED_VALUE"""),"G650-14841-03")</f>
        <v>G650-14841-03</v>
      </c>
      <c r="V128" s="182" t="str">
        <f>IFERROR(__xludf.DUMMYFUNCTION("""COMPUTED_VALUE"""),"G650-14413-03")</f>
        <v>G650-14413-03</v>
      </c>
      <c r="W128" s="182" t="str">
        <f>IFERROR(__xludf.DUMMYFUNCTION("""COMPUTED_VALUE"""),"G954-09474-00")</f>
        <v>G954-09474-00</v>
      </c>
      <c r="X128" s="182"/>
      <c r="Y128" s="182"/>
      <c r="Z128" s="182" t="str">
        <f>IFERROR(__xludf.DUMMYFUNCTION("""COMPUTED_VALUE"""),"Y")</f>
        <v>Y</v>
      </c>
      <c r="AA128" s="182" t="str">
        <f>IFERROR(__xludf.DUMMYFUNCTION("""COMPUTED_VALUE"""),"Y")</f>
        <v>Y</v>
      </c>
    </row>
    <row r="129">
      <c r="A129" s="182" t="str">
        <f>IFERROR(__xludf.DUMMYFUNCTION("""COMPUTED_VALUE"""),"CLNR")</f>
        <v>CLNR</v>
      </c>
      <c r="B129" s="182">
        <f>IFERROR(__xludf.DUMMYFUNCTION("""COMPUTED_VALUE"""),128.0)</f>
        <v>128</v>
      </c>
      <c r="C129" s="182" t="str">
        <f>IFERROR(__xludf.DUMMYFUNCTION("""COMPUTED_VALUE"""),"GEHN3")</f>
        <v>GEHN3</v>
      </c>
      <c r="D129" s="182" t="str">
        <f>IFERROR(__xludf.DUMMYFUNCTION("""COMPUTED_VALUE"""),"CLNRGA10315")</f>
        <v>CLNRGA10315</v>
      </c>
      <c r="E129" s="182" t="str">
        <f>IFERROR(__xludf.DUMMYFUNCTION("""COMPUTED_VALUE"""),"SKU, CLR3, BETTER, SUB6, CA/AU, BZ5, FRU")</f>
        <v>SKU, CLR3, BETTER, SUB6, CA/AU, BZ5, FRU</v>
      </c>
      <c r="F129" s="182" t="str">
        <f>IFERROR(__xludf.DUMMYFUNCTION("""COMPUTED_VALUE"""),"Pixel 10 Pro, Moonstone, 256GB, CA/TW/SG/MY/AU/MX, FRU")</f>
        <v>Pixel 10 Pro, Moonstone, 256GB, CA/TW/SG/MY/AU/MX, FRU</v>
      </c>
      <c r="G129" s="182" t="str">
        <f>IFERROR(__xludf.DUMMYFUNCTION("""COMPUTED_VALUE"""),"CLR3")</f>
        <v>CLR3</v>
      </c>
      <c r="H129" s="182" t="str">
        <f>IFERROR(__xludf.DUMMYFUNCTION("""COMPUTED_VALUE"""),"SUB6")</f>
        <v>SUB6</v>
      </c>
      <c r="I129" s="182" t="str">
        <f>IFERROR(__xludf.DUMMYFUNCTION("""COMPUTED_VALUE"""),"256GB")</f>
        <v>256GB</v>
      </c>
      <c r="J129" s="182"/>
      <c r="K129" s="182" t="str">
        <f>IFERROR(__xludf.DUMMYFUNCTION("""COMPUTED_VALUE"""),"G950-18290-03")</f>
        <v>G950-18290-03</v>
      </c>
      <c r="L129" s="182" t="str">
        <f>IFERROR(__xludf.DUMMYFUNCTION("""COMPUTED_VALUE"""),"G710-07822-01")</f>
        <v>G710-07822-01</v>
      </c>
      <c r="M129" s="182" t="str">
        <f>IFERROR(__xludf.DUMMYFUNCTION("""COMPUTED_VALUE"""),"G710-10000-40")</f>
        <v>G710-10000-40</v>
      </c>
      <c r="N129" s="182" t="str">
        <f>IFERROR(__xludf.DUMMYFUNCTION("""COMPUTED_VALUE"""),"G730-09466-13")</f>
        <v>G730-09466-13</v>
      </c>
      <c r="O129" s="182" t="str">
        <f>IFERROR(__xludf.DUMMYFUNCTION("""COMPUTED_VALUE"""),"G710-07813-12")</f>
        <v>G710-07813-12</v>
      </c>
      <c r="P129" s="182" t="str">
        <f>IFERROR(__xludf.DUMMYFUNCTION("""COMPUTED_VALUE"""),"G650-17430-06")</f>
        <v>G650-17430-06</v>
      </c>
      <c r="Q129" s="182" t="str">
        <f>IFERROR(__xludf.DUMMYFUNCTION("""COMPUTED_VALUE"""),"G650-15596-04")</f>
        <v>G650-15596-04</v>
      </c>
      <c r="R129" s="182" t="str">
        <f>IFERROR(__xludf.DUMMYFUNCTION("""COMPUTED_VALUE"""),"G650-14843-04")</f>
        <v>G650-14843-04</v>
      </c>
      <c r="S129" s="182" t="str">
        <f>IFERROR(__xludf.DUMMYFUNCTION("""COMPUTED_VALUE"""),"G650-14411-05")</f>
        <v>G650-14411-05</v>
      </c>
      <c r="T129" s="182" t="str">
        <f>IFERROR(__xludf.DUMMYFUNCTION("""COMPUTED_VALUE"""),"G650-14840-03")</f>
        <v>G650-14840-03</v>
      </c>
      <c r="U129" s="182" t="str">
        <f>IFERROR(__xludf.DUMMYFUNCTION("""COMPUTED_VALUE"""),"G650-14841-03")</f>
        <v>G650-14841-03</v>
      </c>
      <c r="V129" s="182" t="str">
        <f>IFERROR(__xludf.DUMMYFUNCTION("""COMPUTED_VALUE"""),"G650-14413-03")</f>
        <v>G650-14413-03</v>
      </c>
      <c r="W129" s="182" t="str">
        <f>IFERROR(__xludf.DUMMYFUNCTION("""COMPUTED_VALUE"""),"G954-09474-00")</f>
        <v>G954-09474-00</v>
      </c>
      <c r="X129" s="182"/>
      <c r="Y129" s="182"/>
      <c r="Z129" s="182" t="str">
        <f>IFERROR(__xludf.DUMMYFUNCTION("""COMPUTED_VALUE"""),"Y")</f>
        <v>Y</v>
      </c>
      <c r="AA129" s="182" t="str">
        <f>IFERROR(__xludf.DUMMYFUNCTION("""COMPUTED_VALUE"""),"Y")</f>
        <v>Y</v>
      </c>
    </row>
    <row r="130">
      <c r="A130" s="182" t="str">
        <f>IFERROR(__xludf.DUMMYFUNCTION("""COMPUTED_VALUE"""),"CLNR")</f>
        <v>CLNR</v>
      </c>
      <c r="B130" s="182">
        <f>IFERROR(__xludf.DUMMYFUNCTION("""COMPUTED_VALUE"""),129.0)</f>
        <v>129</v>
      </c>
      <c r="C130" s="182" t="str">
        <f>IFERROR(__xludf.DUMMYFUNCTION("""COMPUTED_VALUE"""),"GEHN3")</f>
        <v>GEHN3</v>
      </c>
      <c r="D130" s="182" t="str">
        <f>IFERROR(__xludf.DUMMYFUNCTION("""COMPUTED_VALUE"""),"CLNRGA10316")</f>
        <v>CLNRGA10316</v>
      </c>
      <c r="E130" s="182" t="str">
        <f>IFERROR(__xludf.DUMMYFUNCTION("""COMPUTED_VALUE"""),"SKU, CLR4, BETTER, SUB6, CA/AU, BZ5, FRU")</f>
        <v>SKU, CLR4, BETTER, SUB6, CA/AU, BZ5, FRU</v>
      </c>
      <c r="F130" s="182" t="str">
        <f>IFERROR(__xludf.DUMMYFUNCTION("""COMPUTED_VALUE"""),"Pixel 10 Pro, Jade, 256GB, CA/TW/SG/MY/AU/MX, FRU")</f>
        <v>Pixel 10 Pro, Jade, 256GB, CA/TW/SG/MY/AU/MX, FRU</v>
      </c>
      <c r="G130" s="182" t="str">
        <f>IFERROR(__xludf.DUMMYFUNCTION("""COMPUTED_VALUE"""),"CLR4")</f>
        <v>CLR4</v>
      </c>
      <c r="H130" s="182" t="str">
        <f>IFERROR(__xludf.DUMMYFUNCTION("""COMPUTED_VALUE"""),"SUB6")</f>
        <v>SUB6</v>
      </c>
      <c r="I130" s="182" t="str">
        <f>IFERROR(__xludf.DUMMYFUNCTION("""COMPUTED_VALUE"""),"256GB")</f>
        <v>256GB</v>
      </c>
      <c r="J130" s="182"/>
      <c r="K130" s="182" t="str">
        <f>IFERROR(__xludf.DUMMYFUNCTION("""COMPUTED_VALUE"""),"G950-18290-04")</f>
        <v>G950-18290-04</v>
      </c>
      <c r="L130" s="182" t="str">
        <f>IFERROR(__xludf.DUMMYFUNCTION("""COMPUTED_VALUE"""),"G710-07822-01")</f>
        <v>G710-07822-01</v>
      </c>
      <c r="M130" s="182" t="str">
        <f>IFERROR(__xludf.DUMMYFUNCTION("""COMPUTED_VALUE"""),"G710-10000-40")</f>
        <v>G710-10000-40</v>
      </c>
      <c r="N130" s="182" t="str">
        <f>IFERROR(__xludf.DUMMYFUNCTION("""COMPUTED_VALUE"""),"G730-09466-14")</f>
        <v>G730-09466-14</v>
      </c>
      <c r="O130" s="182" t="str">
        <f>IFERROR(__xludf.DUMMYFUNCTION("""COMPUTED_VALUE"""),"G710-07813-12")</f>
        <v>G710-07813-12</v>
      </c>
      <c r="P130" s="182" t="str">
        <f>IFERROR(__xludf.DUMMYFUNCTION("""COMPUTED_VALUE"""),"G650-17430-06")</f>
        <v>G650-17430-06</v>
      </c>
      <c r="Q130" s="182" t="str">
        <f>IFERROR(__xludf.DUMMYFUNCTION("""COMPUTED_VALUE"""),"G650-15596-04")</f>
        <v>G650-15596-04</v>
      </c>
      <c r="R130" s="182" t="str">
        <f>IFERROR(__xludf.DUMMYFUNCTION("""COMPUTED_VALUE"""),"G650-14843-04")</f>
        <v>G650-14843-04</v>
      </c>
      <c r="S130" s="182" t="str">
        <f>IFERROR(__xludf.DUMMYFUNCTION("""COMPUTED_VALUE"""),"G650-14411-05")</f>
        <v>G650-14411-05</v>
      </c>
      <c r="T130" s="182" t="str">
        <f>IFERROR(__xludf.DUMMYFUNCTION("""COMPUTED_VALUE"""),"G650-14840-03")</f>
        <v>G650-14840-03</v>
      </c>
      <c r="U130" s="182" t="str">
        <f>IFERROR(__xludf.DUMMYFUNCTION("""COMPUTED_VALUE"""),"G650-14841-03")</f>
        <v>G650-14841-03</v>
      </c>
      <c r="V130" s="182" t="str">
        <f>IFERROR(__xludf.DUMMYFUNCTION("""COMPUTED_VALUE"""),"G650-14413-03")</f>
        <v>G650-14413-03</v>
      </c>
      <c r="W130" s="182" t="str">
        <f>IFERROR(__xludf.DUMMYFUNCTION("""COMPUTED_VALUE"""),"G954-09474-00")</f>
        <v>G954-09474-00</v>
      </c>
      <c r="X130" s="182"/>
      <c r="Y130" s="182"/>
      <c r="Z130" s="182" t="str">
        <f>IFERROR(__xludf.DUMMYFUNCTION("""COMPUTED_VALUE"""),"Y")</f>
        <v>Y</v>
      </c>
      <c r="AA130" s="182" t="str">
        <f>IFERROR(__xludf.DUMMYFUNCTION("""COMPUTED_VALUE"""),"Y")</f>
        <v>Y</v>
      </c>
    </row>
    <row r="131">
      <c r="A131" s="182" t="str">
        <f>IFERROR(__xludf.DUMMYFUNCTION("""COMPUTED_VALUE"""),"CLNR")</f>
        <v>CLNR</v>
      </c>
      <c r="B131" s="182">
        <f>IFERROR(__xludf.DUMMYFUNCTION("""COMPUTED_VALUE"""),130.0)</f>
        <v>130</v>
      </c>
      <c r="C131" s="182" t="str">
        <f>IFERROR(__xludf.DUMMYFUNCTION("""COMPUTED_VALUE"""),"GEHN3")</f>
        <v>GEHN3</v>
      </c>
      <c r="D131" s="182" t="str">
        <f>IFERROR(__xludf.DUMMYFUNCTION("""COMPUTED_VALUE"""),"CLNRGA09909")</f>
        <v>CLNRGA09909</v>
      </c>
      <c r="E131" s="182" t="str">
        <f>IFERROR(__xludf.DUMMYFUNCTION("""COMPUTED_VALUE"""),"SKU, CLR1, BEST, SUB6, CA/AU, BZ5, FRU")</f>
        <v>SKU, CLR1, BEST, SUB6, CA/AU, BZ5, FRU</v>
      </c>
      <c r="F131" s="182" t="str">
        <f>IFERROR(__xludf.DUMMYFUNCTION("""COMPUTED_VALUE"""),"Pixel 10 Pro, Obsidian, 512GB, CA/TW/SG/MY/AU/MX, FRU")</f>
        <v>Pixel 10 Pro, Obsidian, 512GB, CA/TW/SG/MY/AU/MX, FRU</v>
      </c>
      <c r="G131" s="182" t="str">
        <f>IFERROR(__xludf.DUMMYFUNCTION("""COMPUTED_VALUE"""),"CLR1")</f>
        <v>CLR1</v>
      </c>
      <c r="H131" s="182" t="str">
        <f>IFERROR(__xludf.DUMMYFUNCTION("""COMPUTED_VALUE"""),"SUB6")</f>
        <v>SUB6</v>
      </c>
      <c r="I131" s="182" t="str">
        <f>IFERROR(__xludf.DUMMYFUNCTION("""COMPUTED_VALUE"""),"512GB")</f>
        <v>512GB</v>
      </c>
      <c r="J131" s="182"/>
      <c r="K131" s="182" t="str">
        <f>IFERROR(__xludf.DUMMYFUNCTION("""COMPUTED_VALUE"""),"G950-18292-01")</f>
        <v>G950-18292-01</v>
      </c>
      <c r="L131" s="182" t="str">
        <f>IFERROR(__xludf.DUMMYFUNCTION("""COMPUTED_VALUE"""),"G710-07822-01")</f>
        <v>G710-07822-01</v>
      </c>
      <c r="M131" s="182" t="str">
        <f>IFERROR(__xludf.DUMMYFUNCTION("""COMPUTED_VALUE"""),"G710-10000-40")</f>
        <v>G710-10000-40</v>
      </c>
      <c r="N131" s="182" t="str">
        <f>IFERROR(__xludf.DUMMYFUNCTION("""COMPUTED_VALUE"""),"G730-09466-11")</f>
        <v>G730-09466-11</v>
      </c>
      <c r="O131" s="182" t="str">
        <f>IFERROR(__xludf.DUMMYFUNCTION("""COMPUTED_VALUE"""),"G710-07813-22")</f>
        <v>G710-07813-22</v>
      </c>
      <c r="P131" s="182" t="str">
        <f>IFERROR(__xludf.DUMMYFUNCTION("""COMPUTED_VALUE"""),"G650-17432-06")</f>
        <v>G650-17432-06</v>
      </c>
      <c r="Q131" s="182" t="str">
        <f>IFERROR(__xludf.DUMMYFUNCTION("""COMPUTED_VALUE"""),"G650-15596-04")</f>
        <v>G650-15596-04</v>
      </c>
      <c r="R131" s="182" t="str">
        <f>IFERROR(__xludf.DUMMYFUNCTION("""COMPUTED_VALUE"""),"G650-14843-04")</f>
        <v>G650-14843-04</v>
      </c>
      <c r="S131" s="182" t="str">
        <f>IFERROR(__xludf.DUMMYFUNCTION("""COMPUTED_VALUE"""),"G650-14411-05")</f>
        <v>G650-14411-05</v>
      </c>
      <c r="T131" s="182" t="str">
        <f>IFERROR(__xludf.DUMMYFUNCTION("""COMPUTED_VALUE"""),"G650-14840-03")</f>
        <v>G650-14840-03</v>
      </c>
      <c r="U131" s="182" t="str">
        <f>IFERROR(__xludf.DUMMYFUNCTION("""COMPUTED_VALUE"""),"G650-14841-03")</f>
        <v>G650-14841-03</v>
      </c>
      <c r="V131" s="182" t="str">
        <f>IFERROR(__xludf.DUMMYFUNCTION("""COMPUTED_VALUE"""),"G650-14413-03")</f>
        <v>G650-14413-03</v>
      </c>
      <c r="W131" s="182" t="str">
        <f>IFERROR(__xludf.DUMMYFUNCTION("""COMPUTED_VALUE"""),"G954-09474-00")</f>
        <v>G954-09474-00</v>
      </c>
      <c r="X131" s="182"/>
      <c r="Y131" s="182"/>
      <c r="Z131" s="182" t="str">
        <f>IFERROR(__xludf.DUMMYFUNCTION("""COMPUTED_VALUE"""),"Y")</f>
        <v>Y</v>
      </c>
      <c r="AA131" s="182" t="str">
        <f>IFERROR(__xludf.DUMMYFUNCTION("""COMPUTED_VALUE"""),"Y")</f>
        <v>Y</v>
      </c>
    </row>
    <row r="132">
      <c r="A132" s="182" t="str">
        <f>IFERROR(__xludf.DUMMYFUNCTION("""COMPUTED_VALUE"""),"CLNR")</f>
        <v>CLNR</v>
      </c>
      <c r="B132" s="182">
        <f>IFERROR(__xludf.DUMMYFUNCTION("""COMPUTED_VALUE"""),131.0)</f>
        <v>131</v>
      </c>
      <c r="C132" s="182" t="str">
        <f>IFERROR(__xludf.DUMMYFUNCTION("""COMPUTED_VALUE"""),"GEHN3")</f>
        <v>GEHN3</v>
      </c>
      <c r="D132" s="182" t="str">
        <f>IFERROR(__xludf.DUMMYFUNCTION("""COMPUTED_VALUE"""),"CLNRGA10318")</f>
        <v>CLNRGA10318</v>
      </c>
      <c r="E132" s="182" t="str">
        <f>IFERROR(__xludf.DUMMYFUNCTION("""COMPUTED_VALUE"""),"SKU, CLR3, BEST, SUB6, CA/AU, BZ5, FRU")</f>
        <v>SKU, CLR3, BEST, SUB6, CA/AU, BZ5, FRU</v>
      </c>
      <c r="F132" s="182" t="str">
        <f>IFERROR(__xludf.DUMMYFUNCTION("""COMPUTED_VALUE"""),"Pixel 10 Pro, Moonstone, 512GB, CA/TW/SG/MY/AU/MX, FRU")</f>
        <v>Pixel 10 Pro, Moonstone, 512GB, CA/TW/SG/MY/AU/MX, FRU</v>
      </c>
      <c r="G132" s="182" t="str">
        <f>IFERROR(__xludf.DUMMYFUNCTION("""COMPUTED_VALUE"""),"CLR3")</f>
        <v>CLR3</v>
      </c>
      <c r="H132" s="182" t="str">
        <f>IFERROR(__xludf.DUMMYFUNCTION("""COMPUTED_VALUE"""),"SUB6")</f>
        <v>SUB6</v>
      </c>
      <c r="I132" s="182" t="str">
        <f>IFERROR(__xludf.DUMMYFUNCTION("""COMPUTED_VALUE"""),"512GB")</f>
        <v>512GB</v>
      </c>
      <c r="J132" s="182"/>
      <c r="K132" s="182" t="str">
        <f>IFERROR(__xludf.DUMMYFUNCTION("""COMPUTED_VALUE"""),"G950-18292-03")</f>
        <v>G950-18292-03</v>
      </c>
      <c r="L132" s="182" t="str">
        <f>IFERROR(__xludf.DUMMYFUNCTION("""COMPUTED_VALUE"""),"G710-07822-01")</f>
        <v>G710-07822-01</v>
      </c>
      <c r="M132" s="182" t="str">
        <f>IFERROR(__xludf.DUMMYFUNCTION("""COMPUTED_VALUE"""),"G710-10000-40")</f>
        <v>G710-10000-40</v>
      </c>
      <c r="N132" s="182" t="str">
        <f>IFERROR(__xludf.DUMMYFUNCTION("""COMPUTED_VALUE"""),"G730-09466-13")</f>
        <v>G730-09466-13</v>
      </c>
      <c r="O132" s="182" t="str">
        <f>IFERROR(__xludf.DUMMYFUNCTION("""COMPUTED_VALUE"""),"G710-07813-22")</f>
        <v>G710-07813-22</v>
      </c>
      <c r="P132" s="182" t="str">
        <f>IFERROR(__xludf.DUMMYFUNCTION("""COMPUTED_VALUE"""),"G650-17432-06")</f>
        <v>G650-17432-06</v>
      </c>
      <c r="Q132" s="182" t="str">
        <f>IFERROR(__xludf.DUMMYFUNCTION("""COMPUTED_VALUE"""),"G650-15596-04")</f>
        <v>G650-15596-04</v>
      </c>
      <c r="R132" s="182" t="str">
        <f>IFERROR(__xludf.DUMMYFUNCTION("""COMPUTED_VALUE"""),"G650-14843-04")</f>
        <v>G650-14843-04</v>
      </c>
      <c r="S132" s="182" t="str">
        <f>IFERROR(__xludf.DUMMYFUNCTION("""COMPUTED_VALUE"""),"G650-14411-05")</f>
        <v>G650-14411-05</v>
      </c>
      <c r="T132" s="182" t="str">
        <f>IFERROR(__xludf.DUMMYFUNCTION("""COMPUTED_VALUE"""),"G650-14840-03")</f>
        <v>G650-14840-03</v>
      </c>
      <c r="U132" s="182" t="str">
        <f>IFERROR(__xludf.DUMMYFUNCTION("""COMPUTED_VALUE"""),"G650-14841-03")</f>
        <v>G650-14841-03</v>
      </c>
      <c r="V132" s="182" t="str">
        <f>IFERROR(__xludf.DUMMYFUNCTION("""COMPUTED_VALUE"""),"G650-14413-03")</f>
        <v>G650-14413-03</v>
      </c>
      <c r="W132" s="182" t="str">
        <f>IFERROR(__xludf.DUMMYFUNCTION("""COMPUTED_VALUE"""),"G954-09474-00")</f>
        <v>G954-09474-00</v>
      </c>
      <c r="X132" s="182"/>
      <c r="Y132" s="182"/>
      <c r="Z132" s="182" t="str">
        <f>IFERROR(__xludf.DUMMYFUNCTION("""COMPUTED_VALUE"""),"Y")</f>
        <v>Y</v>
      </c>
      <c r="AA132" s="182" t="str">
        <f>IFERROR(__xludf.DUMMYFUNCTION("""COMPUTED_VALUE"""),"Y")</f>
        <v>Y</v>
      </c>
    </row>
    <row r="133">
      <c r="A133" s="182" t="str">
        <f>IFERROR(__xludf.DUMMYFUNCTION("""COMPUTED_VALUE"""),"CLNR")</f>
        <v>CLNR</v>
      </c>
      <c r="B133" s="182">
        <f>IFERROR(__xludf.DUMMYFUNCTION("""COMPUTED_VALUE"""),132.0)</f>
        <v>132</v>
      </c>
      <c r="C133" s="182" t="str">
        <f>IFERROR(__xludf.DUMMYFUNCTION("""COMPUTED_VALUE"""),"GEHN3")</f>
        <v>GEHN3</v>
      </c>
      <c r="D133" s="182" t="str">
        <f>IFERROR(__xludf.DUMMYFUNCTION("""COMPUTED_VALUE"""),"CLNRGA09934")</f>
        <v>CLNRGA09934</v>
      </c>
      <c r="E133" s="182" t="str">
        <f>IFERROR(__xludf.DUMMYFUNCTION("""COMPUTED_VALUE"""),"SKU, CLR1, ULTRA, SUB6, CA/AU, BZ5, FRU")</f>
        <v>SKU, CLR1, ULTRA, SUB6, CA/AU, BZ5, FRU</v>
      </c>
      <c r="F133" s="182" t="str">
        <f>IFERROR(__xludf.DUMMYFUNCTION("""COMPUTED_VALUE"""),"Pixel 10 Pro, Obsidian, 1TB, CA/TW/SG/MY/AU/MX, FRU")</f>
        <v>Pixel 10 Pro, Obsidian, 1TB, CA/TW/SG/MY/AU/MX, FRU</v>
      </c>
      <c r="G133" s="182" t="str">
        <f>IFERROR(__xludf.DUMMYFUNCTION("""COMPUTED_VALUE"""),"CLR1")</f>
        <v>CLR1</v>
      </c>
      <c r="H133" s="182" t="str">
        <f>IFERROR(__xludf.DUMMYFUNCTION("""COMPUTED_VALUE"""),"SUB6")</f>
        <v>SUB6</v>
      </c>
      <c r="I133" s="182" t="str">
        <f>IFERROR(__xludf.DUMMYFUNCTION("""COMPUTED_VALUE"""),"1TB")</f>
        <v>1TB</v>
      </c>
      <c r="J133" s="182"/>
      <c r="K133" s="182" t="str">
        <f>IFERROR(__xludf.DUMMYFUNCTION("""COMPUTED_VALUE"""),"G950-18294-01")</f>
        <v>G950-18294-01</v>
      </c>
      <c r="L133" s="182" t="str">
        <f>IFERROR(__xludf.DUMMYFUNCTION("""COMPUTED_VALUE"""),"G710-07822-01")</f>
        <v>G710-07822-01</v>
      </c>
      <c r="M133" s="182" t="str">
        <f>IFERROR(__xludf.DUMMYFUNCTION("""COMPUTED_VALUE"""),"G710-10000-40")</f>
        <v>G710-10000-40</v>
      </c>
      <c r="N133" s="182" t="str">
        <f>IFERROR(__xludf.DUMMYFUNCTION("""COMPUTED_VALUE"""),"G730-09466-11")</f>
        <v>G730-09466-11</v>
      </c>
      <c r="O133" s="182" t="str">
        <f>IFERROR(__xludf.DUMMYFUNCTION("""COMPUTED_VALUE"""),"G710-07813-32")</f>
        <v>G710-07813-32</v>
      </c>
      <c r="P133" s="182" t="str">
        <f>IFERROR(__xludf.DUMMYFUNCTION("""COMPUTED_VALUE"""),"G650-17434-06")</f>
        <v>G650-17434-06</v>
      </c>
      <c r="Q133" s="182" t="str">
        <f>IFERROR(__xludf.DUMMYFUNCTION("""COMPUTED_VALUE"""),"G650-15596-04")</f>
        <v>G650-15596-04</v>
      </c>
      <c r="R133" s="182" t="str">
        <f>IFERROR(__xludf.DUMMYFUNCTION("""COMPUTED_VALUE"""),"G650-14843-04")</f>
        <v>G650-14843-04</v>
      </c>
      <c r="S133" s="182" t="str">
        <f>IFERROR(__xludf.DUMMYFUNCTION("""COMPUTED_VALUE"""),"G650-14411-05")</f>
        <v>G650-14411-05</v>
      </c>
      <c r="T133" s="182" t="str">
        <f>IFERROR(__xludf.DUMMYFUNCTION("""COMPUTED_VALUE"""),"G650-14840-03")</f>
        <v>G650-14840-03</v>
      </c>
      <c r="U133" s="182" t="str">
        <f>IFERROR(__xludf.DUMMYFUNCTION("""COMPUTED_VALUE"""),"G650-14841-03")</f>
        <v>G650-14841-03</v>
      </c>
      <c r="V133" s="182" t="str">
        <f>IFERROR(__xludf.DUMMYFUNCTION("""COMPUTED_VALUE"""),"G650-14413-03")</f>
        <v>G650-14413-03</v>
      </c>
      <c r="W133" s="182" t="str">
        <f>IFERROR(__xludf.DUMMYFUNCTION("""COMPUTED_VALUE"""),"G954-09474-00")</f>
        <v>G954-09474-00</v>
      </c>
      <c r="X133" s="182"/>
      <c r="Y133" s="182"/>
      <c r="Z133" s="182" t="str">
        <f>IFERROR(__xludf.DUMMYFUNCTION("""COMPUTED_VALUE"""),"Y")</f>
        <v>Y</v>
      </c>
      <c r="AA133" s="182" t="str">
        <f>IFERROR(__xludf.DUMMYFUNCTION("""COMPUTED_VALUE"""),"Y")</f>
        <v>Y</v>
      </c>
    </row>
    <row r="134">
      <c r="A134" s="182" t="str">
        <f>IFERROR(__xludf.DUMMYFUNCTION("""COMPUTED_VALUE"""),"CLNR")</f>
        <v>CLNR</v>
      </c>
      <c r="B134" s="182">
        <f>IFERROR(__xludf.DUMMYFUNCTION("""COMPUTED_VALUE"""),133.0)</f>
        <v>133</v>
      </c>
      <c r="C134" s="182" t="str">
        <f>IFERROR(__xludf.DUMMYFUNCTION("""COMPUTED_VALUE"""),"G4QUR")</f>
        <v>G4QUR</v>
      </c>
      <c r="D134" s="182" t="str">
        <f>IFERROR(__xludf.DUMMYFUNCTION("""COMPUTED_VALUE"""),"CLNRGA10490")</f>
        <v>CLNRGA10490</v>
      </c>
      <c r="E134" s="182" t="str">
        <f>IFERROR(__xludf.DUMMYFUNCTION("""COMPUTED_VALUE"""),"SKU, CLR1, GOOD, MMWAVE, GSTORE, BZ5, FRU")</f>
        <v>SKU, CLR1, GOOD, MMWAVE, GSTORE, BZ5, FRU</v>
      </c>
      <c r="F134" s="182" t="str">
        <f>IFERROR(__xludf.DUMMYFUNCTION("""COMPUTED_VALUE"""),"Pixel 10 Pro, Obsidian, 128GB, GStore, US, FRU")</f>
        <v>Pixel 10 Pro, Obsidian, 128GB, GStore, US, FRU</v>
      </c>
      <c r="G134" s="182" t="str">
        <f>IFERROR(__xludf.DUMMYFUNCTION("""COMPUTED_VALUE"""),"CLR1")</f>
        <v>CLR1</v>
      </c>
      <c r="H134" s="182" t="str">
        <f>IFERROR(__xludf.DUMMYFUNCTION("""COMPUTED_VALUE"""),"mmWave")</f>
        <v>mmWave</v>
      </c>
      <c r="I134" s="182" t="str">
        <f>IFERROR(__xludf.DUMMYFUNCTION("""COMPUTED_VALUE"""),"128GB")</f>
        <v>128GB</v>
      </c>
      <c r="J134" s="182"/>
      <c r="K134" s="182" t="str">
        <f>IFERROR(__xludf.DUMMYFUNCTION("""COMPUTED_VALUE"""),"G950-15986-01")</f>
        <v>G950-15986-01</v>
      </c>
      <c r="L134" s="182" t="str">
        <f>IFERROR(__xludf.DUMMYFUNCTION("""COMPUTED_VALUE"""),"G710-07821-01")</f>
        <v>G710-07821-01</v>
      </c>
      <c r="M134" s="182" t="str">
        <f>IFERROR(__xludf.DUMMYFUNCTION("""COMPUTED_VALUE"""),"G710-10000-40")</f>
        <v>G710-10000-40</v>
      </c>
      <c r="N134" s="182" t="str">
        <f>IFERROR(__xludf.DUMMYFUNCTION("""COMPUTED_VALUE"""),"G730-09466-11")</f>
        <v>G730-09466-11</v>
      </c>
      <c r="O134" s="182" t="str">
        <f>IFERROR(__xludf.DUMMYFUNCTION("""COMPUTED_VALUE"""),"G710-07813-00")</f>
        <v>G710-07813-00</v>
      </c>
      <c r="P134" s="182" t="str">
        <f>IFERROR(__xludf.DUMMYFUNCTION("""COMPUTED_VALUE"""),"G650-14410-06")</f>
        <v>G650-14410-06</v>
      </c>
      <c r="Q134" s="182" t="str">
        <f>IFERROR(__xludf.DUMMYFUNCTION("""COMPUTED_VALUE"""),"G650-14412-04")</f>
        <v>G650-14412-04</v>
      </c>
      <c r="R134" s="182" t="str">
        <f>IFERROR(__xludf.DUMMYFUNCTION("""COMPUTED_VALUE"""),"G650-14843-04")</f>
        <v>G650-14843-04</v>
      </c>
      <c r="S134" s="182" t="str">
        <f>IFERROR(__xludf.DUMMYFUNCTION("""COMPUTED_VALUE"""),"G650-14411-05")</f>
        <v>G650-14411-05</v>
      </c>
      <c r="T134" s="182" t="str">
        <f>IFERROR(__xludf.DUMMYFUNCTION("""COMPUTED_VALUE"""),"G650-14840-03")</f>
        <v>G650-14840-03</v>
      </c>
      <c r="U134" s="182" t="str">
        <f>IFERROR(__xludf.DUMMYFUNCTION("""COMPUTED_VALUE"""),"G650-14841-03")</f>
        <v>G650-14841-03</v>
      </c>
      <c r="V134" s="182" t="str">
        <f>IFERROR(__xludf.DUMMYFUNCTION("""COMPUTED_VALUE"""),"G650-14413-03")</f>
        <v>G650-14413-03</v>
      </c>
      <c r="W134" s="182" t="str">
        <f>IFERROR(__xludf.DUMMYFUNCTION("""COMPUTED_VALUE"""),"G954-09472-00")</f>
        <v>G954-09472-00</v>
      </c>
      <c r="X134" s="182"/>
      <c r="Y134" s="182"/>
      <c r="Z134" s="182" t="str">
        <f>IFERROR(__xludf.DUMMYFUNCTION("""COMPUTED_VALUE"""),"N")</f>
        <v>N</v>
      </c>
      <c r="AA134" s="182" t="str">
        <f>IFERROR(__xludf.DUMMYFUNCTION("""COMPUTED_VALUE"""),"Y")</f>
        <v>Y</v>
      </c>
    </row>
    <row r="135">
      <c r="A135" s="182" t="str">
        <f>IFERROR(__xludf.DUMMYFUNCTION("""COMPUTED_VALUE"""),"CLNR")</f>
        <v>CLNR</v>
      </c>
      <c r="B135" s="182">
        <f>IFERROR(__xludf.DUMMYFUNCTION("""COMPUTED_VALUE"""),134.0)</f>
        <v>134</v>
      </c>
      <c r="C135" s="182" t="str">
        <f>IFERROR(__xludf.DUMMYFUNCTION("""COMPUTED_VALUE"""),"G4QUR")</f>
        <v>G4QUR</v>
      </c>
      <c r="D135" s="182" t="str">
        <f>IFERROR(__xludf.DUMMYFUNCTION("""COMPUTED_VALUE"""),"CLNRGA10491")</f>
        <v>CLNRGA10491</v>
      </c>
      <c r="E135" s="182" t="str">
        <f>IFERROR(__xludf.DUMMYFUNCTION("""COMPUTED_VALUE"""),"SKU, CLR2, GOOD, MMWAVE, GSTORE, BZ5, FRU")</f>
        <v>SKU, CLR2, GOOD, MMWAVE, GSTORE, BZ5, FRU</v>
      </c>
      <c r="F135" s="182" t="str">
        <f>IFERROR(__xludf.DUMMYFUNCTION("""COMPUTED_VALUE"""),"Pixel 10 Pro, Porcelain, 128GB, GStore, US, FRU")</f>
        <v>Pixel 10 Pro, Porcelain, 128GB, GStore, US, FRU</v>
      </c>
      <c r="G135" s="182" t="str">
        <f>IFERROR(__xludf.DUMMYFUNCTION("""COMPUTED_VALUE"""),"CLR2")</f>
        <v>CLR2</v>
      </c>
      <c r="H135" s="182" t="str">
        <f>IFERROR(__xludf.DUMMYFUNCTION("""COMPUTED_VALUE"""),"mmWave")</f>
        <v>mmWave</v>
      </c>
      <c r="I135" s="182" t="str">
        <f>IFERROR(__xludf.DUMMYFUNCTION("""COMPUTED_VALUE"""),"128GB")</f>
        <v>128GB</v>
      </c>
      <c r="J135" s="182"/>
      <c r="K135" s="182" t="str">
        <f>IFERROR(__xludf.DUMMYFUNCTION("""COMPUTED_VALUE"""),"G950-15986-02")</f>
        <v>G950-15986-02</v>
      </c>
      <c r="L135" s="182" t="str">
        <f>IFERROR(__xludf.DUMMYFUNCTION("""COMPUTED_VALUE"""),"G710-07821-01")</f>
        <v>G710-07821-01</v>
      </c>
      <c r="M135" s="182" t="str">
        <f>IFERROR(__xludf.DUMMYFUNCTION("""COMPUTED_VALUE"""),"G710-10000-40")</f>
        <v>G710-10000-40</v>
      </c>
      <c r="N135" s="182" t="str">
        <f>IFERROR(__xludf.DUMMYFUNCTION("""COMPUTED_VALUE"""),"G730-09466-12")</f>
        <v>G730-09466-12</v>
      </c>
      <c r="O135" s="182" t="str">
        <f>IFERROR(__xludf.DUMMYFUNCTION("""COMPUTED_VALUE"""),"G710-07813-00")</f>
        <v>G710-07813-00</v>
      </c>
      <c r="P135" s="182" t="str">
        <f>IFERROR(__xludf.DUMMYFUNCTION("""COMPUTED_VALUE"""),"G650-14410-06")</f>
        <v>G650-14410-06</v>
      </c>
      <c r="Q135" s="182" t="str">
        <f>IFERROR(__xludf.DUMMYFUNCTION("""COMPUTED_VALUE"""),"G650-14412-04")</f>
        <v>G650-14412-04</v>
      </c>
      <c r="R135" s="182" t="str">
        <f>IFERROR(__xludf.DUMMYFUNCTION("""COMPUTED_VALUE"""),"G650-14843-04")</f>
        <v>G650-14843-04</v>
      </c>
      <c r="S135" s="182" t="str">
        <f>IFERROR(__xludf.DUMMYFUNCTION("""COMPUTED_VALUE"""),"G650-14411-05")</f>
        <v>G650-14411-05</v>
      </c>
      <c r="T135" s="182" t="str">
        <f>IFERROR(__xludf.DUMMYFUNCTION("""COMPUTED_VALUE"""),"G650-14840-03")</f>
        <v>G650-14840-03</v>
      </c>
      <c r="U135" s="182" t="str">
        <f>IFERROR(__xludf.DUMMYFUNCTION("""COMPUTED_VALUE"""),"G650-14841-03")</f>
        <v>G650-14841-03</v>
      </c>
      <c r="V135" s="182" t="str">
        <f>IFERROR(__xludf.DUMMYFUNCTION("""COMPUTED_VALUE"""),"G650-14413-03")</f>
        <v>G650-14413-03</v>
      </c>
      <c r="W135" s="182" t="str">
        <f>IFERROR(__xludf.DUMMYFUNCTION("""COMPUTED_VALUE"""),"G954-09472-00")</f>
        <v>G954-09472-00</v>
      </c>
      <c r="X135" s="182"/>
      <c r="Y135" s="182"/>
      <c r="Z135" s="182" t="str">
        <f>IFERROR(__xludf.DUMMYFUNCTION("""COMPUTED_VALUE"""),"N")</f>
        <v>N</v>
      </c>
      <c r="AA135" s="182" t="str">
        <f>IFERROR(__xludf.DUMMYFUNCTION("""COMPUTED_VALUE"""),"Y")</f>
        <v>Y</v>
      </c>
    </row>
    <row r="136">
      <c r="A136" s="182" t="str">
        <f>IFERROR(__xludf.DUMMYFUNCTION("""COMPUTED_VALUE"""),"CLNR")</f>
        <v>CLNR</v>
      </c>
      <c r="B136" s="182">
        <f>IFERROR(__xludf.DUMMYFUNCTION("""COMPUTED_VALUE"""),135.0)</f>
        <v>135</v>
      </c>
      <c r="C136" s="182" t="str">
        <f>IFERROR(__xludf.DUMMYFUNCTION("""COMPUTED_VALUE"""),"G4QUR")</f>
        <v>G4QUR</v>
      </c>
      <c r="D136" s="182" t="str">
        <f>IFERROR(__xludf.DUMMYFUNCTION("""COMPUTED_VALUE"""),"CLNRGA10492")</f>
        <v>CLNRGA10492</v>
      </c>
      <c r="E136" s="182" t="str">
        <f>IFERROR(__xludf.DUMMYFUNCTION("""COMPUTED_VALUE"""),"SKU, CLR3, GOOD, MMWAVE, GSTORE, BZ5, FRU")</f>
        <v>SKU, CLR3, GOOD, MMWAVE, GSTORE, BZ5, FRU</v>
      </c>
      <c r="F136" s="182" t="str">
        <f>IFERROR(__xludf.DUMMYFUNCTION("""COMPUTED_VALUE"""),"Pixel 10 Pro, Moonstone, 128GB, GStore, US, FRU")</f>
        <v>Pixel 10 Pro, Moonstone, 128GB, GStore, US, FRU</v>
      </c>
      <c r="G136" s="182" t="str">
        <f>IFERROR(__xludf.DUMMYFUNCTION("""COMPUTED_VALUE"""),"CLR3")</f>
        <v>CLR3</v>
      </c>
      <c r="H136" s="182" t="str">
        <f>IFERROR(__xludf.DUMMYFUNCTION("""COMPUTED_VALUE"""),"mmWave")</f>
        <v>mmWave</v>
      </c>
      <c r="I136" s="182" t="str">
        <f>IFERROR(__xludf.DUMMYFUNCTION("""COMPUTED_VALUE"""),"128GB")</f>
        <v>128GB</v>
      </c>
      <c r="J136" s="182"/>
      <c r="K136" s="182" t="str">
        <f>IFERROR(__xludf.DUMMYFUNCTION("""COMPUTED_VALUE"""),"G950-15986-03")</f>
        <v>G950-15986-03</v>
      </c>
      <c r="L136" s="182" t="str">
        <f>IFERROR(__xludf.DUMMYFUNCTION("""COMPUTED_VALUE"""),"G710-07821-01")</f>
        <v>G710-07821-01</v>
      </c>
      <c r="M136" s="182" t="str">
        <f>IFERROR(__xludf.DUMMYFUNCTION("""COMPUTED_VALUE"""),"G710-10000-40")</f>
        <v>G710-10000-40</v>
      </c>
      <c r="N136" s="182" t="str">
        <f>IFERROR(__xludf.DUMMYFUNCTION("""COMPUTED_VALUE"""),"G730-09466-13")</f>
        <v>G730-09466-13</v>
      </c>
      <c r="O136" s="182" t="str">
        <f>IFERROR(__xludf.DUMMYFUNCTION("""COMPUTED_VALUE"""),"G710-07813-00")</f>
        <v>G710-07813-00</v>
      </c>
      <c r="P136" s="182" t="str">
        <f>IFERROR(__xludf.DUMMYFUNCTION("""COMPUTED_VALUE"""),"G650-14410-06")</f>
        <v>G650-14410-06</v>
      </c>
      <c r="Q136" s="182" t="str">
        <f>IFERROR(__xludf.DUMMYFUNCTION("""COMPUTED_VALUE"""),"G650-14412-04")</f>
        <v>G650-14412-04</v>
      </c>
      <c r="R136" s="182" t="str">
        <f>IFERROR(__xludf.DUMMYFUNCTION("""COMPUTED_VALUE"""),"G650-14843-04")</f>
        <v>G650-14843-04</v>
      </c>
      <c r="S136" s="182" t="str">
        <f>IFERROR(__xludf.DUMMYFUNCTION("""COMPUTED_VALUE"""),"G650-14411-05")</f>
        <v>G650-14411-05</v>
      </c>
      <c r="T136" s="182" t="str">
        <f>IFERROR(__xludf.DUMMYFUNCTION("""COMPUTED_VALUE"""),"G650-14840-03")</f>
        <v>G650-14840-03</v>
      </c>
      <c r="U136" s="182" t="str">
        <f>IFERROR(__xludf.DUMMYFUNCTION("""COMPUTED_VALUE"""),"G650-14841-03")</f>
        <v>G650-14841-03</v>
      </c>
      <c r="V136" s="182" t="str">
        <f>IFERROR(__xludf.DUMMYFUNCTION("""COMPUTED_VALUE"""),"G650-14413-03")</f>
        <v>G650-14413-03</v>
      </c>
      <c r="W136" s="182" t="str">
        <f>IFERROR(__xludf.DUMMYFUNCTION("""COMPUTED_VALUE"""),"G954-09472-00")</f>
        <v>G954-09472-00</v>
      </c>
      <c r="X136" s="182"/>
      <c r="Y136" s="182"/>
      <c r="Z136" s="182" t="str">
        <f>IFERROR(__xludf.DUMMYFUNCTION("""COMPUTED_VALUE"""),"N")</f>
        <v>N</v>
      </c>
      <c r="AA136" s="182" t="str">
        <f>IFERROR(__xludf.DUMMYFUNCTION("""COMPUTED_VALUE"""),"Y")</f>
        <v>Y</v>
      </c>
    </row>
    <row r="137">
      <c r="A137" s="182" t="str">
        <f>IFERROR(__xludf.DUMMYFUNCTION("""COMPUTED_VALUE"""),"CLNR")</f>
        <v>CLNR</v>
      </c>
      <c r="B137" s="182">
        <f>IFERROR(__xludf.DUMMYFUNCTION("""COMPUTED_VALUE"""),136.0)</f>
        <v>136</v>
      </c>
      <c r="C137" s="182" t="str">
        <f>IFERROR(__xludf.DUMMYFUNCTION("""COMPUTED_VALUE"""),"G4QUR")</f>
        <v>G4QUR</v>
      </c>
      <c r="D137" s="182" t="str">
        <f>IFERROR(__xludf.DUMMYFUNCTION("""COMPUTED_VALUE"""),"CLNRGA10493")</f>
        <v>CLNRGA10493</v>
      </c>
      <c r="E137" s="182" t="str">
        <f>IFERROR(__xludf.DUMMYFUNCTION("""COMPUTED_VALUE"""),"SKU, CLR1, BETTER, MMWAVE, GSTORE, BZ5, FRU")</f>
        <v>SKU, CLR1, BETTER, MMWAVE, GSTORE, BZ5, FRU</v>
      </c>
      <c r="F137" s="182" t="str">
        <f>IFERROR(__xludf.DUMMYFUNCTION("""COMPUTED_VALUE"""),"Pixel 10 Pro, Obsidian, 256GB, GStore, US, FRU")</f>
        <v>Pixel 10 Pro, Obsidian, 256GB, GStore, US, FRU</v>
      </c>
      <c r="G137" s="182" t="str">
        <f>IFERROR(__xludf.DUMMYFUNCTION("""COMPUTED_VALUE"""),"CLR1")</f>
        <v>CLR1</v>
      </c>
      <c r="H137" s="182" t="str">
        <f>IFERROR(__xludf.DUMMYFUNCTION("""COMPUTED_VALUE"""),"mmWave")</f>
        <v>mmWave</v>
      </c>
      <c r="I137" s="182" t="str">
        <f>IFERROR(__xludf.DUMMYFUNCTION("""COMPUTED_VALUE"""),"256GB")</f>
        <v>256GB</v>
      </c>
      <c r="J137" s="182"/>
      <c r="K137" s="182" t="str">
        <f>IFERROR(__xludf.DUMMYFUNCTION("""COMPUTED_VALUE"""),"G950-18289-01")</f>
        <v>G950-18289-01</v>
      </c>
      <c r="L137" s="182" t="str">
        <f>IFERROR(__xludf.DUMMYFUNCTION("""COMPUTED_VALUE"""),"G710-07821-01")</f>
        <v>G710-07821-01</v>
      </c>
      <c r="M137" s="182" t="str">
        <f>IFERROR(__xludf.DUMMYFUNCTION("""COMPUTED_VALUE"""),"G710-10000-40")</f>
        <v>G710-10000-40</v>
      </c>
      <c r="N137" s="182" t="str">
        <f>IFERROR(__xludf.DUMMYFUNCTION("""COMPUTED_VALUE"""),"G730-09466-11")</f>
        <v>G730-09466-11</v>
      </c>
      <c r="O137" s="182" t="str">
        <f>IFERROR(__xludf.DUMMYFUNCTION("""COMPUTED_VALUE"""),"G710-07813-10")</f>
        <v>G710-07813-10</v>
      </c>
      <c r="P137" s="182" t="str">
        <f>IFERROR(__xludf.DUMMYFUNCTION("""COMPUTED_VALUE"""),"G650-17429-06")</f>
        <v>G650-17429-06</v>
      </c>
      <c r="Q137" s="182" t="str">
        <f>IFERROR(__xludf.DUMMYFUNCTION("""COMPUTED_VALUE"""),"G650-14412-04")</f>
        <v>G650-14412-04</v>
      </c>
      <c r="R137" s="182" t="str">
        <f>IFERROR(__xludf.DUMMYFUNCTION("""COMPUTED_VALUE"""),"G650-14843-04")</f>
        <v>G650-14843-04</v>
      </c>
      <c r="S137" s="182" t="str">
        <f>IFERROR(__xludf.DUMMYFUNCTION("""COMPUTED_VALUE"""),"G650-14411-05")</f>
        <v>G650-14411-05</v>
      </c>
      <c r="T137" s="182" t="str">
        <f>IFERROR(__xludf.DUMMYFUNCTION("""COMPUTED_VALUE"""),"G650-14840-03")</f>
        <v>G650-14840-03</v>
      </c>
      <c r="U137" s="182" t="str">
        <f>IFERROR(__xludf.DUMMYFUNCTION("""COMPUTED_VALUE"""),"G650-14841-03")</f>
        <v>G650-14841-03</v>
      </c>
      <c r="V137" s="182" t="str">
        <f>IFERROR(__xludf.DUMMYFUNCTION("""COMPUTED_VALUE"""),"G650-14413-03")</f>
        <v>G650-14413-03</v>
      </c>
      <c r="W137" s="182" t="str">
        <f>IFERROR(__xludf.DUMMYFUNCTION("""COMPUTED_VALUE"""),"G954-09472-00")</f>
        <v>G954-09472-00</v>
      </c>
      <c r="X137" s="182"/>
      <c r="Y137" s="182"/>
      <c r="Z137" s="182" t="str">
        <f>IFERROR(__xludf.DUMMYFUNCTION("""COMPUTED_VALUE"""),"N")</f>
        <v>N</v>
      </c>
      <c r="AA137" s="182" t="str">
        <f>IFERROR(__xludf.DUMMYFUNCTION("""COMPUTED_VALUE"""),"Y")</f>
        <v>Y</v>
      </c>
    </row>
    <row r="138">
      <c r="A138" s="182" t="str">
        <f>IFERROR(__xludf.DUMMYFUNCTION("""COMPUTED_VALUE"""),"CLNR")</f>
        <v>CLNR</v>
      </c>
      <c r="B138" s="182">
        <f>IFERROR(__xludf.DUMMYFUNCTION("""COMPUTED_VALUE"""),137.0)</f>
        <v>137</v>
      </c>
      <c r="C138" s="182" t="str">
        <f>IFERROR(__xludf.DUMMYFUNCTION("""COMPUTED_VALUE"""),"G4QUR")</f>
        <v>G4QUR</v>
      </c>
      <c r="D138" s="182" t="str">
        <f>IFERROR(__xludf.DUMMYFUNCTION("""COMPUTED_VALUE"""),"CLNRGA10494")</f>
        <v>CLNRGA10494</v>
      </c>
      <c r="E138" s="182" t="str">
        <f>IFERROR(__xludf.DUMMYFUNCTION("""COMPUTED_VALUE"""),"SKU, CLR2, BETTER, MMWAVE, GSTORE, BZ5, FRU")</f>
        <v>SKU, CLR2, BETTER, MMWAVE, GSTORE, BZ5, FRU</v>
      </c>
      <c r="F138" s="182" t="str">
        <f>IFERROR(__xludf.DUMMYFUNCTION("""COMPUTED_VALUE"""),"Pixel 10 Pro, Porcelain, 256GB, GStore, US, FRU")</f>
        <v>Pixel 10 Pro, Porcelain, 256GB, GStore, US, FRU</v>
      </c>
      <c r="G138" s="182" t="str">
        <f>IFERROR(__xludf.DUMMYFUNCTION("""COMPUTED_VALUE"""),"CLR2")</f>
        <v>CLR2</v>
      </c>
      <c r="H138" s="182" t="str">
        <f>IFERROR(__xludf.DUMMYFUNCTION("""COMPUTED_VALUE"""),"mmWave")</f>
        <v>mmWave</v>
      </c>
      <c r="I138" s="182" t="str">
        <f>IFERROR(__xludf.DUMMYFUNCTION("""COMPUTED_VALUE"""),"256GB")</f>
        <v>256GB</v>
      </c>
      <c r="J138" s="182"/>
      <c r="K138" s="182" t="str">
        <f>IFERROR(__xludf.DUMMYFUNCTION("""COMPUTED_VALUE"""),"G950-18289-02")</f>
        <v>G950-18289-02</v>
      </c>
      <c r="L138" s="182" t="str">
        <f>IFERROR(__xludf.DUMMYFUNCTION("""COMPUTED_VALUE"""),"G710-07821-01")</f>
        <v>G710-07821-01</v>
      </c>
      <c r="M138" s="182" t="str">
        <f>IFERROR(__xludf.DUMMYFUNCTION("""COMPUTED_VALUE"""),"G710-10000-40")</f>
        <v>G710-10000-40</v>
      </c>
      <c r="N138" s="182" t="str">
        <f>IFERROR(__xludf.DUMMYFUNCTION("""COMPUTED_VALUE"""),"G730-09466-12")</f>
        <v>G730-09466-12</v>
      </c>
      <c r="O138" s="182" t="str">
        <f>IFERROR(__xludf.DUMMYFUNCTION("""COMPUTED_VALUE"""),"G710-07813-10")</f>
        <v>G710-07813-10</v>
      </c>
      <c r="P138" s="182" t="str">
        <f>IFERROR(__xludf.DUMMYFUNCTION("""COMPUTED_VALUE"""),"G650-17429-06")</f>
        <v>G650-17429-06</v>
      </c>
      <c r="Q138" s="182" t="str">
        <f>IFERROR(__xludf.DUMMYFUNCTION("""COMPUTED_VALUE"""),"G650-14412-04")</f>
        <v>G650-14412-04</v>
      </c>
      <c r="R138" s="182" t="str">
        <f>IFERROR(__xludf.DUMMYFUNCTION("""COMPUTED_VALUE"""),"G650-14843-04")</f>
        <v>G650-14843-04</v>
      </c>
      <c r="S138" s="182" t="str">
        <f>IFERROR(__xludf.DUMMYFUNCTION("""COMPUTED_VALUE"""),"G650-14411-05")</f>
        <v>G650-14411-05</v>
      </c>
      <c r="T138" s="182" t="str">
        <f>IFERROR(__xludf.DUMMYFUNCTION("""COMPUTED_VALUE"""),"G650-14840-03")</f>
        <v>G650-14840-03</v>
      </c>
      <c r="U138" s="182" t="str">
        <f>IFERROR(__xludf.DUMMYFUNCTION("""COMPUTED_VALUE"""),"G650-14841-03")</f>
        <v>G650-14841-03</v>
      </c>
      <c r="V138" s="182" t="str">
        <f>IFERROR(__xludf.DUMMYFUNCTION("""COMPUTED_VALUE"""),"G650-14413-03")</f>
        <v>G650-14413-03</v>
      </c>
      <c r="W138" s="182" t="str">
        <f>IFERROR(__xludf.DUMMYFUNCTION("""COMPUTED_VALUE"""),"G954-09472-00")</f>
        <v>G954-09472-00</v>
      </c>
      <c r="X138" s="182"/>
      <c r="Y138" s="182"/>
      <c r="Z138" s="182" t="str">
        <f>IFERROR(__xludf.DUMMYFUNCTION("""COMPUTED_VALUE"""),"N")</f>
        <v>N</v>
      </c>
      <c r="AA138" s="182" t="str">
        <f>IFERROR(__xludf.DUMMYFUNCTION("""COMPUTED_VALUE"""),"Y")</f>
        <v>Y</v>
      </c>
    </row>
    <row r="139">
      <c r="A139" s="182" t="str">
        <f>IFERROR(__xludf.DUMMYFUNCTION("""COMPUTED_VALUE"""),"CLNR")</f>
        <v>CLNR</v>
      </c>
      <c r="B139" s="182">
        <f>IFERROR(__xludf.DUMMYFUNCTION("""COMPUTED_VALUE"""),138.0)</f>
        <v>138</v>
      </c>
      <c r="C139" s="182" t="str">
        <f>IFERROR(__xludf.DUMMYFUNCTION("""COMPUTED_VALUE"""),"G4QUR")</f>
        <v>G4QUR</v>
      </c>
      <c r="D139" s="182" t="str">
        <f>IFERROR(__xludf.DUMMYFUNCTION("""COMPUTED_VALUE"""),"CLNRGA10495")</f>
        <v>CLNRGA10495</v>
      </c>
      <c r="E139" s="182" t="str">
        <f>IFERROR(__xludf.DUMMYFUNCTION("""COMPUTED_VALUE"""),"SKU, CLR3, BETTER, MMWAVE, GSTORE, BZ5, FRU")</f>
        <v>SKU, CLR3, BETTER, MMWAVE, GSTORE, BZ5, FRU</v>
      </c>
      <c r="F139" s="182" t="str">
        <f>IFERROR(__xludf.DUMMYFUNCTION("""COMPUTED_VALUE"""),"Pixel 10 Pro, Moonstone, 256GB, GStore, US, FRU")</f>
        <v>Pixel 10 Pro, Moonstone, 256GB, GStore, US, FRU</v>
      </c>
      <c r="G139" s="182" t="str">
        <f>IFERROR(__xludf.DUMMYFUNCTION("""COMPUTED_VALUE"""),"CLR3")</f>
        <v>CLR3</v>
      </c>
      <c r="H139" s="182" t="str">
        <f>IFERROR(__xludf.DUMMYFUNCTION("""COMPUTED_VALUE"""),"mmWave")</f>
        <v>mmWave</v>
      </c>
      <c r="I139" s="182" t="str">
        <f>IFERROR(__xludf.DUMMYFUNCTION("""COMPUTED_VALUE"""),"256GB")</f>
        <v>256GB</v>
      </c>
      <c r="J139" s="182"/>
      <c r="K139" s="182" t="str">
        <f>IFERROR(__xludf.DUMMYFUNCTION("""COMPUTED_VALUE"""),"G950-18289-03")</f>
        <v>G950-18289-03</v>
      </c>
      <c r="L139" s="182" t="str">
        <f>IFERROR(__xludf.DUMMYFUNCTION("""COMPUTED_VALUE"""),"G710-07821-01")</f>
        <v>G710-07821-01</v>
      </c>
      <c r="M139" s="182" t="str">
        <f>IFERROR(__xludf.DUMMYFUNCTION("""COMPUTED_VALUE"""),"G710-10000-40")</f>
        <v>G710-10000-40</v>
      </c>
      <c r="N139" s="182" t="str">
        <f>IFERROR(__xludf.DUMMYFUNCTION("""COMPUTED_VALUE"""),"G730-09466-13")</f>
        <v>G730-09466-13</v>
      </c>
      <c r="O139" s="182" t="str">
        <f>IFERROR(__xludf.DUMMYFUNCTION("""COMPUTED_VALUE"""),"G710-07813-10")</f>
        <v>G710-07813-10</v>
      </c>
      <c r="P139" s="182" t="str">
        <f>IFERROR(__xludf.DUMMYFUNCTION("""COMPUTED_VALUE"""),"G650-17429-06")</f>
        <v>G650-17429-06</v>
      </c>
      <c r="Q139" s="182" t="str">
        <f>IFERROR(__xludf.DUMMYFUNCTION("""COMPUTED_VALUE"""),"G650-14412-04")</f>
        <v>G650-14412-04</v>
      </c>
      <c r="R139" s="182" t="str">
        <f>IFERROR(__xludf.DUMMYFUNCTION("""COMPUTED_VALUE"""),"G650-14843-04")</f>
        <v>G650-14843-04</v>
      </c>
      <c r="S139" s="182" t="str">
        <f>IFERROR(__xludf.DUMMYFUNCTION("""COMPUTED_VALUE"""),"G650-14411-05")</f>
        <v>G650-14411-05</v>
      </c>
      <c r="T139" s="182" t="str">
        <f>IFERROR(__xludf.DUMMYFUNCTION("""COMPUTED_VALUE"""),"G650-14840-03")</f>
        <v>G650-14840-03</v>
      </c>
      <c r="U139" s="182" t="str">
        <f>IFERROR(__xludf.DUMMYFUNCTION("""COMPUTED_VALUE"""),"G650-14841-03")</f>
        <v>G650-14841-03</v>
      </c>
      <c r="V139" s="182" t="str">
        <f>IFERROR(__xludf.DUMMYFUNCTION("""COMPUTED_VALUE"""),"G650-14413-03")</f>
        <v>G650-14413-03</v>
      </c>
      <c r="W139" s="182" t="str">
        <f>IFERROR(__xludf.DUMMYFUNCTION("""COMPUTED_VALUE"""),"G954-09472-00")</f>
        <v>G954-09472-00</v>
      </c>
      <c r="X139" s="182"/>
      <c r="Y139" s="182"/>
      <c r="Z139" s="182" t="str">
        <f>IFERROR(__xludf.DUMMYFUNCTION("""COMPUTED_VALUE"""),"N")</f>
        <v>N</v>
      </c>
      <c r="AA139" s="182" t="str">
        <f>IFERROR(__xludf.DUMMYFUNCTION("""COMPUTED_VALUE"""),"Y")</f>
        <v>Y</v>
      </c>
    </row>
    <row r="140">
      <c r="A140" s="182" t="str">
        <f>IFERROR(__xludf.DUMMYFUNCTION("""COMPUTED_VALUE"""),"CLNR")</f>
        <v>CLNR</v>
      </c>
      <c r="B140" s="182">
        <f>IFERROR(__xludf.DUMMYFUNCTION("""COMPUTED_VALUE"""),139.0)</f>
        <v>139</v>
      </c>
      <c r="C140" s="182" t="str">
        <f>IFERROR(__xludf.DUMMYFUNCTION("""COMPUTED_VALUE"""),"G4QUR")</f>
        <v>G4QUR</v>
      </c>
      <c r="D140" s="182" t="str">
        <f>IFERROR(__xludf.DUMMYFUNCTION("""COMPUTED_VALUE"""),"CLNRGA10496")</f>
        <v>CLNRGA10496</v>
      </c>
      <c r="E140" s="182" t="str">
        <f>IFERROR(__xludf.DUMMYFUNCTION("""COMPUTED_VALUE"""),"SKU, CLR4, BETTER, MMWAVE, GSTORE, BZ5, FRU")</f>
        <v>SKU, CLR4, BETTER, MMWAVE, GSTORE, BZ5, FRU</v>
      </c>
      <c r="F140" s="182" t="str">
        <f>IFERROR(__xludf.DUMMYFUNCTION("""COMPUTED_VALUE"""),"Pixel 10 Pro, Jade, 256GB, GStore, US, FRU")</f>
        <v>Pixel 10 Pro, Jade, 256GB, GStore, US, FRU</v>
      </c>
      <c r="G140" s="182" t="str">
        <f>IFERROR(__xludf.DUMMYFUNCTION("""COMPUTED_VALUE"""),"CLR4")</f>
        <v>CLR4</v>
      </c>
      <c r="H140" s="182" t="str">
        <f>IFERROR(__xludf.DUMMYFUNCTION("""COMPUTED_VALUE"""),"mmWave")</f>
        <v>mmWave</v>
      </c>
      <c r="I140" s="182" t="str">
        <f>IFERROR(__xludf.DUMMYFUNCTION("""COMPUTED_VALUE"""),"256GB")</f>
        <v>256GB</v>
      </c>
      <c r="J140" s="182"/>
      <c r="K140" s="182" t="str">
        <f>IFERROR(__xludf.DUMMYFUNCTION("""COMPUTED_VALUE"""),"G950-18289-04")</f>
        <v>G950-18289-04</v>
      </c>
      <c r="L140" s="182" t="str">
        <f>IFERROR(__xludf.DUMMYFUNCTION("""COMPUTED_VALUE"""),"G710-07821-01")</f>
        <v>G710-07821-01</v>
      </c>
      <c r="M140" s="182" t="str">
        <f>IFERROR(__xludf.DUMMYFUNCTION("""COMPUTED_VALUE"""),"G710-10000-40")</f>
        <v>G710-10000-40</v>
      </c>
      <c r="N140" s="182" t="str">
        <f>IFERROR(__xludf.DUMMYFUNCTION("""COMPUTED_VALUE"""),"G730-09466-14")</f>
        <v>G730-09466-14</v>
      </c>
      <c r="O140" s="182" t="str">
        <f>IFERROR(__xludf.DUMMYFUNCTION("""COMPUTED_VALUE"""),"G710-07813-10")</f>
        <v>G710-07813-10</v>
      </c>
      <c r="P140" s="182" t="str">
        <f>IFERROR(__xludf.DUMMYFUNCTION("""COMPUTED_VALUE"""),"G650-17429-06")</f>
        <v>G650-17429-06</v>
      </c>
      <c r="Q140" s="182" t="str">
        <f>IFERROR(__xludf.DUMMYFUNCTION("""COMPUTED_VALUE"""),"G650-14412-04")</f>
        <v>G650-14412-04</v>
      </c>
      <c r="R140" s="182" t="str">
        <f>IFERROR(__xludf.DUMMYFUNCTION("""COMPUTED_VALUE"""),"G650-14843-04")</f>
        <v>G650-14843-04</v>
      </c>
      <c r="S140" s="182" t="str">
        <f>IFERROR(__xludf.DUMMYFUNCTION("""COMPUTED_VALUE"""),"G650-14411-05")</f>
        <v>G650-14411-05</v>
      </c>
      <c r="T140" s="182" t="str">
        <f>IFERROR(__xludf.DUMMYFUNCTION("""COMPUTED_VALUE"""),"G650-14840-03")</f>
        <v>G650-14840-03</v>
      </c>
      <c r="U140" s="182" t="str">
        <f>IFERROR(__xludf.DUMMYFUNCTION("""COMPUTED_VALUE"""),"G650-14841-03")</f>
        <v>G650-14841-03</v>
      </c>
      <c r="V140" s="182" t="str">
        <f>IFERROR(__xludf.DUMMYFUNCTION("""COMPUTED_VALUE"""),"G650-14413-03")</f>
        <v>G650-14413-03</v>
      </c>
      <c r="W140" s="182" t="str">
        <f>IFERROR(__xludf.DUMMYFUNCTION("""COMPUTED_VALUE"""),"G954-09472-00")</f>
        <v>G954-09472-00</v>
      </c>
      <c r="X140" s="182"/>
      <c r="Y140" s="182"/>
      <c r="Z140" s="182" t="str">
        <f>IFERROR(__xludf.DUMMYFUNCTION("""COMPUTED_VALUE"""),"N")</f>
        <v>N</v>
      </c>
      <c r="AA140" s="182" t="str">
        <f>IFERROR(__xludf.DUMMYFUNCTION("""COMPUTED_VALUE"""),"Y")</f>
        <v>Y</v>
      </c>
    </row>
    <row r="141">
      <c r="A141" s="182" t="str">
        <f>IFERROR(__xludf.DUMMYFUNCTION("""COMPUTED_VALUE"""),"CLNR")</f>
        <v>CLNR</v>
      </c>
      <c r="B141" s="182">
        <f>IFERROR(__xludf.DUMMYFUNCTION("""COMPUTED_VALUE"""),140.0)</f>
        <v>140</v>
      </c>
      <c r="C141" s="182" t="str">
        <f>IFERROR(__xludf.DUMMYFUNCTION("""COMPUTED_VALUE"""),"G4QUR")</f>
        <v>G4QUR</v>
      </c>
      <c r="D141" s="182" t="str">
        <f>IFERROR(__xludf.DUMMYFUNCTION("""COMPUTED_VALUE"""),"CLNRGA10497")</f>
        <v>CLNRGA10497</v>
      </c>
      <c r="E141" s="182" t="str">
        <f>IFERROR(__xludf.DUMMYFUNCTION("""COMPUTED_VALUE"""),"SKU, CLR1, BEST, MMWAVE, GSTORE, BZ5, FRU")</f>
        <v>SKU, CLR1, BEST, MMWAVE, GSTORE, BZ5, FRU</v>
      </c>
      <c r="F141" s="182" t="str">
        <f>IFERROR(__xludf.DUMMYFUNCTION("""COMPUTED_VALUE"""),"Pixel 10 Pro, Obsidian, 512GB, GStore, US, FRU")</f>
        <v>Pixel 10 Pro, Obsidian, 512GB, GStore, US, FRU</v>
      </c>
      <c r="G141" s="182" t="str">
        <f>IFERROR(__xludf.DUMMYFUNCTION("""COMPUTED_VALUE"""),"CLR1")</f>
        <v>CLR1</v>
      </c>
      <c r="H141" s="182" t="str">
        <f>IFERROR(__xludf.DUMMYFUNCTION("""COMPUTED_VALUE"""),"mmWave")</f>
        <v>mmWave</v>
      </c>
      <c r="I141" s="182" t="str">
        <f>IFERROR(__xludf.DUMMYFUNCTION("""COMPUTED_VALUE"""),"512GB")</f>
        <v>512GB</v>
      </c>
      <c r="J141" s="182"/>
      <c r="K141" s="182" t="str">
        <f>IFERROR(__xludf.DUMMYFUNCTION("""COMPUTED_VALUE"""),"G950-18291-01")</f>
        <v>G950-18291-01</v>
      </c>
      <c r="L141" s="182" t="str">
        <f>IFERROR(__xludf.DUMMYFUNCTION("""COMPUTED_VALUE"""),"G710-07821-01")</f>
        <v>G710-07821-01</v>
      </c>
      <c r="M141" s="182" t="str">
        <f>IFERROR(__xludf.DUMMYFUNCTION("""COMPUTED_VALUE"""),"G710-10000-40")</f>
        <v>G710-10000-40</v>
      </c>
      <c r="N141" s="182" t="str">
        <f>IFERROR(__xludf.DUMMYFUNCTION("""COMPUTED_VALUE"""),"G730-09466-11")</f>
        <v>G730-09466-11</v>
      </c>
      <c r="O141" s="182" t="str">
        <f>IFERROR(__xludf.DUMMYFUNCTION("""COMPUTED_VALUE"""),"G710-07813-20")</f>
        <v>G710-07813-20</v>
      </c>
      <c r="P141" s="182" t="str">
        <f>IFERROR(__xludf.DUMMYFUNCTION("""COMPUTED_VALUE"""),"G650-17431-06")</f>
        <v>G650-17431-06</v>
      </c>
      <c r="Q141" s="182" t="str">
        <f>IFERROR(__xludf.DUMMYFUNCTION("""COMPUTED_VALUE"""),"G650-14412-04")</f>
        <v>G650-14412-04</v>
      </c>
      <c r="R141" s="182" t="str">
        <f>IFERROR(__xludf.DUMMYFUNCTION("""COMPUTED_VALUE"""),"G650-14843-04")</f>
        <v>G650-14843-04</v>
      </c>
      <c r="S141" s="182" t="str">
        <f>IFERROR(__xludf.DUMMYFUNCTION("""COMPUTED_VALUE"""),"G650-14411-05")</f>
        <v>G650-14411-05</v>
      </c>
      <c r="T141" s="182" t="str">
        <f>IFERROR(__xludf.DUMMYFUNCTION("""COMPUTED_VALUE"""),"G650-14840-03")</f>
        <v>G650-14840-03</v>
      </c>
      <c r="U141" s="182" t="str">
        <f>IFERROR(__xludf.DUMMYFUNCTION("""COMPUTED_VALUE"""),"G650-14841-03")</f>
        <v>G650-14841-03</v>
      </c>
      <c r="V141" s="182" t="str">
        <f>IFERROR(__xludf.DUMMYFUNCTION("""COMPUTED_VALUE"""),"G650-14413-03")</f>
        <v>G650-14413-03</v>
      </c>
      <c r="W141" s="182" t="str">
        <f>IFERROR(__xludf.DUMMYFUNCTION("""COMPUTED_VALUE"""),"G954-09472-00")</f>
        <v>G954-09472-00</v>
      </c>
      <c r="X141" s="182"/>
      <c r="Y141" s="182"/>
      <c r="Z141" s="182" t="str">
        <f>IFERROR(__xludf.DUMMYFUNCTION("""COMPUTED_VALUE"""),"N")</f>
        <v>N</v>
      </c>
      <c r="AA141" s="182" t="str">
        <f>IFERROR(__xludf.DUMMYFUNCTION("""COMPUTED_VALUE"""),"Y")</f>
        <v>Y</v>
      </c>
    </row>
    <row r="142">
      <c r="A142" s="182" t="str">
        <f>IFERROR(__xludf.DUMMYFUNCTION("""COMPUTED_VALUE"""),"CLNR")</f>
        <v>CLNR</v>
      </c>
      <c r="B142" s="182">
        <f>IFERROR(__xludf.DUMMYFUNCTION("""COMPUTED_VALUE"""),141.0)</f>
        <v>141</v>
      </c>
      <c r="C142" s="182" t="str">
        <f>IFERROR(__xludf.DUMMYFUNCTION("""COMPUTED_VALUE"""),"G4QUR")</f>
        <v>G4QUR</v>
      </c>
      <c r="D142" s="182" t="str">
        <f>IFERROR(__xludf.DUMMYFUNCTION("""COMPUTED_VALUE"""),"CLNRGA10498")</f>
        <v>CLNRGA10498</v>
      </c>
      <c r="E142" s="182" t="str">
        <f>IFERROR(__xludf.DUMMYFUNCTION("""COMPUTED_VALUE"""),"SKU, CLR2, BEST, MMWAVE, GSTORE, BZ5, FRU")</f>
        <v>SKU, CLR2, BEST, MMWAVE, GSTORE, BZ5, FRU</v>
      </c>
      <c r="F142" s="182" t="str">
        <f>IFERROR(__xludf.DUMMYFUNCTION("""COMPUTED_VALUE"""),"Pixel 10 Pro, Porcelain, 512GB, GStore, US, FRU")</f>
        <v>Pixel 10 Pro, Porcelain, 512GB, GStore, US, FRU</v>
      </c>
      <c r="G142" s="182" t="str">
        <f>IFERROR(__xludf.DUMMYFUNCTION("""COMPUTED_VALUE"""),"CLR2")</f>
        <v>CLR2</v>
      </c>
      <c r="H142" s="182" t="str">
        <f>IFERROR(__xludf.DUMMYFUNCTION("""COMPUTED_VALUE"""),"mmWave")</f>
        <v>mmWave</v>
      </c>
      <c r="I142" s="182" t="str">
        <f>IFERROR(__xludf.DUMMYFUNCTION("""COMPUTED_VALUE"""),"512GB")</f>
        <v>512GB</v>
      </c>
      <c r="J142" s="182"/>
      <c r="K142" s="182" t="str">
        <f>IFERROR(__xludf.DUMMYFUNCTION("""COMPUTED_VALUE"""),"G950-18291-02")</f>
        <v>G950-18291-02</v>
      </c>
      <c r="L142" s="182" t="str">
        <f>IFERROR(__xludf.DUMMYFUNCTION("""COMPUTED_VALUE"""),"G710-07821-01")</f>
        <v>G710-07821-01</v>
      </c>
      <c r="M142" s="182" t="str">
        <f>IFERROR(__xludf.DUMMYFUNCTION("""COMPUTED_VALUE"""),"G710-10000-40")</f>
        <v>G710-10000-40</v>
      </c>
      <c r="N142" s="182" t="str">
        <f>IFERROR(__xludf.DUMMYFUNCTION("""COMPUTED_VALUE"""),"G730-09466-12")</f>
        <v>G730-09466-12</v>
      </c>
      <c r="O142" s="182" t="str">
        <f>IFERROR(__xludf.DUMMYFUNCTION("""COMPUTED_VALUE"""),"G710-07813-20")</f>
        <v>G710-07813-20</v>
      </c>
      <c r="P142" s="182" t="str">
        <f>IFERROR(__xludf.DUMMYFUNCTION("""COMPUTED_VALUE"""),"G650-17431-06")</f>
        <v>G650-17431-06</v>
      </c>
      <c r="Q142" s="182" t="str">
        <f>IFERROR(__xludf.DUMMYFUNCTION("""COMPUTED_VALUE"""),"G650-14412-04")</f>
        <v>G650-14412-04</v>
      </c>
      <c r="R142" s="182" t="str">
        <f>IFERROR(__xludf.DUMMYFUNCTION("""COMPUTED_VALUE"""),"G650-14843-04")</f>
        <v>G650-14843-04</v>
      </c>
      <c r="S142" s="182" t="str">
        <f>IFERROR(__xludf.DUMMYFUNCTION("""COMPUTED_VALUE"""),"G650-14411-05")</f>
        <v>G650-14411-05</v>
      </c>
      <c r="T142" s="182" t="str">
        <f>IFERROR(__xludf.DUMMYFUNCTION("""COMPUTED_VALUE"""),"G650-14840-03")</f>
        <v>G650-14840-03</v>
      </c>
      <c r="U142" s="182" t="str">
        <f>IFERROR(__xludf.DUMMYFUNCTION("""COMPUTED_VALUE"""),"G650-14841-03")</f>
        <v>G650-14841-03</v>
      </c>
      <c r="V142" s="182" t="str">
        <f>IFERROR(__xludf.DUMMYFUNCTION("""COMPUTED_VALUE"""),"G650-14413-03")</f>
        <v>G650-14413-03</v>
      </c>
      <c r="W142" s="182" t="str">
        <f>IFERROR(__xludf.DUMMYFUNCTION("""COMPUTED_VALUE"""),"G954-09472-00")</f>
        <v>G954-09472-00</v>
      </c>
      <c r="X142" s="182"/>
      <c r="Y142" s="182"/>
      <c r="Z142" s="182" t="str">
        <f>IFERROR(__xludf.DUMMYFUNCTION("""COMPUTED_VALUE"""),"N")</f>
        <v>N</v>
      </c>
      <c r="AA142" s="182" t="str">
        <f>IFERROR(__xludf.DUMMYFUNCTION("""COMPUTED_VALUE"""),"Y")</f>
        <v>Y</v>
      </c>
    </row>
    <row r="143">
      <c r="A143" s="182" t="str">
        <f>IFERROR(__xludf.DUMMYFUNCTION("""COMPUTED_VALUE"""),"CLNR")</f>
        <v>CLNR</v>
      </c>
      <c r="B143" s="182">
        <f>IFERROR(__xludf.DUMMYFUNCTION("""COMPUTED_VALUE"""),142.0)</f>
        <v>142</v>
      </c>
      <c r="C143" s="182" t="str">
        <f>IFERROR(__xludf.DUMMYFUNCTION("""COMPUTED_VALUE"""),"G4QUR")</f>
        <v>G4QUR</v>
      </c>
      <c r="D143" s="182" t="str">
        <f>IFERROR(__xludf.DUMMYFUNCTION("""COMPUTED_VALUE"""),"CLNRGA10499")</f>
        <v>CLNRGA10499</v>
      </c>
      <c r="E143" s="182" t="str">
        <f>IFERROR(__xludf.DUMMYFUNCTION("""COMPUTED_VALUE"""),"SKU, CLR3, BEST, MMWAVE, GSTORE, BZ5, FRU")</f>
        <v>SKU, CLR3, BEST, MMWAVE, GSTORE, BZ5, FRU</v>
      </c>
      <c r="F143" s="182" t="str">
        <f>IFERROR(__xludf.DUMMYFUNCTION("""COMPUTED_VALUE"""),"Pixel 10 Pro, Moonstone, 512GB, GStore, US, FRU")</f>
        <v>Pixel 10 Pro, Moonstone, 512GB, GStore, US, FRU</v>
      </c>
      <c r="G143" s="182" t="str">
        <f>IFERROR(__xludf.DUMMYFUNCTION("""COMPUTED_VALUE"""),"CLR3")</f>
        <v>CLR3</v>
      </c>
      <c r="H143" s="182" t="str">
        <f>IFERROR(__xludf.DUMMYFUNCTION("""COMPUTED_VALUE"""),"mmWave")</f>
        <v>mmWave</v>
      </c>
      <c r="I143" s="182" t="str">
        <f>IFERROR(__xludf.DUMMYFUNCTION("""COMPUTED_VALUE"""),"512GB")</f>
        <v>512GB</v>
      </c>
      <c r="J143" s="182"/>
      <c r="K143" s="182" t="str">
        <f>IFERROR(__xludf.DUMMYFUNCTION("""COMPUTED_VALUE"""),"G950-18291-03")</f>
        <v>G950-18291-03</v>
      </c>
      <c r="L143" s="182" t="str">
        <f>IFERROR(__xludf.DUMMYFUNCTION("""COMPUTED_VALUE"""),"G710-07821-01")</f>
        <v>G710-07821-01</v>
      </c>
      <c r="M143" s="182" t="str">
        <f>IFERROR(__xludf.DUMMYFUNCTION("""COMPUTED_VALUE"""),"G710-10000-40")</f>
        <v>G710-10000-40</v>
      </c>
      <c r="N143" s="182" t="str">
        <f>IFERROR(__xludf.DUMMYFUNCTION("""COMPUTED_VALUE"""),"G730-09466-13")</f>
        <v>G730-09466-13</v>
      </c>
      <c r="O143" s="182" t="str">
        <f>IFERROR(__xludf.DUMMYFUNCTION("""COMPUTED_VALUE"""),"G710-07813-20")</f>
        <v>G710-07813-20</v>
      </c>
      <c r="P143" s="182" t="str">
        <f>IFERROR(__xludf.DUMMYFUNCTION("""COMPUTED_VALUE"""),"G650-17431-06")</f>
        <v>G650-17431-06</v>
      </c>
      <c r="Q143" s="182" t="str">
        <f>IFERROR(__xludf.DUMMYFUNCTION("""COMPUTED_VALUE"""),"G650-14412-04")</f>
        <v>G650-14412-04</v>
      </c>
      <c r="R143" s="182" t="str">
        <f>IFERROR(__xludf.DUMMYFUNCTION("""COMPUTED_VALUE"""),"G650-14843-04")</f>
        <v>G650-14843-04</v>
      </c>
      <c r="S143" s="182" t="str">
        <f>IFERROR(__xludf.DUMMYFUNCTION("""COMPUTED_VALUE"""),"G650-14411-05")</f>
        <v>G650-14411-05</v>
      </c>
      <c r="T143" s="182" t="str">
        <f>IFERROR(__xludf.DUMMYFUNCTION("""COMPUTED_VALUE"""),"G650-14840-03")</f>
        <v>G650-14840-03</v>
      </c>
      <c r="U143" s="182" t="str">
        <f>IFERROR(__xludf.DUMMYFUNCTION("""COMPUTED_VALUE"""),"G650-14841-03")</f>
        <v>G650-14841-03</v>
      </c>
      <c r="V143" s="182" t="str">
        <f>IFERROR(__xludf.DUMMYFUNCTION("""COMPUTED_VALUE"""),"G650-14413-03")</f>
        <v>G650-14413-03</v>
      </c>
      <c r="W143" s="182" t="str">
        <f>IFERROR(__xludf.DUMMYFUNCTION("""COMPUTED_VALUE"""),"G954-09472-00")</f>
        <v>G954-09472-00</v>
      </c>
      <c r="X143" s="182"/>
      <c r="Y143" s="182"/>
      <c r="Z143" s="182" t="str">
        <f>IFERROR(__xludf.DUMMYFUNCTION("""COMPUTED_VALUE"""),"N")</f>
        <v>N</v>
      </c>
      <c r="AA143" s="182" t="str">
        <f>IFERROR(__xludf.DUMMYFUNCTION("""COMPUTED_VALUE"""),"Y")</f>
        <v>Y</v>
      </c>
    </row>
    <row r="144">
      <c r="A144" s="182" t="str">
        <f>IFERROR(__xludf.DUMMYFUNCTION("""COMPUTED_VALUE"""),"CLNR")</f>
        <v>CLNR</v>
      </c>
      <c r="B144" s="182">
        <f>IFERROR(__xludf.DUMMYFUNCTION("""COMPUTED_VALUE"""),143.0)</f>
        <v>143</v>
      </c>
      <c r="C144" s="182" t="str">
        <f>IFERROR(__xludf.DUMMYFUNCTION("""COMPUTED_VALUE"""),"G4QUR")</f>
        <v>G4QUR</v>
      </c>
      <c r="D144" s="182" t="str">
        <f>IFERROR(__xludf.DUMMYFUNCTION("""COMPUTED_VALUE"""),"CLNRGA10501")</f>
        <v>CLNRGA10501</v>
      </c>
      <c r="E144" s="182" t="str">
        <f>IFERROR(__xludf.DUMMYFUNCTION("""COMPUTED_VALUE"""),"SKU, CLR1, ULTRA, MMWAVE, GSTORE, BZ5, FRU")</f>
        <v>SKU, CLR1, ULTRA, MMWAVE, GSTORE, BZ5, FRU</v>
      </c>
      <c r="F144" s="182" t="str">
        <f>IFERROR(__xludf.DUMMYFUNCTION("""COMPUTED_VALUE"""),"Pixel 10 Pro, Obsidian, 1TB, GStore,US , FRU")</f>
        <v>Pixel 10 Pro, Obsidian, 1TB, GStore,US , FRU</v>
      </c>
      <c r="G144" s="182" t="str">
        <f>IFERROR(__xludf.DUMMYFUNCTION("""COMPUTED_VALUE"""),"CLR1")</f>
        <v>CLR1</v>
      </c>
      <c r="H144" s="182" t="str">
        <f>IFERROR(__xludf.DUMMYFUNCTION("""COMPUTED_VALUE"""),"mmWave")</f>
        <v>mmWave</v>
      </c>
      <c r="I144" s="182" t="str">
        <f>IFERROR(__xludf.DUMMYFUNCTION("""COMPUTED_VALUE"""),"1TB")</f>
        <v>1TB</v>
      </c>
      <c r="J144" s="182"/>
      <c r="K144" s="182" t="str">
        <f>IFERROR(__xludf.DUMMYFUNCTION("""COMPUTED_VALUE"""),"G950-18293-01")</f>
        <v>G950-18293-01</v>
      </c>
      <c r="L144" s="182" t="str">
        <f>IFERROR(__xludf.DUMMYFUNCTION("""COMPUTED_VALUE"""),"G710-07821-01")</f>
        <v>G710-07821-01</v>
      </c>
      <c r="M144" s="182" t="str">
        <f>IFERROR(__xludf.DUMMYFUNCTION("""COMPUTED_VALUE"""),"G710-10000-40")</f>
        <v>G710-10000-40</v>
      </c>
      <c r="N144" s="182" t="str">
        <f>IFERROR(__xludf.DUMMYFUNCTION("""COMPUTED_VALUE"""),"G730-09466-11")</f>
        <v>G730-09466-11</v>
      </c>
      <c r="O144" s="182" t="str">
        <f>IFERROR(__xludf.DUMMYFUNCTION("""COMPUTED_VALUE"""),"G710-07813-30")</f>
        <v>G710-07813-30</v>
      </c>
      <c r="P144" s="182" t="str">
        <f>IFERROR(__xludf.DUMMYFUNCTION("""COMPUTED_VALUE"""),"G650-17433-06")</f>
        <v>G650-17433-06</v>
      </c>
      <c r="Q144" s="182" t="str">
        <f>IFERROR(__xludf.DUMMYFUNCTION("""COMPUTED_VALUE"""),"G650-14412-04")</f>
        <v>G650-14412-04</v>
      </c>
      <c r="R144" s="182" t="str">
        <f>IFERROR(__xludf.DUMMYFUNCTION("""COMPUTED_VALUE"""),"G650-14843-04")</f>
        <v>G650-14843-04</v>
      </c>
      <c r="S144" s="182" t="str">
        <f>IFERROR(__xludf.DUMMYFUNCTION("""COMPUTED_VALUE"""),"G650-14411-05")</f>
        <v>G650-14411-05</v>
      </c>
      <c r="T144" s="182" t="str">
        <f>IFERROR(__xludf.DUMMYFUNCTION("""COMPUTED_VALUE"""),"G650-14840-03")</f>
        <v>G650-14840-03</v>
      </c>
      <c r="U144" s="182" t="str">
        <f>IFERROR(__xludf.DUMMYFUNCTION("""COMPUTED_VALUE"""),"G650-14841-03")</f>
        <v>G650-14841-03</v>
      </c>
      <c r="V144" s="182" t="str">
        <f>IFERROR(__xludf.DUMMYFUNCTION("""COMPUTED_VALUE"""),"G650-14413-03")</f>
        <v>G650-14413-03</v>
      </c>
      <c r="W144" s="182" t="str">
        <f>IFERROR(__xludf.DUMMYFUNCTION("""COMPUTED_VALUE"""),"G954-09472-00")</f>
        <v>G954-09472-00</v>
      </c>
      <c r="X144" s="182"/>
      <c r="Y144" s="182"/>
      <c r="Z144" s="182" t="str">
        <f>IFERROR(__xludf.DUMMYFUNCTION("""COMPUTED_VALUE"""),"N")</f>
        <v>N</v>
      </c>
      <c r="AA144" s="182" t="str">
        <f>IFERROR(__xludf.DUMMYFUNCTION("""COMPUTED_VALUE"""),"Y")</f>
        <v>Y</v>
      </c>
    </row>
    <row r="145">
      <c r="A145" s="182" t="str">
        <f>IFERROR(__xludf.DUMMYFUNCTION("""COMPUTED_VALUE"""),"CLNR")</f>
        <v>CLNR</v>
      </c>
      <c r="B145" s="182">
        <f>IFERROR(__xludf.DUMMYFUNCTION("""COMPUTED_VALUE"""),144.0)</f>
        <v>144</v>
      </c>
      <c r="C145" s="182" t="str">
        <f>IFERROR(__xludf.DUMMYFUNCTION("""COMPUTED_VALUE"""),"GEHN3")</f>
        <v>GEHN3</v>
      </c>
      <c r="D145" s="182" t="str">
        <f>IFERROR(__xludf.DUMMYFUNCTION("""COMPUTED_VALUE"""),"CLNRGA10502")</f>
        <v>CLNRGA10502</v>
      </c>
      <c r="E145" s="182" t="str">
        <f>IFERROR(__xludf.DUMMYFUNCTION("""COMPUTED_VALUE"""),"SKU, CLR1, GOOD, SUB6, EU/UK, BZ5, FRU")</f>
        <v>SKU, CLR1, GOOD, SUB6, EU/UK, BZ5, FRU</v>
      </c>
      <c r="F145" s="182" t="str">
        <f>IFERROR(__xludf.DUMMYFUNCTION("""COMPUTED_VALUE"""),"Pixel 10 Pro, Obsidian, 128GB, EU/UK, FRU")</f>
        <v>Pixel 10 Pro, Obsidian, 128GB, EU/UK, FRU</v>
      </c>
      <c r="G145" s="182" t="str">
        <f>IFERROR(__xludf.DUMMYFUNCTION("""COMPUTED_VALUE"""),"CLR1")</f>
        <v>CLR1</v>
      </c>
      <c r="H145" s="182" t="str">
        <f>IFERROR(__xludf.DUMMYFUNCTION("""COMPUTED_VALUE"""),"SUB6")</f>
        <v>SUB6</v>
      </c>
      <c r="I145" s="182" t="str">
        <f>IFERROR(__xludf.DUMMYFUNCTION("""COMPUTED_VALUE"""),"128GB")</f>
        <v>128GB</v>
      </c>
      <c r="J145" s="182" t="str">
        <f>IFERROR(__xludf.DUMMYFUNCTION("""COMPUTED_VALUE"""),"G950-15987-01-L")</f>
        <v>G950-15987-01-L</v>
      </c>
      <c r="K145" s="182" t="str">
        <f>IFERROR(__xludf.DUMMYFUNCTION("""COMPUTED_VALUE"""),"G950-15987-01")</f>
        <v>G950-15987-01</v>
      </c>
      <c r="L145" s="182" t="str">
        <f>IFERROR(__xludf.DUMMYFUNCTION("""COMPUTED_VALUE"""),"G710-07822-01")</f>
        <v>G710-07822-01</v>
      </c>
      <c r="M145" s="182" t="str">
        <f>IFERROR(__xludf.DUMMYFUNCTION("""COMPUTED_VALUE"""),"G710-10000-40")</f>
        <v>G710-10000-40</v>
      </c>
      <c r="N145" s="182" t="str">
        <f>IFERROR(__xludf.DUMMYFUNCTION("""COMPUTED_VALUE"""),"G730-09466-11")</f>
        <v>G730-09466-11</v>
      </c>
      <c r="O145" s="182" t="str">
        <f>IFERROR(__xludf.DUMMYFUNCTION("""COMPUTED_VALUE"""),"G710-07813-02")</f>
        <v>G710-07813-02</v>
      </c>
      <c r="P145" s="182" t="str">
        <f>IFERROR(__xludf.DUMMYFUNCTION("""COMPUTED_VALUE"""),"G650-14972-06")</f>
        <v>G650-14972-06</v>
      </c>
      <c r="Q145" s="182" t="str">
        <f>IFERROR(__xludf.DUMMYFUNCTION("""COMPUTED_VALUE"""),"G650-15596-04")</f>
        <v>G650-15596-04</v>
      </c>
      <c r="R145" s="182" t="str">
        <f>IFERROR(__xludf.DUMMYFUNCTION("""COMPUTED_VALUE"""),"G650-14843-04")</f>
        <v>G650-14843-04</v>
      </c>
      <c r="S145" s="182" t="str">
        <f>IFERROR(__xludf.DUMMYFUNCTION("""COMPUTED_VALUE"""),"G650-14411-05")</f>
        <v>G650-14411-05</v>
      </c>
      <c r="T145" s="182" t="str">
        <f>IFERROR(__xludf.DUMMYFUNCTION("""COMPUTED_VALUE"""),"G650-14840-03")</f>
        <v>G650-14840-03</v>
      </c>
      <c r="U145" s="182" t="str">
        <f>IFERROR(__xludf.DUMMYFUNCTION("""COMPUTED_VALUE"""),"G650-14841-03")</f>
        <v>G650-14841-03</v>
      </c>
      <c r="V145" s="182" t="str">
        <f>IFERROR(__xludf.DUMMYFUNCTION("""COMPUTED_VALUE"""),"G650-14413-03")</f>
        <v>G650-14413-03</v>
      </c>
      <c r="W145" s="182" t="str">
        <f>IFERROR(__xludf.DUMMYFUNCTION("""COMPUTED_VALUE"""),"G954-09473-00")</f>
        <v>G954-09473-00</v>
      </c>
      <c r="X145" s="182" t="str">
        <f>IFERROR(__xludf.DUMMYFUNCTION("""COMPUTED_VALUE"""),"G990-07758-00")</f>
        <v>G990-07758-00</v>
      </c>
      <c r="Y145" s="182" t="str">
        <f>IFERROR(__xludf.DUMMYFUNCTION("""COMPUTED_VALUE"""),"G990-07758-00")</f>
        <v>G990-07758-00</v>
      </c>
      <c r="Z145" s="182" t="str">
        <f>IFERROR(__xludf.DUMMYFUNCTION("""COMPUTED_VALUE"""),"Y")</f>
        <v>Y</v>
      </c>
      <c r="AA145" s="182" t="str">
        <f>IFERROR(__xludf.DUMMYFUNCTION("""COMPUTED_VALUE"""),"Y")</f>
        <v>Y</v>
      </c>
    </row>
    <row r="146">
      <c r="A146" s="182" t="str">
        <f>IFERROR(__xludf.DUMMYFUNCTION("""COMPUTED_VALUE"""),"CLNR")</f>
        <v>CLNR</v>
      </c>
      <c r="B146" s="182">
        <f>IFERROR(__xludf.DUMMYFUNCTION("""COMPUTED_VALUE"""),145.0)</f>
        <v>145</v>
      </c>
      <c r="C146" s="182" t="str">
        <f>IFERROR(__xludf.DUMMYFUNCTION("""COMPUTED_VALUE"""),"GEHN3")</f>
        <v>GEHN3</v>
      </c>
      <c r="D146" s="182" t="str">
        <f>IFERROR(__xludf.DUMMYFUNCTION("""COMPUTED_VALUE"""),"CLNRGA10503")</f>
        <v>CLNRGA10503</v>
      </c>
      <c r="E146" s="182" t="str">
        <f>IFERROR(__xludf.DUMMYFUNCTION("""COMPUTED_VALUE"""),"SKU, CLR2, GOOD, SUB6, EU/UK, BZ5, FRU")</f>
        <v>SKU, CLR2, GOOD, SUB6, EU/UK, BZ5, FRU</v>
      </c>
      <c r="F146" s="182" t="str">
        <f>IFERROR(__xludf.DUMMYFUNCTION("""COMPUTED_VALUE"""),"Pixel 10 Pro, Porcelain, 128GB, EU/UK, FRU")</f>
        <v>Pixel 10 Pro, Porcelain, 128GB, EU/UK, FRU</v>
      </c>
      <c r="G146" s="182" t="str">
        <f>IFERROR(__xludf.DUMMYFUNCTION("""COMPUTED_VALUE"""),"CLR2")</f>
        <v>CLR2</v>
      </c>
      <c r="H146" s="182" t="str">
        <f>IFERROR(__xludf.DUMMYFUNCTION("""COMPUTED_VALUE"""),"SUB6")</f>
        <v>SUB6</v>
      </c>
      <c r="I146" s="182" t="str">
        <f>IFERROR(__xludf.DUMMYFUNCTION("""COMPUTED_VALUE"""),"128GB")</f>
        <v>128GB</v>
      </c>
      <c r="J146" s="182" t="str">
        <f>IFERROR(__xludf.DUMMYFUNCTION("""COMPUTED_VALUE"""),"G950-15987-02-L")</f>
        <v>G950-15987-02-L</v>
      </c>
      <c r="K146" s="182" t="str">
        <f>IFERROR(__xludf.DUMMYFUNCTION("""COMPUTED_VALUE"""),"G950-15987-02")</f>
        <v>G950-15987-02</v>
      </c>
      <c r="L146" s="182" t="str">
        <f>IFERROR(__xludf.DUMMYFUNCTION("""COMPUTED_VALUE"""),"G710-07822-01")</f>
        <v>G710-07822-01</v>
      </c>
      <c r="M146" s="182" t="str">
        <f>IFERROR(__xludf.DUMMYFUNCTION("""COMPUTED_VALUE"""),"G710-10000-40")</f>
        <v>G710-10000-40</v>
      </c>
      <c r="N146" s="182" t="str">
        <f>IFERROR(__xludf.DUMMYFUNCTION("""COMPUTED_VALUE"""),"G730-09466-12")</f>
        <v>G730-09466-12</v>
      </c>
      <c r="O146" s="182" t="str">
        <f>IFERROR(__xludf.DUMMYFUNCTION("""COMPUTED_VALUE"""),"G710-07813-02")</f>
        <v>G710-07813-02</v>
      </c>
      <c r="P146" s="182" t="str">
        <f>IFERROR(__xludf.DUMMYFUNCTION("""COMPUTED_VALUE"""),"G650-14972-06")</f>
        <v>G650-14972-06</v>
      </c>
      <c r="Q146" s="182" t="str">
        <f>IFERROR(__xludf.DUMMYFUNCTION("""COMPUTED_VALUE"""),"G650-15596-04")</f>
        <v>G650-15596-04</v>
      </c>
      <c r="R146" s="182" t="str">
        <f>IFERROR(__xludf.DUMMYFUNCTION("""COMPUTED_VALUE"""),"G650-14843-04")</f>
        <v>G650-14843-04</v>
      </c>
      <c r="S146" s="182" t="str">
        <f>IFERROR(__xludf.DUMMYFUNCTION("""COMPUTED_VALUE"""),"G650-14411-05")</f>
        <v>G650-14411-05</v>
      </c>
      <c r="T146" s="182" t="str">
        <f>IFERROR(__xludf.DUMMYFUNCTION("""COMPUTED_VALUE"""),"G650-14840-03")</f>
        <v>G650-14840-03</v>
      </c>
      <c r="U146" s="182" t="str">
        <f>IFERROR(__xludf.DUMMYFUNCTION("""COMPUTED_VALUE"""),"G650-14841-03")</f>
        <v>G650-14841-03</v>
      </c>
      <c r="V146" s="182" t="str">
        <f>IFERROR(__xludf.DUMMYFUNCTION("""COMPUTED_VALUE"""),"G650-14413-03")</f>
        <v>G650-14413-03</v>
      </c>
      <c r="W146" s="182" t="str">
        <f>IFERROR(__xludf.DUMMYFUNCTION("""COMPUTED_VALUE"""),"G954-09473-00")</f>
        <v>G954-09473-00</v>
      </c>
      <c r="X146" s="182" t="str">
        <f>IFERROR(__xludf.DUMMYFUNCTION("""COMPUTED_VALUE"""),"G990-07758-00")</f>
        <v>G990-07758-00</v>
      </c>
      <c r="Y146" s="182" t="str">
        <f>IFERROR(__xludf.DUMMYFUNCTION("""COMPUTED_VALUE"""),"G990-07758-00")</f>
        <v>G990-07758-00</v>
      </c>
      <c r="Z146" s="182" t="str">
        <f>IFERROR(__xludf.DUMMYFUNCTION("""COMPUTED_VALUE"""),"Y")</f>
        <v>Y</v>
      </c>
      <c r="AA146" s="182" t="str">
        <f>IFERROR(__xludf.DUMMYFUNCTION("""COMPUTED_VALUE"""),"Y")</f>
        <v>Y</v>
      </c>
    </row>
    <row r="147">
      <c r="A147" s="182" t="str">
        <f>IFERROR(__xludf.DUMMYFUNCTION("""COMPUTED_VALUE"""),"CLNR")</f>
        <v>CLNR</v>
      </c>
      <c r="B147" s="182">
        <f>IFERROR(__xludf.DUMMYFUNCTION("""COMPUTED_VALUE"""),146.0)</f>
        <v>146</v>
      </c>
      <c r="C147" s="182" t="str">
        <f>IFERROR(__xludf.DUMMYFUNCTION("""COMPUTED_VALUE"""),"GEHN3")</f>
        <v>GEHN3</v>
      </c>
      <c r="D147" s="182" t="str">
        <f>IFERROR(__xludf.DUMMYFUNCTION("""COMPUTED_VALUE"""),"CLNRGA10504")</f>
        <v>CLNRGA10504</v>
      </c>
      <c r="E147" s="182" t="str">
        <f>IFERROR(__xludf.DUMMYFUNCTION("""COMPUTED_VALUE"""),"SKU, CLR3, GOOD, SUB6, EU/UK, BZ5, FRU")</f>
        <v>SKU, CLR3, GOOD, SUB6, EU/UK, BZ5, FRU</v>
      </c>
      <c r="F147" s="182" t="str">
        <f>IFERROR(__xludf.DUMMYFUNCTION("""COMPUTED_VALUE"""),"Pixel 10 Pro, Moonstone, 128GB, EU/UK, FRU")</f>
        <v>Pixel 10 Pro, Moonstone, 128GB, EU/UK, FRU</v>
      </c>
      <c r="G147" s="182" t="str">
        <f>IFERROR(__xludf.DUMMYFUNCTION("""COMPUTED_VALUE"""),"CLR3")</f>
        <v>CLR3</v>
      </c>
      <c r="H147" s="182" t="str">
        <f>IFERROR(__xludf.DUMMYFUNCTION("""COMPUTED_VALUE"""),"SUB6")</f>
        <v>SUB6</v>
      </c>
      <c r="I147" s="182" t="str">
        <f>IFERROR(__xludf.DUMMYFUNCTION("""COMPUTED_VALUE"""),"128GB")</f>
        <v>128GB</v>
      </c>
      <c r="J147" s="182" t="str">
        <f>IFERROR(__xludf.DUMMYFUNCTION("""COMPUTED_VALUE"""),"G950-15987-03-L")</f>
        <v>G950-15987-03-L</v>
      </c>
      <c r="K147" s="182" t="str">
        <f>IFERROR(__xludf.DUMMYFUNCTION("""COMPUTED_VALUE"""),"G950-15987-03")</f>
        <v>G950-15987-03</v>
      </c>
      <c r="L147" s="182" t="str">
        <f>IFERROR(__xludf.DUMMYFUNCTION("""COMPUTED_VALUE"""),"G710-07822-01")</f>
        <v>G710-07822-01</v>
      </c>
      <c r="M147" s="182" t="str">
        <f>IFERROR(__xludf.DUMMYFUNCTION("""COMPUTED_VALUE"""),"G710-10000-40")</f>
        <v>G710-10000-40</v>
      </c>
      <c r="N147" s="182" t="str">
        <f>IFERROR(__xludf.DUMMYFUNCTION("""COMPUTED_VALUE"""),"G730-09466-13")</f>
        <v>G730-09466-13</v>
      </c>
      <c r="O147" s="182" t="str">
        <f>IFERROR(__xludf.DUMMYFUNCTION("""COMPUTED_VALUE"""),"G710-07813-02")</f>
        <v>G710-07813-02</v>
      </c>
      <c r="P147" s="182" t="str">
        <f>IFERROR(__xludf.DUMMYFUNCTION("""COMPUTED_VALUE"""),"G650-14972-06")</f>
        <v>G650-14972-06</v>
      </c>
      <c r="Q147" s="182" t="str">
        <f>IFERROR(__xludf.DUMMYFUNCTION("""COMPUTED_VALUE"""),"G650-15596-04")</f>
        <v>G650-15596-04</v>
      </c>
      <c r="R147" s="182" t="str">
        <f>IFERROR(__xludf.DUMMYFUNCTION("""COMPUTED_VALUE"""),"G650-14843-04")</f>
        <v>G650-14843-04</v>
      </c>
      <c r="S147" s="182" t="str">
        <f>IFERROR(__xludf.DUMMYFUNCTION("""COMPUTED_VALUE"""),"G650-14411-05")</f>
        <v>G650-14411-05</v>
      </c>
      <c r="T147" s="182" t="str">
        <f>IFERROR(__xludf.DUMMYFUNCTION("""COMPUTED_VALUE"""),"G650-14840-03")</f>
        <v>G650-14840-03</v>
      </c>
      <c r="U147" s="182" t="str">
        <f>IFERROR(__xludf.DUMMYFUNCTION("""COMPUTED_VALUE"""),"G650-14841-03")</f>
        <v>G650-14841-03</v>
      </c>
      <c r="V147" s="182" t="str">
        <f>IFERROR(__xludf.DUMMYFUNCTION("""COMPUTED_VALUE"""),"G650-14413-03")</f>
        <v>G650-14413-03</v>
      </c>
      <c r="W147" s="182" t="str">
        <f>IFERROR(__xludf.DUMMYFUNCTION("""COMPUTED_VALUE"""),"G954-09473-00")</f>
        <v>G954-09473-00</v>
      </c>
      <c r="X147" s="182" t="str">
        <f>IFERROR(__xludf.DUMMYFUNCTION("""COMPUTED_VALUE"""),"G990-07758-00")</f>
        <v>G990-07758-00</v>
      </c>
      <c r="Y147" s="182" t="str">
        <f>IFERROR(__xludf.DUMMYFUNCTION("""COMPUTED_VALUE"""),"G990-07758-00")</f>
        <v>G990-07758-00</v>
      </c>
      <c r="Z147" s="182" t="str">
        <f>IFERROR(__xludf.DUMMYFUNCTION("""COMPUTED_VALUE"""),"Y")</f>
        <v>Y</v>
      </c>
      <c r="AA147" s="182" t="str">
        <f>IFERROR(__xludf.DUMMYFUNCTION("""COMPUTED_VALUE"""),"Y")</f>
        <v>Y</v>
      </c>
    </row>
    <row r="148">
      <c r="A148" s="182" t="str">
        <f>IFERROR(__xludf.DUMMYFUNCTION("""COMPUTED_VALUE"""),"CLNR")</f>
        <v>CLNR</v>
      </c>
      <c r="B148" s="182">
        <f>IFERROR(__xludf.DUMMYFUNCTION("""COMPUTED_VALUE"""),147.0)</f>
        <v>147</v>
      </c>
      <c r="C148" s="182" t="str">
        <f>IFERROR(__xludf.DUMMYFUNCTION("""COMPUTED_VALUE"""),"GEHN3")</f>
        <v>GEHN3</v>
      </c>
      <c r="D148" s="182" t="str">
        <f>IFERROR(__xludf.DUMMYFUNCTION("""COMPUTED_VALUE"""),"CLNRGA10505")</f>
        <v>CLNRGA10505</v>
      </c>
      <c r="E148" s="182" t="str">
        <f>IFERROR(__xludf.DUMMYFUNCTION("""COMPUTED_VALUE"""),"SKU, CLR1, BETTER, SUB6, EU/UK, BZ5, FRU")</f>
        <v>SKU, CLR1, BETTER, SUB6, EU/UK, BZ5, FRU</v>
      </c>
      <c r="F148" s="182" t="str">
        <f>IFERROR(__xludf.DUMMYFUNCTION("""COMPUTED_VALUE"""),"Pixel 10 Pro, Obsidian, 256GB, EU/UK, FRU")</f>
        <v>Pixel 10 Pro, Obsidian, 256GB, EU/UK, FRU</v>
      </c>
      <c r="G148" s="182" t="str">
        <f>IFERROR(__xludf.DUMMYFUNCTION("""COMPUTED_VALUE"""),"CLR1")</f>
        <v>CLR1</v>
      </c>
      <c r="H148" s="182" t="str">
        <f>IFERROR(__xludf.DUMMYFUNCTION("""COMPUTED_VALUE"""),"SUB6")</f>
        <v>SUB6</v>
      </c>
      <c r="I148" s="182" t="str">
        <f>IFERROR(__xludf.DUMMYFUNCTION("""COMPUTED_VALUE"""),"256GB")</f>
        <v>256GB</v>
      </c>
      <c r="J148" s="182" t="str">
        <f>IFERROR(__xludf.DUMMYFUNCTION("""COMPUTED_VALUE"""),"G950-18290-01-L")</f>
        <v>G950-18290-01-L</v>
      </c>
      <c r="K148" s="182" t="str">
        <f>IFERROR(__xludf.DUMMYFUNCTION("""COMPUTED_VALUE"""),"G950-18290-01")</f>
        <v>G950-18290-01</v>
      </c>
      <c r="L148" s="182" t="str">
        <f>IFERROR(__xludf.DUMMYFUNCTION("""COMPUTED_VALUE"""),"G710-07822-01")</f>
        <v>G710-07822-01</v>
      </c>
      <c r="M148" s="182" t="str">
        <f>IFERROR(__xludf.DUMMYFUNCTION("""COMPUTED_VALUE"""),"G710-10000-40")</f>
        <v>G710-10000-40</v>
      </c>
      <c r="N148" s="182" t="str">
        <f>IFERROR(__xludf.DUMMYFUNCTION("""COMPUTED_VALUE"""),"G730-09466-11")</f>
        <v>G730-09466-11</v>
      </c>
      <c r="O148" s="182" t="str">
        <f>IFERROR(__xludf.DUMMYFUNCTION("""COMPUTED_VALUE"""),"G710-07813-12")</f>
        <v>G710-07813-12</v>
      </c>
      <c r="P148" s="182" t="str">
        <f>IFERROR(__xludf.DUMMYFUNCTION("""COMPUTED_VALUE"""),"G650-17430-06")</f>
        <v>G650-17430-06</v>
      </c>
      <c r="Q148" s="182" t="str">
        <f>IFERROR(__xludf.DUMMYFUNCTION("""COMPUTED_VALUE"""),"G650-15596-04")</f>
        <v>G650-15596-04</v>
      </c>
      <c r="R148" s="182" t="str">
        <f>IFERROR(__xludf.DUMMYFUNCTION("""COMPUTED_VALUE"""),"G650-14843-04")</f>
        <v>G650-14843-04</v>
      </c>
      <c r="S148" s="182" t="str">
        <f>IFERROR(__xludf.DUMMYFUNCTION("""COMPUTED_VALUE"""),"G650-14411-05")</f>
        <v>G650-14411-05</v>
      </c>
      <c r="T148" s="182" t="str">
        <f>IFERROR(__xludf.DUMMYFUNCTION("""COMPUTED_VALUE"""),"G650-14840-03")</f>
        <v>G650-14840-03</v>
      </c>
      <c r="U148" s="182" t="str">
        <f>IFERROR(__xludf.DUMMYFUNCTION("""COMPUTED_VALUE"""),"G650-14841-03")</f>
        <v>G650-14841-03</v>
      </c>
      <c r="V148" s="182" t="str">
        <f>IFERROR(__xludf.DUMMYFUNCTION("""COMPUTED_VALUE"""),"G650-14413-03")</f>
        <v>G650-14413-03</v>
      </c>
      <c r="W148" s="182" t="str">
        <f>IFERROR(__xludf.DUMMYFUNCTION("""COMPUTED_VALUE"""),"G954-09473-00")</f>
        <v>G954-09473-00</v>
      </c>
      <c r="X148" s="182" t="str">
        <f>IFERROR(__xludf.DUMMYFUNCTION("""COMPUTED_VALUE"""),"G990-07758-00")</f>
        <v>G990-07758-00</v>
      </c>
      <c r="Y148" s="182" t="str">
        <f>IFERROR(__xludf.DUMMYFUNCTION("""COMPUTED_VALUE"""),"G990-07758-00")</f>
        <v>G990-07758-00</v>
      </c>
      <c r="Z148" s="182" t="str">
        <f>IFERROR(__xludf.DUMMYFUNCTION("""COMPUTED_VALUE"""),"Y")</f>
        <v>Y</v>
      </c>
      <c r="AA148" s="182" t="str">
        <f>IFERROR(__xludf.DUMMYFUNCTION("""COMPUTED_VALUE"""),"Y")</f>
        <v>Y</v>
      </c>
    </row>
    <row r="149">
      <c r="A149" s="182" t="str">
        <f>IFERROR(__xludf.DUMMYFUNCTION("""COMPUTED_VALUE"""),"CLNR")</f>
        <v>CLNR</v>
      </c>
      <c r="B149" s="182">
        <f>IFERROR(__xludf.DUMMYFUNCTION("""COMPUTED_VALUE"""),148.0)</f>
        <v>148</v>
      </c>
      <c r="C149" s="182" t="str">
        <f>IFERROR(__xludf.DUMMYFUNCTION("""COMPUTED_VALUE"""),"GEHN3")</f>
        <v>GEHN3</v>
      </c>
      <c r="D149" s="182" t="str">
        <f>IFERROR(__xludf.DUMMYFUNCTION("""COMPUTED_VALUE"""),"CLNRGA10506")</f>
        <v>CLNRGA10506</v>
      </c>
      <c r="E149" s="182" t="str">
        <f>IFERROR(__xludf.DUMMYFUNCTION("""COMPUTED_VALUE"""),"SKU, CLR2, BETTER, SUB6, EU/UK, BZ5, FRU")</f>
        <v>SKU, CLR2, BETTER, SUB6, EU/UK, BZ5, FRU</v>
      </c>
      <c r="F149" s="182" t="str">
        <f>IFERROR(__xludf.DUMMYFUNCTION("""COMPUTED_VALUE"""),"Pixel 10 Pro, Porcelain, 256GB, EU/UK, FRU")</f>
        <v>Pixel 10 Pro, Porcelain, 256GB, EU/UK, FRU</v>
      </c>
      <c r="G149" s="182" t="str">
        <f>IFERROR(__xludf.DUMMYFUNCTION("""COMPUTED_VALUE"""),"CLR2")</f>
        <v>CLR2</v>
      </c>
      <c r="H149" s="182" t="str">
        <f>IFERROR(__xludf.DUMMYFUNCTION("""COMPUTED_VALUE"""),"SUB6")</f>
        <v>SUB6</v>
      </c>
      <c r="I149" s="182" t="str">
        <f>IFERROR(__xludf.DUMMYFUNCTION("""COMPUTED_VALUE"""),"256GB")</f>
        <v>256GB</v>
      </c>
      <c r="J149" s="182" t="str">
        <f>IFERROR(__xludf.DUMMYFUNCTION("""COMPUTED_VALUE"""),"G950-18290-02-L")</f>
        <v>G950-18290-02-L</v>
      </c>
      <c r="K149" s="182" t="str">
        <f>IFERROR(__xludf.DUMMYFUNCTION("""COMPUTED_VALUE"""),"G950-18290-02")</f>
        <v>G950-18290-02</v>
      </c>
      <c r="L149" s="182" t="str">
        <f>IFERROR(__xludf.DUMMYFUNCTION("""COMPUTED_VALUE"""),"G710-07822-01")</f>
        <v>G710-07822-01</v>
      </c>
      <c r="M149" s="182" t="str">
        <f>IFERROR(__xludf.DUMMYFUNCTION("""COMPUTED_VALUE"""),"G710-10000-40")</f>
        <v>G710-10000-40</v>
      </c>
      <c r="N149" s="182" t="str">
        <f>IFERROR(__xludf.DUMMYFUNCTION("""COMPUTED_VALUE"""),"G730-09466-12")</f>
        <v>G730-09466-12</v>
      </c>
      <c r="O149" s="182" t="str">
        <f>IFERROR(__xludf.DUMMYFUNCTION("""COMPUTED_VALUE"""),"G710-07813-12")</f>
        <v>G710-07813-12</v>
      </c>
      <c r="P149" s="182" t="str">
        <f>IFERROR(__xludf.DUMMYFUNCTION("""COMPUTED_VALUE"""),"G650-17430-06")</f>
        <v>G650-17430-06</v>
      </c>
      <c r="Q149" s="182" t="str">
        <f>IFERROR(__xludf.DUMMYFUNCTION("""COMPUTED_VALUE"""),"G650-15596-04")</f>
        <v>G650-15596-04</v>
      </c>
      <c r="R149" s="182" t="str">
        <f>IFERROR(__xludf.DUMMYFUNCTION("""COMPUTED_VALUE"""),"G650-14843-04")</f>
        <v>G650-14843-04</v>
      </c>
      <c r="S149" s="182" t="str">
        <f>IFERROR(__xludf.DUMMYFUNCTION("""COMPUTED_VALUE"""),"G650-14411-05")</f>
        <v>G650-14411-05</v>
      </c>
      <c r="T149" s="182" t="str">
        <f>IFERROR(__xludf.DUMMYFUNCTION("""COMPUTED_VALUE"""),"G650-14840-03")</f>
        <v>G650-14840-03</v>
      </c>
      <c r="U149" s="182" t="str">
        <f>IFERROR(__xludf.DUMMYFUNCTION("""COMPUTED_VALUE"""),"G650-14841-03")</f>
        <v>G650-14841-03</v>
      </c>
      <c r="V149" s="182" t="str">
        <f>IFERROR(__xludf.DUMMYFUNCTION("""COMPUTED_VALUE"""),"G650-14413-03")</f>
        <v>G650-14413-03</v>
      </c>
      <c r="W149" s="182" t="str">
        <f>IFERROR(__xludf.DUMMYFUNCTION("""COMPUTED_VALUE"""),"G954-09473-00")</f>
        <v>G954-09473-00</v>
      </c>
      <c r="X149" s="182" t="str">
        <f>IFERROR(__xludf.DUMMYFUNCTION("""COMPUTED_VALUE"""),"G990-07758-00")</f>
        <v>G990-07758-00</v>
      </c>
      <c r="Y149" s="182" t="str">
        <f>IFERROR(__xludf.DUMMYFUNCTION("""COMPUTED_VALUE"""),"G990-07758-00")</f>
        <v>G990-07758-00</v>
      </c>
      <c r="Z149" s="182" t="str">
        <f>IFERROR(__xludf.DUMMYFUNCTION("""COMPUTED_VALUE"""),"Y")</f>
        <v>Y</v>
      </c>
      <c r="AA149" s="182" t="str">
        <f>IFERROR(__xludf.DUMMYFUNCTION("""COMPUTED_VALUE"""),"Y")</f>
        <v>Y</v>
      </c>
    </row>
    <row r="150">
      <c r="A150" s="182" t="str">
        <f>IFERROR(__xludf.DUMMYFUNCTION("""COMPUTED_VALUE"""),"CLNR")</f>
        <v>CLNR</v>
      </c>
      <c r="B150" s="182">
        <f>IFERROR(__xludf.DUMMYFUNCTION("""COMPUTED_VALUE"""),149.0)</f>
        <v>149</v>
      </c>
      <c r="C150" s="182" t="str">
        <f>IFERROR(__xludf.DUMMYFUNCTION("""COMPUTED_VALUE"""),"GEHN3")</f>
        <v>GEHN3</v>
      </c>
      <c r="D150" s="182" t="str">
        <f>IFERROR(__xludf.DUMMYFUNCTION("""COMPUTED_VALUE"""),"CLNRGA10507")</f>
        <v>CLNRGA10507</v>
      </c>
      <c r="E150" s="182" t="str">
        <f>IFERROR(__xludf.DUMMYFUNCTION("""COMPUTED_VALUE"""),"SKU, CLR3, BETTER, SUB6, EU/UK, BZ5, FRU")</f>
        <v>SKU, CLR3, BETTER, SUB6, EU/UK, BZ5, FRU</v>
      </c>
      <c r="F150" s="182" t="str">
        <f>IFERROR(__xludf.DUMMYFUNCTION("""COMPUTED_VALUE"""),"Pixel 10 Pro, Moonstone, 256GB, EU/UK, FRU")</f>
        <v>Pixel 10 Pro, Moonstone, 256GB, EU/UK, FRU</v>
      </c>
      <c r="G150" s="182" t="str">
        <f>IFERROR(__xludf.DUMMYFUNCTION("""COMPUTED_VALUE"""),"CLR3")</f>
        <v>CLR3</v>
      </c>
      <c r="H150" s="182" t="str">
        <f>IFERROR(__xludf.DUMMYFUNCTION("""COMPUTED_VALUE"""),"SUB6")</f>
        <v>SUB6</v>
      </c>
      <c r="I150" s="182" t="str">
        <f>IFERROR(__xludf.DUMMYFUNCTION("""COMPUTED_VALUE"""),"256GB")</f>
        <v>256GB</v>
      </c>
      <c r="J150" s="182" t="str">
        <f>IFERROR(__xludf.DUMMYFUNCTION("""COMPUTED_VALUE"""),"G950-18290-03-L")</f>
        <v>G950-18290-03-L</v>
      </c>
      <c r="K150" s="182" t="str">
        <f>IFERROR(__xludf.DUMMYFUNCTION("""COMPUTED_VALUE"""),"G950-18290-03")</f>
        <v>G950-18290-03</v>
      </c>
      <c r="L150" s="182" t="str">
        <f>IFERROR(__xludf.DUMMYFUNCTION("""COMPUTED_VALUE"""),"G710-07822-01")</f>
        <v>G710-07822-01</v>
      </c>
      <c r="M150" s="182" t="str">
        <f>IFERROR(__xludf.DUMMYFUNCTION("""COMPUTED_VALUE"""),"G710-10000-40")</f>
        <v>G710-10000-40</v>
      </c>
      <c r="N150" s="182" t="str">
        <f>IFERROR(__xludf.DUMMYFUNCTION("""COMPUTED_VALUE"""),"G730-09466-13")</f>
        <v>G730-09466-13</v>
      </c>
      <c r="O150" s="182" t="str">
        <f>IFERROR(__xludf.DUMMYFUNCTION("""COMPUTED_VALUE"""),"G710-07813-12")</f>
        <v>G710-07813-12</v>
      </c>
      <c r="P150" s="182" t="str">
        <f>IFERROR(__xludf.DUMMYFUNCTION("""COMPUTED_VALUE"""),"G650-17430-06")</f>
        <v>G650-17430-06</v>
      </c>
      <c r="Q150" s="182" t="str">
        <f>IFERROR(__xludf.DUMMYFUNCTION("""COMPUTED_VALUE"""),"G650-15596-04")</f>
        <v>G650-15596-04</v>
      </c>
      <c r="R150" s="182" t="str">
        <f>IFERROR(__xludf.DUMMYFUNCTION("""COMPUTED_VALUE"""),"G650-14843-04")</f>
        <v>G650-14843-04</v>
      </c>
      <c r="S150" s="182" t="str">
        <f>IFERROR(__xludf.DUMMYFUNCTION("""COMPUTED_VALUE"""),"G650-14411-05")</f>
        <v>G650-14411-05</v>
      </c>
      <c r="T150" s="182" t="str">
        <f>IFERROR(__xludf.DUMMYFUNCTION("""COMPUTED_VALUE"""),"G650-14840-03")</f>
        <v>G650-14840-03</v>
      </c>
      <c r="U150" s="182" t="str">
        <f>IFERROR(__xludf.DUMMYFUNCTION("""COMPUTED_VALUE"""),"G650-14841-03")</f>
        <v>G650-14841-03</v>
      </c>
      <c r="V150" s="182" t="str">
        <f>IFERROR(__xludf.DUMMYFUNCTION("""COMPUTED_VALUE"""),"G650-14413-03")</f>
        <v>G650-14413-03</v>
      </c>
      <c r="W150" s="182" t="str">
        <f>IFERROR(__xludf.DUMMYFUNCTION("""COMPUTED_VALUE"""),"G954-09473-00")</f>
        <v>G954-09473-00</v>
      </c>
      <c r="X150" s="182" t="str">
        <f>IFERROR(__xludf.DUMMYFUNCTION("""COMPUTED_VALUE"""),"G990-07758-00")</f>
        <v>G990-07758-00</v>
      </c>
      <c r="Y150" s="182" t="str">
        <f>IFERROR(__xludf.DUMMYFUNCTION("""COMPUTED_VALUE"""),"G990-07758-00")</f>
        <v>G990-07758-00</v>
      </c>
      <c r="Z150" s="182" t="str">
        <f>IFERROR(__xludf.DUMMYFUNCTION("""COMPUTED_VALUE"""),"Y")</f>
        <v>Y</v>
      </c>
      <c r="AA150" s="182" t="str">
        <f>IFERROR(__xludf.DUMMYFUNCTION("""COMPUTED_VALUE"""),"Y")</f>
        <v>Y</v>
      </c>
    </row>
    <row r="151">
      <c r="A151" s="182" t="str">
        <f>IFERROR(__xludf.DUMMYFUNCTION("""COMPUTED_VALUE"""),"CLNR")</f>
        <v>CLNR</v>
      </c>
      <c r="B151" s="182">
        <f>IFERROR(__xludf.DUMMYFUNCTION("""COMPUTED_VALUE"""),150.0)</f>
        <v>150</v>
      </c>
      <c r="C151" s="182" t="str">
        <f>IFERROR(__xludf.DUMMYFUNCTION("""COMPUTED_VALUE"""),"GEHN3")</f>
        <v>GEHN3</v>
      </c>
      <c r="D151" s="182" t="str">
        <f>IFERROR(__xludf.DUMMYFUNCTION("""COMPUTED_VALUE"""),"CLNRGA10508")</f>
        <v>CLNRGA10508</v>
      </c>
      <c r="E151" s="182" t="str">
        <f>IFERROR(__xludf.DUMMYFUNCTION("""COMPUTED_VALUE"""),"SKU, CLR4, BETTER, SUB6, EU/UK, BZ5, FRU")</f>
        <v>SKU, CLR4, BETTER, SUB6, EU/UK, BZ5, FRU</v>
      </c>
      <c r="F151" s="182" t="str">
        <f>IFERROR(__xludf.DUMMYFUNCTION("""COMPUTED_VALUE"""),"Pixel 10 Pro, Jade, 256GB, EU/UK, FRU")</f>
        <v>Pixel 10 Pro, Jade, 256GB, EU/UK, FRU</v>
      </c>
      <c r="G151" s="182" t="str">
        <f>IFERROR(__xludf.DUMMYFUNCTION("""COMPUTED_VALUE"""),"CLR4")</f>
        <v>CLR4</v>
      </c>
      <c r="H151" s="182" t="str">
        <f>IFERROR(__xludf.DUMMYFUNCTION("""COMPUTED_VALUE"""),"SUB6")</f>
        <v>SUB6</v>
      </c>
      <c r="I151" s="182" t="str">
        <f>IFERROR(__xludf.DUMMYFUNCTION("""COMPUTED_VALUE"""),"256GB")</f>
        <v>256GB</v>
      </c>
      <c r="J151" s="182" t="str">
        <f>IFERROR(__xludf.DUMMYFUNCTION("""COMPUTED_VALUE"""),"G950-18290-04-L")</f>
        <v>G950-18290-04-L</v>
      </c>
      <c r="K151" s="182" t="str">
        <f>IFERROR(__xludf.DUMMYFUNCTION("""COMPUTED_VALUE"""),"G950-18290-04")</f>
        <v>G950-18290-04</v>
      </c>
      <c r="L151" s="182" t="str">
        <f>IFERROR(__xludf.DUMMYFUNCTION("""COMPUTED_VALUE"""),"G710-07822-01")</f>
        <v>G710-07822-01</v>
      </c>
      <c r="M151" s="182" t="str">
        <f>IFERROR(__xludf.DUMMYFUNCTION("""COMPUTED_VALUE"""),"G710-10000-40")</f>
        <v>G710-10000-40</v>
      </c>
      <c r="N151" s="182" t="str">
        <f>IFERROR(__xludf.DUMMYFUNCTION("""COMPUTED_VALUE"""),"G730-09466-14")</f>
        <v>G730-09466-14</v>
      </c>
      <c r="O151" s="182" t="str">
        <f>IFERROR(__xludf.DUMMYFUNCTION("""COMPUTED_VALUE"""),"G710-07813-12")</f>
        <v>G710-07813-12</v>
      </c>
      <c r="P151" s="182" t="str">
        <f>IFERROR(__xludf.DUMMYFUNCTION("""COMPUTED_VALUE"""),"G650-17430-06")</f>
        <v>G650-17430-06</v>
      </c>
      <c r="Q151" s="182" t="str">
        <f>IFERROR(__xludf.DUMMYFUNCTION("""COMPUTED_VALUE"""),"G650-15596-04")</f>
        <v>G650-15596-04</v>
      </c>
      <c r="R151" s="182" t="str">
        <f>IFERROR(__xludf.DUMMYFUNCTION("""COMPUTED_VALUE"""),"G650-14843-04")</f>
        <v>G650-14843-04</v>
      </c>
      <c r="S151" s="182" t="str">
        <f>IFERROR(__xludf.DUMMYFUNCTION("""COMPUTED_VALUE"""),"G650-14411-05")</f>
        <v>G650-14411-05</v>
      </c>
      <c r="T151" s="182" t="str">
        <f>IFERROR(__xludf.DUMMYFUNCTION("""COMPUTED_VALUE"""),"G650-14840-03")</f>
        <v>G650-14840-03</v>
      </c>
      <c r="U151" s="182" t="str">
        <f>IFERROR(__xludf.DUMMYFUNCTION("""COMPUTED_VALUE"""),"G650-14841-03")</f>
        <v>G650-14841-03</v>
      </c>
      <c r="V151" s="182" t="str">
        <f>IFERROR(__xludf.DUMMYFUNCTION("""COMPUTED_VALUE"""),"G650-14413-03")</f>
        <v>G650-14413-03</v>
      </c>
      <c r="W151" s="182" t="str">
        <f>IFERROR(__xludf.DUMMYFUNCTION("""COMPUTED_VALUE"""),"G954-09473-00")</f>
        <v>G954-09473-00</v>
      </c>
      <c r="X151" s="182" t="str">
        <f>IFERROR(__xludf.DUMMYFUNCTION("""COMPUTED_VALUE"""),"G990-07758-00")</f>
        <v>G990-07758-00</v>
      </c>
      <c r="Y151" s="182" t="str">
        <f>IFERROR(__xludf.DUMMYFUNCTION("""COMPUTED_VALUE"""),"G990-07758-00")</f>
        <v>G990-07758-00</v>
      </c>
      <c r="Z151" s="182" t="str">
        <f>IFERROR(__xludf.DUMMYFUNCTION("""COMPUTED_VALUE"""),"Y")</f>
        <v>Y</v>
      </c>
      <c r="AA151" s="182" t="str">
        <f>IFERROR(__xludf.DUMMYFUNCTION("""COMPUTED_VALUE"""),"Y")</f>
        <v>Y</v>
      </c>
    </row>
    <row r="152">
      <c r="A152" s="182" t="str">
        <f>IFERROR(__xludf.DUMMYFUNCTION("""COMPUTED_VALUE"""),"CLNR")</f>
        <v>CLNR</v>
      </c>
      <c r="B152" s="182">
        <f>IFERROR(__xludf.DUMMYFUNCTION("""COMPUTED_VALUE"""),151.0)</f>
        <v>151</v>
      </c>
      <c r="C152" s="182" t="str">
        <f>IFERROR(__xludf.DUMMYFUNCTION("""COMPUTED_VALUE"""),"GEHN3")</f>
        <v>GEHN3</v>
      </c>
      <c r="D152" s="182" t="str">
        <f>IFERROR(__xludf.DUMMYFUNCTION("""COMPUTED_VALUE"""),"CLNRGA10509")</f>
        <v>CLNRGA10509</v>
      </c>
      <c r="E152" s="182" t="str">
        <f>IFERROR(__xludf.DUMMYFUNCTION("""COMPUTED_VALUE"""),"SKU, CLR1, BEST, SUB6, EU/UK, BZ5, FRU")</f>
        <v>SKU, CLR1, BEST, SUB6, EU/UK, BZ5, FRU</v>
      </c>
      <c r="F152" s="182" t="str">
        <f>IFERROR(__xludf.DUMMYFUNCTION("""COMPUTED_VALUE"""),"Pixel 10 Pro, Obsidian, 512GB, EU/UK, FRU")</f>
        <v>Pixel 10 Pro, Obsidian, 512GB, EU/UK, FRU</v>
      </c>
      <c r="G152" s="182" t="str">
        <f>IFERROR(__xludf.DUMMYFUNCTION("""COMPUTED_VALUE"""),"CLR1")</f>
        <v>CLR1</v>
      </c>
      <c r="H152" s="182" t="str">
        <f>IFERROR(__xludf.DUMMYFUNCTION("""COMPUTED_VALUE"""),"SUB6")</f>
        <v>SUB6</v>
      </c>
      <c r="I152" s="182" t="str">
        <f>IFERROR(__xludf.DUMMYFUNCTION("""COMPUTED_VALUE"""),"512GB")</f>
        <v>512GB</v>
      </c>
      <c r="J152" s="182" t="str">
        <f>IFERROR(__xludf.DUMMYFUNCTION("""COMPUTED_VALUE"""),"G950-18292-01-L")</f>
        <v>G950-18292-01-L</v>
      </c>
      <c r="K152" s="182" t="str">
        <f>IFERROR(__xludf.DUMMYFUNCTION("""COMPUTED_VALUE"""),"G950-18292-01")</f>
        <v>G950-18292-01</v>
      </c>
      <c r="L152" s="182" t="str">
        <f>IFERROR(__xludf.DUMMYFUNCTION("""COMPUTED_VALUE"""),"G710-07822-01")</f>
        <v>G710-07822-01</v>
      </c>
      <c r="M152" s="182" t="str">
        <f>IFERROR(__xludf.DUMMYFUNCTION("""COMPUTED_VALUE"""),"G710-10000-40")</f>
        <v>G710-10000-40</v>
      </c>
      <c r="N152" s="182" t="str">
        <f>IFERROR(__xludf.DUMMYFUNCTION("""COMPUTED_VALUE"""),"G730-09466-11")</f>
        <v>G730-09466-11</v>
      </c>
      <c r="O152" s="182" t="str">
        <f>IFERROR(__xludf.DUMMYFUNCTION("""COMPUTED_VALUE"""),"G710-07813-22")</f>
        <v>G710-07813-22</v>
      </c>
      <c r="P152" s="182" t="str">
        <f>IFERROR(__xludf.DUMMYFUNCTION("""COMPUTED_VALUE"""),"G650-17432-06")</f>
        <v>G650-17432-06</v>
      </c>
      <c r="Q152" s="182" t="str">
        <f>IFERROR(__xludf.DUMMYFUNCTION("""COMPUTED_VALUE"""),"G650-15596-04")</f>
        <v>G650-15596-04</v>
      </c>
      <c r="R152" s="182" t="str">
        <f>IFERROR(__xludf.DUMMYFUNCTION("""COMPUTED_VALUE"""),"G650-14843-04")</f>
        <v>G650-14843-04</v>
      </c>
      <c r="S152" s="182" t="str">
        <f>IFERROR(__xludf.DUMMYFUNCTION("""COMPUTED_VALUE"""),"G650-14411-05")</f>
        <v>G650-14411-05</v>
      </c>
      <c r="T152" s="182" t="str">
        <f>IFERROR(__xludf.DUMMYFUNCTION("""COMPUTED_VALUE"""),"G650-14840-03")</f>
        <v>G650-14840-03</v>
      </c>
      <c r="U152" s="182" t="str">
        <f>IFERROR(__xludf.DUMMYFUNCTION("""COMPUTED_VALUE"""),"G650-14841-03")</f>
        <v>G650-14841-03</v>
      </c>
      <c r="V152" s="182" t="str">
        <f>IFERROR(__xludf.DUMMYFUNCTION("""COMPUTED_VALUE"""),"G650-14413-03")</f>
        <v>G650-14413-03</v>
      </c>
      <c r="W152" s="182" t="str">
        <f>IFERROR(__xludf.DUMMYFUNCTION("""COMPUTED_VALUE"""),"G954-09473-00")</f>
        <v>G954-09473-00</v>
      </c>
      <c r="X152" s="182" t="str">
        <f>IFERROR(__xludf.DUMMYFUNCTION("""COMPUTED_VALUE"""),"G990-07758-00")</f>
        <v>G990-07758-00</v>
      </c>
      <c r="Y152" s="182" t="str">
        <f>IFERROR(__xludf.DUMMYFUNCTION("""COMPUTED_VALUE"""),"G990-07758-00")</f>
        <v>G990-07758-00</v>
      </c>
      <c r="Z152" s="182" t="str">
        <f>IFERROR(__xludf.DUMMYFUNCTION("""COMPUTED_VALUE"""),"Y")</f>
        <v>Y</v>
      </c>
      <c r="AA152" s="182" t="str">
        <f>IFERROR(__xludf.DUMMYFUNCTION("""COMPUTED_VALUE"""),"Y")</f>
        <v>Y</v>
      </c>
    </row>
    <row r="153">
      <c r="A153" s="182" t="str">
        <f>IFERROR(__xludf.DUMMYFUNCTION("""COMPUTED_VALUE"""),"CLNR")</f>
        <v>CLNR</v>
      </c>
      <c r="B153" s="182">
        <f>IFERROR(__xludf.DUMMYFUNCTION("""COMPUTED_VALUE"""),152.0)</f>
        <v>152</v>
      </c>
      <c r="C153" s="182" t="str">
        <f>IFERROR(__xludf.DUMMYFUNCTION("""COMPUTED_VALUE"""),"GEHN3")</f>
        <v>GEHN3</v>
      </c>
      <c r="D153" s="182" t="str">
        <f>IFERROR(__xludf.DUMMYFUNCTION("""COMPUTED_VALUE"""),"CLNRGA10510")</f>
        <v>CLNRGA10510</v>
      </c>
      <c r="E153" s="182" t="str">
        <f>IFERROR(__xludf.DUMMYFUNCTION("""COMPUTED_VALUE"""),"SKU, CLR2, BEST, SUB6, EU/UK, BZ5, FRU")</f>
        <v>SKU, CLR2, BEST, SUB6, EU/UK, BZ5, FRU</v>
      </c>
      <c r="F153" s="182" t="str">
        <f>IFERROR(__xludf.DUMMYFUNCTION("""COMPUTED_VALUE"""),"Pixel 10 Pro, Porcelain, 512GB, EU/UK, FRU")</f>
        <v>Pixel 10 Pro, Porcelain, 512GB, EU/UK, FRU</v>
      </c>
      <c r="G153" s="182" t="str">
        <f>IFERROR(__xludf.DUMMYFUNCTION("""COMPUTED_VALUE"""),"CLR2")</f>
        <v>CLR2</v>
      </c>
      <c r="H153" s="182" t="str">
        <f>IFERROR(__xludf.DUMMYFUNCTION("""COMPUTED_VALUE"""),"SUB6")</f>
        <v>SUB6</v>
      </c>
      <c r="I153" s="182" t="str">
        <f>IFERROR(__xludf.DUMMYFUNCTION("""COMPUTED_VALUE"""),"512GB")</f>
        <v>512GB</v>
      </c>
      <c r="J153" s="182" t="str">
        <f>IFERROR(__xludf.DUMMYFUNCTION("""COMPUTED_VALUE"""),"G950-18292-02-L")</f>
        <v>G950-18292-02-L</v>
      </c>
      <c r="K153" s="182" t="str">
        <f>IFERROR(__xludf.DUMMYFUNCTION("""COMPUTED_VALUE"""),"G950-18292-02")</f>
        <v>G950-18292-02</v>
      </c>
      <c r="L153" s="182" t="str">
        <f>IFERROR(__xludf.DUMMYFUNCTION("""COMPUTED_VALUE"""),"G710-07822-01")</f>
        <v>G710-07822-01</v>
      </c>
      <c r="M153" s="182" t="str">
        <f>IFERROR(__xludf.DUMMYFUNCTION("""COMPUTED_VALUE"""),"G710-10000-40")</f>
        <v>G710-10000-40</v>
      </c>
      <c r="N153" s="182" t="str">
        <f>IFERROR(__xludf.DUMMYFUNCTION("""COMPUTED_VALUE"""),"G730-09466-12")</f>
        <v>G730-09466-12</v>
      </c>
      <c r="O153" s="182" t="str">
        <f>IFERROR(__xludf.DUMMYFUNCTION("""COMPUTED_VALUE"""),"G710-07813-22")</f>
        <v>G710-07813-22</v>
      </c>
      <c r="P153" s="182" t="str">
        <f>IFERROR(__xludf.DUMMYFUNCTION("""COMPUTED_VALUE"""),"G650-17432-06")</f>
        <v>G650-17432-06</v>
      </c>
      <c r="Q153" s="182" t="str">
        <f>IFERROR(__xludf.DUMMYFUNCTION("""COMPUTED_VALUE"""),"G650-15596-04")</f>
        <v>G650-15596-04</v>
      </c>
      <c r="R153" s="182" t="str">
        <f>IFERROR(__xludf.DUMMYFUNCTION("""COMPUTED_VALUE"""),"G650-14843-04")</f>
        <v>G650-14843-04</v>
      </c>
      <c r="S153" s="182" t="str">
        <f>IFERROR(__xludf.DUMMYFUNCTION("""COMPUTED_VALUE"""),"G650-14411-05")</f>
        <v>G650-14411-05</v>
      </c>
      <c r="T153" s="182" t="str">
        <f>IFERROR(__xludf.DUMMYFUNCTION("""COMPUTED_VALUE"""),"G650-14840-03")</f>
        <v>G650-14840-03</v>
      </c>
      <c r="U153" s="182" t="str">
        <f>IFERROR(__xludf.DUMMYFUNCTION("""COMPUTED_VALUE"""),"G650-14841-03")</f>
        <v>G650-14841-03</v>
      </c>
      <c r="V153" s="182" t="str">
        <f>IFERROR(__xludf.DUMMYFUNCTION("""COMPUTED_VALUE"""),"G650-14413-03")</f>
        <v>G650-14413-03</v>
      </c>
      <c r="W153" s="182" t="str">
        <f>IFERROR(__xludf.DUMMYFUNCTION("""COMPUTED_VALUE"""),"G954-09473-00")</f>
        <v>G954-09473-00</v>
      </c>
      <c r="X153" s="182" t="str">
        <f>IFERROR(__xludf.DUMMYFUNCTION("""COMPUTED_VALUE"""),"G990-07758-00")</f>
        <v>G990-07758-00</v>
      </c>
      <c r="Y153" s="182" t="str">
        <f>IFERROR(__xludf.DUMMYFUNCTION("""COMPUTED_VALUE"""),"G990-07758-00")</f>
        <v>G990-07758-00</v>
      </c>
      <c r="Z153" s="182" t="str">
        <f>IFERROR(__xludf.DUMMYFUNCTION("""COMPUTED_VALUE"""),"Y")</f>
        <v>Y</v>
      </c>
      <c r="AA153" s="182" t="str">
        <f>IFERROR(__xludf.DUMMYFUNCTION("""COMPUTED_VALUE"""),"Y")</f>
        <v>Y</v>
      </c>
    </row>
    <row r="154">
      <c r="A154" s="182" t="str">
        <f>IFERROR(__xludf.DUMMYFUNCTION("""COMPUTED_VALUE"""),"CLNR")</f>
        <v>CLNR</v>
      </c>
      <c r="B154" s="182">
        <f>IFERROR(__xludf.DUMMYFUNCTION("""COMPUTED_VALUE"""),153.0)</f>
        <v>153</v>
      </c>
      <c r="C154" s="182" t="str">
        <f>IFERROR(__xludf.DUMMYFUNCTION("""COMPUTED_VALUE"""),"GEHN3")</f>
        <v>GEHN3</v>
      </c>
      <c r="D154" s="182" t="str">
        <f>IFERROR(__xludf.DUMMYFUNCTION("""COMPUTED_VALUE"""),"CLNRGA10511")</f>
        <v>CLNRGA10511</v>
      </c>
      <c r="E154" s="182" t="str">
        <f>IFERROR(__xludf.DUMMYFUNCTION("""COMPUTED_VALUE"""),"SKU, CLR3, BEST, SUB6, EU/UK, BZ5, FRU")</f>
        <v>SKU, CLR3, BEST, SUB6, EU/UK, BZ5, FRU</v>
      </c>
      <c r="F154" s="182" t="str">
        <f>IFERROR(__xludf.DUMMYFUNCTION("""COMPUTED_VALUE"""),"Pixel 10 Pro, Moonstone, 512GB, EU/UK, FRU")</f>
        <v>Pixel 10 Pro, Moonstone, 512GB, EU/UK, FRU</v>
      </c>
      <c r="G154" s="182" t="str">
        <f>IFERROR(__xludf.DUMMYFUNCTION("""COMPUTED_VALUE"""),"CLR3")</f>
        <v>CLR3</v>
      </c>
      <c r="H154" s="182" t="str">
        <f>IFERROR(__xludf.DUMMYFUNCTION("""COMPUTED_VALUE"""),"SUB6")</f>
        <v>SUB6</v>
      </c>
      <c r="I154" s="182" t="str">
        <f>IFERROR(__xludf.DUMMYFUNCTION("""COMPUTED_VALUE"""),"512GB")</f>
        <v>512GB</v>
      </c>
      <c r="J154" s="182" t="str">
        <f>IFERROR(__xludf.DUMMYFUNCTION("""COMPUTED_VALUE"""),"G950-18292-03-L")</f>
        <v>G950-18292-03-L</v>
      </c>
      <c r="K154" s="182" t="str">
        <f>IFERROR(__xludf.DUMMYFUNCTION("""COMPUTED_VALUE"""),"G950-18292-03")</f>
        <v>G950-18292-03</v>
      </c>
      <c r="L154" s="182" t="str">
        <f>IFERROR(__xludf.DUMMYFUNCTION("""COMPUTED_VALUE"""),"G710-07822-01")</f>
        <v>G710-07822-01</v>
      </c>
      <c r="M154" s="182" t="str">
        <f>IFERROR(__xludf.DUMMYFUNCTION("""COMPUTED_VALUE"""),"G710-10000-40")</f>
        <v>G710-10000-40</v>
      </c>
      <c r="N154" s="182" t="str">
        <f>IFERROR(__xludf.DUMMYFUNCTION("""COMPUTED_VALUE"""),"G730-09466-13")</f>
        <v>G730-09466-13</v>
      </c>
      <c r="O154" s="182" t="str">
        <f>IFERROR(__xludf.DUMMYFUNCTION("""COMPUTED_VALUE"""),"G710-07813-22")</f>
        <v>G710-07813-22</v>
      </c>
      <c r="P154" s="182" t="str">
        <f>IFERROR(__xludf.DUMMYFUNCTION("""COMPUTED_VALUE"""),"G650-17432-06")</f>
        <v>G650-17432-06</v>
      </c>
      <c r="Q154" s="182" t="str">
        <f>IFERROR(__xludf.DUMMYFUNCTION("""COMPUTED_VALUE"""),"G650-15596-04")</f>
        <v>G650-15596-04</v>
      </c>
      <c r="R154" s="182" t="str">
        <f>IFERROR(__xludf.DUMMYFUNCTION("""COMPUTED_VALUE"""),"G650-14843-04")</f>
        <v>G650-14843-04</v>
      </c>
      <c r="S154" s="182" t="str">
        <f>IFERROR(__xludf.DUMMYFUNCTION("""COMPUTED_VALUE"""),"G650-14411-05")</f>
        <v>G650-14411-05</v>
      </c>
      <c r="T154" s="182" t="str">
        <f>IFERROR(__xludf.DUMMYFUNCTION("""COMPUTED_VALUE"""),"G650-14840-03")</f>
        <v>G650-14840-03</v>
      </c>
      <c r="U154" s="182" t="str">
        <f>IFERROR(__xludf.DUMMYFUNCTION("""COMPUTED_VALUE"""),"G650-14841-03")</f>
        <v>G650-14841-03</v>
      </c>
      <c r="V154" s="182" t="str">
        <f>IFERROR(__xludf.DUMMYFUNCTION("""COMPUTED_VALUE"""),"G650-14413-03")</f>
        <v>G650-14413-03</v>
      </c>
      <c r="W154" s="182" t="str">
        <f>IFERROR(__xludf.DUMMYFUNCTION("""COMPUTED_VALUE"""),"G954-09473-00")</f>
        <v>G954-09473-00</v>
      </c>
      <c r="X154" s="182" t="str">
        <f>IFERROR(__xludf.DUMMYFUNCTION("""COMPUTED_VALUE"""),"G990-07758-00")</f>
        <v>G990-07758-00</v>
      </c>
      <c r="Y154" s="182" t="str">
        <f>IFERROR(__xludf.DUMMYFUNCTION("""COMPUTED_VALUE"""),"G990-07758-00")</f>
        <v>G990-07758-00</v>
      </c>
      <c r="Z154" s="182" t="str">
        <f>IFERROR(__xludf.DUMMYFUNCTION("""COMPUTED_VALUE"""),"Y")</f>
        <v>Y</v>
      </c>
      <c r="AA154" s="182" t="str">
        <f>IFERROR(__xludf.DUMMYFUNCTION("""COMPUTED_VALUE"""),"Y")</f>
        <v>Y</v>
      </c>
    </row>
    <row r="155">
      <c r="A155" s="182" t="str">
        <f>IFERROR(__xludf.DUMMYFUNCTION("""COMPUTED_VALUE"""),"CLNR")</f>
        <v>CLNR</v>
      </c>
      <c r="B155" s="182">
        <f>IFERROR(__xludf.DUMMYFUNCTION("""COMPUTED_VALUE"""),154.0)</f>
        <v>154</v>
      </c>
      <c r="C155" s="182" t="str">
        <f>IFERROR(__xludf.DUMMYFUNCTION("""COMPUTED_VALUE"""),"GEHN3")</f>
        <v>GEHN3</v>
      </c>
      <c r="D155" s="182" t="str">
        <f>IFERROR(__xludf.DUMMYFUNCTION("""COMPUTED_VALUE"""),"CLNRGA10513")</f>
        <v>CLNRGA10513</v>
      </c>
      <c r="E155" s="182" t="str">
        <f>IFERROR(__xludf.DUMMYFUNCTION("""COMPUTED_VALUE"""),"SKU, CLR1, ULTRA, SUB6, EU/UK, BZ5, FRU")</f>
        <v>SKU, CLR1, ULTRA, SUB6, EU/UK, BZ5, FRU</v>
      </c>
      <c r="F155" s="182" t="str">
        <f>IFERROR(__xludf.DUMMYFUNCTION("""COMPUTED_VALUE"""),"Pixel 10 Pro, Obsidian, 1TB, EU/UK, FRU")</f>
        <v>Pixel 10 Pro, Obsidian, 1TB, EU/UK, FRU</v>
      </c>
      <c r="G155" s="182" t="str">
        <f>IFERROR(__xludf.DUMMYFUNCTION("""COMPUTED_VALUE"""),"CLR1")</f>
        <v>CLR1</v>
      </c>
      <c r="H155" s="182" t="str">
        <f>IFERROR(__xludf.DUMMYFUNCTION("""COMPUTED_VALUE"""),"SUB6")</f>
        <v>SUB6</v>
      </c>
      <c r="I155" s="182" t="str">
        <f>IFERROR(__xludf.DUMMYFUNCTION("""COMPUTED_VALUE"""),"1TB")</f>
        <v>1TB</v>
      </c>
      <c r="J155" s="182" t="str">
        <f>IFERROR(__xludf.DUMMYFUNCTION("""COMPUTED_VALUE"""),"G950-18294-01-L")</f>
        <v>G950-18294-01-L</v>
      </c>
      <c r="K155" s="182" t="str">
        <f>IFERROR(__xludf.DUMMYFUNCTION("""COMPUTED_VALUE"""),"G950-18294-01")</f>
        <v>G950-18294-01</v>
      </c>
      <c r="L155" s="182" t="str">
        <f>IFERROR(__xludf.DUMMYFUNCTION("""COMPUTED_VALUE"""),"G710-07822-01")</f>
        <v>G710-07822-01</v>
      </c>
      <c r="M155" s="182" t="str">
        <f>IFERROR(__xludf.DUMMYFUNCTION("""COMPUTED_VALUE"""),"G710-10000-40")</f>
        <v>G710-10000-40</v>
      </c>
      <c r="N155" s="182" t="str">
        <f>IFERROR(__xludf.DUMMYFUNCTION("""COMPUTED_VALUE"""),"G730-09466-11")</f>
        <v>G730-09466-11</v>
      </c>
      <c r="O155" s="182" t="str">
        <f>IFERROR(__xludf.DUMMYFUNCTION("""COMPUTED_VALUE"""),"G710-07813-32")</f>
        <v>G710-07813-32</v>
      </c>
      <c r="P155" s="182" t="str">
        <f>IFERROR(__xludf.DUMMYFUNCTION("""COMPUTED_VALUE"""),"G650-17434-06")</f>
        <v>G650-17434-06</v>
      </c>
      <c r="Q155" s="182" t="str">
        <f>IFERROR(__xludf.DUMMYFUNCTION("""COMPUTED_VALUE"""),"G650-15596-04")</f>
        <v>G650-15596-04</v>
      </c>
      <c r="R155" s="182" t="str">
        <f>IFERROR(__xludf.DUMMYFUNCTION("""COMPUTED_VALUE"""),"G650-14843-04")</f>
        <v>G650-14843-04</v>
      </c>
      <c r="S155" s="182" t="str">
        <f>IFERROR(__xludf.DUMMYFUNCTION("""COMPUTED_VALUE"""),"G650-14411-05")</f>
        <v>G650-14411-05</v>
      </c>
      <c r="T155" s="182" t="str">
        <f>IFERROR(__xludf.DUMMYFUNCTION("""COMPUTED_VALUE"""),"G650-14840-03")</f>
        <v>G650-14840-03</v>
      </c>
      <c r="U155" s="182" t="str">
        <f>IFERROR(__xludf.DUMMYFUNCTION("""COMPUTED_VALUE"""),"G650-14841-03")</f>
        <v>G650-14841-03</v>
      </c>
      <c r="V155" s="182" t="str">
        <f>IFERROR(__xludf.DUMMYFUNCTION("""COMPUTED_VALUE"""),"G650-14413-03")</f>
        <v>G650-14413-03</v>
      </c>
      <c r="W155" s="182" t="str">
        <f>IFERROR(__xludf.DUMMYFUNCTION("""COMPUTED_VALUE"""),"G954-09473-00")</f>
        <v>G954-09473-00</v>
      </c>
      <c r="X155" s="182" t="str">
        <f>IFERROR(__xludf.DUMMYFUNCTION("""COMPUTED_VALUE"""),"G990-07758-00")</f>
        <v>G990-07758-00</v>
      </c>
      <c r="Y155" s="182" t="str">
        <f>IFERROR(__xludf.DUMMYFUNCTION("""COMPUTED_VALUE"""),"G990-07758-00")</f>
        <v>G990-07758-00</v>
      </c>
      <c r="Z155" s="182" t="str">
        <f>IFERROR(__xludf.DUMMYFUNCTION("""COMPUTED_VALUE"""),"Y")</f>
        <v>Y</v>
      </c>
      <c r="AA155" s="182" t="str">
        <f>IFERROR(__xludf.DUMMYFUNCTION("""COMPUTED_VALUE"""),"Y")</f>
        <v>Y</v>
      </c>
    </row>
    <row r="156">
      <c r="A156" s="182" t="str">
        <f>IFERROR(__xludf.DUMMYFUNCTION("""COMPUTED_VALUE"""),"MP")</f>
        <v>MP</v>
      </c>
      <c r="B156" s="182">
        <f>IFERROR(__xludf.DUMMYFUNCTION("""COMPUTED_VALUE"""),155.0)</f>
        <v>155</v>
      </c>
      <c r="C156" s="182" t="str">
        <f>IFERROR(__xludf.DUMMYFUNCTION("""COMPUTED_VALUE"""),"GEHN3")</f>
        <v>GEHN3</v>
      </c>
      <c r="D156" s="182" t="str">
        <f>IFERROR(__xludf.DUMMYFUNCTION("""COMPUTED_VALUE"""),"GA09900-AN")</f>
        <v>GA09900-AN</v>
      </c>
      <c r="E156" s="182" t="str">
        <f>IFERROR(__xludf.DUMMYFUNCTION("""COMPUTED_VALUE"""),"Pixel 10 Pro, Obsidian, 256GB, EU/UK, Amazon Only")</f>
        <v>Pixel 10 Pro, Obsidian, 256GB, EU/UK, Amazon Only</v>
      </c>
      <c r="F156" s="182"/>
      <c r="G156" s="182" t="str">
        <f>IFERROR(__xludf.DUMMYFUNCTION("""COMPUTED_VALUE"""),"CLR1")</f>
        <v>CLR1</v>
      </c>
      <c r="H156" s="182" t="str">
        <f>IFERROR(__xludf.DUMMYFUNCTION("""COMPUTED_VALUE"""),"SUB6")</f>
        <v>SUB6</v>
      </c>
      <c r="I156" s="182" t="str">
        <f>IFERROR(__xludf.DUMMYFUNCTION("""COMPUTED_VALUE"""),"256GB")</f>
        <v>256GB</v>
      </c>
      <c r="J156" s="182" t="str">
        <f>IFERROR(__xludf.DUMMYFUNCTION("""COMPUTED_VALUE"""),"G950-18290-01-L")</f>
        <v>G950-18290-01-L</v>
      </c>
      <c r="K156" s="182" t="str">
        <f>IFERROR(__xludf.DUMMYFUNCTION("""COMPUTED_VALUE"""),"G950-18290-01")</f>
        <v>G950-18290-01</v>
      </c>
      <c r="L156" s="182" t="str">
        <f>IFERROR(__xludf.DUMMYFUNCTION("""COMPUTED_VALUE"""),"G710-07822-01")</f>
        <v>G710-07822-01</v>
      </c>
      <c r="M156" s="182" t="str">
        <f>IFERROR(__xludf.DUMMYFUNCTION("""COMPUTED_VALUE"""),"G710-10000-40")</f>
        <v>G710-10000-40</v>
      </c>
      <c r="N156" s="182" t="str">
        <f>IFERROR(__xludf.DUMMYFUNCTION("""COMPUTED_VALUE"""),"G730-09466-11")</f>
        <v>G730-09466-11</v>
      </c>
      <c r="O156" s="182" t="str">
        <f>IFERROR(__xludf.DUMMYFUNCTION("""COMPUTED_VALUE"""),"G710-07813-12")</f>
        <v>G710-07813-12</v>
      </c>
      <c r="P156" s="182" t="str">
        <f>IFERROR(__xludf.DUMMYFUNCTION("""COMPUTED_VALUE"""),"G650-17430-06")</f>
        <v>G650-17430-06</v>
      </c>
      <c r="Q156" s="182" t="str">
        <f>IFERROR(__xludf.DUMMYFUNCTION("""COMPUTED_VALUE"""),"G650-15596-04")</f>
        <v>G650-15596-04</v>
      </c>
      <c r="R156" s="182" t="str">
        <f>IFERROR(__xludf.DUMMYFUNCTION("""COMPUTED_VALUE"""),"G650-14843-04")</f>
        <v>G650-14843-04</v>
      </c>
      <c r="S156" s="182" t="str">
        <f>IFERROR(__xludf.DUMMYFUNCTION("""COMPUTED_VALUE"""),"G650-14411-05")</f>
        <v>G650-14411-05</v>
      </c>
      <c r="T156" s="182" t="str">
        <f>IFERROR(__xludf.DUMMYFUNCTION("""COMPUTED_VALUE"""),"G650-14840-03")</f>
        <v>G650-14840-03</v>
      </c>
      <c r="U156" s="182" t="str">
        <f>IFERROR(__xludf.DUMMYFUNCTION("""COMPUTED_VALUE"""),"G650-14841-03")</f>
        <v>G650-14841-03</v>
      </c>
      <c r="V156" s="182" t="str">
        <f>IFERROR(__xludf.DUMMYFUNCTION("""COMPUTED_VALUE"""),"G650-14413-03")</f>
        <v>G650-14413-03</v>
      </c>
      <c r="W156" s="182"/>
      <c r="X156" s="182" t="str">
        <f>IFERROR(__xludf.DUMMYFUNCTION("""COMPUTED_VALUE"""),"G990-07758-00")</f>
        <v>G990-07758-00</v>
      </c>
      <c r="Y156" s="182" t="str">
        <f>IFERROR(__xludf.DUMMYFUNCTION("""COMPUTED_VALUE"""),"G990-07758-00")</f>
        <v>G990-07758-00</v>
      </c>
      <c r="Z156" s="182" t="str">
        <f>IFERROR(__xludf.DUMMYFUNCTION("""COMPUTED_VALUE"""),"Y")</f>
        <v>Y</v>
      </c>
      <c r="AA156" s="182" t="str">
        <f>IFERROR(__xludf.DUMMYFUNCTION("""COMPUTED_VALUE"""),"Y")</f>
        <v>Y</v>
      </c>
    </row>
    <row r="157">
      <c r="A157" s="182" t="str">
        <f>IFERROR(__xludf.DUMMYFUNCTION("""COMPUTED_VALUE"""),"MP")</f>
        <v>MP</v>
      </c>
      <c r="B157" s="182">
        <f>IFERROR(__xludf.DUMMYFUNCTION("""COMPUTED_VALUE"""),156.0)</f>
        <v>156</v>
      </c>
      <c r="C157" s="182" t="str">
        <f>IFERROR(__xludf.DUMMYFUNCTION("""COMPUTED_VALUE"""),"GEHN3")</f>
        <v>GEHN3</v>
      </c>
      <c r="D157" s="182" t="str">
        <f>IFERROR(__xludf.DUMMYFUNCTION("""COMPUTED_VALUE"""),"GA10318-AN")</f>
        <v>GA10318-AN</v>
      </c>
      <c r="E157" s="182" t="str">
        <f>IFERROR(__xludf.DUMMYFUNCTION("""COMPUTED_VALUE"""),"Pixel 10 Pro, Moonstone, 512GB, EU/UK, Amazon Only")</f>
        <v>Pixel 10 Pro, Moonstone, 512GB, EU/UK, Amazon Only</v>
      </c>
      <c r="F157" s="182"/>
      <c r="G157" s="182" t="str">
        <f>IFERROR(__xludf.DUMMYFUNCTION("""COMPUTED_VALUE"""),"CLR3")</f>
        <v>CLR3</v>
      </c>
      <c r="H157" s="182" t="str">
        <f>IFERROR(__xludf.DUMMYFUNCTION("""COMPUTED_VALUE"""),"SUB6")</f>
        <v>SUB6</v>
      </c>
      <c r="I157" s="182" t="str">
        <f>IFERROR(__xludf.DUMMYFUNCTION("""COMPUTED_VALUE"""),"512GB")</f>
        <v>512GB</v>
      </c>
      <c r="J157" s="182" t="str">
        <f>IFERROR(__xludf.DUMMYFUNCTION("""COMPUTED_VALUE"""),"G950-18292-03-L")</f>
        <v>G950-18292-03-L</v>
      </c>
      <c r="K157" s="182" t="str">
        <f>IFERROR(__xludf.DUMMYFUNCTION("""COMPUTED_VALUE"""),"G950-18292-03")</f>
        <v>G950-18292-03</v>
      </c>
      <c r="L157" s="182" t="str">
        <f>IFERROR(__xludf.DUMMYFUNCTION("""COMPUTED_VALUE"""),"G710-07822-01")</f>
        <v>G710-07822-01</v>
      </c>
      <c r="M157" s="182" t="str">
        <f>IFERROR(__xludf.DUMMYFUNCTION("""COMPUTED_VALUE"""),"G710-10000-40")</f>
        <v>G710-10000-40</v>
      </c>
      <c r="N157" s="182" t="str">
        <f>IFERROR(__xludf.DUMMYFUNCTION("""COMPUTED_VALUE"""),"G730-09466-13")</f>
        <v>G730-09466-13</v>
      </c>
      <c r="O157" s="182" t="str">
        <f>IFERROR(__xludf.DUMMYFUNCTION("""COMPUTED_VALUE"""),"G710-07813-22")</f>
        <v>G710-07813-22</v>
      </c>
      <c r="P157" s="182" t="str">
        <f>IFERROR(__xludf.DUMMYFUNCTION("""COMPUTED_VALUE"""),"G650-17432-06")</f>
        <v>G650-17432-06</v>
      </c>
      <c r="Q157" s="182" t="str">
        <f>IFERROR(__xludf.DUMMYFUNCTION("""COMPUTED_VALUE"""),"G650-15596-04")</f>
        <v>G650-15596-04</v>
      </c>
      <c r="R157" s="182" t="str">
        <f>IFERROR(__xludf.DUMMYFUNCTION("""COMPUTED_VALUE"""),"G650-14843-04")</f>
        <v>G650-14843-04</v>
      </c>
      <c r="S157" s="182" t="str">
        <f>IFERROR(__xludf.DUMMYFUNCTION("""COMPUTED_VALUE"""),"G650-14411-05")</f>
        <v>G650-14411-05</v>
      </c>
      <c r="T157" s="182" t="str">
        <f>IFERROR(__xludf.DUMMYFUNCTION("""COMPUTED_VALUE"""),"G650-14840-03")</f>
        <v>G650-14840-03</v>
      </c>
      <c r="U157" s="182" t="str">
        <f>IFERROR(__xludf.DUMMYFUNCTION("""COMPUTED_VALUE"""),"G650-14841-03")</f>
        <v>G650-14841-03</v>
      </c>
      <c r="V157" s="182" t="str">
        <f>IFERROR(__xludf.DUMMYFUNCTION("""COMPUTED_VALUE"""),"G650-14413-03")</f>
        <v>G650-14413-03</v>
      </c>
      <c r="W157" s="182"/>
      <c r="X157" s="182" t="str">
        <f>IFERROR(__xludf.DUMMYFUNCTION("""COMPUTED_VALUE"""),"G990-07758-00")</f>
        <v>G990-07758-00</v>
      </c>
      <c r="Y157" s="182" t="str">
        <f>IFERROR(__xludf.DUMMYFUNCTION("""COMPUTED_VALUE"""),"G990-07758-00")</f>
        <v>G990-07758-00</v>
      </c>
      <c r="Z157" s="182" t="str">
        <f>IFERROR(__xludf.DUMMYFUNCTION("""COMPUTED_VALUE"""),"Y")</f>
        <v>Y</v>
      </c>
      <c r="AA157" s="182" t="str">
        <f>IFERROR(__xludf.DUMMYFUNCTION("""COMPUTED_VALUE"""),"Y")</f>
        <v>Y</v>
      </c>
    </row>
    <row r="158">
      <c r="A158" s="182" t="str">
        <f>IFERROR(__xludf.DUMMYFUNCTION("""COMPUTED_VALUE"""),"MP")</f>
        <v>MP</v>
      </c>
      <c r="B158" s="182">
        <f>IFERROR(__xludf.DUMMYFUNCTION("""COMPUTED_VALUE"""),157.0)</f>
        <v>157</v>
      </c>
      <c r="C158" s="182" t="str">
        <f>IFERROR(__xludf.DUMMYFUNCTION("""COMPUTED_VALUE"""),"GEHN3")</f>
        <v>GEHN3</v>
      </c>
      <c r="D158" s="182" t="str">
        <f>IFERROR(__xludf.DUMMYFUNCTION("""COMPUTED_VALUE"""),"GA10314-AN")</f>
        <v>GA10314-AN</v>
      </c>
      <c r="E158" s="182" t="str">
        <f>IFERROR(__xludf.DUMMYFUNCTION("""COMPUTED_VALUE"""),"Pixel 10 Pro, Porcelain, 256GB, EU/UK, Amazon Only")</f>
        <v>Pixel 10 Pro, Porcelain, 256GB, EU/UK, Amazon Only</v>
      </c>
      <c r="F158" s="182"/>
      <c r="G158" s="182" t="str">
        <f>IFERROR(__xludf.DUMMYFUNCTION("""COMPUTED_VALUE"""),"CLR2")</f>
        <v>CLR2</v>
      </c>
      <c r="H158" s="182" t="str">
        <f>IFERROR(__xludf.DUMMYFUNCTION("""COMPUTED_VALUE"""),"SUB6")</f>
        <v>SUB6</v>
      </c>
      <c r="I158" s="182" t="str">
        <f>IFERROR(__xludf.DUMMYFUNCTION("""COMPUTED_VALUE"""),"256GB")</f>
        <v>256GB</v>
      </c>
      <c r="J158" s="182" t="str">
        <f>IFERROR(__xludf.DUMMYFUNCTION("""COMPUTED_VALUE"""),"G950-18290-02-L")</f>
        <v>G950-18290-02-L</v>
      </c>
      <c r="K158" s="182" t="str">
        <f>IFERROR(__xludf.DUMMYFUNCTION("""COMPUTED_VALUE"""),"G950-18290-02")</f>
        <v>G950-18290-02</v>
      </c>
      <c r="L158" s="182" t="str">
        <f>IFERROR(__xludf.DUMMYFUNCTION("""COMPUTED_VALUE"""),"G710-07822-01")</f>
        <v>G710-07822-01</v>
      </c>
      <c r="M158" s="182" t="str">
        <f>IFERROR(__xludf.DUMMYFUNCTION("""COMPUTED_VALUE"""),"G710-10000-40")</f>
        <v>G710-10000-40</v>
      </c>
      <c r="N158" s="182" t="str">
        <f>IFERROR(__xludf.DUMMYFUNCTION("""COMPUTED_VALUE"""),"G730-09466-12")</f>
        <v>G730-09466-12</v>
      </c>
      <c r="O158" s="182" t="str">
        <f>IFERROR(__xludf.DUMMYFUNCTION("""COMPUTED_VALUE"""),"G710-07813-12")</f>
        <v>G710-07813-12</v>
      </c>
      <c r="P158" s="182" t="str">
        <f>IFERROR(__xludf.DUMMYFUNCTION("""COMPUTED_VALUE"""),"G650-17430-06")</f>
        <v>G650-17430-06</v>
      </c>
      <c r="Q158" s="182" t="str">
        <f>IFERROR(__xludf.DUMMYFUNCTION("""COMPUTED_VALUE"""),"G650-15596-04")</f>
        <v>G650-15596-04</v>
      </c>
      <c r="R158" s="182" t="str">
        <f>IFERROR(__xludf.DUMMYFUNCTION("""COMPUTED_VALUE"""),"G650-14843-04")</f>
        <v>G650-14843-04</v>
      </c>
      <c r="S158" s="182" t="str">
        <f>IFERROR(__xludf.DUMMYFUNCTION("""COMPUTED_VALUE"""),"G650-14411-05")</f>
        <v>G650-14411-05</v>
      </c>
      <c r="T158" s="182" t="str">
        <f>IFERROR(__xludf.DUMMYFUNCTION("""COMPUTED_VALUE"""),"G650-14840-03")</f>
        <v>G650-14840-03</v>
      </c>
      <c r="U158" s="182" t="str">
        <f>IFERROR(__xludf.DUMMYFUNCTION("""COMPUTED_VALUE"""),"G650-14841-03")</f>
        <v>G650-14841-03</v>
      </c>
      <c r="V158" s="182" t="str">
        <f>IFERROR(__xludf.DUMMYFUNCTION("""COMPUTED_VALUE"""),"G650-14413-03")</f>
        <v>G650-14413-03</v>
      </c>
      <c r="W158" s="182"/>
      <c r="X158" s="182" t="str">
        <f>IFERROR(__xludf.DUMMYFUNCTION("""COMPUTED_VALUE"""),"G990-07758-00")</f>
        <v>G990-07758-00</v>
      </c>
      <c r="Y158" s="182" t="str">
        <f>IFERROR(__xludf.DUMMYFUNCTION("""COMPUTED_VALUE"""),"G990-07758-00")</f>
        <v>G990-07758-00</v>
      </c>
      <c r="Z158" s="182" t="str">
        <f>IFERROR(__xludf.DUMMYFUNCTION("""COMPUTED_VALUE"""),"Y")</f>
        <v>Y</v>
      </c>
      <c r="AA158" s="182" t="str">
        <f>IFERROR(__xludf.DUMMYFUNCTION("""COMPUTED_VALUE"""),"Y")</f>
        <v>Y</v>
      </c>
    </row>
    <row r="159">
      <c r="A159" s="182" t="str">
        <f>IFERROR(__xludf.DUMMYFUNCTION("""COMPUTED_VALUE"""),"MP")</f>
        <v>MP</v>
      </c>
      <c r="B159" s="182">
        <f>IFERROR(__xludf.DUMMYFUNCTION("""COMPUTED_VALUE"""),158.0)</f>
        <v>158</v>
      </c>
      <c r="C159" s="182" t="str">
        <f>IFERROR(__xludf.DUMMYFUNCTION("""COMPUTED_VALUE"""),"GEHN3")</f>
        <v>GEHN3</v>
      </c>
      <c r="D159" s="182" t="str">
        <f>IFERROR(__xludf.DUMMYFUNCTION("""COMPUTED_VALUE"""),"GA09934-AN")</f>
        <v>GA09934-AN</v>
      </c>
      <c r="E159" s="182" t="str">
        <f>IFERROR(__xludf.DUMMYFUNCTION("""COMPUTED_VALUE"""),"Pixel 10 Pro, Obsidian, 1TB, EU/UK, Amazon Only")</f>
        <v>Pixel 10 Pro, Obsidian, 1TB, EU/UK, Amazon Only</v>
      </c>
      <c r="F159" s="182"/>
      <c r="G159" s="182" t="str">
        <f>IFERROR(__xludf.DUMMYFUNCTION("""COMPUTED_VALUE"""),"CLR1")</f>
        <v>CLR1</v>
      </c>
      <c r="H159" s="182" t="str">
        <f>IFERROR(__xludf.DUMMYFUNCTION("""COMPUTED_VALUE"""),"SUB6")</f>
        <v>SUB6</v>
      </c>
      <c r="I159" s="182" t="str">
        <f>IFERROR(__xludf.DUMMYFUNCTION("""COMPUTED_VALUE"""),"1TB")</f>
        <v>1TB</v>
      </c>
      <c r="J159" s="182" t="str">
        <f>IFERROR(__xludf.DUMMYFUNCTION("""COMPUTED_VALUE"""),"G950-18294-01-L")</f>
        <v>G950-18294-01-L</v>
      </c>
      <c r="K159" s="182" t="str">
        <f>IFERROR(__xludf.DUMMYFUNCTION("""COMPUTED_VALUE"""),"G950-18294-01")</f>
        <v>G950-18294-01</v>
      </c>
      <c r="L159" s="182" t="str">
        <f>IFERROR(__xludf.DUMMYFUNCTION("""COMPUTED_VALUE"""),"G710-07822-01")</f>
        <v>G710-07822-01</v>
      </c>
      <c r="M159" s="182" t="str">
        <f>IFERROR(__xludf.DUMMYFUNCTION("""COMPUTED_VALUE"""),"G710-10000-40")</f>
        <v>G710-10000-40</v>
      </c>
      <c r="N159" s="182" t="str">
        <f>IFERROR(__xludf.DUMMYFUNCTION("""COMPUTED_VALUE"""),"G730-09466-11")</f>
        <v>G730-09466-11</v>
      </c>
      <c r="O159" s="182" t="str">
        <f>IFERROR(__xludf.DUMMYFUNCTION("""COMPUTED_VALUE"""),"G710-07813-32")</f>
        <v>G710-07813-32</v>
      </c>
      <c r="P159" s="182" t="str">
        <f>IFERROR(__xludf.DUMMYFUNCTION("""COMPUTED_VALUE"""),"G650-17434-06")</f>
        <v>G650-17434-06</v>
      </c>
      <c r="Q159" s="182" t="str">
        <f>IFERROR(__xludf.DUMMYFUNCTION("""COMPUTED_VALUE"""),"G650-15596-04")</f>
        <v>G650-15596-04</v>
      </c>
      <c r="R159" s="182" t="str">
        <f>IFERROR(__xludf.DUMMYFUNCTION("""COMPUTED_VALUE"""),"G650-14843-04")</f>
        <v>G650-14843-04</v>
      </c>
      <c r="S159" s="182" t="str">
        <f>IFERROR(__xludf.DUMMYFUNCTION("""COMPUTED_VALUE"""),"G650-14411-05")</f>
        <v>G650-14411-05</v>
      </c>
      <c r="T159" s="182" t="str">
        <f>IFERROR(__xludf.DUMMYFUNCTION("""COMPUTED_VALUE"""),"G650-14840-03")</f>
        <v>G650-14840-03</v>
      </c>
      <c r="U159" s="182" t="str">
        <f>IFERROR(__xludf.DUMMYFUNCTION("""COMPUTED_VALUE"""),"G650-14841-03")</f>
        <v>G650-14841-03</v>
      </c>
      <c r="V159" s="182" t="str">
        <f>IFERROR(__xludf.DUMMYFUNCTION("""COMPUTED_VALUE"""),"G650-14413-03")</f>
        <v>G650-14413-03</v>
      </c>
      <c r="W159" s="182"/>
      <c r="X159" s="182" t="str">
        <f>IFERROR(__xludf.DUMMYFUNCTION("""COMPUTED_VALUE"""),"G990-07758-00")</f>
        <v>G990-07758-00</v>
      </c>
      <c r="Y159" s="182" t="str">
        <f>IFERROR(__xludf.DUMMYFUNCTION("""COMPUTED_VALUE"""),"G990-07758-00")</f>
        <v>G990-07758-00</v>
      </c>
      <c r="Z159" s="182" t="str">
        <f>IFERROR(__xludf.DUMMYFUNCTION("""COMPUTED_VALUE"""),"Y")</f>
        <v>Y</v>
      </c>
      <c r="AA159" s="182" t="str">
        <f>IFERROR(__xludf.DUMMYFUNCTION("""COMPUTED_VALUE"""),"Y")</f>
        <v>Y</v>
      </c>
    </row>
    <row r="160">
      <c r="A160" s="182" t="str">
        <f>IFERROR(__xludf.DUMMYFUNCTION("""COMPUTED_VALUE"""),"MP")</f>
        <v>MP</v>
      </c>
      <c r="B160" s="182">
        <f>IFERROR(__xludf.DUMMYFUNCTION("""COMPUTED_VALUE"""),159.0)</f>
        <v>159</v>
      </c>
      <c r="C160" s="182" t="str">
        <f>IFERROR(__xludf.DUMMYFUNCTION("""COMPUTED_VALUE"""),"GEHN3")</f>
        <v>GEHN3</v>
      </c>
      <c r="D160" s="182" t="str">
        <f>IFERROR(__xludf.DUMMYFUNCTION("""COMPUTED_VALUE"""),"GA10315-AN")</f>
        <v>GA10315-AN</v>
      </c>
      <c r="E160" s="182" t="str">
        <f>IFERROR(__xludf.DUMMYFUNCTION("""COMPUTED_VALUE"""),"Pixel 10 Pro, Moonstone, 256GB, EU/UK, Amazon Only")</f>
        <v>Pixel 10 Pro, Moonstone, 256GB, EU/UK, Amazon Only</v>
      </c>
      <c r="F160" s="182"/>
      <c r="G160" s="182" t="str">
        <f>IFERROR(__xludf.DUMMYFUNCTION("""COMPUTED_VALUE"""),"CLR3")</f>
        <v>CLR3</v>
      </c>
      <c r="H160" s="182" t="str">
        <f>IFERROR(__xludf.DUMMYFUNCTION("""COMPUTED_VALUE"""),"SUB6")</f>
        <v>SUB6</v>
      </c>
      <c r="I160" s="182" t="str">
        <f>IFERROR(__xludf.DUMMYFUNCTION("""COMPUTED_VALUE"""),"256GB")</f>
        <v>256GB</v>
      </c>
      <c r="J160" s="182" t="str">
        <f>IFERROR(__xludf.DUMMYFUNCTION("""COMPUTED_VALUE"""),"G950-18290-03-L")</f>
        <v>G950-18290-03-L</v>
      </c>
      <c r="K160" s="182" t="str">
        <f>IFERROR(__xludf.DUMMYFUNCTION("""COMPUTED_VALUE"""),"G950-18290-03")</f>
        <v>G950-18290-03</v>
      </c>
      <c r="L160" s="182" t="str">
        <f>IFERROR(__xludf.DUMMYFUNCTION("""COMPUTED_VALUE"""),"G710-07822-01")</f>
        <v>G710-07822-01</v>
      </c>
      <c r="M160" s="182" t="str">
        <f>IFERROR(__xludf.DUMMYFUNCTION("""COMPUTED_VALUE"""),"G710-10000-40")</f>
        <v>G710-10000-40</v>
      </c>
      <c r="N160" s="182" t="str">
        <f>IFERROR(__xludf.DUMMYFUNCTION("""COMPUTED_VALUE"""),"G730-09466-13")</f>
        <v>G730-09466-13</v>
      </c>
      <c r="O160" s="182" t="str">
        <f>IFERROR(__xludf.DUMMYFUNCTION("""COMPUTED_VALUE"""),"G710-07813-12")</f>
        <v>G710-07813-12</v>
      </c>
      <c r="P160" s="182" t="str">
        <f>IFERROR(__xludf.DUMMYFUNCTION("""COMPUTED_VALUE"""),"G650-17430-06")</f>
        <v>G650-17430-06</v>
      </c>
      <c r="Q160" s="182" t="str">
        <f>IFERROR(__xludf.DUMMYFUNCTION("""COMPUTED_VALUE"""),"G650-15596-04")</f>
        <v>G650-15596-04</v>
      </c>
      <c r="R160" s="182" t="str">
        <f>IFERROR(__xludf.DUMMYFUNCTION("""COMPUTED_VALUE"""),"G650-14843-04")</f>
        <v>G650-14843-04</v>
      </c>
      <c r="S160" s="182" t="str">
        <f>IFERROR(__xludf.DUMMYFUNCTION("""COMPUTED_VALUE"""),"G650-14411-05")</f>
        <v>G650-14411-05</v>
      </c>
      <c r="T160" s="182" t="str">
        <f>IFERROR(__xludf.DUMMYFUNCTION("""COMPUTED_VALUE"""),"G650-14840-03")</f>
        <v>G650-14840-03</v>
      </c>
      <c r="U160" s="182" t="str">
        <f>IFERROR(__xludf.DUMMYFUNCTION("""COMPUTED_VALUE"""),"G650-14841-03")</f>
        <v>G650-14841-03</v>
      </c>
      <c r="V160" s="182" t="str">
        <f>IFERROR(__xludf.DUMMYFUNCTION("""COMPUTED_VALUE"""),"G650-14413-03")</f>
        <v>G650-14413-03</v>
      </c>
      <c r="W160" s="182"/>
      <c r="X160" s="182" t="str">
        <f>IFERROR(__xludf.DUMMYFUNCTION("""COMPUTED_VALUE"""),"G990-07758-00")</f>
        <v>G990-07758-00</v>
      </c>
      <c r="Y160" s="182" t="str">
        <f>IFERROR(__xludf.DUMMYFUNCTION("""COMPUTED_VALUE"""),"G990-07758-00")</f>
        <v>G990-07758-00</v>
      </c>
      <c r="Z160" s="182" t="str">
        <f>IFERROR(__xludf.DUMMYFUNCTION("""COMPUTED_VALUE"""),"Y")</f>
        <v>Y</v>
      </c>
      <c r="AA160" s="182" t="str">
        <f>IFERROR(__xludf.DUMMYFUNCTION("""COMPUTED_VALUE"""),"Y")</f>
        <v>Y</v>
      </c>
    </row>
    <row r="161">
      <c r="A161" s="182" t="str">
        <f>IFERROR(__xludf.DUMMYFUNCTION("""COMPUTED_VALUE"""),"MP")</f>
        <v>MP</v>
      </c>
      <c r="B161" s="182">
        <f>IFERROR(__xludf.DUMMYFUNCTION("""COMPUTED_VALUE"""),160.0)</f>
        <v>160</v>
      </c>
      <c r="C161" s="182" t="str">
        <f>IFERROR(__xludf.DUMMYFUNCTION("""COMPUTED_VALUE"""),"GEHN3")</f>
        <v>GEHN3</v>
      </c>
      <c r="D161" s="182" t="str">
        <f>IFERROR(__xludf.DUMMYFUNCTION("""COMPUTED_VALUE"""),"GA10312-AN")</f>
        <v>GA10312-AN</v>
      </c>
      <c r="E161" s="182" t="str">
        <f>IFERROR(__xludf.DUMMYFUNCTION("""COMPUTED_VALUE"""),"Pixel 10 Pro, Porcelain, 128GB, EU/UK, Amazon Only")</f>
        <v>Pixel 10 Pro, Porcelain, 128GB, EU/UK, Amazon Only</v>
      </c>
      <c r="F161" s="182"/>
      <c r="G161" s="182" t="str">
        <f>IFERROR(__xludf.DUMMYFUNCTION("""COMPUTED_VALUE"""),"CLR2")</f>
        <v>CLR2</v>
      </c>
      <c r="H161" s="182" t="str">
        <f>IFERROR(__xludf.DUMMYFUNCTION("""COMPUTED_VALUE"""),"SUB6")</f>
        <v>SUB6</v>
      </c>
      <c r="I161" s="182" t="str">
        <f>IFERROR(__xludf.DUMMYFUNCTION("""COMPUTED_VALUE"""),"128GB")</f>
        <v>128GB</v>
      </c>
      <c r="J161" s="182" t="str">
        <f>IFERROR(__xludf.DUMMYFUNCTION("""COMPUTED_VALUE"""),"G950-15987-02-L")</f>
        <v>G950-15987-02-L</v>
      </c>
      <c r="K161" s="182" t="str">
        <f>IFERROR(__xludf.DUMMYFUNCTION("""COMPUTED_VALUE"""),"G950-15987-02")</f>
        <v>G950-15987-02</v>
      </c>
      <c r="L161" s="182" t="str">
        <f>IFERROR(__xludf.DUMMYFUNCTION("""COMPUTED_VALUE"""),"G710-07822-01")</f>
        <v>G710-07822-01</v>
      </c>
      <c r="M161" s="182" t="str">
        <f>IFERROR(__xludf.DUMMYFUNCTION("""COMPUTED_VALUE"""),"G710-10000-40")</f>
        <v>G710-10000-40</v>
      </c>
      <c r="N161" s="182" t="str">
        <f>IFERROR(__xludf.DUMMYFUNCTION("""COMPUTED_VALUE"""),"G730-09466-12")</f>
        <v>G730-09466-12</v>
      </c>
      <c r="O161" s="182" t="str">
        <f>IFERROR(__xludf.DUMMYFUNCTION("""COMPUTED_VALUE"""),"G710-07813-02")</f>
        <v>G710-07813-02</v>
      </c>
      <c r="P161" s="182" t="str">
        <f>IFERROR(__xludf.DUMMYFUNCTION("""COMPUTED_VALUE"""),"G650-14972-06")</f>
        <v>G650-14972-06</v>
      </c>
      <c r="Q161" s="182" t="str">
        <f>IFERROR(__xludf.DUMMYFUNCTION("""COMPUTED_VALUE"""),"G650-15596-04")</f>
        <v>G650-15596-04</v>
      </c>
      <c r="R161" s="182" t="str">
        <f>IFERROR(__xludf.DUMMYFUNCTION("""COMPUTED_VALUE"""),"G650-14843-04")</f>
        <v>G650-14843-04</v>
      </c>
      <c r="S161" s="182" t="str">
        <f>IFERROR(__xludf.DUMMYFUNCTION("""COMPUTED_VALUE"""),"G650-14411-05")</f>
        <v>G650-14411-05</v>
      </c>
      <c r="T161" s="182" t="str">
        <f>IFERROR(__xludf.DUMMYFUNCTION("""COMPUTED_VALUE"""),"G650-14840-03")</f>
        <v>G650-14840-03</v>
      </c>
      <c r="U161" s="182" t="str">
        <f>IFERROR(__xludf.DUMMYFUNCTION("""COMPUTED_VALUE"""),"G650-14841-03")</f>
        <v>G650-14841-03</v>
      </c>
      <c r="V161" s="182" t="str">
        <f>IFERROR(__xludf.DUMMYFUNCTION("""COMPUTED_VALUE"""),"G650-14413-03")</f>
        <v>G650-14413-03</v>
      </c>
      <c r="W161" s="182"/>
      <c r="X161" s="182" t="str">
        <f>IFERROR(__xludf.DUMMYFUNCTION("""COMPUTED_VALUE"""),"G990-07758-00")</f>
        <v>G990-07758-00</v>
      </c>
      <c r="Y161" s="182" t="str">
        <f>IFERROR(__xludf.DUMMYFUNCTION("""COMPUTED_VALUE"""),"G990-07758-00")</f>
        <v>G990-07758-00</v>
      </c>
      <c r="Z161" s="182" t="str">
        <f>IFERROR(__xludf.DUMMYFUNCTION("""COMPUTED_VALUE"""),"Y")</f>
        <v>Y</v>
      </c>
      <c r="AA161" s="182" t="str">
        <f>IFERROR(__xludf.DUMMYFUNCTION("""COMPUTED_VALUE"""),"Y")</f>
        <v>Y</v>
      </c>
    </row>
    <row r="162">
      <c r="A162" s="182" t="str">
        <f>IFERROR(__xludf.DUMMYFUNCTION("""COMPUTED_VALUE"""),"MP")</f>
        <v>MP</v>
      </c>
      <c r="B162" s="182">
        <f>IFERROR(__xludf.DUMMYFUNCTION("""COMPUTED_VALUE"""),161.0)</f>
        <v>161</v>
      </c>
      <c r="C162" s="182" t="str">
        <f>IFERROR(__xludf.DUMMYFUNCTION("""COMPUTED_VALUE"""),"GEHN3")</f>
        <v>GEHN3</v>
      </c>
      <c r="D162" s="182" t="str">
        <f>IFERROR(__xludf.DUMMYFUNCTION("""COMPUTED_VALUE"""),"GA09601-AN")</f>
        <v>GA09601-AN</v>
      </c>
      <c r="E162" s="182" t="str">
        <f>IFERROR(__xludf.DUMMYFUNCTION("""COMPUTED_VALUE"""),"Pixel 10 Pro, Obsidian, 128GB, EU/UK, Amazon Only")</f>
        <v>Pixel 10 Pro, Obsidian, 128GB, EU/UK, Amazon Only</v>
      </c>
      <c r="F162" s="182"/>
      <c r="G162" s="182" t="str">
        <f>IFERROR(__xludf.DUMMYFUNCTION("""COMPUTED_VALUE"""),"CLR1")</f>
        <v>CLR1</v>
      </c>
      <c r="H162" s="182" t="str">
        <f>IFERROR(__xludf.DUMMYFUNCTION("""COMPUTED_VALUE"""),"SUB6")</f>
        <v>SUB6</v>
      </c>
      <c r="I162" s="182" t="str">
        <f>IFERROR(__xludf.DUMMYFUNCTION("""COMPUTED_VALUE"""),"128GB")</f>
        <v>128GB</v>
      </c>
      <c r="J162" s="182" t="str">
        <f>IFERROR(__xludf.DUMMYFUNCTION("""COMPUTED_VALUE"""),"G950-15987-01-L")</f>
        <v>G950-15987-01-L</v>
      </c>
      <c r="K162" s="182" t="str">
        <f>IFERROR(__xludf.DUMMYFUNCTION("""COMPUTED_VALUE"""),"G950-15987-01")</f>
        <v>G950-15987-01</v>
      </c>
      <c r="L162" s="182" t="str">
        <f>IFERROR(__xludf.DUMMYFUNCTION("""COMPUTED_VALUE"""),"G710-07822-01")</f>
        <v>G710-07822-01</v>
      </c>
      <c r="M162" s="182" t="str">
        <f>IFERROR(__xludf.DUMMYFUNCTION("""COMPUTED_VALUE"""),"G710-10000-40")</f>
        <v>G710-10000-40</v>
      </c>
      <c r="N162" s="182" t="str">
        <f>IFERROR(__xludf.DUMMYFUNCTION("""COMPUTED_VALUE"""),"G730-09466-11")</f>
        <v>G730-09466-11</v>
      </c>
      <c r="O162" s="182" t="str">
        <f>IFERROR(__xludf.DUMMYFUNCTION("""COMPUTED_VALUE"""),"G710-07813-02")</f>
        <v>G710-07813-02</v>
      </c>
      <c r="P162" s="182" t="str">
        <f>IFERROR(__xludf.DUMMYFUNCTION("""COMPUTED_VALUE"""),"G650-14972-06")</f>
        <v>G650-14972-06</v>
      </c>
      <c r="Q162" s="182" t="str">
        <f>IFERROR(__xludf.DUMMYFUNCTION("""COMPUTED_VALUE"""),"G650-15596-04")</f>
        <v>G650-15596-04</v>
      </c>
      <c r="R162" s="182" t="str">
        <f>IFERROR(__xludf.DUMMYFUNCTION("""COMPUTED_VALUE"""),"G650-14843-04")</f>
        <v>G650-14843-04</v>
      </c>
      <c r="S162" s="182" t="str">
        <f>IFERROR(__xludf.DUMMYFUNCTION("""COMPUTED_VALUE"""),"G650-14411-05")</f>
        <v>G650-14411-05</v>
      </c>
      <c r="T162" s="182" t="str">
        <f>IFERROR(__xludf.DUMMYFUNCTION("""COMPUTED_VALUE"""),"G650-14840-03")</f>
        <v>G650-14840-03</v>
      </c>
      <c r="U162" s="182" t="str">
        <f>IFERROR(__xludf.DUMMYFUNCTION("""COMPUTED_VALUE"""),"G650-14841-03")</f>
        <v>G650-14841-03</v>
      </c>
      <c r="V162" s="182" t="str">
        <f>IFERROR(__xludf.DUMMYFUNCTION("""COMPUTED_VALUE"""),"G650-14413-03")</f>
        <v>G650-14413-03</v>
      </c>
      <c r="W162" s="182"/>
      <c r="X162" s="182" t="str">
        <f>IFERROR(__xludf.DUMMYFUNCTION("""COMPUTED_VALUE"""),"G990-07758-00")</f>
        <v>G990-07758-00</v>
      </c>
      <c r="Y162" s="182" t="str">
        <f>IFERROR(__xludf.DUMMYFUNCTION("""COMPUTED_VALUE"""),"G990-07758-00")</f>
        <v>G990-07758-00</v>
      </c>
      <c r="Z162" s="182" t="str">
        <f>IFERROR(__xludf.DUMMYFUNCTION("""COMPUTED_VALUE"""),"Y")</f>
        <v>Y</v>
      </c>
      <c r="AA162" s="182" t="str">
        <f>IFERROR(__xludf.DUMMYFUNCTION("""COMPUTED_VALUE"""),"Y")</f>
        <v>Y</v>
      </c>
    </row>
    <row r="163">
      <c r="A163" s="182" t="str">
        <f>IFERROR(__xludf.DUMMYFUNCTION("""COMPUTED_VALUE"""),"MP")</f>
        <v>MP</v>
      </c>
      <c r="B163" s="182">
        <f>IFERROR(__xludf.DUMMYFUNCTION("""COMPUTED_VALUE"""),162.0)</f>
        <v>162</v>
      </c>
      <c r="C163" s="182" t="str">
        <f>IFERROR(__xludf.DUMMYFUNCTION("""COMPUTED_VALUE"""),"GEHN3")</f>
        <v>GEHN3</v>
      </c>
      <c r="D163" s="182" t="str">
        <f>IFERROR(__xludf.DUMMYFUNCTION("""COMPUTED_VALUE"""),"GA10316-AN")</f>
        <v>GA10316-AN</v>
      </c>
      <c r="E163" s="182" t="str">
        <f>IFERROR(__xludf.DUMMYFUNCTION("""COMPUTED_VALUE"""),"Pixel 10 Pro, Jade, 256GB, EU/UK, Amazon Only")</f>
        <v>Pixel 10 Pro, Jade, 256GB, EU/UK, Amazon Only</v>
      </c>
      <c r="F163" s="182"/>
      <c r="G163" s="182" t="str">
        <f>IFERROR(__xludf.DUMMYFUNCTION("""COMPUTED_VALUE"""),"CLR4")</f>
        <v>CLR4</v>
      </c>
      <c r="H163" s="182" t="str">
        <f>IFERROR(__xludf.DUMMYFUNCTION("""COMPUTED_VALUE"""),"SUB6")</f>
        <v>SUB6</v>
      </c>
      <c r="I163" s="182" t="str">
        <f>IFERROR(__xludf.DUMMYFUNCTION("""COMPUTED_VALUE"""),"256GB")</f>
        <v>256GB</v>
      </c>
      <c r="J163" s="182" t="str">
        <f>IFERROR(__xludf.DUMMYFUNCTION("""COMPUTED_VALUE"""),"G950-18290-04-L")</f>
        <v>G950-18290-04-L</v>
      </c>
      <c r="K163" s="182" t="str">
        <f>IFERROR(__xludf.DUMMYFUNCTION("""COMPUTED_VALUE"""),"G950-18290-04")</f>
        <v>G950-18290-04</v>
      </c>
      <c r="L163" s="182" t="str">
        <f>IFERROR(__xludf.DUMMYFUNCTION("""COMPUTED_VALUE"""),"G710-07822-01")</f>
        <v>G710-07822-01</v>
      </c>
      <c r="M163" s="182" t="str">
        <f>IFERROR(__xludf.DUMMYFUNCTION("""COMPUTED_VALUE"""),"G710-10000-40")</f>
        <v>G710-10000-40</v>
      </c>
      <c r="N163" s="182" t="str">
        <f>IFERROR(__xludf.DUMMYFUNCTION("""COMPUTED_VALUE"""),"G730-09466-14")</f>
        <v>G730-09466-14</v>
      </c>
      <c r="O163" s="182" t="str">
        <f>IFERROR(__xludf.DUMMYFUNCTION("""COMPUTED_VALUE"""),"G710-07813-12")</f>
        <v>G710-07813-12</v>
      </c>
      <c r="P163" s="182" t="str">
        <f>IFERROR(__xludf.DUMMYFUNCTION("""COMPUTED_VALUE"""),"G650-17430-06")</f>
        <v>G650-17430-06</v>
      </c>
      <c r="Q163" s="182" t="str">
        <f>IFERROR(__xludf.DUMMYFUNCTION("""COMPUTED_VALUE"""),"G650-15596-04")</f>
        <v>G650-15596-04</v>
      </c>
      <c r="R163" s="182" t="str">
        <f>IFERROR(__xludf.DUMMYFUNCTION("""COMPUTED_VALUE"""),"G650-14843-04")</f>
        <v>G650-14843-04</v>
      </c>
      <c r="S163" s="182" t="str">
        <f>IFERROR(__xludf.DUMMYFUNCTION("""COMPUTED_VALUE"""),"G650-14411-05")</f>
        <v>G650-14411-05</v>
      </c>
      <c r="T163" s="182" t="str">
        <f>IFERROR(__xludf.DUMMYFUNCTION("""COMPUTED_VALUE"""),"G650-14840-03")</f>
        <v>G650-14840-03</v>
      </c>
      <c r="U163" s="182" t="str">
        <f>IFERROR(__xludf.DUMMYFUNCTION("""COMPUTED_VALUE"""),"G650-14841-03")</f>
        <v>G650-14841-03</v>
      </c>
      <c r="V163" s="182" t="str">
        <f>IFERROR(__xludf.DUMMYFUNCTION("""COMPUTED_VALUE"""),"G650-14413-03")</f>
        <v>G650-14413-03</v>
      </c>
      <c r="W163" s="182"/>
      <c r="X163" s="182" t="str">
        <f>IFERROR(__xludf.DUMMYFUNCTION("""COMPUTED_VALUE"""),"G990-07758-00")</f>
        <v>G990-07758-00</v>
      </c>
      <c r="Y163" s="182" t="str">
        <f>IFERROR(__xludf.DUMMYFUNCTION("""COMPUTED_VALUE"""),"G990-07758-00")</f>
        <v>G990-07758-00</v>
      </c>
      <c r="Z163" s="182" t="str">
        <f>IFERROR(__xludf.DUMMYFUNCTION("""COMPUTED_VALUE"""),"Y")</f>
        <v>Y</v>
      </c>
      <c r="AA163" s="182" t="str">
        <f>IFERROR(__xludf.DUMMYFUNCTION("""COMPUTED_VALUE"""),"Y")</f>
        <v>Y</v>
      </c>
    </row>
    <row r="164">
      <c r="A164" s="182" t="str">
        <f>IFERROR(__xludf.DUMMYFUNCTION("""COMPUTED_VALUE"""),"MP")</f>
        <v>MP</v>
      </c>
      <c r="B164" s="182">
        <f>IFERROR(__xludf.DUMMYFUNCTION("""COMPUTED_VALUE"""),163.0)</f>
        <v>163</v>
      </c>
      <c r="C164" s="182" t="str">
        <f>IFERROR(__xludf.DUMMYFUNCTION("""COMPUTED_VALUE"""),"GEHN3")</f>
        <v>GEHN3</v>
      </c>
      <c r="D164" s="182" t="str">
        <f>IFERROR(__xludf.DUMMYFUNCTION("""COMPUTED_VALUE"""),"GA10317-AN")</f>
        <v>GA10317-AN</v>
      </c>
      <c r="E164" s="182" t="str">
        <f>IFERROR(__xludf.DUMMYFUNCTION("""COMPUTED_VALUE"""),"Pixel 10 Pro, Porcelain, 512GB, EU/UK, Amazon Only")</f>
        <v>Pixel 10 Pro, Porcelain, 512GB, EU/UK, Amazon Only</v>
      </c>
      <c r="F164" s="182"/>
      <c r="G164" s="182" t="str">
        <f>IFERROR(__xludf.DUMMYFUNCTION("""COMPUTED_VALUE"""),"CLR2")</f>
        <v>CLR2</v>
      </c>
      <c r="H164" s="182" t="str">
        <f>IFERROR(__xludf.DUMMYFUNCTION("""COMPUTED_VALUE"""),"SUB6")</f>
        <v>SUB6</v>
      </c>
      <c r="I164" s="182" t="str">
        <f>IFERROR(__xludf.DUMMYFUNCTION("""COMPUTED_VALUE"""),"512GB")</f>
        <v>512GB</v>
      </c>
      <c r="J164" s="182" t="str">
        <f>IFERROR(__xludf.DUMMYFUNCTION("""COMPUTED_VALUE"""),"G950-18292-02-L")</f>
        <v>G950-18292-02-L</v>
      </c>
      <c r="K164" s="182" t="str">
        <f>IFERROR(__xludf.DUMMYFUNCTION("""COMPUTED_VALUE"""),"G950-18292-02")</f>
        <v>G950-18292-02</v>
      </c>
      <c r="L164" s="182" t="str">
        <f>IFERROR(__xludf.DUMMYFUNCTION("""COMPUTED_VALUE"""),"G710-07822-01")</f>
        <v>G710-07822-01</v>
      </c>
      <c r="M164" s="182" t="str">
        <f>IFERROR(__xludf.DUMMYFUNCTION("""COMPUTED_VALUE"""),"G710-10000-40")</f>
        <v>G710-10000-40</v>
      </c>
      <c r="N164" s="182" t="str">
        <f>IFERROR(__xludf.DUMMYFUNCTION("""COMPUTED_VALUE"""),"G730-09466-12")</f>
        <v>G730-09466-12</v>
      </c>
      <c r="O164" s="182" t="str">
        <f>IFERROR(__xludf.DUMMYFUNCTION("""COMPUTED_VALUE"""),"G710-07813-22")</f>
        <v>G710-07813-22</v>
      </c>
      <c r="P164" s="182" t="str">
        <f>IFERROR(__xludf.DUMMYFUNCTION("""COMPUTED_VALUE"""),"G650-17432-06")</f>
        <v>G650-17432-06</v>
      </c>
      <c r="Q164" s="182" t="str">
        <f>IFERROR(__xludf.DUMMYFUNCTION("""COMPUTED_VALUE"""),"G650-15596-04")</f>
        <v>G650-15596-04</v>
      </c>
      <c r="R164" s="182" t="str">
        <f>IFERROR(__xludf.DUMMYFUNCTION("""COMPUTED_VALUE"""),"G650-14843-04")</f>
        <v>G650-14843-04</v>
      </c>
      <c r="S164" s="182" t="str">
        <f>IFERROR(__xludf.DUMMYFUNCTION("""COMPUTED_VALUE"""),"G650-14411-05")</f>
        <v>G650-14411-05</v>
      </c>
      <c r="T164" s="182" t="str">
        <f>IFERROR(__xludf.DUMMYFUNCTION("""COMPUTED_VALUE"""),"G650-14840-03")</f>
        <v>G650-14840-03</v>
      </c>
      <c r="U164" s="182" t="str">
        <f>IFERROR(__xludf.DUMMYFUNCTION("""COMPUTED_VALUE"""),"G650-14841-03")</f>
        <v>G650-14841-03</v>
      </c>
      <c r="V164" s="182" t="str">
        <f>IFERROR(__xludf.DUMMYFUNCTION("""COMPUTED_VALUE"""),"G650-14413-03")</f>
        <v>G650-14413-03</v>
      </c>
      <c r="W164" s="182"/>
      <c r="X164" s="182" t="str">
        <f>IFERROR(__xludf.DUMMYFUNCTION("""COMPUTED_VALUE"""),"G990-07758-00")</f>
        <v>G990-07758-00</v>
      </c>
      <c r="Y164" s="182" t="str">
        <f>IFERROR(__xludf.DUMMYFUNCTION("""COMPUTED_VALUE"""),"G990-07758-00")</f>
        <v>G990-07758-00</v>
      </c>
      <c r="Z164" s="182" t="str">
        <f>IFERROR(__xludf.DUMMYFUNCTION("""COMPUTED_VALUE"""),"Y")</f>
        <v>Y</v>
      </c>
      <c r="AA164" s="182" t="str">
        <f>IFERROR(__xludf.DUMMYFUNCTION("""COMPUTED_VALUE"""),"Y")</f>
        <v>Y</v>
      </c>
    </row>
    <row r="165">
      <c r="A165" s="182" t="str">
        <f>IFERROR(__xludf.DUMMYFUNCTION("""COMPUTED_VALUE"""),"MP")</f>
        <v>MP</v>
      </c>
      <c r="B165" s="182">
        <f>IFERROR(__xludf.DUMMYFUNCTION("""COMPUTED_VALUE"""),164.0)</f>
        <v>164</v>
      </c>
      <c r="C165" s="182" t="str">
        <f>IFERROR(__xludf.DUMMYFUNCTION("""COMPUTED_VALUE"""),"GEHN3")</f>
        <v>GEHN3</v>
      </c>
      <c r="D165" s="182" t="str">
        <f>IFERROR(__xludf.DUMMYFUNCTION("""COMPUTED_VALUE"""),"GA09909-AN")</f>
        <v>GA09909-AN</v>
      </c>
      <c r="E165" s="182" t="str">
        <f>IFERROR(__xludf.DUMMYFUNCTION("""COMPUTED_VALUE"""),"Pixel 10 Pro, Obsidian, 512GB, EU/UK, Amazon Only")</f>
        <v>Pixel 10 Pro, Obsidian, 512GB, EU/UK, Amazon Only</v>
      </c>
      <c r="F165" s="182"/>
      <c r="G165" s="182" t="str">
        <f>IFERROR(__xludf.DUMMYFUNCTION("""COMPUTED_VALUE"""),"CLR1")</f>
        <v>CLR1</v>
      </c>
      <c r="H165" s="182" t="str">
        <f>IFERROR(__xludf.DUMMYFUNCTION("""COMPUTED_VALUE"""),"SUB6")</f>
        <v>SUB6</v>
      </c>
      <c r="I165" s="182" t="str">
        <f>IFERROR(__xludf.DUMMYFUNCTION("""COMPUTED_VALUE"""),"512GB")</f>
        <v>512GB</v>
      </c>
      <c r="J165" s="182" t="str">
        <f>IFERROR(__xludf.DUMMYFUNCTION("""COMPUTED_VALUE"""),"G950-18292-01-L")</f>
        <v>G950-18292-01-L</v>
      </c>
      <c r="K165" s="182" t="str">
        <f>IFERROR(__xludf.DUMMYFUNCTION("""COMPUTED_VALUE"""),"G950-18292-01")</f>
        <v>G950-18292-01</v>
      </c>
      <c r="L165" s="182" t="str">
        <f>IFERROR(__xludf.DUMMYFUNCTION("""COMPUTED_VALUE"""),"G710-07822-01")</f>
        <v>G710-07822-01</v>
      </c>
      <c r="M165" s="182" t="str">
        <f>IFERROR(__xludf.DUMMYFUNCTION("""COMPUTED_VALUE"""),"G710-10000-40")</f>
        <v>G710-10000-40</v>
      </c>
      <c r="N165" s="182" t="str">
        <f>IFERROR(__xludf.DUMMYFUNCTION("""COMPUTED_VALUE"""),"G730-09466-11")</f>
        <v>G730-09466-11</v>
      </c>
      <c r="O165" s="182" t="str">
        <f>IFERROR(__xludf.DUMMYFUNCTION("""COMPUTED_VALUE"""),"G710-07813-22")</f>
        <v>G710-07813-22</v>
      </c>
      <c r="P165" s="182" t="str">
        <f>IFERROR(__xludf.DUMMYFUNCTION("""COMPUTED_VALUE"""),"G650-17432-06")</f>
        <v>G650-17432-06</v>
      </c>
      <c r="Q165" s="182" t="str">
        <f>IFERROR(__xludf.DUMMYFUNCTION("""COMPUTED_VALUE"""),"G650-15596-04")</f>
        <v>G650-15596-04</v>
      </c>
      <c r="R165" s="182" t="str">
        <f>IFERROR(__xludf.DUMMYFUNCTION("""COMPUTED_VALUE"""),"G650-14843-04")</f>
        <v>G650-14843-04</v>
      </c>
      <c r="S165" s="182" t="str">
        <f>IFERROR(__xludf.DUMMYFUNCTION("""COMPUTED_VALUE"""),"G650-14411-05")</f>
        <v>G650-14411-05</v>
      </c>
      <c r="T165" s="182" t="str">
        <f>IFERROR(__xludf.DUMMYFUNCTION("""COMPUTED_VALUE"""),"G650-14840-03")</f>
        <v>G650-14840-03</v>
      </c>
      <c r="U165" s="182" t="str">
        <f>IFERROR(__xludf.DUMMYFUNCTION("""COMPUTED_VALUE"""),"G650-14841-03")</f>
        <v>G650-14841-03</v>
      </c>
      <c r="V165" s="182" t="str">
        <f>IFERROR(__xludf.DUMMYFUNCTION("""COMPUTED_VALUE"""),"G650-14413-03")</f>
        <v>G650-14413-03</v>
      </c>
      <c r="W165" s="182"/>
      <c r="X165" s="182" t="str">
        <f>IFERROR(__xludf.DUMMYFUNCTION("""COMPUTED_VALUE"""),"G990-07758-00")</f>
        <v>G990-07758-00</v>
      </c>
      <c r="Y165" s="182" t="str">
        <f>IFERROR(__xludf.DUMMYFUNCTION("""COMPUTED_VALUE"""),"G990-07758-00")</f>
        <v>G990-07758-00</v>
      </c>
      <c r="Z165" s="182" t="str">
        <f>IFERROR(__xludf.DUMMYFUNCTION("""COMPUTED_VALUE"""),"Y")</f>
        <v>Y</v>
      </c>
      <c r="AA165" s="182" t="str">
        <f>IFERROR(__xludf.DUMMYFUNCTION("""COMPUTED_VALUE"""),"Y")</f>
        <v>Y</v>
      </c>
    </row>
    <row r="166">
      <c r="A166" s="182" t="str">
        <f>IFERROR(__xludf.DUMMYFUNCTION("""COMPUTED_VALUE"""),"MP")</f>
        <v>MP</v>
      </c>
      <c r="B166" s="182">
        <f>IFERROR(__xludf.DUMMYFUNCTION("""COMPUTED_VALUE"""),165.0)</f>
        <v>165</v>
      </c>
      <c r="C166" s="182" t="str">
        <f>IFERROR(__xludf.DUMMYFUNCTION("""COMPUTED_VALUE"""),"GEHN3")</f>
        <v>GEHN3</v>
      </c>
      <c r="D166" s="182" t="str">
        <f>IFERROR(__xludf.DUMMYFUNCTION("""COMPUTED_VALUE"""),"GA10313-AN")</f>
        <v>GA10313-AN</v>
      </c>
      <c r="E166" s="182" t="str">
        <f>IFERROR(__xludf.DUMMYFUNCTION("""COMPUTED_VALUE"""),"Pixel 10 Pro, Moonstone, 128GB, EU/UK, Amazon Only")</f>
        <v>Pixel 10 Pro, Moonstone, 128GB, EU/UK, Amazon Only</v>
      </c>
      <c r="F166" s="182"/>
      <c r="G166" s="182" t="str">
        <f>IFERROR(__xludf.DUMMYFUNCTION("""COMPUTED_VALUE"""),"CLR3")</f>
        <v>CLR3</v>
      </c>
      <c r="H166" s="182" t="str">
        <f>IFERROR(__xludf.DUMMYFUNCTION("""COMPUTED_VALUE"""),"SUB6")</f>
        <v>SUB6</v>
      </c>
      <c r="I166" s="182" t="str">
        <f>IFERROR(__xludf.DUMMYFUNCTION("""COMPUTED_VALUE"""),"128GB")</f>
        <v>128GB</v>
      </c>
      <c r="J166" s="182" t="str">
        <f>IFERROR(__xludf.DUMMYFUNCTION("""COMPUTED_VALUE"""),"G950-15987-03-L")</f>
        <v>G950-15987-03-L</v>
      </c>
      <c r="K166" s="182" t="str">
        <f>IFERROR(__xludf.DUMMYFUNCTION("""COMPUTED_VALUE"""),"G950-15987-03")</f>
        <v>G950-15987-03</v>
      </c>
      <c r="L166" s="182" t="str">
        <f>IFERROR(__xludf.DUMMYFUNCTION("""COMPUTED_VALUE"""),"G710-07822-01")</f>
        <v>G710-07822-01</v>
      </c>
      <c r="M166" s="182" t="str">
        <f>IFERROR(__xludf.DUMMYFUNCTION("""COMPUTED_VALUE"""),"G710-10000-40")</f>
        <v>G710-10000-40</v>
      </c>
      <c r="N166" s="182" t="str">
        <f>IFERROR(__xludf.DUMMYFUNCTION("""COMPUTED_VALUE"""),"G730-09466-13")</f>
        <v>G730-09466-13</v>
      </c>
      <c r="O166" s="182" t="str">
        <f>IFERROR(__xludf.DUMMYFUNCTION("""COMPUTED_VALUE"""),"G710-07813-02")</f>
        <v>G710-07813-02</v>
      </c>
      <c r="P166" s="182" t="str">
        <f>IFERROR(__xludf.DUMMYFUNCTION("""COMPUTED_VALUE"""),"G650-14972-06")</f>
        <v>G650-14972-06</v>
      </c>
      <c r="Q166" s="182" t="str">
        <f>IFERROR(__xludf.DUMMYFUNCTION("""COMPUTED_VALUE"""),"G650-15596-04")</f>
        <v>G650-15596-04</v>
      </c>
      <c r="R166" s="182" t="str">
        <f>IFERROR(__xludf.DUMMYFUNCTION("""COMPUTED_VALUE"""),"G650-14843-04")</f>
        <v>G650-14843-04</v>
      </c>
      <c r="S166" s="182" t="str">
        <f>IFERROR(__xludf.DUMMYFUNCTION("""COMPUTED_VALUE"""),"G650-14411-05")</f>
        <v>G650-14411-05</v>
      </c>
      <c r="T166" s="182" t="str">
        <f>IFERROR(__xludf.DUMMYFUNCTION("""COMPUTED_VALUE"""),"G650-14840-03")</f>
        <v>G650-14840-03</v>
      </c>
      <c r="U166" s="182" t="str">
        <f>IFERROR(__xludf.DUMMYFUNCTION("""COMPUTED_VALUE"""),"G650-14841-03")</f>
        <v>G650-14841-03</v>
      </c>
      <c r="V166" s="182" t="str">
        <f>IFERROR(__xludf.DUMMYFUNCTION("""COMPUTED_VALUE"""),"G650-14413-03")</f>
        <v>G650-14413-03</v>
      </c>
      <c r="W166" s="182"/>
      <c r="X166" s="182" t="str">
        <f>IFERROR(__xludf.DUMMYFUNCTION("""COMPUTED_VALUE"""),"G990-07758-00")</f>
        <v>G990-07758-00</v>
      </c>
      <c r="Y166" s="182" t="str">
        <f>IFERROR(__xludf.DUMMYFUNCTION("""COMPUTED_VALUE"""),"G990-07758-00")</f>
        <v>G990-07758-00</v>
      </c>
      <c r="Z166" s="182" t="str">
        <f>IFERROR(__xludf.DUMMYFUNCTION("""COMPUTED_VALUE"""),"Y")</f>
        <v>Y</v>
      </c>
      <c r="AA166" s="182" t="str">
        <f>IFERROR(__xludf.DUMMYFUNCTION("""COMPUTED_VALUE"""),"Y")</f>
        <v>Y</v>
      </c>
    </row>
    <row r="167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</row>
    <row r="168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</row>
    <row r="169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</row>
    <row r="170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</row>
    <row r="171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</row>
    <row r="172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</row>
    <row r="173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</row>
    <row r="174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</row>
    <row r="175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</row>
    <row r="176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</row>
    <row r="177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</row>
    <row r="178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</row>
    <row r="179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</row>
    <row r="180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</row>
    <row r="18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</row>
    <row r="182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</row>
    <row r="183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</row>
    <row r="184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</row>
    <row r="185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</row>
    <row r="186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</row>
    <row r="187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</row>
    <row r="188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</row>
    <row r="189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</row>
    <row r="190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</row>
    <row r="19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</row>
    <row r="192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</row>
    <row r="193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</row>
    <row r="194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</row>
    <row r="195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</row>
    <row r="196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</row>
    <row r="197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</row>
    <row r="198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</row>
    <row r="199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</row>
    <row r="200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4.75"/>
    <col customWidth="1" min="3" max="3" width="11.25"/>
    <col customWidth="1" min="4" max="4" width="11.0"/>
    <col customWidth="1" min="5" max="5" width="15.75"/>
    <col customWidth="1" min="6" max="6" width="10.63"/>
    <col customWidth="1" min="7" max="8" width="21.63"/>
    <col customWidth="1" min="9" max="9" width="7.75"/>
    <col customWidth="1" min="10" max="10" width="8.38"/>
    <col customWidth="1" min="11" max="11" width="9.5"/>
    <col customWidth="1" min="12" max="12" width="31.63"/>
    <col customWidth="1" min="13" max="26" width="21.5"/>
  </cols>
  <sheetData>
    <row r="1">
      <c r="A1" s="199" t="s">
        <v>945</v>
      </c>
      <c r="B1" s="200" t="s">
        <v>946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>
      <c r="A2" s="201" t="s">
        <v>947</v>
      </c>
      <c r="B2" s="200" t="s">
        <v>948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>
      <c r="A3" s="8"/>
      <c r="B3" s="202" t="s">
        <v>949</v>
      </c>
      <c r="G3" s="8"/>
      <c r="H3" s="8"/>
      <c r="I3" s="8"/>
      <c r="J3" s="8"/>
      <c r="K3" s="8"/>
      <c r="L3" s="8"/>
    </row>
    <row r="4">
      <c r="B4" s="203" t="s">
        <v>950</v>
      </c>
    </row>
    <row r="5">
      <c r="B5" s="204" t="s">
        <v>943</v>
      </c>
      <c r="C5" s="204" t="s">
        <v>951</v>
      </c>
      <c r="D5" s="204" t="s">
        <v>952</v>
      </c>
      <c r="E5" s="204" t="s">
        <v>953</v>
      </c>
      <c r="F5" s="204" t="s">
        <v>954</v>
      </c>
      <c r="G5" s="205" t="s">
        <v>955</v>
      </c>
      <c r="H5" s="205" t="s">
        <v>956</v>
      </c>
      <c r="I5" s="204" t="s">
        <v>957</v>
      </c>
      <c r="J5" s="204" t="s">
        <v>958</v>
      </c>
      <c r="K5" s="204" t="s">
        <v>959</v>
      </c>
      <c r="L5" s="204" t="s">
        <v>960</v>
      </c>
    </row>
    <row r="6">
      <c r="B6" s="206" t="s">
        <v>961</v>
      </c>
      <c r="C6" s="207"/>
      <c r="D6" s="208"/>
      <c r="E6" s="209"/>
      <c r="F6" s="209"/>
      <c r="G6" s="209"/>
      <c r="H6" s="209"/>
      <c r="I6" s="209"/>
      <c r="J6" s="209"/>
      <c r="K6" s="209"/>
      <c r="L6" s="210" t="s">
        <v>962</v>
      </c>
    </row>
    <row r="7">
      <c r="B7" s="211"/>
      <c r="C7" s="212"/>
      <c r="D7" s="213"/>
      <c r="E7" s="214"/>
      <c r="F7" s="211"/>
      <c r="G7" s="211"/>
      <c r="H7" s="211"/>
      <c r="I7" s="211"/>
      <c r="J7" s="211"/>
      <c r="K7" s="211"/>
      <c r="L7" s="212"/>
    </row>
    <row r="8" hidden="1">
      <c r="B8" s="215" t="s">
        <v>963</v>
      </c>
      <c r="C8" s="216"/>
      <c r="D8" s="217"/>
      <c r="E8" s="216"/>
      <c r="F8" s="216"/>
      <c r="G8" s="216"/>
      <c r="H8" s="216"/>
      <c r="I8" s="216"/>
      <c r="J8" s="216"/>
      <c r="K8" s="216"/>
      <c r="L8" s="218" t="s">
        <v>964</v>
      </c>
    </row>
    <row r="9" hidden="1">
      <c r="B9" s="219" t="s">
        <v>428</v>
      </c>
      <c r="C9" s="220" t="s">
        <v>146</v>
      </c>
      <c r="D9" s="221">
        <v>45667.0</v>
      </c>
      <c r="E9" s="222" t="s">
        <v>965</v>
      </c>
      <c r="F9" s="219" t="s">
        <v>966</v>
      </c>
      <c r="G9" s="223" t="s">
        <v>967</v>
      </c>
      <c r="H9" s="223" t="s">
        <v>968</v>
      </c>
      <c r="I9" s="220" t="s">
        <v>969</v>
      </c>
      <c r="J9" s="220">
        <v>3.5718913E7</v>
      </c>
      <c r="K9" s="224" t="s">
        <v>970</v>
      </c>
      <c r="L9" s="211"/>
    </row>
    <row r="10" hidden="1">
      <c r="B10" s="219" t="s">
        <v>233</v>
      </c>
      <c r="C10" s="220" t="s">
        <v>146</v>
      </c>
      <c r="D10" s="221">
        <v>45667.0</v>
      </c>
      <c r="E10" s="222" t="s">
        <v>965</v>
      </c>
      <c r="F10" s="219" t="s">
        <v>966</v>
      </c>
      <c r="G10" s="223" t="s">
        <v>971</v>
      </c>
      <c r="H10" s="225" t="s">
        <v>972</v>
      </c>
      <c r="I10" s="220" t="s">
        <v>973</v>
      </c>
      <c r="J10" s="220">
        <v>3.5575145E7</v>
      </c>
      <c r="K10" s="224" t="s">
        <v>970</v>
      </c>
      <c r="L10" s="211"/>
    </row>
    <row r="11" hidden="1">
      <c r="B11" s="219" t="s">
        <v>211</v>
      </c>
      <c r="C11" s="220" t="s">
        <v>146</v>
      </c>
      <c r="D11" s="221">
        <v>45667.0</v>
      </c>
      <c r="E11" s="222" t="s">
        <v>965</v>
      </c>
      <c r="F11" s="219" t="s">
        <v>966</v>
      </c>
      <c r="G11" s="223" t="s">
        <v>974</v>
      </c>
      <c r="H11" s="223" t="s">
        <v>975</v>
      </c>
      <c r="I11" s="220" t="s">
        <v>973</v>
      </c>
      <c r="J11" s="220">
        <v>3.5980215E7</v>
      </c>
      <c r="K11" s="224" t="s">
        <v>970</v>
      </c>
      <c r="L11" s="211"/>
    </row>
    <row r="12" hidden="1">
      <c r="B12" s="219" t="s">
        <v>113</v>
      </c>
      <c r="C12" s="220" t="s">
        <v>146</v>
      </c>
      <c r="D12" s="221">
        <v>45667.0</v>
      </c>
      <c r="E12" s="222" t="s">
        <v>965</v>
      </c>
      <c r="F12" s="219" t="s">
        <v>966</v>
      </c>
      <c r="G12" s="223" t="s">
        <v>976</v>
      </c>
      <c r="H12" s="223" t="s">
        <v>977</v>
      </c>
      <c r="I12" s="220" t="s">
        <v>973</v>
      </c>
      <c r="J12" s="220">
        <v>3.5531042E7</v>
      </c>
      <c r="K12" s="224" t="s">
        <v>970</v>
      </c>
      <c r="L12" s="211"/>
    </row>
    <row r="13" hidden="1">
      <c r="B13" s="219" t="s">
        <v>540</v>
      </c>
      <c r="C13" s="220" t="s">
        <v>538</v>
      </c>
      <c r="D13" s="221">
        <v>45667.0</v>
      </c>
      <c r="E13" s="222" t="s">
        <v>965</v>
      </c>
      <c r="F13" s="219" t="s">
        <v>966</v>
      </c>
      <c r="G13" s="223" t="s">
        <v>978</v>
      </c>
      <c r="H13" s="223" t="s">
        <v>979</v>
      </c>
      <c r="I13" s="220" t="s">
        <v>969</v>
      </c>
      <c r="J13" s="226">
        <v>3.5698855E7</v>
      </c>
      <c r="K13" s="224" t="s">
        <v>970</v>
      </c>
      <c r="L13" s="211"/>
    </row>
    <row r="14" hidden="1">
      <c r="B14" s="219" t="s">
        <v>980</v>
      </c>
      <c r="C14" s="220" t="s">
        <v>503</v>
      </c>
      <c r="D14" s="221">
        <v>45667.0</v>
      </c>
      <c r="E14" s="222" t="s">
        <v>965</v>
      </c>
      <c r="F14" s="219" t="s">
        <v>966</v>
      </c>
      <c r="G14" s="223" t="s">
        <v>981</v>
      </c>
      <c r="H14" s="223" t="s">
        <v>982</v>
      </c>
      <c r="I14" s="224" t="s">
        <v>973</v>
      </c>
      <c r="J14" s="226">
        <v>3.5223287E7</v>
      </c>
      <c r="K14" s="224" t="s">
        <v>970</v>
      </c>
      <c r="L14" s="211"/>
    </row>
    <row r="15" hidden="1">
      <c r="B15" s="219" t="s">
        <v>983</v>
      </c>
      <c r="C15" s="227" t="s">
        <v>435</v>
      </c>
      <c r="D15" s="221">
        <v>45667.0</v>
      </c>
      <c r="E15" s="222" t="s">
        <v>965</v>
      </c>
      <c r="F15" s="228" t="s">
        <v>984</v>
      </c>
      <c r="G15" s="223" t="s">
        <v>985</v>
      </c>
      <c r="H15" s="223" t="s">
        <v>986</v>
      </c>
      <c r="I15" s="224" t="s">
        <v>987</v>
      </c>
      <c r="J15" s="227" t="s">
        <v>435</v>
      </c>
      <c r="K15" s="224" t="s">
        <v>970</v>
      </c>
      <c r="L15" s="211"/>
    </row>
    <row r="16" hidden="1">
      <c r="B16" s="211"/>
      <c r="C16" s="211"/>
      <c r="D16" s="213"/>
      <c r="E16" s="211"/>
      <c r="F16" s="211"/>
      <c r="G16" s="211"/>
      <c r="H16" s="211"/>
      <c r="I16" s="211"/>
      <c r="J16" s="211"/>
      <c r="K16" s="211"/>
      <c r="L16" s="211"/>
    </row>
    <row r="17">
      <c r="B17" s="229" t="s">
        <v>988</v>
      </c>
      <c r="C17" s="230"/>
      <c r="D17" s="231"/>
      <c r="E17" s="230"/>
      <c r="F17" s="230"/>
      <c r="G17" s="230"/>
      <c r="H17" s="230"/>
      <c r="I17" s="230"/>
      <c r="J17" s="230"/>
      <c r="K17" s="230"/>
      <c r="L17" s="230"/>
    </row>
    <row r="18">
      <c r="B18" s="219" t="s">
        <v>428</v>
      </c>
      <c r="C18" s="220" t="s">
        <v>146</v>
      </c>
      <c r="D18" s="221">
        <v>45769.0</v>
      </c>
      <c r="E18" s="222" t="s">
        <v>965</v>
      </c>
      <c r="F18" s="219" t="s">
        <v>966</v>
      </c>
      <c r="G18" s="223" t="s">
        <v>989</v>
      </c>
      <c r="H18" s="223" t="s">
        <v>990</v>
      </c>
      <c r="I18" s="220" t="s">
        <v>969</v>
      </c>
      <c r="J18" s="220" t="str">
        <f t="shared" ref="J18:J23" si="1">CONCATENATE(Left($F18, 2), Mid($F18, 4, 6))</f>
        <v>IMI</v>
      </c>
      <c r="K18" s="224" t="s">
        <v>970</v>
      </c>
      <c r="L18" s="211"/>
    </row>
    <row r="19">
      <c r="B19" s="219" t="s">
        <v>233</v>
      </c>
      <c r="C19" s="220" t="s">
        <v>146</v>
      </c>
      <c r="D19" s="221">
        <v>45769.0</v>
      </c>
      <c r="E19" s="222" t="s">
        <v>965</v>
      </c>
      <c r="F19" s="219" t="s">
        <v>966</v>
      </c>
      <c r="G19" s="223" t="s">
        <v>991</v>
      </c>
      <c r="H19" s="225" t="s">
        <v>992</v>
      </c>
      <c r="I19" s="220" t="s">
        <v>973</v>
      </c>
      <c r="J19" s="220" t="str">
        <f t="shared" si="1"/>
        <v>IMI</v>
      </c>
      <c r="K19" s="224" t="s">
        <v>970</v>
      </c>
      <c r="L19" s="211"/>
    </row>
    <row r="20">
      <c r="B20" s="219" t="s">
        <v>211</v>
      </c>
      <c r="C20" s="220" t="s">
        <v>146</v>
      </c>
      <c r="D20" s="221">
        <v>45769.0</v>
      </c>
      <c r="E20" s="222" t="s">
        <v>965</v>
      </c>
      <c r="F20" s="219" t="s">
        <v>966</v>
      </c>
      <c r="G20" s="223" t="s">
        <v>993</v>
      </c>
      <c r="H20" s="223" t="s">
        <v>994</v>
      </c>
      <c r="I20" s="220" t="s">
        <v>973</v>
      </c>
      <c r="J20" s="220" t="str">
        <f t="shared" si="1"/>
        <v>IMI</v>
      </c>
      <c r="K20" s="224" t="s">
        <v>970</v>
      </c>
      <c r="L20" s="211"/>
    </row>
    <row r="21">
      <c r="B21" s="219" t="s">
        <v>113</v>
      </c>
      <c r="C21" s="220" t="s">
        <v>146</v>
      </c>
      <c r="D21" s="221">
        <v>45769.0</v>
      </c>
      <c r="E21" s="222" t="s">
        <v>965</v>
      </c>
      <c r="F21" s="219" t="s">
        <v>966</v>
      </c>
      <c r="G21" s="223" t="s">
        <v>995</v>
      </c>
      <c r="H21" s="223" t="s">
        <v>996</v>
      </c>
      <c r="I21" s="220" t="s">
        <v>973</v>
      </c>
      <c r="J21" s="220" t="str">
        <f t="shared" si="1"/>
        <v>IMI</v>
      </c>
      <c r="K21" s="224" t="s">
        <v>970</v>
      </c>
      <c r="L21" s="211"/>
    </row>
    <row r="22">
      <c r="B22" s="219" t="s">
        <v>540</v>
      </c>
      <c r="C22" s="220" t="s">
        <v>538</v>
      </c>
      <c r="D22" s="221">
        <v>45769.0</v>
      </c>
      <c r="E22" s="222" t="s">
        <v>965</v>
      </c>
      <c r="F22" s="219" t="s">
        <v>966</v>
      </c>
      <c r="G22" s="223" t="s">
        <v>997</v>
      </c>
      <c r="H22" s="223" t="s">
        <v>998</v>
      </c>
      <c r="I22" s="220" t="s">
        <v>969</v>
      </c>
      <c r="J22" s="220" t="str">
        <f t="shared" si="1"/>
        <v>IMI</v>
      </c>
      <c r="K22" s="224" t="s">
        <v>970</v>
      </c>
      <c r="L22" s="211"/>
    </row>
    <row r="23">
      <c r="B23" s="219" t="s">
        <v>980</v>
      </c>
      <c r="C23" s="220" t="s">
        <v>503</v>
      </c>
      <c r="D23" s="221">
        <v>45769.0</v>
      </c>
      <c r="E23" s="222" t="s">
        <v>965</v>
      </c>
      <c r="F23" s="219" t="s">
        <v>966</v>
      </c>
      <c r="G23" s="223" t="s">
        <v>999</v>
      </c>
      <c r="H23" s="223" t="s">
        <v>1000</v>
      </c>
      <c r="I23" s="224" t="s">
        <v>973</v>
      </c>
      <c r="J23" s="220" t="str">
        <f t="shared" si="1"/>
        <v>IMI</v>
      </c>
      <c r="K23" s="224" t="s">
        <v>970</v>
      </c>
      <c r="L23" s="211"/>
    </row>
    <row r="24">
      <c r="B24" s="219" t="s">
        <v>983</v>
      </c>
      <c r="C24" s="227" t="s">
        <v>435</v>
      </c>
      <c r="D24" s="221">
        <v>45769.0</v>
      </c>
      <c r="E24" s="222" t="s">
        <v>965</v>
      </c>
      <c r="F24" s="228" t="s">
        <v>984</v>
      </c>
      <c r="G24" s="223" t="s">
        <v>1001</v>
      </c>
      <c r="H24" s="223" t="s">
        <v>1002</v>
      </c>
      <c r="I24" s="224" t="s">
        <v>1003</v>
      </c>
      <c r="J24" s="227" t="s">
        <v>435</v>
      </c>
      <c r="K24" s="224" t="s">
        <v>970</v>
      </c>
      <c r="L24" s="211"/>
    </row>
    <row r="25">
      <c r="B25" s="232"/>
      <c r="C25" s="232"/>
      <c r="D25" s="233"/>
      <c r="E25" s="232"/>
      <c r="F25" s="232"/>
      <c r="G25" s="232"/>
      <c r="H25" s="232"/>
      <c r="I25" s="232"/>
      <c r="J25" s="232"/>
      <c r="K25" s="232"/>
      <c r="L25" s="232"/>
    </row>
    <row r="26">
      <c r="B26" s="232"/>
      <c r="C26" s="232"/>
      <c r="D26" s="233"/>
      <c r="E26" s="232"/>
      <c r="F26" s="232"/>
      <c r="G26" s="232"/>
      <c r="H26" s="232"/>
      <c r="I26" s="232"/>
      <c r="J26" s="232"/>
      <c r="K26" s="232"/>
      <c r="L26" s="232"/>
    </row>
    <row r="27">
      <c r="B27" s="232"/>
      <c r="C27" s="232"/>
      <c r="D27" s="233"/>
      <c r="E27" s="232"/>
      <c r="F27" s="232"/>
      <c r="G27" s="232"/>
      <c r="H27" s="232"/>
      <c r="I27" s="232"/>
      <c r="J27" s="232"/>
      <c r="K27" s="232"/>
      <c r="L27" s="232"/>
    </row>
    <row r="28">
      <c r="B28" s="234" t="s">
        <v>167</v>
      </c>
      <c r="C28" s="235"/>
      <c r="D28" s="236"/>
      <c r="E28" s="235"/>
      <c r="F28" s="235"/>
      <c r="G28" s="235"/>
      <c r="H28" s="235"/>
      <c r="I28" s="235"/>
      <c r="J28" s="235"/>
      <c r="K28" s="235"/>
      <c r="L28" s="235"/>
    </row>
    <row r="29">
      <c r="B29" s="219" t="s">
        <v>428</v>
      </c>
      <c r="C29" s="220" t="s">
        <v>146</v>
      </c>
      <c r="D29" s="221">
        <v>45793.0</v>
      </c>
      <c r="E29" s="222" t="s">
        <v>965</v>
      </c>
      <c r="F29" s="219" t="s">
        <v>966</v>
      </c>
      <c r="G29" s="223" t="s">
        <v>1004</v>
      </c>
      <c r="H29" s="223" t="s">
        <v>1005</v>
      </c>
      <c r="I29" s="220" t="s">
        <v>1006</v>
      </c>
      <c r="J29" s="220" t="str">
        <f t="shared" ref="J29:J34" si="2">CONCATENATE(Left($F29, 2), Mid($F29, 4, 6))</f>
        <v>IMI</v>
      </c>
      <c r="K29" s="224" t="s">
        <v>970</v>
      </c>
      <c r="L29" s="237" t="s">
        <v>428</v>
      </c>
    </row>
    <row r="30">
      <c r="B30" s="219" t="s">
        <v>233</v>
      </c>
      <c r="C30" s="220" t="s">
        <v>146</v>
      </c>
      <c r="D30" s="221">
        <v>45793.0</v>
      </c>
      <c r="E30" s="222" t="s">
        <v>965</v>
      </c>
      <c r="F30" s="219" t="s">
        <v>966</v>
      </c>
      <c r="G30" s="223" t="s">
        <v>235</v>
      </c>
      <c r="H30" s="225" t="s">
        <v>236</v>
      </c>
      <c r="I30" s="220" t="s">
        <v>1006</v>
      </c>
      <c r="J30" s="220" t="str">
        <f t="shared" si="2"/>
        <v>IMI</v>
      </c>
      <c r="K30" s="224" t="s">
        <v>970</v>
      </c>
      <c r="L30" s="237" t="s">
        <v>233</v>
      </c>
    </row>
    <row r="31">
      <c r="B31" s="219" t="s">
        <v>211</v>
      </c>
      <c r="C31" s="220" t="s">
        <v>146</v>
      </c>
      <c r="D31" s="221">
        <v>45793.0</v>
      </c>
      <c r="E31" s="222" t="s">
        <v>965</v>
      </c>
      <c r="F31" s="219" t="s">
        <v>966</v>
      </c>
      <c r="G31" s="223" t="s">
        <v>213</v>
      </c>
      <c r="H31" s="223" t="s">
        <v>214</v>
      </c>
      <c r="I31" s="220" t="s">
        <v>1006</v>
      </c>
      <c r="J31" s="220" t="str">
        <f t="shared" si="2"/>
        <v>IMI</v>
      </c>
      <c r="K31" s="224" t="s">
        <v>970</v>
      </c>
      <c r="L31" s="237" t="s">
        <v>211</v>
      </c>
    </row>
    <row r="32">
      <c r="B32" s="219" t="s">
        <v>113</v>
      </c>
      <c r="C32" s="220" t="s">
        <v>146</v>
      </c>
      <c r="D32" s="221">
        <v>45793.0</v>
      </c>
      <c r="E32" s="222" t="s">
        <v>965</v>
      </c>
      <c r="F32" s="219" t="s">
        <v>966</v>
      </c>
      <c r="G32" s="223" t="s">
        <v>1007</v>
      </c>
      <c r="H32" s="223" t="s">
        <v>1008</v>
      </c>
      <c r="I32" s="220" t="s">
        <v>1006</v>
      </c>
      <c r="J32" s="220" t="str">
        <f t="shared" si="2"/>
        <v>IMI</v>
      </c>
      <c r="K32" s="224" t="s">
        <v>970</v>
      </c>
      <c r="L32" s="237" t="s">
        <v>113</v>
      </c>
    </row>
    <row r="33">
      <c r="B33" s="219" t="s">
        <v>540</v>
      </c>
      <c r="C33" s="220" t="s">
        <v>538</v>
      </c>
      <c r="D33" s="221">
        <v>45793.0</v>
      </c>
      <c r="E33" s="222" t="s">
        <v>965</v>
      </c>
      <c r="F33" s="219" t="s">
        <v>966</v>
      </c>
      <c r="G33" s="223" t="s">
        <v>542</v>
      </c>
      <c r="H33" s="223" t="s">
        <v>543</v>
      </c>
      <c r="I33" s="220" t="s">
        <v>1006</v>
      </c>
      <c r="J33" s="220" t="str">
        <f t="shared" si="2"/>
        <v>IMI</v>
      </c>
      <c r="K33" s="224" t="s">
        <v>970</v>
      </c>
      <c r="L33" s="237" t="s">
        <v>540</v>
      </c>
    </row>
    <row r="34">
      <c r="B34" s="219" t="s">
        <v>980</v>
      </c>
      <c r="C34" s="220" t="s">
        <v>503</v>
      </c>
      <c r="D34" s="221">
        <v>45793.0</v>
      </c>
      <c r="E34" s="222" t="s">
        <v>965</v>
      </c>
      <c r="F34" s="219" t="s">
        <v>966</v>
      </c>
      <c r="G34" s="223" t="s">
        <v>506</v>
      </c>
      <c r="H34" s="223" t="s">
        <v>507</v>
      </c>
      <c r="I34" s="220" t="s">
        <v>1006</v>
      </c>
      <c r="J34" s="220" t="str">
        <f t="shared" si="2"/>
        <v>IMI</v>
      </c>
      <c r="K34" s="224" t="s">
        <v>970</v>
      </c>
      <c r="L34" s="237" t="s">
        <v>500</v>
      </c>
    </row>
    <row r="35">
      <c r="B35" s="219" t="s">
        <v>983</v>
      </c>
      <c r="C35" s="227" t="s">
        <v>435</v>
      </c>
      <c r="D35" s="221">
        <v>45793.0</v>
      </c>
      <c r="E35" s="222" t="s">
        <v>965</v>
      </c>
      <c r="F35" s="228" t="s">
        <v>984</v>
      </c>
      <c r="G35" s="223" t="s">
        <v>1009</v>
      </c>
      <c r="H35" s="223" t="s">
        <v>1010</v>
      </c>
      <c r="I35" s="220" t="s">
        <v>1006</v>
      </c>
      <c r="J35" s="227" t="s">
        <v>435</v>
      </c>
      <c r="K35" s="224" t="s">
        <v>970</v>
      </c>
      <c r="L35" s="237" t="s">
        <v>983</v>
      </c>
    </row>
  </sheetData>
  <mergeCells count="2">
    <mergeCell ref="B3:F3"/>
    <mergeCell ref="B4:L4"/>
  </mergeCells>
  <dataValidations>
    <dataValidation type="list" allowBlank="1" showErrorMessage="1" sqref="B9:B15 B18:B24 B29:B35">
      <formula1>#REF!</formula1>
    </dataValidation>
    <dataValidation type="list" allowBlank="1" showErrorMessage="1" sqref="E9:E15 E18:E24 E29:E35">
      <formula1>#REF!</formula1>
    </dataValidation>
    <dataValidation type="list" allowBlank="1" showErrorMessage="1" sqref="F9:F15 F18:F24 F29:F35">
      <formula1>#REF!</formula1>
    </dataValidation>
  </dataValidations>
  <hyperlinks>
    <hyperlink r:id="rId1" location="gid=511652342" ref="B1"/>
    <hyperlink r:id="rId2" location="gid=511652342" ref="B2"/>
  </hyperlinks>
  <drawing r:id="rId3"/>
</worksheet>
</file>